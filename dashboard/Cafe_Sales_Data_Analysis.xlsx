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Raw_Data" sheetId="2" state="visible" r:id="rId4"/>
    <sheet name="2_Inspect" sheetId="3" state="visible" r:id="rId5"/>
    <sheet name="3a_Cleaning_Log" sheetId="4" state="visible" r:id="rId6"/>
    <sheet name="3b_Clean_Data" sheetId="5" state="visible" r:id="rId7"/>
    <sheet name="4_Calculate" sheetId="6" state="visible" r:id="rId8"/>
    <sheet name="5_Group" sheetId="7" state="visible" r:id="rId9"/>
    <sheet name="6_Compare" sheetId="8" state="visible" r:id="rId10"/>
    <sheet name="7_Visualize" sheetId="9" state="visible" r:id="rId11"/>
    <sheet name="8_Interpret" sheetId="10" state="visible" r:id="rId12"/>
    <sheet name="9_Recommend" sheetId="11" state="visible" r:id="rId13"/>
  </sheets>
  <definedNames>
    <definedName function="false" hidden="true" localSheetId="1" name="_xlnm._FilterDatabase" vbProcedure="false">1_Raw_Data!$A$1:$K$1837</definedName>
    <definedName function="false" hidden="true" localSheetId="4" name="_xlnm._FilterDatabase" vbProcedure="false">3b_Clean_Data!$A$1:$T$1764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<sst xmlns="http://schemas.openxmlformats.org/spreadsheetml/2006/main" count="22539" uniqueCount="2487">
  <si>
    <t xml:space="preserve">☕ Café Sales Analysis — a full data analysis project in Excel</t>
  </si>
  <si>
    <t xml:space="preserve">Question: Where does a 4-branch Metro Manila café make its money, and how can it grow revenue in 2026?</t>
  </si>
  <si>
    <t xml:space="preserve">About the data</t>
  </si>
  <si>
    <t xml:space="preserve">• Simulated point-of-sale export, calendar year 2025: one row = one product line per order.</t>
  </si>
  <si>
    <t xml:space="preserve">• Fields: Order_ID, date, hour, branch, product &amp; category, quantity, unit price (₱), discount %, payment method, customer type.</t>
  </si>
  <si>
    <t xml:space="preserve">• Problems were deliberately built into the raw data (duplicates, typos, blanks, text dates, outliers) so the cleaning step is real.</t>
  </si>
  <si>
    <t xml:space="preserve">The 9-step process</t>
  </si>
  <si>
    <t xml:space="preserve">Step</t>
  </si>
  <si>
    <t xml:space="preserve">Stage</t>
  </si>
  <si>
    <t xml:space="preserve">Go to sheet</t>
  </si>
  <si>
    <t xml:space="preserve">What happens</t>
  </si>
  <si>
    <t xml:space="preserve">Raw data</t>
  </si>
  <si>
    <t xml:space="preserve">1_Raw_Data</t>
  </si>
  <si>
    <t xml:space="preserve">Untouched export exactly as received. Never edited.</t>
  </si>
  <si>
    <t xml:space="preserve">Inspect</t>
  </si>
  <si>
    <t xml:space="preserve">2_Inspect</t>
  </si>
  <si>
    <t xml:space="preserve">Formulas count blanks, duplicates, text values, invalid numbers and inconsistent labels.</t>
  </si>
  <si>
    <t xml:space="preserve">Clean</t>
  </si>
  <si>
    <t xml:space="preserve">3a_Cleaning_Log / 3b_Clean_Data</t>
  </si>
  <si>
    <t xml:space="preserve">Documented rules fix each problem; a reconciliation proves no rows are lost unexplained.</t>
  </si>
  <si>
    <t xml:space="preserve">Calculate</t>
  </si>
  <si>
    <t xml:space="preserve">4_Calculate</t>
  </si>
  <si>
    <t xml:space="preserve">Net revenue, AOV, discount rate, median, spread, units per order.</t>
  </si>
  <si>
    <t xml:space="preserve">Group</t>
  </si>
  <si>
    <t xml:space="preserve">5_Group</t>
  </si>
  <si>
    <t xml:space="preserve">Totals by branch, category, product, month, weekday, time slot, hour, payment and customer type.</t>
  </si>
  <si>
    <t xml:space="preserve">Compare</t>
  </si>
  <si>
    <t xml:space="preserve">6_Compare</t>
  </si>
  <si>
    <t xml:space="preserve">Branch scorecard, weekday vs weekend, discounted vs full price, season × category, branch × category.</t>
  </si>
  <si>
    <t xml:space="preserve">Visualize</t>
  </si>
  <si>
    <t xml:space="preserve">7_Visualize</t>
  </si>
  <si>
    <t xml:space="preserve">Eight charts linked to the tables.</t>
  </si>
  <si>
    <t xml:space="preserve">Interpret</t>
  </si>
  <si>
    <t xml:space="preserve">8_Interpret</t>
  </si>
  <si>
    <t xml:space="preserve">Eight findings, each with a live evidence cell.</t>
  </si>
  <si>
    <t xml:space="preserve">Recommend</t>
  </si>
  <si>
    <t xml:space="preserve">9_Recommend</t>
  </si>
  <si>
    <t xml:space="preserve">Eight prioritised actions with success metrics.</t>
  </si>
  <si>
    <t xml:space="preserve">Headline numbers</t>
  </si>
  <si>
    <t xml:space="preserve">Net revenue</t>
  </si>
  <si>
    <t xml:space="preserve">Transactions (clean)</t>
  </si>
  <si>
    <t xml:space="preserve">Average order value</t>
  </si>
  <si>
    <t xml:space="preserve">Discount rate</t>
  </si>
  <si>
    <t xml:space="preserve">Colour code</t>
  </si>
  <si>
    <t xml:space="preserve">Blue text</t>
  </si>
  <si>
    <t xml:space="preserve">hard-coded input / assumption</t>
  </si>
  <si>
    <t xml:space="preserve">Green text</t>
  </si>
  <si>
    <t xml:space="preserve">pulled from another sheet</t>
  </si>
  <si>
    <t xml:space="preserve">Black text</t>
  </si>
  <si>
    <t xml:space="preserve">formula on this sheet</t>
  </si>
  <si>
    <t xml:space="preserve">Green header</t>
  </si>
  <si>
    <t xml:space="preserve">calculated columns added during cleaning</t>
  </si>
  <si>
    <t xml:space="preserve">Order_ID</t>
  </si>
  <si>
    <t xml:space="preserve">Order_Date</t>
  </si>
  <si>
    <t xml:space="preserve">Hour</t>
  </si>
  <si>
    <t xml:space="preserve">Branch</t>
  </si>
  <si>
    <t xml:space="preserve">Category</t>
  </si>
  <si>
    <t xml:space="preserve">Product</t>
  </si>
  <si>
    <t xml:space="preserve">Quantity</t>
  </si>
  <si>
    <t xml:space="preserve">Unit_Price</t>
  </si>
  <si>
    <t xml:space="preserve">Discount_Pct</t>
  </si>
  <si>
    <t xml:space="preserve">Payment_Method</t>
  </si>
  <si>
    <t xml:space="preserve">Customer_Type</t>
  </si>
  <si>
    <t xml:space="preserve">ORD-10001</t>
  </si>
  <si>
    <t xml:space="preserve">Makati</t>
  </si>
  <si>
    <t xml:space="preserve">Iced Coffee</t>
  </si>
  <si>
    <t xml:space="preserve">Iced Americano</t>
  </si>
  <si>
    <t xml:space="preserve">GCash</t>
  </si>
  <si>
    <t xml:space="preserve">Walk-in</t>
  </si>
  <si>
    <t xml:space="preserve">ORD-10002</t>
  </si>
  <si>
    <t xml:space="preserve">BGC</t>
  </si>
  <si>
    <t xml:space="preserve">Student</t>
  </si>
  <si>
    <t xml:space="preserve">ORD-10003</t>
  </si>
  <si>
    <t xml:space="preserve">Ortigas</t>
  </si>
  <si>
    <t xml:space="preserve">Meals</t>
  </si>
  <si>
    <t xml:space="preserve">Chicken Sandwich</t>
  </si>
  <si>
    <t xml:space="preserve">Credit Card</t>
  </si>
  <si>
    <t xml:space="preserve">Office</t>
  </si>
  <si>
    <t xml:space="preserve">ORD-10004</t>
  </si>
  <si>
    <t xml:space="preserve">Non-Coffee</t>
  </si>
  <si>
    <t xml:space="preserve">Matcha Latte</t>
  </si>
  <si>
    <t xml:space="preserve">Cash</t>
  </si>
  <si>
    <t xml:space="preserve">Regular</t>
  </si>
  <si>
    <t xml:space="preserve">ORD-10005</t>
  </si>
  <si>
    <t xml:space="preserve">Pastry</t>
  </si>
  <si>
    <t xml:space="preserve">Cheesecake Slice</t>
  </si>
  <si>
    <t xml:space="preserve">ORD-10006</t>
  </si>
  <si>
    <t xml:space="preserve">Cold Brew</t>
  </si>
  <si>
    <t xml:space="preserve">Debit Card</t>
  </si>
  <si>
    <t xml:space="preserve">ORD-10007</t>
  </si>
  <si>
    <t xml:space="preserve">ortigas</t>
  </si>
  <si>
    <t xml:space="preserve">Tuna Melt</t>
  </si>
  <si>
    <t xml:space="preserve">ORD-10008</t>
  </si>
  <si>
    <t xml:space="preserve">2025-01-03</t>
  </si>
  <si>
    <t xml:space="preserve">Iced Latte</t>
  </si>
  <si>
    <t xml:space="preserve">ORD-10009</t>
  </si>
  <si>
    <t xml:space="preserve">B.G.C.</t>
  </si>
  <si>
    <t xml:space="preserve">ORD-10010</t>
  </si>
  <si>
    <t xml:space="preserve">Quezon City</t>
  </si>
  <si>
    <t xml:space="preserve">Hot Coffee</t>
  </si>
  <si>
    <t xml:space="preserve">Americano</t>
  </si>
  <si>
    <t xml:space="preserve">ORD-10011</t>
  </si>
  <si>
    <t xml:space="preserve">Latte</t>
  </si>
  <si>
    <t xml:space="preserve">cash</t>
  </si>
  <si>
    <t xml:space="preserve">ORD-10012</t>
  </si>
  <si>
    <t xml:space="preserve">ORD-10013</t>
  </si>
  <si>
    <t xml:space="preserve">Cookie</t>
  </si>
  <si>
    <t xml:space="preserve">ORD-10014</t>
  </si>
  <si>
    <t xml:space="preserve">quezon city</t>
  </si>
  <si>
    <t xml:space="preserve">Cappuccino</t>
  </si>
  <si>
    <t xml:space="preserve">ORD-10015</t>
  </si>
  <si>
    <t xml:space="preserve">ORD-10016</t>
  </si>
  <si>
    <t xml:space="preserve">Maya</t>
  </si>
  <si>
    <t xml:space="preserve">ORD-10017</t>
  </si>
  <si>
    <t xml:space="preserve">Blueberry Muffin</t>
  </si>
  <si>
    <t xml:space="preserve">ORD-10018</t>
  </si>
  <si>
    <t xml:space="preserve">ORD-10019</t>
  </si>
  <si>
    <t xml:space="preserve">Croissant</t>
  </si>
  <si>
    <t xml:space="preserve">ORD-10020</t>
  </si>
  <si>
    <t xml:space="preserve"> Makati</t>
  </si>
  <si>
    <t xml:space="preserve">ORD-10021</t>
  </si>
  <si>
    <t xml:space="preserve">Spanish Latte</t>
  </si>
  <si>
    <t xml:space="preserve">ORD-10022</t>
  </si>
  <si>
    <t xml:space="preserve">gcash</t>
  </si>
  <si>
    <t xml:space="preserve">ORD-10023</t>
  </si>
  <si>
    <t xml:space="preserve">ORD-10024</t>
  </si>
  <si>
    <t xml:space="preserve">ORD-10025</t>
  </si>
  <si>
    <t xml:space="preserve">01/08/2025</t>
  </si>
  <si>
    <t xml:space="preserve">ORD-10026</t>
  </si>
  <si>
    <t xml:space="preserve">ORD-10027</t>
  </si>
  <si>
    <t xml:space="preserve">ORD-10028</t>
  </si>
  <si>
    <t xml:space="preserve">ORD-10029</t>
  </si>
  <si>
    <t xml:space="preserve">ORD-10030</t>
  </si>
  <si>
    <t xml:space="preserve">Espresso</t>
  </si>
  <si>
    <t xml:space="preserve">ORD-10031</t>
  </si>
  <si>
    <t xml:space="preserve">Hot Chocolate</t>
  </si>
  <si>
    <t xml:space="preserve">ORD-10032</t>
  </si>
  <si>
    <t xml:space="preserve">ORD-10033</t>
  </si>
  <si>
    <t xml:space="preserve">01/09/2025</t>
  </si>
  <si>
    <t xml:space="preserve">Pasta</t>
  </si>
  <si>
    <t xml:space="preserve">ORD-10034</t>
  </si>
  <si>
    <t xml:space="preserve">ORD-10035</t>
  </si>
  <si>
    <t xml:space="preserve">ORD-10036</t>
  </si>
  <si>
    <t xml:space="preserve">ORD-10037</t>
  </si>
  <si>
    <t xml:space="preserve">ORD-10038</t>
  </si>
  <si>
    <t xml:space="preserve">ORD-10039</t>
  </si>
  <si>
    <t xml:space="preserve">ORD-10040</t>
  </si>
  <si>
    <t xml:space="preserve">ORD-10041</t>
  </si>
  <si>
    <t xml:space="preserve">Milk Tea</t>
  </si>
  <si>
    <t xml:space="preserve">ORD-10042</t>
  </si>
  <si>
    <t xml:space="preserve">ORD-10043</t>
  </si>
  <si>
    <t xml:space="preserve">ORD-10044</t>
  </si>
  <si>
    <t xml:space="preserve">ORD-10045</t>
  </si>
  <si>
    <t xml:space="preserve">ORTIGAS</t>
  </si>
  <si>
    <t xml:space="preserve">ORD-10046</t>
  </si>
  <si>
    <t xml:space="preserve">ORD-10047</t>
  </si>
  <si>
    <t xml:space="preserve">ORD-10048</t>
  </si>
  <si>
    <t xml:space="preserve">ORD-10049</t>
  </si>
  <si>
    <t xml:space="preserve">ORD-10050</t>
  </si>
  <si>
    <t xml:space="preserve">Meals </t>
  </si>
  <si>
    <t xml:space="preserve">ORD-10051</t>
  </si>
  <si>
    <t xml:space="preserve">ORD-10052</t>
  </si>
  <si>
    <t xml:space="preserve">ORD-10053</t>
  </si>
  <si>
    <t xml:space="preserve">ORD-10054</t>
  </si>
  <si>
    <t xml:space="preserve">hot coffee</t>
  </si>
  <si>
    <t xml:space="preserve">ORD-10055</t>
  </si>
  <si>
    <t xml:space="preserve">BGC </t>
  </si>
  <si>
    <t xml:space="preserve">ORD-10056</t>
  </si>
  <si>
    <t xml:space="preserve">ORD-10057</t>
  </si>
  <si>
    <t xml:space="preserve">Pastry </t>
  </si>
  <si>
    <t xml:space="preserve">ORD-10058</t>
  </si>
  <si>
    <t xml:space="preserve">ORD-10059</t>
  </si>
  <si>
    <t xml:space="preserve">Bgc</t>
  </si>
  <si>
    <t xml:space="preserve">ORD-10060</t>
  </si>
  <si>
    <t xml:space="preserve">2025-01-15</t>
  </si>
  <si>
    <t xml:space="preserve">ORD-10061</t>
  </si>
  <si>
    <t xml:space="preserve">ORD-10062</t>
  </si>
  <si>
    <t xml:space="preserve">ORD-10063</t>
  </si>
  <si>
    <t xml:space="preserve">ORD-10064</t>
  </si>
  <si>
    <t xml:space="preserve">ORD-10065</t>
  </si>
  <si>
    <t xml:space="preserve">ORD-10066</t>
  </si>
  <si>
    <t xml:space="preserve">ORD-10067</t>
  </si>
  <si>
    <t xml:space="preserve">ORD-10068</t>
  </si>
  <si>
    <t xml:space="preserve">QC</t>
  </si>
  <si>
    <t xml:space="preserve">ORD-10069</t>
  </si>
  <si>
    <t xml:space="preserve">ORD-10070</t>
  </si>
  <si>
    <t xml:space="preserve">ORD-10071</t>
  </si>
  <si>
    <t xml:space="preserve">Quezon city</t>
  </si>
  <si>
    <t xml:space="preserve">ORD-10072</t>
  </si>
  <si>
    <t xml:space="preserve">bgc</t>
  </si>
  <si>
    <t xml:space="preserve">ORD-10073</t>
  </si>
  <si>
    <t xml:space="preserve">ORD-10074</t>
  </si>
  <si>
    <t xml:space="preserve">ORD-10075</t>
  </si>
  <si>
    <t xml:space="preserve">2025-01-17</t>
  </si>
  <si>
    <t xml:space="preserve">ORD-10076</t>
  </si>
  <si>
    <t xml:space="preserve">ORD-10077</t>
  </si>
  <si>
    <t xml:space="preserve">ORD-10078</t>
  </si>
  <si>
    <t xml:space="preserve">ORD-10079</t>
  </si>
  <si>
    <t xml:space="preserve">ORD-10080</t>
  </si>
  <si>
    <t xml:space="preserve">ORD-10081</t>
  </si>
  <si>
    <t xml:space="preserve">CHICKEN SANDWICH</t>
  </si>
  <si>
    <t xml:space="preserve">ORD-10082</t>
  </si>
  <si>
    <t xml:space="preserve">ORD-10083</t>
  </si>
  <si>
    <t xml:space="preserve">2025-01-18</t>
  </si>
  <si>
    <t xml:space="preserve">ORD-10084</t>
  </si>
  <si>
    <t xml:space="preserve">ORD-10085</t>
  </si>
  <si>
    <t xml:space="preserve">ORD-10086</t>
  </si>
  <si>
    <t xml:space="preserve">ORD-10087</t>
  </si>
  <si>
    <t xml:space="preserve">ORD-10088</t>
  </si>
  <si>
    <t xml:space="preserve">ORD-10089</t>
  </si>
  <si>
    <t xml:space="preserve">ORD-10090</t>
  </si>
  <si>
    <t xml:space="preserve">ORD-10091</t>
  </si>
  <si>
    <t xml:space="preserve">ORD-10092</t>
  </si>
  <si>
    <t xml:space="preserve">ORD-10093</t>
  </si>
  <si>
    <t xml:space="preserve">ORD-10094</t>
  </si>
  <si>
    <t xml:space="preserve">ORD-10095</t>
  </si>
  <si>
    <t xml:space="preserve">ORD-10096</t>
  </si>
  <si>
    <t xml:space="preserve">ORD-10097</t>
  </si>
  <si>
    <t xml:space="preserve">ORD-10098</t>
  </si>
  <si>
    <t xml:space="preserve">milk tea</t>
  </si>
  <si>
    <t xml:space="preserve">ORD-10099</t>
  </si>
  <si>
    <t xml:space="preserve">NON-COFFEE</t>
  </si>
  <si>
    <t xml:space="preserve">ORD-10100</t>
  </si>
  <si>
    <t xml:space="preserve">ORD-10101</t>
  </si>
  <si>
    <t xml:space="preserve">01/22/2025</t>
  </si>
  <si>
    <t xml:space="preserve">makati</t>
  </si>
  <si>
    <t xml:space="preserve">ORD-10102</t>
  </si>
  <si>
    <t xml:space="preserve">ORD-10103</t>
  </si>
  <si>
    <t xml:space="preserve">ORD-10104</t>
  </si>
  <si>
    <t xml:space="preserve">ORD-10105</t>
  </si>
  <si>
    <t xml:space="preserve">2025-01-22</t>
  </si>
  <si>
    <t xml:space="preserve">ORD-10106</t>
  </si>
  <si>
    <t xml:space="preserve">ORD-10107</t>
  </si>
  <si>
    <t xml:space="preserve">ORD-10108</t>
  </si>
  <si>
    <t xml:space="preserve">ORD-10109</t>
  </si>
  <si>
    <t xml:space="preserve">ICED COFFEE</t>
  </si>
  <si>
    <t xml:space="preserve">Iced Latte </t>
  </si>
  <si>
    <t xml:space="preserve">debit</t>
  </si>
  <si>
    <t xml:space="preserve">ORD-10110</t>
  </si>
  <si>
    <t xml:space="preserve">ORD-10111</t>
  </si>
  <si>
    <t xml:space="preserve">2025-01-24</t>
  </si>
  <si>
    <t xml:space="preserve">ORD-10112</t>
  </si>
  <si>
    <t xml:space="preserve">ORD-10113</t>
  </si>
  <si>
    <t xml:space="preserve">ORD-10114</t>
  </si>
  <si>
    <t xml:space="preserve">ORD-10115</t>
  </si>
  <si>
    <t xml:space="preserve">ORD-10116</t>
  </si>
  <si>
    <t xml:space="preserve">ORD-10117</t>
  </si>
  <si>
    <t xml:space="preserve">ORD-10118</t>
  </si>
  <si>
    <t xml:space="preserve">ORD-10119</t>
  </si>
  <si>
    <t xml:space="preserve">2025-01-27</t>
  </si>
  <si>
    <t xml:space="preserve">95.00</t>
  </si>
  <si>
    <t xml:space="preserve">ORD-10120</t>
  </si>
  <si>
    <t xml:space="preserve">cappuccino</t>
  </si>
  <si>
    <t xml:space="preserve">ORD-10121</t>
  </si>
  <si>
    <t xml:space="preserve">ORD-10122</t>
  </si>
  <si>
    <t xml:space="preserve">ORD-10123</t>
  </si>
  <si>
    <t xml:space="preserve">ORD-10124</t>
  </si>
  <si>
    <t xml:space="preserve">ORD-10125</t>
  </si>
  <si>
    <t xml:space="preserve">croissant</t>
  </si>
  <si>
    <t xml:space="preserve">ORD-10126</t>
  </si>
  <si>
    <t xml:space="preserve">maya</t>
  </si>
  <si>
    <t xml:space="preserve">ORD-10127</t>
  </si>
  <si>
    <t xml:space="preserve">ORD-10128</t>
  </si>
  <si>
    <t xml:space="preserve">ORD-10129</t>
  </si>
  <si>
    <t xml:space="preserve">Milk Tea </t>
  </si>
  <si>
    <t xml:space="preserve">ORD-10130</t>
  </si>
  <si>
    <t xml:space="preserve">PayMaya</t>
  </si>
  <si>
    <t xml:space="preserve">ORD-10131</t>
  </si>
  <si>
    <t xml:space="preserve">credit card</t>
  </si>
  <si>
    <t xml:space="preserve">ORD-10132</t>
  </si>
  <si>
    <t xml:space="preserve">iced latte</t>
  </si>
  <si>
    <t xml:space="preserve">ORD-10133</t>
  </si>
  <si>
    <t xml:space="preserve">ORD-10134</t>
  </si>
  <si>
    <t xml:space="preserve">CASH</t>
  </si>
  <si>
    <t xml:space="preserve">ORD-10135</t>
  </si>
  <si>
    <t xml:space="preserve">latte</t>
  </si>
  <si>
    <t xml:space="preserve">ORD-10136</t>
  </si>
  <si>
    <t xml:space="preserve">ORD-10137</t>
  </si>
  <si>
    <t xml:space="preserve">ORD-10138</t>
  </si>
  <si>
    <t xml:space="preserve">ORD-10139</t>
  </si>
  <si>
    <t xml:space="preserve">ORD-10140</t>
  </si>
  <si>
    <t xml:space="preserve">ORD-10141</t>
  </si>
  <si>
    <t xml:space="preserve">ORD-10142</t>
  </si>
  <si>
    <t xml:space="preserve">2025-02-02</t>
  </si>
  <si>
    <t xml:space="preserve">ORD-10143</t>
  </si>
  <si>
    <t xml:space="preserve">ORD-10144</t>
  </si>
  <si>
    <t xml:space="preserve">ORD-10145</t>
  </si>
  <si>
    <t xml:space="preserve">2025-02-04</t>
  </si>
  <si>
    <t xml:space="preserve">ORD-10146</t>
  </si>
  <si>
    <t xml:space="preserve">ORD-10147</t>
  </si>
  <si>
    <t xml:space="preserve">GCASH</t>
  </si>
  <si>
    <t xml:space="preserve">ORD-10148</t>
  </si>
  <si>
    <t xml:space="preserve">ORD-10149</t>
  </si>
  <si>
    <t xml:space="preserve">ORD-10150</t>
  </si>
  <si>
    <t xml:space="preserve">ORD-10151</t>
  </si>
  <si>
    <t xml:space="preserve">ORD-10152</t>
  </si>
  <si>
    <t xml:space="preserve">ORD-10153</t>
  </si>
  <si>
    <t xml:space="preserve">ORD-10154</t>
  </si>
  <si>
    <t xml:space="preserve">ORD-10155</t>
  </si>
  <si>
    <t xml:space="preserve">ORD-10156</t>
  </si>
  <si>
    <t xml:space="preserve">90.00</t>
  </si>
  <si>
    <t xml:space="preserve">ORD-10157</t>
  </si>
  <si>
    <t xml:space="preserve">HOT COFFEE</t>
  </si>
  <si>
    <t xml:space="preserve">ORD-10158</t>
  </si>
  <si>
    <t xml:space="preserve">ORD-10159</t>
  </si>
  <si>
    <t xml:space="preserve">ORD-10160</t>
  </si>
  <si>
    <t xml:space="preserve">ORD-10161</t>
  </si>
  <si>
    <t xml:space="preserve">ORD-10162</t>
  </si>
  <si>
    <t xml:space="preserve">ORD-10163</t>
  </si>
  <si>
    <t xml:space="preserve">ORD-10164</t>
  </si>
  <si>
    <t xml:space="preserve">ORD-10165</t>
  </si>
  <si>
    <t xml:space="preserve">ORD-10166</t>
  </si>
  <si>
    <t xml:space="preserve">ORD-10167</t>
  </si>
  <si>
    <t xml:space="preserve">ORD-10168</t>
  </si>
  <si>
    <t xml:space="preserve">ORD-10169</t>
  </si>
  <si>
    <t xml:space="preserve">ORD-10170</t>
  </si>
  <si>
    <t xml:space="preserve">ORD-10171</t>
  </si>
  <si>
    <t xml:space="preserve">ORD-10172</t>
  </si>
  <si>
    <t xml:space="preserve">ORD-10173</t>
  </si>
  <si>
    <t xml:space="preserve">ORD-10174</t>
  </si>
  <si>
    <t xml:space="preserve">ORD-10175</t>
  </si>
  <si>
    <t xml:space="preserve">ORD-10176</t>
  </si>
  <si>
    <t xml:space="preserve">ORD-10177</t>
  </si>
  <si>
    <t xml:space="preserve">ORD-10178</t>
  </si>
  <si>
    <t xml:space="preserve">ORD-10179</t>
  </si>
  <si>
    <t xml:space="preserve">ORD-10180</t>
  </si>
  <si>
    <t xml:space="preserve">ORD-10181</t>
  </si>
  <si>
    <t xml:space="preserve">ORD-10182</t>
  </si>
  <si>
    <t xml:space="preserve">ORD-10183</t>
  </si>
  <si>
    <t xml:space="preserve">ORD-10184</t>
  </si>
  <si>
    <t xml:space="preserve">ORD-10185</t>
  </si>
  <si>
    <t xml:space="preserve">2025-02-13</t>
  </si>
  <si>
    <t xml:space="preserve">ORD-10186</t>
  </si>
  <si>
    <t xml:space="preserve">ORD-10187</t>
  </si>
  <si>
    <t xml:space="preserve">ORD-10188</t>
  </si>
  <si>
    <t xml:space="preserve">Quezon City </t>
  </si>
  <si>
    <t xml:space="preserve">ORD-10189</t>
  </si>
  <si>
    <t xml:space="preserve">ORD-10190</t>
  </si>
  <si>
    <t xml:space="preserve">ORD-10191</t>
  </si>
  <si>
    <t xml:space="preserve">Non-Coffee </t>
  </si>
  <si>
    <t xml:space="preserve">ORD-10192</t>
  </si>
  <si>
    <t xml:space="preserve">MAKATI</t>
  </si>
  <si>
    <t xml:space="preserve">ORD-10193</t>
  </si>
  <si>
    <t xml:space="preserve">ORD-10194</t>
  </si>
  <si>
    <t xml:space="preserve">ORD-10195</t>
  </si>
  <si>
    <t xml:space="preserve">ORD-10196</t>
  </si>
  <si>
    <t xml:space="preserve">ORD-10197</t>
  </si>
  <si>
    <t xml:space="preserve">ORD-10198</t>
  </si>
  <si>
    <t xml:space="preserve">ORD-10199</t>
  </si>
  <si>
    <t xml:space="preserve">ORD-10200</t>
  </si>
  <si>
    <t xml:space="preserve"> Meals</t>
  </si>
  <si>
    <t xml:space="preserve">ORD-10201</t>
  </si>
  <si>
    <t xml:space="preserve">ORD-10202</t>
  </si>
  <si>
    <t xml:space="preserve">ORD-10203</t>
  </si>
  <si>
    <t xml:space="preserve">ORD-10204</t>
  </si>
  <si>
    <t xml:space="preserve">ORD-10205</t>
  </si>
  <si>
    <t xml:space="preserve">ORD-10206</t>
  </si>
  <si>
    <t xml:space="preserve">ORD-10207</t>
  </si>
  <si>
    <t xml:space="preserve">02/17/2025</t>
  </si>
  <si>
    <t xml:space="preserve">ORD-10208</t>
  </si>
  <si>
    <t xml:space="preserve">ORD-10209</t>
  </si>
  <si>
    <t xml:space="preserve">ORD-10210</t>
  </si>
  <si>
    <t xml:space="preserve">2025-02-18</t>
  </si>
  <si>
    <t xml:space="preserve">ORD-10211</t>
  </si>
  <si>
    <t xml:space="preserve"> Pastry</t>
  </si>
  <si>
    <t xml:space="preserve">ORD-10212</t>
  </si>
  <si>
    <t xml:space="preserve">ORD-10213</t>
  </si>
  <si>
    <t xml:space="preserve">ORD-10214</t>
  </si>
  <si>
    <t xml:space="preserve">ORD-10215</t>
  </si>
  <si>
    <t xml:space="preserve">ORD-10216</t>
  </si>
  <si>
    <t xml:space="preserve">ORD-10217</t>
  </si>
  <si>
    <t xml:space="preserve">02/20/2025</t>
  </si>
  <si>
    <t xml:space="preserve">ORD-10218</t>
  </si>
  <si>
    <t xml:space="preserve"> Hot Coffee</t>
  </si>
  <si>
    <t xml:space="preserve">ORD-10219</t>
  </si>
  <si>
    <t xml:space="preserve">ORD-10220</t>
  </si>
  <si>
    <t xml:space="preserve">ORD-10221</t>
  </si>
  <si>
    <t xml:space="preserve">ORD-10222</t>
  </si>
  <si>
    <t xml:space="preserve">ORD-10223</t>
  </si>
  <si>
    <t xml:space="preserve">ORD-10224</t>
  </si>
  <si>
    <t xml:space="preserve">ORD-10225</t>
  </si>
  <si>
    <t xml:space="preserve">ORD-10226</t>
  </si>
  <si>
    <t xml:space="preserve">ORD-10227</t>
  </si>
  <si>
    <t xml:space="preserve">ORD-10228</t>
  </si>
  <si>
    <t xml:space="preserve">ORD-10229</t>
  </si>
  <si>
    <t xml:space="preserve">ORD-10230</t>
  </si>
  <si>
    <t xml:space="preserve">ORD-10231</t>
  </si>
  <si>
    <t xml:space="preserve">ORD-10232</t>
  </si>
  <si>
    <t xml:space="preserve">ORD-10233</t>
  </si>
  <si>
    <t xml:space="preserve">ORD-10234</t>
  </si>
  <si>
    <t xml:space="preserve">ORD-10235</t>
  </si>
  <si>
    <t xml:space="preserve">ORD-10236</t>
  </si>
  <si>
    <t xml:space="preserve">ORD-10237</t>
  </si>
  <si>
    <t xml:space="preserve">ORD-10238</t>
  </si>
  <si>
    <t xml:space="preserve">ORD-10239</t>
  </si>
  <si>
    <t xml:space="preserve">2025-02-26</t>
  </si>
  <si>
    <t xml:space="preserve">ORD-10240</t>
  </si>
  <si>
    <t xml:space="preserve">ORD-10241</t>
  </si>
  <si>
    <t xml:space="preserve">ORD-10242</t>
  </si>
  <si>
    <t xml:space="preserve">ORD-10243</t>
  </si>
  <si>
    <t xml:space="preserve">ORD-10244</t>
  </si>
  <si>
    <t xml:space="preserve">HOT CHOCOLATE</t>
  </si>
  <si>
    <t xml:space="preserve">ORD-10245</t>
  </si>
  <si>
    <t xml:space="preserve">Hot Coffee </t>
  </si>
  <si>
    <t xml:space="preserve">ORD-10246</t>
  </si>
  <si>
    <t xml:space="preserve">ORD-10247</t>
  </si>
  <si>
    <t xml:space="preserve">ORD-10248</t>
  </si>
  <si>
    <t xml:space="preserve">ORD-10249</t>
  </si>
  <si>
    <t xml:space="preserve">ORD-10250</t>
  </si>
  <si>
    <t xml:space="preserve">AMERICANO</t>
  </si>
  <si>
    <t xml:space="preserve">ORD-10251</t>
  </si>
  <si>
    <t xml:space="preserve">MEALS</t>
  </si>
  <si>
    <t xml:space="preserve">ORD-10252</t>
  </si>
  <si>
    <t xml:space="preserve">ORD-10253</t>
  </si>
  <si>
    <t xml:space="preserve">ORD-10254</t>
  </si>
  <si>
    <t xml:space="preserve">ORD-10255</t>
  </si>
  <si>
    <t xml:space="preserve">ORD-10256</t>
  </si>
  <si>
    <t xml:space="preserve">ORD-10257</t>
  </si>
  <si>
    <t xml:space="preserve">ORD-10258</t>
  </si>
  <si>
    <t xml:space="preserve">2025-03-02</t>
  </si>
  <si>
    <t xml:space="preserve">ORD-10259</t>
  </si>
  <si>
    <t xml:space="preserve">ORD-10260</t>
  </si>
  <si>
    <t xml:space="preserve">ORD-10261</t>
  </si>
  <si>
    <t xml:space="preserve">ORD-10262</t>
  </si>
  <si>
    <t xml:space="preserve">Ortigas </t>
  </si>
  <si>
    <t xml:space="preserve">ORD-10263</t>
  </si>
  <si>
    <t xml:space="preserve">ORD-10264</t>
  </si>
  <si>
    <t xml:space="preserve">03/02/2025</t>
  </si>
  <si>
    <t xml:space="preserve">ORD-10265</t>
  </si>
  <si>
    <t xml:space="preserve">ORD-10266</t>
  </si>
  <si>
    <t xml:space="preserve"> Iced Coffee</t>
  </si>
  <si>
    <t xml:space="preserve">ORD-10267</t>
  </si>
  <si>
    <t xml:space="preserve">ORD-10268</t>
  </si>
  <si>
    <t xml:space="preserve">ORD-10269</t>
  </si>
  <si>
    <t xml:space="preserve">ORD-10270</t>
  </si>
  <si>
    <t xml:space="preserve">ORD-10271</t>
  </si>
  <si>
    <t xml:space="preserve">ORD-10272</t>
  </si>
  <si>
    <t xml:space="preserve">2025-03-04</t>
  </si>
  <si>
    <t xml:space="preserve">ORD-10273</t>
  </si>
  <si>
    <t xml:space="preserve">MATCHA LATTE</t>
  </si>
  <si>
    <t xml:space="preserve">ORD-10274</t>
  </si>
  <si>
    <t xml:space="preserve">ORD-10275</t>
  </si>
  <si>
    <t xml:space="preserve">ORD-10276</t>
  </si>
  <si>
    <t xml:space="preserve">2025-03-05</t>
  </si>
  <si>
    <t xml:space="preserve">ORD-10277</t>
  </si>
  <si>
    <t xml:space="preserve">ORD-10278</t>
  </si>
  <si>
    <t xml:space="preserve">ORD-10279</t>
  </si>
  <si>
    <t xml:space="preserve">120.00</t>
  </si>
  <si>
    <t xml:space="preserve">ORD-10280</t>
  </si>
  <si>
    <t xml:space="preserve">ORD-10281</t>
  </si>
  <si>
    <t xml:space="preserve">ORD-10282</t>
  </si>
  <si>
    <t xml:space="preserve">ORD-10283</t>
  </si>
  <si>
    <t xml:space="preserve">ORD-10284</t>
  </si>
  <si>
    <t xml:space="preserve">cold brew</t>
  </si>
  <si>
    <t xml:space="preserve">ORD-10285</t>
  </si>
  <si>
    <t xml:space="preserve">ORD-10286</t>
  </si>
  <si>
    <t xml:space="preserve">ORD-10287</t>
  </si>
  <si>
    <t xml:space="preserve">ORD-10288</t>
  </si>
  <si>
    <t xml:space="preserve">ORD-10289</t>
  </si>
  <si>
    <t xml:space="preserve">ORD-10290</t>
  </si>
  <si>
    <t xml:space="preserve">ORD-10291</t>
  </si>
  <si>
    <t xml:space="preserve">ORD-10292</t>
  </si>
  <si>
    <t xml:space="preserve">iced coffee</t>
  </si>
  <si>
    <t xml:space="preserve">ORD-10293</t>
  </si>
  <si>
    <t xml:space="preserve">ORD-10294</t>
  </si>
  <si>
    <t xml:space="preserve">ORD-10295</t>
  </si>
  <si>
    <t xml:space="preserve">ORD-10296</t>
  </si>
  <si>
    <t xml:space="preserve">ORD-10297</t>
  </si>
  <si>
    <t xml:space="preserve">ORD-10298</t>
  </si>
  <si>
    <t xml:space="preserve">ORD-10299</t>
  </si>
  <si>
    <t xml:space="preserve">ORD-10300</t>
  </si>
  <si>
    <t xml:space="preserve">ORD-10301</t>
  </si>
  <si>
    <t xml:space="preserve">ORD-10302</t>
  </si>
  <si>
    <t xml:space="preserve">ORD-10303</t>
  </si>
  <si>
    <t xml:space="preserve">ORD-10304</t>
  </si>
  <si>
    <t xml:space="preserve">ORD-10305</t>
  </si>
  <si>
    <t xml:space="preserve">ORD-10306</t>
  </si>
  <si>
    <t xml:space="preserve">03/11/2025</t>
  </si>
  <si>
    <t xml:space="preserve">ORD-10307</t>
  </si>
  <si>
    <t xml:space="preserve">ORD-10308</t>
  </si>
  <si>
    <t xml:space="preserve">ORD-10309</t>
  </si>
  <si>
    <t xml:space="preserve">ORD-10310</t>
  </si>
  <si>
    <t xml:space="preserve">03/12/2025</t>
  </si>
  <si>
    <t xml:space="preserve">ORD-10311</t>
  </si>
  <si>
    <t xml:space="preserve">ORD-10312</t>
  </si>
  <si>
    <t xml:space="preserve">ORD-10313</t>
  </si>
  <si>
    <t xml:space="preserve">ICED LATTE</t>
  </si>
  <si>
    <t xml:space="preserve">ORD-10314</t>
  </si>
  <si>
    <t xml:space="preserve">ORD-10315</t>
  </si>
  <si>
    <t xml:space="preserve">ORD-10316</t>
  </si>
  <si>
    <t xml:space="preserve">ORD-10317</t>
  </si>
  <si>
    <t xml:space="preserve">debit card</t>
  </si>
  <si>
    <t xml:space="preserve">ORD-10318</t>
  </si>
  <si>
    <t xml:space="preserve">ORD-10319</t>
  </si>
  <si>
    <t xml:space="preserve">ORD-10320</t>
  </si>
  <si>
    <t xml:space="preserve">ORD-10321</t>
  </si>
  <si>
    <t xml:space="preserve">ORD-10322</t>
  </si>
  <si>
    <t xml:space="preserve">ORD-10323</t>
  </si>
  <si>
    <t xml:space="preserve">ORD-10324</t>
  </si>
  <si>
    <t xml:space="preserve">2025-03-15</t>
  </si>
  <si>
    <t xml:space="preserve">ORD-10325</t>
  </si>
  <si>
    <t xml:space="preserve">ORD-10326</t>
  </si>
  <si>
    <t xml:space="preserve">ORD-10327</t>
  </si>
  <si>
    <t xml:space="preserve">ORD-10328</t>
  </si>
  <si>
    <t xml:space="preserve">PASTRY</t>
  </si>
  <si>
    <t xml:space="preserve">ORD-10329</t>
  </si>
  <si>
    <t xml:space="preserve">ORD-10330</t>
  </si>
  <si>
    <t xml:space="preserve">ORD-10331</t>
  </si>
  <si>
    <t xml:space="preserve">ORD-10332</t>
  </si>
  <si>
    <t xml:space="preserve">ORD-10333</t>
  </si>
  <si>
    <t xml:space="preserve">ORD-10334</t>
  </si>
  <si>
    <t xml:space="preserve">blueberry muffin</t>
  </si>
  <si>
    <t xml:space="preserve">ORD-10335</t>
  </si>
  <si>
    <t xml:space="preserve">ORD-10336</t>
  </si>
  <si>
    <t xml:space="preserve">2025-03-17</t>
  </si>
  <si>
    <t xml:space="preserve">ORD-10337</t>
  </si>
  <si>
    <t xml:space="preserve">ORD-10338</t>
  </si>
  <si>
    <t xml:space="preserve">MILK TEA</t>
  </si>
  <si>
    <t xml:space="preserve">ORD-10339</t>
  </si>
  <si>
    <t xml:space="preserve">ORD-10340</t>
  </si>
  <si>
    <t xml:space="preserve">ORD-10341</t>
  </si>
  <si>
    <t xml:space="preserve">ORD-10342</t>
  </si>
  <si>
    <t xml:space="preserve">03/19/2025</t>
  </si>
  <si>
    <t xml:space="preserve">ORD-10343</t>
  </si>
  <si>
    <t xml:space="preserve">ORD-10344</t>
  </si>
  <si>
    <t xml:space="preserve">ORD-10345</t>
  </si>
  <si>
    <t xml:space="preserve">ORD-10346</t>
  </si>
  <si>
    <t xml:space="preserve">ORD-10347</t>
  </si>
  <si>
    <t xml:space="preserve">ORD-10348</t>
  </si>
  <si>
    <t xml:space="preserve">ORD-10349</t>
  </si>
  <si>
    <t xml:space="preserve">ORD-10350</t>
  </si>
  <si>
    <t xml:space="preserve">ORD-10351</t>
  </si>
  <si>
    <t xml:space="preserve">ORD-10352</t>
  </si>
  <si>
    <t xml:space="preserve">ORD-10353</t>
  </si>
  <si>
    <t xml:space="preserve">ORD-10354</t>
  </si>
  <si>
    <t xml:space="preserve">ORD-10355</t>
  </si>
  <si>
    <t xml:space="preserve">2025-03-21</t>
  </si>
  <si>
    <t xml:space="preserve">ORD-10356</t>
  </si>
  <si>
    <t xml:space="preserve">ORD-10357</t>
  </si>
  <si>
    <t xml:space="preserve">Cappuccino </t>
  </si>
  <si>
    <t xml:space="preserve">ORD-10358</t>
  </si>
  <si>
    <t xml:space="preserve">2025-03-22</t>
  </si>
  <si>
    <t xml:space="preserve">ORD-10359</t>
  </si>
  <si>
    <t xml:space="preserve">ORD-10360</t>
  </si>
  <si>
    <t xml:space="preserve">ORD-10361</t>
  </si>
  <si>
    <t xml:space="preserve">ORD-10362</t>
  </si>
  <si>
    <t xml:space="preserve">ORD-10363</t>
  </si>
  <si>
    <t xml:space="preserve">2025-03-24</t>
  </si>
  <si>
    <t xml:space="preserve">ORD-10364</t>
  </si>
  <si>
    <t xml:space="preserve">ORD-10365</t>
  </si>
  <si>
    <t xml:space="preserve">ORD-10366</t>
  </si>
  <si>
    <t xml:space="preserve">ORD-10367</t>
  </si>
  <si>
    <t xml:space="preserve">ORD-10368</t>
  </si>
  <si>
    <t xml:space="preserve">03/25/2025</t>
  </si>
  <si>
    <t xml:space="preserve">ORD-10369</t>
  </si>
  <si>
    <t xml:space="preserve">2025-03-25</t>
  </si>
  <si>
    <t xml:space="preserve">ORD-10370</t>
  </si>
  <si>
    <t xml:space="preserve">ORD-10371</t>
  </si>
  <si>
    <t xml:space="preserve">ORD-10372</t>
  </si>
  <si>
    <t xml:space="preserve">ORD-10373</t>
  </si>
  <si>
    <t xml:space="preserve">ORD-10374</t>
  </si>
  <si>
    <t xml:space="preserve">ORD-10375</t>
  </si>
  <si>
    <t xml:space="preserve">ORD-10376</t>
  </si>
  <si>
    <t xml:space="preserve">ORD-10377</t>
  </si>
  <si>
    <t xml:space="preserve">ORD-10378</t>
  </si>
  <si>
    <t xml:space="preserve">ORD-10379</t>
  </si>
  <si>
    <t xml:space="preserve">ORD-10380</t>
  </si>
  <si>
    <t xml:space="preserve">ORD-10381</t>
  </si>
  <si>
    <t xml:space="preserve">ORD-10382</t>
  </si>
  <si>
    <t xml:space="preserve">ORD-10383</t>
  </si>
  <si>
    <t xml:space="preserve">ORD-10384</t>
  </si>
  <si>
    <t xml:space="preserve">ORD-10385</t>
  </si>
  <si>
    <t xml:space="preserve">ORD-10386</t>
  </si>
  <si>
    <t xml:space="preserve">ICED AMERICANO</t>
  </si>
  <si>
    <t xml:space="preserve">ORD-10387</t>
  </si>
  <si>
    <t xml:space="preserve">ORD-10388</t>
  </si>
  <si>
    <t xml:space="preserve">ORD-10389</t>
  </si>
  <si>
    <t xml:space="preserve">ORD-10390</t>
  </si>
  <si>
    <t xml:space="preserve">ORD-10391</t>
  </si>
  <si>
    <t xml:space="preserve">Croissant </t>
  </si>
  <si>
    <t xml:space="preserve">ORD-10392</t>
  </si>
  <si>
    <t xml:space="preserve">ORD-10393</t>
  </si>
  <si>
    <t xml:space="preserve">ORD-10394</t>
  </si>
  <si>
    <t xml:space="preserve">ORD-10395</t>
  </si>
  <si>
    <t xml:space="preserve">ORD-10396</t>
  </si>
  <si>
    <t xml:space="preserve">2025-03-29</t>
  </si>
  <si>
    <t xml:space="preserve">ORD-10397</t>
  </si>
  <si>
    <t xml:space="preserve">ORD-10398</t>
  </si>
  <si>
    <t xml:space="preserve">ORD-10399</t>
  </si>
  <si>
    <t xml:space="preserve">ORD-10400</t>
  </si>
  <si>
    <t xml:space="preserve">ORD-10401</t>
  </si>
  <si>
    <t xml:space="preserve">ORD-10402</t>
  </si>
  <si>
    <t xml:space="preserve">ORD-10403</t>
  </si>
  <si>
    <t xml:space="preserve">2025-04-01</t>
  </si>
  <si>
    <t xml:space="preserve">ORD-10404</t>
  </si>
  <si>
    <t xml:space="preserve">ORD-10405</t>
  </si>
  <si>
    <t xml:space="preserve">ORD-10406</t>
  </si>
  <si>
    <t xml:space="preserve">ORD-10407</t>
  </si>
  <si>
    <t xml:space="preserve">ORD-10408</t>
  </si>
  <si>
    <t xml:space="preserve">ORD-10409</t>
  </si>
  <si>
    <t xml:space="preserve">ORD-10410</t>
  </si>
  <si>
    <t xml:space="preserve">ORD-10411</t>
  </si>
  <si>
    <t xml:space="preserve">ORD-10412</t>
  </si>
  <si>
    <t xml:space="preserve">ORD-10413</t>
  </si>
  <si>
    <t xml:space="preserve">ORD-10414</t>
  </si>
  <si>
    <t xml:space="preserve">ORD-10415</t>
  </si>
  <si>
    <t xml:space="preserve">ORD-10416</t>
  </si>
  <si>
    <t xml:space="preserve">ORD-10417</t>
  </si>
  <si>
    <t xml:space="preserve">ORD-10418</t>
  </si>
  <si>
    <t xml:space="preserve">ORD-10419</t>
  </si>
  <si>
    <t xml:space="preserve">ORD-10420</t>
  </si>
  <si>
    <t xml:space="preserve">ORD-10421</t>
  </si>
  <si>
    <t xml:space="preserve">ORD-10422</t>
  </si>
  <si>
    <t xml:space="preserve">04/05/2025</t>
  </si>
  <si>
    <t xml:space="preserve">ORD-10423</t>
  </si>
  <si>
    <t xml:space="preserve">ORD-10424</t>
  </si>
  <si>
    <t xml:space="preserve">ORD-10425</t>
  </si>
  <si>
    <t xml:space="preserve">Tuna Melt </t>
  </si>
  <si>
    <t xml:space="preserve">ORD-10426</t>
  </si>
  <si>
    <t xml:space="preserve">ORD-10427</t>
  </si>
  <si>
    <t xml:space="preserve">ORD-10428</t>
  </si>
  <si>
    <t xml:space="preserve">ORD-10429</t>
  </si>
  <si>
    <t xml:space="preserve">ORD-10430</t>
  </si>
  <si>
    <t xml:space="preserve">ORD-10431</t>
  </si>
  <si>
    <t xml:space="preserve">ORD-10432</t>
  </si>
  <si>
    <t xml:space="preserve">ORD-10433</t>
  </si>
  <si>
    <t xml:space="preserve">ORD-10434</t>
  </si>
  <si>
    <t xml:space="preserve">ORD-10435</t>
  </si>
  <si>
    <t xml:space="preserve">ORD-10436</t>
  </si>
  <si>
    <t xml:space="preserve">ORD-10437</t>
  </si>
  <si>
    <t xml:space="preserve">ORD-10438</t>
  </si>
  <si>
    <t xml:space="preserve">04/07/2025</t>
  </si>
  <si>
    <t xml:space="preserve">ORD-10439</t>
  </si>
  <si>
    <t xml:space="preserve">ORD-10440</t>
  </si>
  <si>
    <t xml:space="preserve">ORD-10441</t>
  </si>
  <si>
    <t xml:space="preserve">ORD-10442</t>
  </si>
  <si>
    <t xml:space="preserve">Iced Coffee </t>
  </si>
  <si>
    <t xml:space="preserve">ORD-10443</t>
  </si>
  <si>
    <t xml:space="preserve">ORD-10444</t>
  </si>
  <si>
    <t xml:space="preserve">2025-04-08</t>
  </si>
  <si>
    <t xml:space="preserve">ORD-10445</t>
  </si>
  <si>
    <t xml:space="preserve">ORD-10446</t>
  </si>
  <si>
    <t xml:space="preserve">ORD-10447</t>
  </si>
  <si>
    <t xml:space="preserve">2025-04-10</t>
  </si>
  <si>
    <t xml:space="preserve">ORD-10448</t>
  </si>
  <si>
    <t xml:space="preserve">04/10/2025</t>
  </si>
  <si>
    <t xml:space="preserve">ORD-10449</t>
  </si>
  <si>
    <t xml:space="preserve">ORD-10450</t>
  </si>
  <si>
    <t xml:space="preserve">ORD-10451</t>
  </si>
  <si>
    <t xml:space="preserve">ORD-10452</t>
  </si>
  <si>
    <t xml:space="preserve">COLD BREW</t>
  </si>
  <si>
    <t xml:space="preserve">ORD-10453</t>
  </si>
  <si>
    <t xml:space="preserve">ORD-10454</t>
  </si>
  <si>
    <t xml:space="preserve">ORD-10455</t>
  </si>
  <si>
    <t xml:space="preserve">ORD-10456</t>
  </si>
  <si>
    <t xml:space="preserve">ORD-10457</t>
  </si>
  <si>
    <t xml:space="preserve">ORD-10458</t>
  </si>
  <si>
    <t xml:space="preserve">ORD-10459</t>
  </si>
  <si>
    <t xml:space="preserve">ORD-10460</t>
  </si>
  <si>
    <t xml:space="preserve">ORD-10461</t>
  </si>
  <si>
    <t xml:space="preserve">ORD-10462</t>
  </si>
  <si>
    <t xml:space="preserve">ORD-10463</t>
  </si>
  <si>
    <t xml:space="preserve">ORD-10464</t>
  </si>
  <si>
    <t xml:space="preserve">ORD-10465</t>
  </si>
  <si>
    <t xml:space="preserve">ORD-10466</t>
  </si>
  <si>
    <t xml:space="preserve">CC</t>
  </si>
  <si>
    <t xml:space="preserve">ORD-10467</t>
  </si>
  <si>
    <t xml:space="preserve">ORD-10468</t>
  </si>
  <si>
    <t xml:space="preserve">ORD-10469</t>
  </si>
  <si>
    <t xml:space="preserve">ORD-10470</t>
  </si>
  <si>
    <t xml:space="preserve">ORD-10471</t>
  </si>
  <si>
    <t xml:space="preserve">ORD-10472</t>
  </si>
  <si>
    <t xml:space="preserve">ORD-10473</t>
  </si>
  <si>
    <t xml:space="preserve">ORD-10474</t>
  </si>
  <si>
    <t xml:space="preserve">ORD-10475</t>
  </si>
  <si>
    <t xml:space="preserve">ORD-10476</t>
  </si>
  <si>
    <t xml:space="preserve">ORD-10477</t>
  </si>
  <si>
    <t xml:space="preserve">ORD-10478</t>
  </si>
  <si>
    <t xml:space="preserve">ORD-10479</t>
  </si>
  <si>
    <t xml:space="preserve">2025-04-16</t>
  </si>
  <si>
    <t xml:space="preserve">ORD-10480</t>
  </si>
  <si>
    <t xml:space="preserve">ORD-10481</t>
  </si>
  <si>
    <t xml:space="preserve">ORD-10482</t>
  </si>
  <si>
    <t xml:space="preserve">ORD-10483</t>
  </si>
  <si>
    <t xml:space="preserve">ORD-10484</t>
  </si>
  <si>
    <t xml:space="preserve">ORD-10485</t>
  </si>
  <si>
    <t xml:space="preserve">ORD-10486</t>
  </si>
  <si>
    <t xml:space="preserve">ORD-10487</t>
  </si>
  <si>
    <t xml:space="preserve">ORD-10488</t>
  </si>
  <si>
    <t xml:space="preserve">ORD-10489</t>
  </si>
  <si>
    <t xml:space="preserve">ORD-10490</t>
  </si>
  <si>
    <t xml:space="preserve">ORD-10491</t>
  </si>
  <si>
    <t xml:space="preserve">ORD-10492</t>
  </si>
  <si>
    <t xml:space="preserve">ORD-10493</t>
  </si>
  <si>
    <t xml:space="preserve">ORD-10494</t>
  </si>
  <si>
    <t xml:space="preserve">ORD-10495</t>
  </si>
  <si>
    <t xml:space="preserve">ORD-10496</t>
  </si>
  <si>
    <t xml:space="preserve">ORD-10497</t>
  </si>
  <si>
    <t xml:space="preserve">ORD-10498</t>
  </si>
  <si>
    <t xml:space="preserve">ORD-10499</t>
  </si>
  <si>
    <t xml:space="preserve">ORD-10500</t>
  </si>
  <si>
    <t xml:space="preserve">2025-04-21</t>
  </si>
  <si>
    <t xml:space="preserve">ORD-10501</t>
  </si>
  <si>
    <t xml:space="preserve">ORD-10502</t>
  </si>
  <si>
    <t xml:space="preserve">ORD-10503</t>
  </si>
  <si>
    <t xml:space="preserve">Spanish Latte </t>
  </si>
  <si>
    <t xml:space="preserve">ORD-10504</t>
  </si>
  <si>
    <t xml:space="preserve">ORD-10505</t>
  </si>
  <si>
    <t xml:space="preserve">ORD-10506</t>
  </si>
  <si>
    <t xml:space="preserve">ORD-10507</t>
  </si>
  <si>
    <t xml:space="preserve">ORD-10508</t>
  </si>
  <si>
    <t xml:space="preserve">2025-04-22</t>
  </si>
  <si>
    <t xml:space="preserve">ORD-10509</t>
  </si>
  <si>
    <t xml:space="preserve">ORD-10510</t>
  </si>
  <si>
    <t xml:space="preserve">Cold Brew </t>
  </si>
  <si>
    <t xml:space="preserve">160.00</t>
  </si>
  <si>
    <t xml:space="preserve">ORD-10511</t>
  </si>
  <si>
    <t xml:space="preserve">ORD-10512</t>
  </si>
  <si>
    <t xml:space="preserve">2025-04-23</t>
  </si>
  <si>
    <t xml:space="preserve">ORD-10513</t>
  </si>
  <si>
    <t xml:space="preserve">170.00</t>
  </si>
  <si>
    <t xml:space="preserve">ORD-10514</t>
  </si>
  <si>
    <t xml:space="preserve">ORD-10515</t>
  </si>
  <si>
    <t xml:space="preserve">ORD-10516</t>
  </si>
  <si>
    <t xml:space="preserve">ORD-10517</t>
  </si>
  <si>
    <t xml:space="preserve">ORD-10518</t>
  </si>
  <si>
    <t xml:space="preserve">ORD-10519</t>
  </si>
  <si>
    <t xml:space="preserve">ORD-10520</t>
  </si>
  <si>
    <t xml:space="preserve">ORD-10521</t>
  </si>
  <si>
    <t xml:space="preserve">ORD-10522</t>
  </si>
  <si>
    <t xml:space="preserve">04/24/2025</t>
  </si>
  <si>
    <t xml:space="preserve">ORD-10523</t>
  </si>
  <si>
    <t xml:space="preserve">ORD-10524</t>
  </si>
  <si>
    <t xml:space="preserve">2025-04-24</t>
  </si>
  <si>
    <t xml:space="preserve">ORD-10525</t>
  </si>
  <si>
    <t xml:space="preserve">ORD-10526</t>
  </si>
  <si>
    <t xml:space="preserve">ORD-10527</t>
  </si>
  <si>
    <t xml:space="preserve">ORD-10528</t>
  </si>
  <si>
    <t xml:space="preserve">04/25/2025</t>
  </si>
  <si>
    <t xml:space="preserve">ORD-10529</t>
  </si>
  <si>
    <t xml:space="preserve">ORD-10530</t>
  </si>
  <si>
    <t xml:space="preserve">ORD-10531</t>
  </si>
  <si>
    <t xml:space="preserve">ORD-10532</t>
  </si>
  <si>
    <t xml:space="preserve">BLUEBERRY MUFFIN</t>
  </si>
  <si>
    <t xml:space="preserve">ORD-10533</t>
  </si>
  <si>
    <t xml:space="preserve">2025-04-26</t>
  </si>
  <si>
    <t xml:space="preserve">ORD-10534</t>
  </si>
  <si>
    <t xml:space="preserve">ORD-10535</t>
  </si>
  <si>
    <t xml:space="preserve">ORD-10536</t>
  </si>
  <si>
    <t xml:space="preserve">ORD-10537</t>
  </si>
  <si>
    <t xml:space="preserve">ORD-10538</t>
  </si>
  <si>
    <t xml:space="preserve">ORD-10539</t>
  </si>
  <si>
    <t xml:space="preserve">ORD-10540</t>
  </si>
  <si>
    <t xml:space="preserve">2025-04-27</t>
  </si>
  <si>
    <t xml:space="preserve">PASTA</t>
  </si>
  <si>
    <t xml:space="preserve">ORD-10541</t>
  </si>
  <si>
    <t xml:space="preserve">ORD-10542</t>
  </si>
  <si>
    <t xml:space="preserve">ORD-10543</t>
  </si>
  <si>
    <t xml:space="preserve">ORD-10544</t>
  </si>
  <si>
    <t xml:space="preserve">ORD-10545</t>
  </si>
  <si>
    <t xml:space="preserve">ORD-10546</t>
  </si>
  <si>
    <t xml:space="preserve">04/29/2025</t>
  </si>
  <si>
    <t xml:space="preserve">130.00</t>
  </si>
  <si>
    <t xml:space="preserve">ORD-10547</t>
  </si>
  <si>
    <t xml:space="preserve">ORD-10548</t>
  </si>
  <si>
    <t xml:space="preserve">ORD-10549</t>
  </si>
  <si>
    <t xml:space="preserve">2025-04-29</t>
  </si>
  <si>
    <t xml:space="preserve">ORD-10550</t>
  </si>
  <si>
    <t xml:space="preserve">ORD-10551</t>
  </si>
  <si>
    <t xml:space="preserve">ORD-10552</t>
  </si>
  <si>
    <t xml:space="preserve">ORD-10553</t>
  </si>
  <si>
    <t xml:space="preserve">ORD-10554</t>
  </si>
  <si>
    <t xml:space="preserve">ORD-10555</t>
  </si>
  <si>
    <t xml:space="preserve">ORD-10556</t>
  </si>
  <si>
    <t xml:space="preserve">04/30/2025</t>
  </si>
  <si>
    <t xml:space="preserve">ORD-10557</t>
  </si>
  <si>
    <t xml:space="preserve">ORD-10558</t>
  </si>
  <si>
    <t xml:space="preserve">ORD-10559</t>
  </si>
  <si>
    <t xml:space="preserve">ORD-10560</t>
  </si>
  <si>
    <t xml:space="preserve">2025-05-01</t>
  </si>
  <si>
    <t xml:space="preserve">ORD-10561</t>
  </si>
  <si>
    <t xml:space="preserve">ORD-10562</t>
  </si>
  <si>
    <t xml:space="preserve">ORD-10563</t>
  </si>
  <si>
    <t xml:space="preserve">ORD-10564</t>
  </si>
  <si>
    <t xml:space="preserve">ORD-10565</t>
  </si>
  <si>
    <t xml:space="preserve">ORD-10566</t>
  </si>
  <si>
    <t xml:space="preserve">ORD-10567</t>
  </si>
  <si>
    <t xml:space="preserve">ORD-10568</t>
  </si>
  <si>
    <t xml:space="preserve">ORD-10569</t>
  </si>
  <si>
    <t xml:space="preserve">ORD-10570</t>
  </si>
  <si>
    <t xml:space="preserve">ORD-10571</t>
  </si>
  <si>
    <t xml:space="preserve">ORD-10572</t>
  </si>
  <si>
    <t xml:space="preserve">ORD-10573</t>
  </si>
  <si>
    <t xml:space="preserve">ORD-10574</t>
  </si>
  <si>
    <t xml:space="preserve">ORD-10575</t>
  </si>
  <si>
    <t xml:space="preserve">ORD-10576</t>
  </si>
  <si>
    <t xml:space="preserve">ORD-10577</t>
  </si>
  <si>
    <t xml:space="preserve">ORD-10578</t>
  </si>
  <si>
    <t xml:space="preserve">ORD-10579</t>
  </si>
  <si>
    <t xml:space="preserve">2025-05-05</t>
  </si>
  <si>
    <t xml:space="preserve">ORD-10580</t>
  </si>
  <si>
    <t xml:space="preserve">ORD-10581</t>
  </si>
  <si>
    <t xml:space="preserve">ORD-10582</t>
  </si>
  <si>
    <t xml:space="preserve">ORD-10583</t>
  </si>
  <si>
    <t xml:space="preserve">ORD-10584</t>
  </si>
  <si>
    <t xml:space="preserve">ORD-10585</t>
  </si>
  <si>
    <t xml:space="preserve">ORD-10586</t>
  </si>
  <si>
    <t xml:space="preserve">05/07/2025</t>
  </si>
  <si>
    <t xml:space="preserve">ORD-10587</t>
  </si>
  <si>
    <t xml:space="preserve">ORD-10588</t>
  </si>
  <si>
    <t xml:space="preserve">ORD-10589</t>
  </si>
  <si>
    <t xml:space="preserve">2025-05-07</t>
  </si>
  <si>
    <t xml:space="preserve">ORD-10590</t>
  </si>
  <si>
    <t xml:space="preserve">ORD-10591</t>
  </si>
  <si>
    <t xml:space="preserve">ORD-10592</t>
  </si>
  <si>
    <t xml:space="preserve">ORD-10593</t>
  </si>
  <si>
    <t xml:space="preserve">ORD-10594</t>
  </si>
  <si>
    <t xml:space="preserve">ORD-10595</t>
  </si>
  <si>
    <t xml:space="preserve">ORD-10596</t>
  </si>
  <si>
    <t xml:space="preserve">ORD-10597</t>
  </si>
  <si>
    <t xml:space="preserve">ORD-10598</t>
  </si>
  <si>
    <t xml:space="preserve">ORD-10599</t>
  </si>
  <si>
    <t xml:space="preserve">ORD-10600</t>
  </si>
  <si>
    <t xml:space="preserve">ORD-10601</t>
  </si>
  <si>
    <t xml:space="preserve">ORD-10602</t>
  </si>
  <si>
    <t xml:space="preserve">2025-05-09</t>
  </si>
  <si>
    <t xml:space="preserve">ORD-10603</t>
  </si>
  <si>
    <t xml:space="preserve">ORD-10604</t>
  </si>
  <si>
    <t xml:space="preserve">ORD-10605</t>
  </si>
  <si>
    <t xml:space="preserve">ORD-10606</t>
  </si>
  <si>
    <t xml:space="preserve">ORD-10607</t>
  </si>
  <si>
    <t xml:space="preserve">ORD-10608</t>
  </si>
  <si>
    <t xml:space="preserve">ORD-10609</t>
  </si>
  <si>
    <t xml:space="preserve">CHEESECAKE SLICE</t>
  </si>
  <si>
    <t xml:space="preserve">ORD-10610</t>
  </si>
  <si>
    <t xml:space="preserve">ORD-10611</t>
  </si>
  <si>
    <t xml:space="preserve">2025-05-11</t>
  </si>
  <si>
    <t xml:space="preserve">ORD-10612</t>
  </si>
  <si>
    <t xml:space="preserve">ORD-10613</t>
  </si>
  <si>
    <t xml:space="preserve">ORD-10614</t>
  </si>
  <si>
    <t xml:space="preserve">ORD-10615</t>
  </si>
  <si>
    <t xml:space="preserve">ORD-10616</t>
  </si>
  <si>
    <t xml:space="preserve">ORD-10617</t>
  </si>
  <si>
    <t xml:space="preserve">Chicken Sandwich </t>
  </si>
  <si>
    <t xml:space="preserve">ORD-10618</t>
  </si>
  <si>
    <t xml:space="preserve">ORD-10619</t>
  </si>
  <si>
    <t xml:space="preserve">2025-05-12</t>
  </si>
  <si>
    <t xml:space="preserve">ORD-10620</t>
  </si>
  <si>
    <t xml:space="preserve">ORD-10621</t>
  </si>
  <si>
    <t xml:space="preserve">ORD-10622</t>
  </si>
  <si>
    <t xml:space="preserve">ORD-10623</t>
  </si>
  <si>
    <t xml:space="preserve">ORD-10624</t>
  </si>
  <si>
    <t xml:space="preserve">ORD-10625</t>
  </si>
  <si>
    <t xml:space="preserve">ORD-10626</t>
  </si>
  <si>
    <t xml:space="preserve">05/13/2025</t>
  </si>
  <si>
    <t xml:space="preserve">ORD-10627</t>
  </si>
  <si>
    <t xml:space="preserve">ORD-10628</t>
  </si>
  <si>
    <t xml:space="preserve">ORD-10629</t>
  </si>
  <si>
    <t xml:space="preserve">ORD-10630</t>
  </si>
  <si>
    <t xml:space="preserve">2025-05-13</t>
  </si>
  <si>
    <t xml:space="preserve">ORD-10631</t>
  </si>
  <si>
    <t xml:space="preserve">ORD-10632</t>
  </si>
  <si>
    <t xml:space="preserve">ORD-10633</t>
  </si>
  <si>
    <t xml:space="preserve">ORD-10634</t>
  </si>
  <si>
    <t xml:space="preserve">ORD-10635</t>
  </si>
  <si>
    <t xml:space="preserve">2025-05-14</t>
  </si>
  <si>
    <t xml:space="preserve">ORD-10636</t>
  </si>
  <si>
    <t xml:space="preserve">ORD-10637</t>
  </si>
  <si>
    <t xml:space="preserve">ORD-10638</t>
  </si>
  <si>
    <t xml:space="preserve">ORD-10639</t>
  </si>
  <si>
    <t xml:space="preserve">ORD-10640</t>
  </si>
  <si>
    <t xml:space="preserve">ORD-10641</t>
  </si>
  <si>
    <t xml:space="preserve">matcha latte</t>
  </si>
  <si>
    <t xml:space="preserve">ORD-10642</t>
  </si>
  <si>
    <t xml:space="preserve">2025-05-15</t>
  </si>
  <si>
    <t xml:space="preserve">ORD-10643</t>
  </si>
  <si>
    <t xml:space="preserve">ORD-10644</t>
  </si>
  <si>
    <t xml:space="preserve">ORD-10645</t>
  </si>
  <si>
    <t xml:space="preserve">ORD-10646</t>
  </si>
  <si>
    <t xml:space="preserve">ORD-10647</t>
  </si>
  <si>
    <t xml:space="preserve">2025-05-17</t>
  </si>
  <si>
    <t xml:space="preserve">ORD-10648</t>
  </si>
  <si>
    <t xml:space="preserve">ORD-10649</t>
  </si>
  <si>
    <t xml:space="preserve">ORD-10650</t>
  </si>
  <si>
    <t xml:space="preserve">ORD-10651</t>
  </si>
  <si>
    <t xml:space="preserve">ORD-10652</t>
  </si>
  <si>
    <t xml:space="preserve">ORD-10653</t>
  </si>
  <si>
    <t xml:space="preserve">ORD-10654</t>
  </si>
  <si>
    <t xml:space="preserve">ORD-10655</t>
  </si>
  <si>
    <t xml:space="preserve">ORD-10656</t>
  </si>
  <si>
    <t xml:space="preserve">ORD-10657</t>
  </si>
  <si>
    <t xml:space="preserve">TUNA MELT</t>
  </si>
  <si>
    <t xml:space="preserve">ORD-10658</t>
  </si>
  <si>
    <t xml:space="preserve">2025-05-20</t>
  </si>
  <si>
    <t xml:space="preserve">ORD-10659</t>
  </si>
  <si>
    <t xml:space="preserve">ORD-10660</t>
  </si>
  <si>
    <t xml:space="preserve">ORD-10661</t>
  </si>
  <si>
    <t xml:space="preserve">ORD-10662</t>
  </si>
  <si>
    <t xml:space="preserve">ORD-10663</t>
  </si>
  <si>
    <t xml:space="preserve">ORD-10664</t>
  </si>
  <si>
    <t xml:space="preserve">ORD-10665</t>
  </si>
  <si>
    <t xml:space="preserve">ORD-10666</t>
  </si>
  <si>
    <t xml:space="preserve">ORD-10667</t>
  </si>
  <si>
    <t xml:space="preserve">ORD-10668</t>
  </si>
  <si>
    <t xml:space="preserve">ORD-10669</t>
  </si>
  <si>
    <t xml:space="preserve">ORD-10670</t>
  </si>
  <si>
    <t xml:space="preserve">ORD-10671</t>
  </si>
  <si>
    <t xml:space="preserve">ORD-10672</t>
  </si>
  <si>
    <t xml:space="preserve">ORD-10673</t>
  </si>
  <si>
    <t xml:space="preserve">ORD-10674</t>
  </si>
  <si>
    <t xml:space="preserve">spanish latte</t>
  </si>
  <si>
    <t xml:space="preserve">ORD-10675</t>
  </si>
  <si>
    <t xml:space="preserve">ORD-10676</t>
  </si>
  <si>
    <t xml:space="preserve">2025-05-23</t>
  </si>
  <si>
    <t xml:space="preserve">ORD-10677</t>
  </si>
  <si>
    <t xml:space="preserve">ORD-10678</t>
  </si>
  <si>
    <t xml:space="preserve">ORD-10679</t>
  </si>
  <si>
    <t xml:space="preserve">05/24/2025</t>
  </si>
  <si>
    <t xml:space="preserve">ORD-10680</t>
  </si>
  <si>
    <t xml:space="preserve">ORD-10681</t>
  </si>
  <si>
    <t xml:space="preserve">ORD-10682</t>
  </si>
  <si>
    <t xml:space="preserve">ORD-10683</t>
  </si>
  <si>
    <t xml:space="preserve">ORD-10684</t>
  </si>
  <si>
    <t xml:space="preserve">G-Cash</t>
  </si>
  <si>
    <t xml:space="preserve">ORD-10685</t>
  </si>
  <si>
    <t xml:space="preserve">ORD-10686</t>
  </si>
  <si>
    <t xml:space="preserve">pastry</t>
  </si>
  <si>
    <t xml:space="preserve">ORD-10687</t>
  </si>
  <si>
    <t xml:space="preserve">2025-05-25</t>
  </si>
  <si>
    <t xml:space="preserve">ORD-10688</t>
  </si>
  <si>
    <t xml:space="preserve">ORD-10689</t>
  </si>
  <si>
    <t xml:space="preserve">ORD-10690</t>
  </si>
  <si>
    <t xml:space="preserve">ORD-10691</t>
  </si>
  <si>
    <t xml:space="preserve">ORD-10692</t>
  </si>
  <si>
    <t xml:space="preserve">2025-05-26</t>
  </si>
  <si>
    <t xml:space="preserve">ORD-10693</t>
  </si>
  <si>
    <t xml:space="preserve">ORD-10694</t>
  </si>
  <si>
    <t xml:space="preserve">05/26/2025</t>
  </si>
  <si>
    <t xml:space="preserve">Makati City</t>
  </si>
  <si>
    <t xml:space="preserve">ORD-10695</t>
  </si>
  <si>
    <t xml:space="preserve">ORD-10696</t>
  </si>
  <si>
    <t xml:space="preserve">ORD-10697</t>
  </si>
  <si>
    <t xml:space="preserve">ORD-10698</t>
  </si>
  <si>
    <t xml:space="preserve">ORD-10699</t>
  </si>
  <si>
    <t xml:space="preserve">ORD-10700</t>
  </si>
  <si>
    <t xml:space="preserve">2025-05-28</t>
  </si>
  <si>
    <t xml:space="preserve">Espresso </t>
  </si>
  <si>
    <t xml:space="preserve">ORD-10701</t>
  </si>
  <si>
    <t xml:space="preserve">ORD-10702</t>
  </si>
  <si>
    <t xml:space="preserve">ORD-10703</t>
  </si>
  <si>
    <t xml:space="preserve">05/28/2025</t>
  </si>
  <si>
    <t xml:space="preserve">ORD-10704</t>
  </si>
  <si>
    <t xml:space="preserve">ORD-10705</t>
  </si>
  <si>
    <t xml:space="preserve">ORD-10706</t>
  </si>
  <si>
    <t xml:space="preserve">ORD-10707</t>
  </si>
  <si>
    <t xml:space="preserve">ORD-10708</t>
  </si>
  <si>
    <t xml:space="preserve">ORD-10709</t>
  </si>
  <si>
    <t xml:space="preserve">05/29/2025</t>
  </si>
  <si>
    <t xml:space="preserve">tuna melt</t>
  </si>
  <si>
    <t xml:space="preserve">ORD-10710</t>
  </si>
  <si>
    <t xml:space="preserve">ORD-10711</t>
  </si>
  <si>
    <t xml:space="preserve">ORD-10712</t>
  </si>
  <si>
    <t xml:space="preserve">ORD-10713</t>
  </si>
  <si>
    <t xml:space="preserve">ORD-10714</t>
  </si>
  <si>
    <t xml:space="preserve">ORD-10715</t>
  </si>
  <si>
    <t xml:space="preserve">ORD-10716</t>
  </si>
  <si>
    <t xml:space="preserve">ORD-10717</t>
  </si>
  <si>
    <t xml:space="preserve">ORD-10718</t>
  </si>
  <si>
    <t xml:space="preserve">ORD-10719</t>
  </si>
  <si>
    <t xml:space="preserve">2025-05-30</t>
  </si>
  <si>
    <t xml:space="preserve">ORD-10720</t>
  </si>
  <si>
    <t xml:space="preserve">ORD-10721</t>
  </si>
  <si>
    <t xml:space="preserve">ORD-10722</t>
  </si>
  <si>
    <t xml:space="preserve">ORD-10723</t>
  </si>
  <si>
    <t xml:space="preserve">ORD-10724</t>
  </si>
  <si>
    <t xml:space="preserve">05/31/2025</t>
  </si>
  <si>
    <t xml:space="preserve">ORD-10725</t>
  </si>
  <si>
    <t xml:space="preserve">ORD-10726</t>
  </si>
  <si>
    <t xml:space="preserve">ORD-10727</t>
  </si>
  <si>
    <t xml:space="preserve">ORD-10728</t>
  </si>
  <si>
    <t xml:space="preserve">ORD-10729</t>
  </si>
  <si>
    <t xml:space="preserve">ORD-10730</t>
  </si>
  <si>
    <t xml:space="preserve">ORD-10731</t>
  </si>
  <si>
    <t xml:space="preserve">ORD-10732</t>
  </si>
  <si>
    <t xml:space="preserve">ORD-10733</t>
  </si>
  <si>
    <t xml:space="preserve">ORD-10734</t>
  </si>
  <si>
    <t xml:space="preserve">ORD-10735</t>
  </si>
  <si>
    <t xml:space="preserve">ORD-10736</t>
  </si>
  <si>
    <t xml:space="preserve">ORD-10737</t>
  </si>
  <si>
    <t xml:space="preserve">ORD-10738</t>
  </si>
  <si>
    <t xml:space="preserve">2025-06-01</t>
  </si>
  <si>
    <t xml:space="preserve">ORD-10739</t>
  </si>
  <si>
    <t xml:space="preserve">ORD-10740</t>
  </si>
  <si>
    <t xml:space="preserve">ORD-10741</t>
  </si>
  <si>
    <t xml:space="preserve">ORD-10742</t>
  </si>
  <si>
    <t xml:space="preserve">ORD-10743</t>
  </si>
  <si>
    <t xml:space="preserve">ORD-10744</t>
  </si>
  <si>
    <t xml:space="preserve">ORD-10745</t>
  </si>
  <si>
    <t xml:space="preserve">ORD-10746</t>
  </si>
  <si>
    <t xml:space="preserve">ORD-10747</t>
  </si>
  <si>
    <t xml:space="preserve">2025-06-03</t>
  </si>
  <si>
    <t xml:space="preserve">ORD-10748</t>
  </si>
  <si>
    <t xml:space="preserve">CAPPUCCINO</t>
  </si>
  <si>
    <t xml:space="preserve">ORD-10749</t>
  </si>
  <si>
    <t xml:space="preserve">ORD-10750</t>
  </si>
  <si>
    <t xml:space="preserve">ORD-10751</t>
  </si>
  <si>
    <t xml:space="preserve">ORD-10752</t>
  </si>
  <si>
    <t xml:space="preserve">ORD-10753</t>
  </si>
  <si>
    <t xml:space="preserve">ORD-10754</t>
  </si>
  <si>
    <t xml:space="preserve">ORD-10755</t>
  </si>
  <si>
    <t xml:space="preserve">ORD-10756</t>
  </si>
  <si>
    <t xml:space="preserve">ORD-10757</t>
  </si>
  <si>
    <t xml:space="preserve">ORD-10758</t>
  </si>
  <si>
    <t xml:space="preserve">06/05/2025</t>
  </si>
  <si>
    <t xml:space="preserve">ORD-10759</t>
  </si>
  <si>
    <t xml:space="preserve">ORD-10760</t>
  </si>
  <si>
    <t xml:space="preserve">ORD-10761</t>
  </si>
  <si>
    <t xml:space="preserve">2025-06-06</t>
  </si>
  <si>
    <t xml:space="preserve">ORD-10762</t>
  </si>
  <si>
    <t xml:space="preserve">ORD-10763</t>
  </si>
  <si>
    <t xml:space="preserve">ORD-10764</t>
  </si>
  <si>
    <t xml:space="preserve">ORD-10765</t>
  </si>
  <si>
    <t xml:space="preserve">ORD-10766</t>
  </si>
  <si>
    <t xml:space="preserve">ORD-10767</t>
  </si>
  <si>
    <t xml:space="preserve">ORD-10768</t>
  </si>
  <si>
    <t xml:space="preserve">ORD-10769</t>
  </si>
  <si>
    <t xml:space="preserve">ORD-10770</t>
  </si>
  <si>
    <t xml:space="preserve">ORD-10771</t>
  </si>
  <si>
    <t xml:space="preserve">ORD-10772</t>
  </si>
  <si>
    <t xml:space="preserve">Americano </t>
  </si>
  <si>
    <t xml:space="preserve">ORD-10773</t>
  </si>
  <si>
    <t xml:space="preserve">ORD-10774</t>
  </si>
  <si>
    <t xml:space="preserve">ORD-10775</t>
  </si>
  <si>
    <t xml:space="preserve">ORD-10776</t>
  </si>
  <si>
    <t xml:space="preserve">ORD-10777</t>
  </si>
  <si>
    <t xml:space="preserve"> Non-Coffee</t>
  </si>
  <si>
    <t xml:space="preserve">ORD-10778</t>
  </si>
  <si>
    <t xml:space="preserve">ORD-10779</t>
  </si>
  <si>
    <t xml:space="preserve">ORD-10780</t>
  </si>
  <si>
    <t xml:space="preserve">ORD-10781</t>
  </si>
  <si>
    <t xml:space="preserve">ORD-10782</t>
  </si>
  <si>
    <t xml:space="preserve">ORD-10783</t>
  </si>
  <si>
    <t xml:space="preserve">ORD-10784</t>
  </si>
  <si>
    <t xml:space="preserve">ORD-10785</t>
  </si>
  <si>
    <t xml:space="preserve">ORD-10786</t>
  </si>
  <si>
    <t xml:space="preserve">ORD-10787</t>
  </si>
  <si>
    <t xml:space="preserve">ORD-10788</t>
  </si>
  <si>
    <t xml:space="preserve">ORD-10789</t>
  </si>
  <si>
    <t xml:space="preserve">ORD-10790</t>
  </si>
  <si>
    <t xml:space="preserve">ORD-10791</t>
  </si>
  <si>
    <t xml:space="preserve">ORD-10792</t>
  </si>
  <si>
    <t xml:space="preserve">ORD-10793</t>
  </si>
  <si>
    <t xml:space="preserve">ORD-10794</t>
  </si>
  <si>
    <t xml:space="preserve">ORD-10795</t>
  </si>
  <si>
    <t xml:space="preserve">ORD-10796</t>
  </si>
  <si>
    <t xml:space="preserve">ORD-10797</t>
  </si>
  <si>
    <t xml:space="preserve">ORD-10798</t>
  </si>
  <si>
    <t xml:space="preserve">ORD-10799</t>
  </si>
  <si>
    <t xml:space="preserve">ORD-10800</t>
  </si>
  <si>
    <t xml:space="preserve">ORD-10801</t>
  </si>
  <si>
    <t xml:space="preserve">2025-06-12</t>
  </si>
  <si>
    <t xml:space="preserve">ORD-10802</t>
  </si>
  <si>
    <t xml:space="preserve">ORD-10803</t>
  </si>
  <si>
    <t xml:space="preserve">ORD-10804</t>
  </si>
  <si>
    <t xml:space="preserve">ORD-10805</t>
  </si>
  <si>
    <t xml:space="preserve">ORD-10806</t>
  </si>
  <si>
    <t xml:space="preserve">ORD-10807</t>
  </si>
  <si>
    <t xml:space="preserve">ORD-10808</t>
  </si>
  <si>
    <t xml:space="preserve">ORD-10809</t>
  </si>
  <si>
    <t xml:space="preserve">ORD-10810</t>
  </si>
  <si>
    <t xml:space="preserve">CROISSANT</t>
  </si>
  <si>
    <t xml:space="preserve">ORD-10811</t>
  </si>
  <si>
    <t xml:space="preserve">ORD-10812</t>
  </si>
  <si>
    <t xml:space="preserve">ORD-10813</t>
  </si>
  <si>
    <t xml:space="preserve">ORD-10814</t>
  </si>
  <si>
    <t xml:space="preserve">2025-06-15</t>
  </si>
  <si>
    <t xml:space="preserve">ORD-10815</t>
  </si>
  <si>
    <t xml:space="preserve">ORD-10816</t>
  </si>
  <si>
    <t xml:space="preserve">ORD-10817</t>
  </si>
  <si>
    <t xml:space="preserve">ORD-10818</t>
  </si>
  <si>
    <t xml:space="preserve">ORD-10819</t>
  </si>
  <si>
    <t xml:space="preserve">2025-06-17</t>
  </si>
  <si>
    <t xml:space="preserve">non-coffee</t>
  </si>
  <si>
    <t xml:space="preserve">ORD-10820</t>
  </si>
  <si>
    <t xml:space="preserve">ORD-10821</t>
  </si>
  <si>
    <t xml:space="preserve">140.00</t>
  </si>
  <si>
    <t xml:space="preserve">ORD-10822</t>
  </si>
  <si>
    <t xml:space="preserve">ORD-10823</t>
  </si>
  <si>
    <t xml:space="preserve">ORD-10824</t>
  </si>
  <si>
    <t xml:space="preserve">ORD-10825</t>
  </si>
  <si>
    <t xml:space="preserve">ORD-10826</t>
  </si>
  <si>
    <t xml:space="preserve">ORD-10827</t>
  </si>
  <si>
    <t xml:space="preserve">ORD-10828</t>
  </si>
  <si>
    <t xml:space="preserve">ORD-10829</t>
  </si>
  <si>
    <t xml:space="preserve">06/19/2025</t>
  </si>
  <si>
    <t xml:space="preserve">ORD-10830</t>
  </si>
  <si>
    <t xml:space="preserve">ORD-10831</t>
  </si>
  <si>
    <t xml:space="preserve">ORD-10832</t>
  </si>
  <si>
    <t xml:space="preserve">ORD-10833</t>
  </si>
  <si>
    <t xml:space="preserve">ORD-10834</t>
  </si>
  <si>
    <t xml:space="preserve">ORD-10835</t>
  </si>
  <si>
    <t xml:space="preserve">ORD-10836</t>
  </si>
  <si>
    <t xml:space="preserve">06/20/2025</t>
  </si>
  <si>
    <t xml:space="preserve">ORD-10837</t>
  </si>
  <si>
    <t xml:space="preserve">ORD-10838</t>
  </si>
  <si>
    <t xml:space="preserve">ORD-10839</t>
  </si>
  <si>
    <t xml:space="preserve">2025-06-20</t>
  </si>
  <si>
    <t xml:space="preserve">ORD-10840</t>
  </si>
  <si>
    <t xml:space="preserve">ORD-10841</t>
  </si>
  <si>
    <t xml:space="preserve">cookie</t>
  </si>
  <si>
    <t xml:space="preserve">ORD-10842</t>
  </si>
  <si>
    <t xml:space="preserve">ORD-10843</t>
  </si>
  <si>
    <t xml:space="preserve">ORD-10844</t>
  </si>
  <si>
    <t xml:space="preserve">ORD-10845</t>
  </si>
  <si>
    <t xml:space="preserve">ORD-10846</t>
  </si>
  <si>
    <t xml:space="preserve">ORD-10847</t>
  </si>
  <si>
    <t xml:space="preserve">ORD-10848</t>
  </si>
  <si>
    <t xml:space="preserve">ORD-10849</t>
  </si>
  <si>
    <t xml:space="preserve">ORD-10850</t>
  </si>
  <si>
    <t xml:space="preserve">ORD-10851</t>
  </si>
  <si>
    <t xml:space="preserve">ORD-10852</t>
  </si>
  <si>
    <t xml:space="preserve">2025-06-23</t>
  </si>
  <si>
    <t xml:space="preserve">ORD-10853</t>
  </si>
  <si>
    <t xml:space="preserve">ORD-10854</t>
  </si>
  <si>
    <t xml:space="preserve">ORD-10855</t>
  </si>
  <si>
    <t xml:space="preserve">ORD-10856</t>
  </si>
  <si>
    <t xml:space="preserve">ORD-10857</t>
  </si>
  <si>
    <t xml:space="preserve">ORD-10858</t>
  </si>
  <si>
    <t xml:space="preserve">ORD-10859</t>
  </si>
  <si>
    <t xml:space="preserve">ORD-10860</t>
  </si>
  <si>
    <t xml:space="preserve">06/25/2025</t>
  </si>
  <si>
    <t xml:space="preserve">ORD-10861</t>
  </si>
  <si>
    <t xml:space="preserve">ORD-10862</t>
  </si>
  <si>
    <t xml:space="preserve">ORD-10863</t>
  </si>
  <si>
    <t xml:space="preserve">2025-06-26</t>
  </si>
  <si>
    <t xml:space="preserve">ORD-10864</t>
  </si>
  <si>
    <t xml:space="preserve">ORD-10865</t>
  </si>
  <si>
    <t xml:space="preserve">ORD-10866</t>
  </si>
  <si>
    <t xml:space="preserve">ORD-10867</t>
  </si>
  <si>
    <t xml:space="preserve">ORD-10868</t>
  </si>
  <si>
    <t xml:space="preserve">ORD-10869</t>
  </si>
  <si>
    <t xml:space="preserve">ORD-10870</t>
  </si>
  <si>
    <t xml:space="preserve">ORD-10871</t>
  </si>
  <si>
    <t xml:space="preserve">2025-06-27</t>
  </si>
  <si>
    <t xml:space="preserve">ORD-10872</t>
  </si>
  <si>
    <t xml:space="preserve">ORD-10873</t>
  </si>
  <si>
    <t xml:space="preserve">ORD-10874</t>
  </si>
  <si>
    <t xml:space="preserve">ORD-10875</t>
  </si>
  <si>
    <t xml:space="preserve">ORD-10876</t>
  </si>
  <si>
    <t xml:space="preserve">ORD-10877</t>
  </si>
  <si>
    <t xml:space="preserve">ORD-10878</t>
  </si>
  <si>
    <t xml:space="preserve">ORD-10879</t>
  </si>
  <si>
    <t xml:space="preserve">ORD-10880</t>
  </si>
  <si>
    <t xml:space="preserve">ORD-10881</t>
  </si>
  <si>
    <t xml:space="preserve">ORD-10882</t>
  </si>
  <si>
    <t xml:space="preserve">ORD-10883</t>
  </si>
  <si>
    <t xml:space="preserve">ORD-10884</t>
  </si>
  <si>
    <t xml:space="preserve">06/30/2025</t>
  </si>
  <si>
    <t xml:space="preserve">ORD-10885</t>
  </si>
  <si>
    <t xml:space="preserve">ORD-10886</t>
  </si>
  <si>
    <t xml:space="preserve">ORD-10887</t>
  </si>
  <si>
    <t xml:space="preserve">ORD-10888</t>
  </si>
  <si>
    <t xml:space="preserve">ORD-10889</t>
  </si>
  <si>
    <t xml:space="preserve">ORD-10890</t>
  </si>
  <si>
    <t xml:space="preserve">ORD-10891</t>
  </si>
  <si>
    <t xml:space="preserve">LATTE</t>
  </si>
  <si>
    <t xml:space="preserve">ORD-10892</t>
  </si>
  <si>
    <t xml:space="preserve">ORD-10893</t>
  </si>
  <si>
    <t xml:space="preserve">ORD-10894</t>
  </si>
  <si>
    <t xml:space="preserve">ORD-10895</t>
  </si>
  <si>
    <t xml:space="preserve">ORD-10896</t>
  </si>
  <si>
    <t xml:space="preserve">ORD-10897</t>
  </si>
  <si>
    <t xml:space="preserve">ORD-10898</t>
  </si>
  <si>
    <t xml:space="preserve">07/03/2025</t>
  </si>
  <si>
    <t xml:space="preserve">ORD-10899</t>
  </si>
  <si>
    <t xml:space="preserve">ORD-10900</t>
  </si>
  <si>
    <t xml:space="preserve">ORD-10901</t>
  </si>
  <si>
    <t xml:space="preserve">ORD-10902</t>
  </si>
  <si>
    <t xml:space="preserve">ORD-10903</t>
  </si>
  <si>
    <t xml:space="preserve">2025-07-04</t>
  </si>
  <si>
    <t xml:space="preserve">ORD-10904</t>
  </si>
  <si>
    <t xml:space="preserve">ORD-10905</t>
  </si>
  <si>
    <t xml:space="preserve">ORD-10906</t>
  </si>
  <si>
    <t xml:space="preserve">ORD-10907</t>
  </si>
  <si>
    <t xml:space="preserve">ORD-10908</t>
  </si>
  <si>
    <t xml:space="preserve">ORD-10909</t>
  </si>
  <si>
    <t xml:space="preserve">ORD-10910</t>
  </si>
  <si>
    <t xml:space="preserve">ORD-10911</t>
  </si>
  <si>
    <t xml:space="preserve">ORD-10912</t>
  </si>
  <si>
    <t xml:space="preserve">ORD-10913</t>
  </si>
  <si>
    <t xml:space="preserve">ORD-10914</t>
  </si>
  <si>
    <t xml:space="preserve">ORD-10915</t>
  </si>
  <si>
    <t xml:space="preserve">ORD-10916</t>
  </si>
  <si>
    <t xml:space="preserve">ORD-10917</t>
  </si>
  <si>
    <t xml:space="preserve">ORD-10918</t>
  </si>
  <si>
    <t xml:space="preserve">07/08/2025</t>
  </si>
  <si>
    <t xml:space="preserve">Cookie </t>
  </si>
  <si>
    <t xml:space="preserve">ORD-10919</t>
  </si>
  <si>
    <t xml:space="preserve">ORD-10920</t>
  </si>
  <si>
    <t xml:space="preserve">ORD-10921</t>
  </si>
  <si>
    <t xml:space="preserve">ORD-10922</t>
  </si>
  <si>
    <t xml:space="preserve">ORD-10923</t>
  </si>
  <si>
    <t xml:space="preserve">ORD-10924</t>
  </si>
  <si>
    <t xml:space="preserve">ORD-10925</t>
  </si>
  <si>
    <t xml:space="preserve">ORD-10926</t>
  </si>
  <si>
    <t xml:space="preserve">ORD-10927</t>
  </si>
  <si>
    <t xml:space="preserve">ORD-10928</t>
  </si>
  <si>
    <t xml:space="preserve">ORD-10929</t>
  </si>
  <si>
    <t xml:space="preserve">ORD-10930</t>
  </si>
  <si>
    <t xml:space="preserve">ORD-10931</t>
  </si>
  <si>
    <t xml:space="preserve">2025-07-12</t>
  </si>
  <si>
    <t xml:space="preserve">ORD-10932</t>
  </si>
  <si>
    <t xml:space="preserve">ORD-10933</t>
  </si>
  <si>
    <t xml:space="preserve">ORD-10934</t>
  </si>
  <si>
    <t xml:space="preserve">ORD-10935</t>
  </si>
  <si>
    <t xml:space="preserve">ORD-10936</t>
  </si>
  <si>
    <t xml:space="preserve">ORD-10937</t>
  </si>
  <si>
    <t xml:space="preserve">2025-07-13</t>
  </si>
  <si>
    <t xml:space="preserve">ORD-10938</t>
  </si>
  <si>
    <t xml:space="preserve">ORD-10939</t>
  </si>
  <si>
    <t xml:space="preserve">ORD-10940</t>
  </si>
  <si>
    <t xml:space="preserve">ORD-10941</t>
  </si>
  <si>
    <t xml:space="preserve">ORD-10942</t>
  </si>
  <si>
    <t xml:space="preserve">2025-07-14</t>
  </si>
  <si>
    <t xml:space="preserve">ORD-10943</t>
  </si>
  <si>
    <t xml:space="preserve">ORD-10944</t>
  </si>
  <si>
    <t xml:space="preserve">ORD-10945</t>
  </si>
  <si>
    <t xml:space="preserve">ORD-10946</t>
  </si>
  <si>
    <t xml:space="preserve">ORD-10947</t>
  </si>
  <si>
    <t xml:space="preserve">ORD-10948</t>
  </si>
  <si>
    <t xml:space="preserve">ORD-10949</t>
  </si>
  <si>
    <t xml:space="preserve">07/15/2025</t>
  </si>
  <si>
    <t xml:space="preserve">ORD-10950</t>
  </si>
  <si>
    <t xml:space="preserve">ORD-10951</t>
  </si>
  <si>
    <t xml:space="preserve">ORD-10952</t>
  </si>
  <si>
    <t xml:space="preserve">ORD-10953</t>
  </si>
  <si>
    <t xml:space="preserve">ORD-10954</t>
  </si>
  <si>
    <t xml:space="preserve">ORD-10955</t>
  </si>
  <si>
    <t xml:space="preserve">ORD-10956</t>
  </si>
  <si>
    <t xml:space="preserve">ORD-10957</t>
  </si>
  <si>
    <t xml:space="preserve">ORD-10958</t>
  </si>
  <si>
    <t xml:space="preserve">ORD-10959</t>
  </si>
  <si>
    <t xml:space="preserve">ORD-10960</t>
  </si>
  <si>
    <t xml:space="preserve">07/17/2025</t>
  </si>
  <si>
    <t xml:space="preserve">ORD-10961</t>
  </si>
  <si>
    <t xml:space="preserve">ORD-10962</t>
  </si>
  <si>
    <t xml:space="preserve">ORD-10963</t>
  </si>
  <si>
    <t xml:space="preserve">ORD-10964</t>
  </si>
  <si>
    <t xml:space="preserve">ORD-10965</t>
  </si>
  <si>
    <t xml:space="preserve">ORD-10966</t>
  </si>
  <si>
    <t xml:space="preserve">ORD-10967</t>
  </si>
  <si>
    <t xml:space="preserve">2025-07-18</t>
  </si>
  <si>
    <t xml:space="preserve">ORD-10968</t>
  </si>
  <si>
    <t xml:space="preserve">ORD-10969</t>
  </si>
  <si>
    <t xml:space="preserve">ORD-10970</t>
  </si>
  <si>
    <t xml:space="preserve">ORD-10971</t>
  </si>
  <si>
    <t xml:space="preserve">ORD-10972</t>
  </si>
  <si>
    <t xml:space="preserve">ORD-10973</t>
  </si>
  <si>
    <t xml:space="preserve">ORD-10974</t>
  </si>
  <si>
    <t xml:space="preserve">ORD-10975</t>
  </si>
  <si>
    <t xml:space="preserve">ORD-10976</t>
  </si>
  <si>
    <t xml:space="preserve">ORD-10977</t>
  </si>
  <si>
    <t xml:space="preserve">ORD-10978</t>
  </si>
  <si>
    <t xml:space="preserve">ORD-10979</t>
  </si>
  <si>
    <t xml:space="preserve">ORD-10980</t>
  </si>
  <si>
    <t xml:space="preserve">ORD-10981</t>
  </si>
  <si>
    <t xml:space="preserve">ORD-10982</t>
  </si>
  <si>
    <t xml:space="preserve">ORD-10983</t>
  </si>
  <si>
    <t xml:space="preserve">ORD-10984</t>
  </si>
  <si>
    <t xml:space="preserve">ORD-10985</t>
  </si>
  <si>
    <t xml:space="preserve">ORD-10986</t>
  </si>
  <si>
    <t xml:space="preserve">ORD-10987</t>
  </si>
  <si>
    <t xml:space="preserve">2025-07-21</t>
  </si>
  <si>
    <t xml:space="preserve">ORD-10988</t>
  </si>
  <si>
    <t xml:space="preserve">ORD-10989</t>
  </si>
  <si>
    <t xml:space="preserve">ORD-10990</t>
  </si>
  <si>
    <t xml:space="preserve">ORD-10991</t>
  </si>
  <si>
    <t xml:space="preserve">2025-07-22</t>
  </si>
  <si>
    <t xml:space="preserve">ORD-10992</t>
  </si>
  <si>
    <t xml:space="preserve">ORD-10993</t>
  </si>
  <si>
    <t xml:space="preserve">ORD-10994</t>
  </si>
  <si>
    <t xml:space="preserve">ORD-10995</t>
  </si>
  <si>
    <t xml:space="preserve">ORD-10996</t>
  </si>
  <si>
    <t xml:space="preserve">ORD-10997</t>
  </si>
  <si>
    <t xml:space="preserve">ORD-10998</t>
  </si>
  <si>
    <t xml:space="preserve">ORD-10999</t>
  </si>
  <si>
    <t xml:space="preserve">ORD-11000</t>
  </si>
  <si>
    <t xml:space="preserve">ORD-11001</t>
  </si>
  <si>
    <t xml:space="preserve">ORD-11002</t>
  </si>
  <si>
    <t xml:space="preserve">ORD-11003</t>
  </si>
  <si>
    <t xml:space="preserve">ORD-11004</t>
  </si>
  <si>
    <t xml:space="preserve">ORD-11005</t>
  </si>
  <si>
    <t xml:space="preserve">2025-07-24</t>
  </si>
  <si>
    <t xml:space="preserve">ORD-11006</t>
  </si>
  <si>
    <t xml:space="preserve">ORD-11007</t>
  </si>
  <si>
    <t xml:space="preserve">07/25/2025</t>
  </si>
  <si>
    <t xml:space="preserve">ORD-11008</t>
  </si>
  <si>
    <t xml:space="preserve">Latte </t>
  </si>
  <si>
    <t xml:space="preserve">ORD-11009</t>
  </si>
  <si>
    <t xml:space="preserve">ORD-11010</t>
  </si>
  <si>
    <t xml:space="preserve">ORD-11011</t>
  </si>
  <si>
    <t xml:space="preserve">2025-07-26</t>
  </si>
  <si>
    <t xml:space="preserve">ORD-11012</t>
  </si>
  <si>
    <t xml:space="preserve">ORD-11013</t>
  </si>
  <si>
    <t xml:space="preserve">ORD-11014</t>
  </si>
  <si>
    <t xml:space="preserve">ORD-11015</t>
  </si>
  <si>
    <t xml:space="preserve">ORD-11016</t>
  </si>
  <si>
    <t xml:space="preserve">ORD-11017</t>
  </si>
  <si>
    <t xml:space="preserve">ORD-11018</t>
  </si>
  <si>
    <t xml:space="preserve">ORD-11019</t>
  </si>
  <si>
    <t xml:space="preserve">ORD-11020</t>
  </si>
  <si>
    <t xml:space="preserve">ORD-11021</t>
  </si>
  <si>
    <t xml:space="preserve">ORD-11022</t>
  </si>
  <si>
    <t xml:space="preserve">ORD-11023</t>
  </si>
  <si>
    <t xml:space="preserve">ORD-11024</t>
  </si>
  <si>
    <t xml:space="preserve">ORD-11025</t>
  </si>
  <si>
    <t xml:space="preserve">ORD-11026</t>
  </si>
  <si>
    <t xml:space="preserve">ORD-11027</t>
  </si>
  <si>
    <t xml:space="preserve">ORD-11028</t>
  </si>
  <si>
    <t xml:space="preserve">ORD-11029</t>
  </si>
  <si>
    <t xml:space="preserve">ORD-11030</t>
  </si>
  <si>
    <t xml:space="preserve">ORD-11031</t>
  </si>
  <si>
    <t xml:space="preserve">2025-07-30</t>
  </si>
  <si>
    <t xml:space="preserve">ORD-11032</t>
  </si>
  <si>
    <t xml:space="preserve">ORD-11033</t>
  </si>
  <si>
    <t xml:space="preserve">ORD-11034</t>
  </si>
  <si>
    <t xml:space="preserve">ORD-11035</t>
  </si>
  <si>
    <t xml:space="preserve">ORD-11036</t>
  </si>
  <si>
    <t xml:space="preserve">ORD-11037</t>
  </si>
  <si>
    <t xml:space="preserve">ORD-11038</t>
  </si>
  <si>
    <t xml:space="preserve">ORD-11039</t>
  </si>
  <si>
    <t xml:space="preserve">ORD-11040</t>
  </si>
  <si>
    <t xml:space="preserve">ORD-11041</t>
  </si>
  <si>
    <t xml:space="preserve">ORD-11042</t>
  </si>
  <si>
    <t xml:space="preserve">ORD-11043</t>
  </si>
  <si>
    <t xml:space="preserve">ORD-11044</t>
  </si>
  <si>
    <t xml:space="preserve">08/01/2025</t>
  </si>
  <si>
    <t xml:space="preserve">ORD-11045</t>
  </si>
  <si>
    <t xml:space="preserve">ORD-11046</t>
  </si>
  <si>
    <t xml:space="preserve">ORD-11047</t>
  </si>
  <si>
    <t xml:space="preserve">ORD-11048</t>
  </si>
  <si>
    <t xml:space="preserve">ORD-11049</t>
  </si>
  <si>
    <t xml:space="preserve">ORD-11050</t>
  </si>
  <si>
    <t xml:space="preserve">ORD-11051</t>
  </si>
  <si>
    <t xml:space="preserve">ORD-11052</t>
  </si>
  <si>
    <t xml:space="preserve">ORD-11053</t>
  </si>
  <si>
    <t xml:space="preserve">ORD-11054</t>
  </si>
  <si>
    <t xml:space="preserve">ORD-11055</t>
  </si>
  <si>
    <t xml:space="preserve">ORD-11056</t>
  </si>
  <si>
    <t xml:space="preserve">2025-08-03</t>
  </si>
  <si>
    <t xml:space="preserve">ORD-11057</t>
  </si>
  <si>
    <t xml:space="preserve">ORD-11058</t>
  </si>
  <si>
    <t xml:space="preserve">ORD-11059</t>
  </si>
  <si>
    <t xml:space="preserve">ORD-11060</t>
  </si>
  <si>
    <t xml:space="preserve">ORD-11061</t>
  </si>
  <si>
    <t xml:space="preserve">ORD-11062</t>
  </si>
  <si>
    <t xml:space="preserve">ORD-11063</t>
  </si>
  <si>
    <t xml:space="preserve">2025-08-04</t>
  </si>
  <si>
    <t xml:space="preserve">ORD-11064</t>
  </si>
  <si>
    <t xml:space="preserve">ORD-11065</t>
  </si>
  <si>
    <t xml:space="preserve">ORD-11066</t>
  </si>
  <si>
    <t xml:space="preserve">ORD-11067</t>
  </si>
  <si>
    <t xml:space="preserve">ORD-11068</t>
  </si>
  <si>
    <t xml:space="preserve">ORD-11069</t>
  </si>
  <si>
    <t xml:space="preserve">ORD-11070</t>
  </si>
  <si>
    <t xml:space="preserve">ORD-11071</t>
  </si>
  <si>
    <t xml:space="preserve">2025-08-06</t>
  </si>
  <si>
    <t xml:space="preserve">ORD-11072</t>
  </si>
  <si>
    <t xml:space="preserve">ORD-11073</t>
  </si>
  <si>
    <t xml:space="preserve">ORD-11074</t>
  </si>
  <si>
    <t xml:space="preserve">ORD-11075</t>
  </si>
  <si>
    <t xml:space="preserve">ORD-11076</t>
  </si>
  <si>
    <t xml:space="preserve">ORD-11077</t>
  </si>
  <si>
    <t xml:space="preserve">ORD-11078</t>
  </si>
  <si>
    <t xml:space="preserve">ORD-11079</t>
  </si>
  <si>
    <t xml:space="preserve">ORD-11080</t>
  </si>
  <si>
    <t xml:space="preserve">ORD-11081</t>
  </si>
  <si>
    <t xml:space="preserve">ORD-11082</t>
  </si>
  <si>
    <t xml:space="preserve">ORD-11083</t>
  </si>
  <si>
    <t xml:space="preserve">ORD-11084</t>
  </si>
  <si>
    <t xml:space="preserve">ORD-11085</t>
  </si>
  <si>
    <t xml:space="preserve">ORD-11086</t>
  </si>
  <si>
    <t xml:space="preserve">ORD-11087</t>
  </si>
  <si>
    <t xml:space="preserve">ORD-11088</t>
  </si>
  <si>
    <t xml:space="preserve">08/08/2025</t>
  </si>
  <si>
    <t xml:space="preserve">ORD-11089</t>
  </si>
  <si>
    <t xml:space="preserve">ORD-11090</t>
  </si>
  <si>
    <t xml:space="preserve">ORD-11091</t>
  </si>
  <si>
    <t xml:space="preserve">ORD-11092</t>
  </si>
  <si>
    <t xml:space="preserve">ORD-11093</t>
  </si>
  <si>
    <t xml:space="preserve">ORD-11094</t>
  </si>
  <si>
    <t xml:space="preserve">ORD-11095</t>
  </si>
  <si>
    <t xml:space="preserve">ORD-11096</t>
  </si>
  <si>
    <t xml:space="preserve">ORD-11097</t>
  </si>
  <si>
    <t xml:space="preserve">ORD-11098</t>
  </si>
  <si>
    <t xml:space="preserve">ORD-11099</t>
  </si>
  <si>
    <t xml:space="preserve">ORD-11100</t>
  </si>
  <si>
    <t xml:space="preserve">ORD-11101</t>
  </si>
  <si>
    <t xml:space="preserve">ORD-11102</t>
  </si>
  <si>
    <t xml:space="preserve">ORD-11103</t>
  </si>
  <si>
    <t xml:space="preserve">2025-08-11</t>
  </si>
  <si>
    <t xml:space="preserve">ORD-11104</t>
  </si>
  <si>
    <t xml:space="preserve">ORD-11105</t>
  </si>
  <si>
    <t xml:space="preserve">ORD-11106</t>
  </si>
  <si>
    <t xml:space="preserve">ORD-11107</t>
  </si>
  <si>
    <t xml:space="preserve">americano</t>
  </si>
  <si>
    <t xml:space="preserve">ORD-11108</t>
  </si>
  <si>
    <t xml:space="preserve">ORD-11109</t>
  </si>
  <si>
    <t xml:space="preserve">ORD-11110</t>
  </si>
  <si>
    <t xml:space="preserve">2025-08-12</t>
  </si>
  <si>
    <t xml:space="preserve">ORD-11111</t>
  </si>
  <si>
    <t xml:space="preserve">ORD-11112</t>
  </si>
  <si>
    <t xml:space="preserve">ORD-11113</t>
  </si>
  <si>
    <t xml:space="preserve">2025-08-13</t>
  </si>
  <si>
    <t xml:space="preserve">ORD-11114</t>
  </si>
  <si>
    <t xml:space="preserve">ORD-11115</t>
  </si>
  <si>
    <t xml:space="preserve">ORD-11116</t>
  </si>
  <si>
    <t xml:space="preserve">ORD-11117</t>
  </si>
  <si>
    <t xml:space="preserve">ORD-11118</t>
  </si>
  <si>
    <t xml:space="preserve">ORD-11119</t>
  </si>
  <si>
    <t xml:space="preserve">ORD-11120</t>
  </si>
  <si>
    <t xml:space="preserve">ORD-11121</t>
  </si>
  <si>
    <t xml:space="preserve">ORD-11122</t>
  </si>
  <si>
    <t xml:space="preserve">ORD-11123</t>
  </si>
  <si>
    <t xml:space="preserve">ORD-11124</t>
  </si>
  <si>
    <t xml:space="preserve">ORD-11125</t>
  </si>
  <si>
    <t xml:space="preserve">ORD-11126</t>
  </si>
  <si>
    <t xml:space="preserve">ORD-11127</t>
  </si>
  <si>
    <t xml:space="preserve">08/15/2025</t>
  </si>
  <si>
    <t xml:space="preserve">ORD-11128</t>
  </si>
  <si>
    <t xml:space="preserve">ORD-11129</t>
  </si>
  <si>
    <t xml:space="preserve">ORD-11130</t>
  </si>
  <si>
    <t xml:space="preserve">2025-08-15</t>
  </si>
  <si>
    <t xml:space="preserve">ORD-11131</t>
  </si>
  <si>
    <t xml:space="preserve">ORD-11132</t>
  </si>
  <si>
    <t xml:space="preserve">ORD-11133</t>
  </si>
  <si>
    <t xml:space="preserve">ORD-11134</t>
  </si>
  <si>
    <t xml:space="preserve">ORD-11135</t>
  </si>
  <si>
    <t xml:space="preserve">ORD-11136</t>
  </si>
  <si>
    <t xml:space="preserve">2025-08-16</t>
  </si>
  <si>
    <t xml:space="preserve">ORD-11137</t>
  </si>
  <si>
    <t xml:space="preserve">ORD-11138</t>
  </si>
  <si>
    <t xml:space="preserve">ORD-11139</t>
  </si>
  <si>
    <t xml:space="preserve">ORD-11140</t>
  </si>
  <si>
    <t xml:space="preserve">ORD-11141</t>
  </si>
  <si>
    <t xml:space="preserve">ORD-11142</t>
  </si>
  <si>
    <t xml:space="preserve">ORD-11143</t>
  </si>
  <si>
    <t xml:space="preserve">ORD-11144</t>
  </si>
  <si>
    <t xml:space="preserve">ORD-11145</t>
  </si>
  <si>
    <t xml:space="preserve">ORD-11146</t>
  </si>
  <si>
    <t xml:space="preserve">ORD-11147</t>
  </si>
  <si>
    <t xml:space="preserve">ORD-11148</t>
  </si>
  <si>
    <t xml:space="preserve">ORD-11149</t>
  </si>
  <si>
    <t xml:space="preserve">ORD-11150</t>
  </si>
  <si>
    <t xml:space="preserve">2025-08-19</t>
  </si>
  <si>
    <t xml:space="preserve">ORD-11151</t>
  </si>
  <si>
    <t xml:space="preserve">ORD-11152</t>
  </si>
  <si>
    <t xml:space="preserve">2025-08-20</t>
  </si>
  <si>
    <t xml:space="preserve">ORD-11153</t>
  </si>
  <si>
    <t xml:space="preserve">ORD-11154</t>
  </si>
  <si>
    <t xml:space="preserve">ORD-11155</t>
  </si>
  <si>
    <t xml:space="preserve">ORD-11156</t>
  </si>
  <si>
    <t xml:space="preserve">ORD-11157</t>
  </si>
  <si>
    <t xml:space="preserve">ORD-11158</t>
  </si>
  <si>
    <t xml:space="preserve">ORD-11159</t>
  </si>
  <si>
    <t xml:space="preserve">ORD-11160</t>
  </si>
  <si>
    <t xml:space="preserve">ORD-11161</t>
  </si>
  <si>
    <t xml:space="preserve">ORD-11162</t>
  </si>
  <si>
    <t xml:space="preserve">ORD-11163</t>
  </si>
  <si>
    <t xml:space="preserve">ORD-11164</t>
  </si>
  <si>
    <t xml:space="preserve">2025-08-22</t>
  </si>
  <si>
    <t xml:space="preserve">ORD-11165</t>
  </si>
  <si>
    <t xml:space="preserve">ORD-11166</t>
  </si>
  <si>
    <t xml:space="preserve">ORD-11167</t>
  </si>
  <si>
    <t xml:space="preserve">ORD-11168</t>
  </si>
  <si>
    <t xml:space="preserve">ORD-11169</t>
  </si>
  <si>
    <t xml:space="preserve">08/23/2025</t>
  </si>
  <si>
    <t xml:space="preserve">ORD-11170</t>
  </si>
  <si>
    <t xml:space="preserve">ORD-11171</t>
  </si>
  <si>
    <t xml:space="preserve">ORD-11172</t>
  </si>
  <si>
    <t xml:space="preserve">ORD-11173</t>
  </si>
  <si>
    <t xml:space="preserve">Iced Americano </t>
  </si>
  <si>
    <t xml:space="preserve">ORD-11174</t>
  </si>
  <si>
    <t xml:space="preserve">ORD-11175</t>
  </si>
  <si>
    <t xml:space="preserve">ORD-11176</t>
  </si>
  <si>
    <t xml:space="preserve">ORD-11177</t>
  </si>
  <si>
    <t xml:space="preserve">ORD-11178</t>
  </si>
  <si>
    <t xml:space="preserve">ORD-11179</t>
  </si>
  <si>
    <t xml:space="preserve">2025-08-25</t>
  </si>
  <si>
    <t xml:space="preserve">ORD-11180</t>
  </si>
  <si>
    <t xml:space="preserve">ORD-11181</t>
  </si>
  <si>
    <t xml:space="preserve">08/25/2025</t>
  </si>
  <si>
    <t xml:space="preserve">ORD-11182</t>
  </si>
  <si>
    <t xml:space="preserve">ORD-11183</t>
  </si>
  <si>
    <t xml:space="preserve">ORD-11184</t>
  </si>
  <si>
    <t xml:space="preserve">ORD-11185</t>
  </si>
  <si>
    <t xml:space="preserve">ORD-11186</t>
  </si>
  <si>
    <t xml:space="preserve">ORD-11187</t>
  </si>
  <si>
    <t xml:space="preserve">ORD-11188</t>
  </si>
  <si>
    <t xml:space="preserve">ORD-11189</t>
  </si>
  <si>
    <t xml:space="preserve">2025-08-26</t>
  </si>
  <si>
    <t xml:space="preserve">ORD-11190</t>
  </si>
  <si>
    <t xml:space="preserve">ORD-11191</t>
  </si>
  <si>
    <t xml:space="preserve">ORD-11192</t>
  </si>
  <si>
    <t xml:space="preserve">ORD-11193</t>
  </si>
  <si>
    <t xml:space="preserve">ORD-11194</t>
  </si>
  <si>
    <t xml:space="preserve">ORD-11195</t>
  </si>
  <si>
    <t xml:space="preserve">ORD-11196</t>
  </si>
  <si>
    <t xml:space="preserve">08/27/2025</t>
  </si>
  <si>
    <t xml:space="preserve">ORD-11197</t>
  </si>
  <si>
    <t xml:space="preserve">ORD-11198</t>
  </si>
  <si>
    <t xml:space="preserve">ORD-11199</t>
  </si>
  <si>
    <t xml:space="preserve">ORD-11200</t>
  </si>
  <si>
    <t xml:space="preserve">ORD-11201</t>
  </si>
  <si>
    <t xml:space="preserve">ORD-11202</t>
  </si>
  <si>
    <t xml:space="preserve">ORD-11203</t>
  </si>
  <si>
    <t xml:space="preserve">ORD-11204</t>
  </si>
  <si>
    <t xml:space="preserve">ORD-11205</t>
  </si>
  <si>
    <t xml:space="preserve">ORD-11206</t>
  </si>
  <si>
    <t xml:space="preserve">ORD-11207</t>
  </si>
  <si>
    <t xml:space="preserve">ORD-11208</t>
  </si>
  <si>
    <t xml:space="preserve">ORD-11209</t>
  </si>
  <si>
    <t xml:space="preserve">ORD-11210</t>
  </si>
  <si>
    <t xml:space="preserve">ORD-11211</t>
  </si>
  <si>
    <t xml:space="preserve">ORD-11212</t>
  </si>
  <si>
    <t xml:space="preserve">2025-08-30</t>
  </si>
  <si>
    <t xml:space="preserve">ORD-11213</t>
  </si>
  <si>
    <t xml:space="preserve">ORD-11214</t>
  </si>
  <si>
    <t xml:space="preserve">ORD-11215</t>
  </si>
  <si>
    <t xml:space="preserve">ORD-11216</t>
  </si>
  <si>
    <t xml:space="preserve">ORD-11217</t>
  </si>
  <si>
    <t xml:space="preserve">ORD-11218</t>
  </si>
  <si>
    <t xml:space="preserve">ORD-11219</t>
  </si>
  <si>
    <t xml:space="preserve">Blueberry Muffin </t>
  </si>
  <si>
    <t xml:space="preserve">ORD-11220</t>
  </si>
  <si>
    <t xml:space="preserve">ORD-11221</t>
  </si>
  <si>
    <t xml:space="preserve">ORD-11222</t>
  </si>
  <si>
    <t xml:space="preserve">ORD-11223</t>
  </si>
  <si>
    <t xml:space="preserve">ORD-11224</t>
  </si>
  <si>
    <t xml:space="preserve">ORD-11225</t>
  </si>
  <si>
    <t xml:space="preserve">ORD-11226</t>
  </si>
  <si>
    <t xml:space="preserve">2025-09-01</t>
  </si>
  <si>
    <t xml:space="preserve">ORD-11227</t>
  </si>
  <si>
    <t xml:space="preserve">ORD-11228</t>
  </si>
  <si>
    <t xml:space="preserve">ORD-11229</t>
  </si>
  <si>
    <t xml:space="preserve">ORD-11230</t>
  </si>
  <si>
    <t xml:space="preserve">ORD-11231</t>
  </si>
  <si>
    <t xml:space="preserve">ORD-11232</t>
  </si>
  <si>
    <t xml:space="preserve">ORD-11233</t>
  </si>
  <si>
    <t xml:space="preserve">ORD-11234</t>
  </si>
  <si>
    <t xml:space="preserve">ORD-11235</t>
  </si>
  <si>
    <t xml:space="preserve">ORD-11236</t>
  </si>
  <si>
    <t xml:space="preserve">ORD-11237</t>
  </si>
  <si>
    <t xml:space="preserve">ORD-11238</t>
  </si>
  <si>
    <t xml:space="preserve">ORD-11239</t>
  </si>
  <si>
    <t xml:space="preserve">ORD-11240</t>
  </si>
  <si>
    <t xml:space="preserve">ORD-11241</t>
  </si>
  <si>
    <t xml:space="preserve">ORD-11242</t>
  </si>
  <si>
    <t xml:space="preserve">ORD-11243</t>
  </si>
  <si>
    <t xml:space="preserve">ORD-11244</t>
  </si>
  <si>
    <t xml:space="preserve">ORD-11245</t>
  </si>
  <si>
    <t xml:space="preserve">2025-09-04</t>
  </si>
  <si>
    <t xml:space="preserve">ORD-11246</t>
  </si>
  <si>
    <t xml:space="preserve">ORD-11247</t>
  </si>
  <si>
    <t xml:space="preserve">ORD-11248</t>
  </si>
  <si>
    <t xml:space="preserve">ORD-11249</t>
  </si>
  <si>
    <t xml:space="preserve">ORD-11250</t>
  </si>
  <si>
    <t xml:space="preserve">ORD-11251</t>
  </si>
  <si>
    <t xml:space="preserve">ORD-11252</t>
  </si>
  <si>
    <t xml:space="preserve">ORD-11253</t>
  </si>
  <si>
    <t xml:space="preserve">ORD-11254</t>
  </si>
  <si>
    <t xml:space="preserve">ORD-11255</t>
  </si>
  <si>
    <t xml:space="preserve">ORD-11256</t>
  </si>
  <si>
    <t xml:space="preserve">2025-09-06</t>
  </si>
  <si>
    <t xml:space="preserve">ORD-11257</t>
  </si>
  <si>
    <t xml:space="preserve">ORD-11258</t>
  </si>
  <si>
    <t xml:space="preserve">ORD-11259</t>
  </si>
  <si>
    <t xml:space="preserve">ORD-11260</t>
  </si>
  <si>
    <t xml:space="preserve">ORD-11261</t>
  </si>
  <si>
    <t xml:space="preserve">ORD-11262</t>
  </si>
  <si>
    <t xml:space="preserve">ORD-11263</t>
  </si>
  <si>
    <t xml:space="preserve">ORD-11264</t>
  </si>
  <si>
    <t xml:space="preserve">ORD-11265</t>
  </si>
  <si>
    <t xml:space="preserve">ORD-11266</t>
  </si>
  <si>
    <t xml:space="preserve">ORD-11267</t>
  </si>
  <si>
    <t xml:space="preserve">ORD-11268</t>
  </si>
  <si>
    <t xml:space="preserve">2025-09-09</t>
  </si>
  <si>
    <t xml:space="preserve">ORD-11269</t>
  </si>
  <si>
    <t xml:space="preserve">ORD-11270</t>
  </si>
  <si>
    <t xml:space="preserve">ORD-11271</t>
  </si>
  <si>
    <t xml:space="preserve">ORD-11272</t>
  </si>
  <si>
    <t xml:space="preserve">ORD-11273</t>
  </si>
  <si>
    <t xml:space="preserve">ORD-11274</t>
  </si>
  <si>
    <t xml:space="preserve">09/10/2025</t>
  </si>
  <si>
    <t xml:space="preserve">ORD-11275</t>
  </si>
  <si>
    <t xml:space="preserve">ORD-11276</t>
  </si>
  <si>
    <t xml:space="preserve">ORD-11277</t>
  </si>
  <si>
    <t xml:space="preserve">ORD-11278</t>
  </si>
  <si>
    <t xml:space="preserve">ORD-11279</t>
  </si>
  <si>
    <t xml:space="preserve">ORD-11280</t>
  </si>
  <si>
    <t xml:space="preserve">ORD-11281</t>
  </si>
  <si>
    <t xml:space="preserve">ORD-11282</t>
  </si>
  <si>
    <t xml:space="preserve">ORD-11283</t>
  </si>
  <si>
    <t xml:space="preserve">ORD-11284</t>
  </si>
  <si>
    <t xml:space="preserve">2025-09-12</t>
  </si>
  <si>
    <t xml:space="preserve">ORD-11285</t>
  </si>
  <si>
    <t xml:space="preserve">ORD-11286</t>
  </si>
  <si>
    <t xml:space="preserve">ORD-11287</t>
  </si>
  <si>
    <t xml:space="preserve">ORD-11288</t>
  </si>
  <si>
    <t xml:space="preserve">ORD-11289</t>
  </si>
  <si>
    <t xml:space="preserve">ORD-11290</t>
  </si>
  <si>
    <t xml:space="preserve">2025-09-14</t>
  </si>
  <si>
    <t xml:space="preserve">ORD-11291</t>
  </si>
  <si>
    <t xml:space="preserve">09/14/2025</t>
  </si>
  <si>
    <t xml:space="preserve">ORD-11292</t>
  </si>
  <si>
    <t xml:space="preserve">ORD-11293</t>
  </si>
  <si>
    <t xml:space="preserve">ORD-11294</t>
  </si>
  <si>
    <t xml:space="preserve">ORD-11295</t>
  </si>
  <si>
    <t xml:space="preserve">2025-09-15</t>
  </si>
  <si>
    <t xml:space="preserve">ORD-11296</t>
  </si>
  <si>
    <t xml:space="preserve">ORD-11297</t>
  </si>
  <si>
    <t xml:space="preserve">ORD-11298</t>
  </si>
  <si>
    <t xml:space="preserve">ORD-11299</t>
  </si>
  <si>
    <t xml:space="preserve">09/16/2025</t>
  </si>
  <si>
    <t xml:space="preserve">ORD-11300</t>
  </si>
  <si>
    <t xml:space="preserve">ORD-11301</t>
  </si>
  <si>
    <t xml:space="preserve">ORD-11302</t>
  </si>
  <si>
    <t xml:space="preserve">ORD-11303</t>
  </si>
  <si>
    <t xml:space="preserve">ORD-11304</t>
  </si>
  <si>
    <t xml:space="preserve">ORD-11305</t>
  </si>
  <si>
    <t xml:space="preserve">ORD-11306</t>
  </si>
  <si>
    <t xml:space="preserve">ORD-11307</t>
  </si>
  <si>
    <t xml:space="preserve">09/17/2025</t>
  </si>
  <si>
    <t xml:space="preserve">ORD-11308</t>
  </si>
  <si>
    <t xml:space="preserve">ORD-11309</t>
  </si>
  <si>
    <t xml:space="preserve">ORD-11310</t>
  </si>
  <si>
    <t xml:space="preserve">ORD-11311</t>
  </si>
  <si>
    <t xml:space="preserve">ORD-11312</t>
  </si>
  <si>
    <t xml:space="preserve">2025-09-18</t>
  </si>
  <si>
    <t xml:space="preserve">ORD-11313</t>
  </si>
  <si>
    <t xml:space="preserve">ORD-11314</t>
  </si>
  <si>
    <t xml:space="preserve">ORD-11315</t>
  </si>
  <si>
    <t xml:space="preserve">ORD-11316</t>
  </si>
  <si>
    <t xml:space="preserve">ORD-11317</t>
  </si>
  <si>
    <t xml:space="preserve">2025-09-19</t>
  </si>
  <si>
    <t xml:space="preserve">ORD-11318</t>
  </si>
  <si>
    <t xml:space="preserve">ORD-11319</t>
  </si>
  <si>
    <t xml:space="preserve">ORD-11320</t>
  </si>
  <si>
    <t xml:space="preserve">ORD-11321</t>
  </si>
  <si>
    <t xml:space="preserve">ORD-11322</t>
  </si>
  <si>
    <t xml:space="preserve">2025-09-20</t>
  </si>
  <si>
    <t xml:space="preserve">ORD-11323</t>
  </si>
  <si>
    <t xml:space="preserve">ORD-11324</t>
  </si>
  <si>
    <t xml:space="preserve">ORD-11325</t>
  </si>
  <si>
    <t xml:space="preserve">ORD-11326</t>
  </si>
  <si>
    <t xml:space="preserve">ORD-11327</t>
  </si>
  <si>
    <t xml:space="preserve">ORD-11328</t>
  </si>
  <si>
    <t xml:space="preserve">ORD-11329</t>
  </si>
  <si>
    <t xml:space="preserve">ORD-11330</t>
  </si>
  <si>
    <t xml:space="preserve">ORD-11331</t>
  </si>
  <si>
    <t xml:space="preserve">ORD-11332</t>
  </si>
  <si>
    <t xml:space="preserve">09/23/2025</t>
  </si>
  <si>
    <t xml:space="preserve">ORD-11333</t>
  </si>
  <si>
    <t xml:space="preserve">ORD-11334</t>
  </si>
  <si>
    <t xml:space="preserve">ORD-11335</t>
  </si>
  <si>
    <t xml:space="preserve">ORD-11336</t>
  </si>
  <si>
    <t xml:space="preserve">ORD-11337</t>
  </si>
  <si>
    <t xml:space="preserve">ORD-11338</t>
  </si>
  <si>
    <t xml:space="preserve">ORD-11339</t>
  </si>
  <si>
    <t xml:space="preserve">ORD-11340</t>
  </si>
  <si>
    <t xml:space="preserve">ORD-11341</t>
  </si>
  <si>
    <t xml:space="preserve">ORD-11342</t>
  </si>
  <si>
    <t xml:space="preserve">ORD-11343</t>
  </si>
  <si>
    <t xml:space="preserve">ORD-11344</t>
  </si>
  <si>
    <t xml:space="preserve">2025-09-25</t>
  </si>
  <si>
    <t xml:space="preserve">ORD-11345</t>
  </si>
  <si>
    <t xml:space="preserve">ORD-11346</t>
  </si>
  <si>
    <t xml:space="preserve">ORD-11347</t>
  </si>
  <si>
    <t xml:space="preserve">ORD-11348</t>
  </si>
  <si>
    <t xml:space="preserve">ORD-11349</t>
  </si>
  <si>
    <t xml:space="preserve">ORD-11350</t>
  </si>
  <si>
    <t xml:space="preserve">ORD-11351</t>
  </si>
  <si>
    <t xml:space="preserve">ORD-11352</t>
  </si>
  <si>
    <t xml:space="preserve">ORD-11353</t>
  </si>
  <si>
    <t xml:space="preserve">ORD-11354</t>
  </si>
  <si>
    <t xml:space="preserve">ORD-11355</t>
  </si>
  <si>
    <t xml:space="preserve">ORD-11356</t>
  </si>
  <si>
    <t xml:space="preserve">ORD-11357</t>
  </si>
  <si>
    <t xml:space="preserve">2025-09-29</t>
  </si>
  <si>
    <t xml:space="preserve">ORD-11358</t>
  </si>
  <si>
    <t xml:space="preserve">2025-09-30</t>
  </si>
  <si>
    <t xml:space="preserve">ORD-11359</t>
  </si>
  <si>
    <t xml:space="preserve">ORD-11360</t>
  </si>
  <si>
    <t xml:space="preserve">ORD-11361</t>
  </si>
  <si>
    <t xml:space="preserve">ORD-11362</t>
  </si>
  <si>
    <t xml:space="preserve">ORD-11363</t>
  </si>
  <si>
    <t xml:space="preserve">ORD-11364</t>
  </si>
  <si>
    <t xml:space="preserve">ORD-11365</t>
  </si>
  <si>
    <t xml:space="preserve">ORD-11366</t>
  </si>
  <si>
    <t xml:space="preserve">10/01/2025</t>
  </si>
  <si>
    <t xml:space="preserve">ORD-11367</t>
  </si>
  <si>
    <t xml:space="preserve">chicken sandwich</t>
  </si>
  <si>
    <t xml:space="preserve">ORD-11368</t>
  </si>
  <si>
    <t xml:space="preserve">ORD-11369</t>
  </si>
  <si>
    <t xml:space="preserve">ORD-11370</t>
  </si>
  <si>
    <t xml:space="preserve">ORD-11371</t>
  </si>
  <si>
    <t xml:space="preserve">ORD-11372</t>
  </si>
  <si>
    <t xml:space="preserve">ORD-11373</t>
  </si>
  <si>
    <t xml:space="preserve">ORD-11374</t>
  </si>
  <si>
    <t xml:space="preserve">2025-10-03</t>
  </si>
  <si>
    <t xml:space="preserve">ORD-11375</t>
  </si>
  <si>
    <t xml:space="preserve">ORD-11376</t>
  </si>
  <si>
    <t xml:space="preserve">ORD-11377</t>
  </si>
  <si>
    <t xml:space="preserve">ORD-11378</t>
  </si>
  <si>
    <t xml:space="preserve">ORD-11379</t>
  </si>
  <si>
    <t xml:space="preserve">ORD-11380</t>
  </si>
  <si>
    <t xml:space="preserve">ORD-11381</t>
  </si>
  <si>
    <t xml:space="preserve">ORD-11382</t>
  </si>
  <si>
    <t xml:space="preserve">ORD-11383</t>
  </si>
  <si>
    <t xml:space="preserve">ORD-11384</t>
  </si>
  <si>
    <t xml:space="preserve">ORD-11385</t>
  </si>
  <si>
    <t xml:space="preserve">ORD-11386</t>
  </si>
  <si>
    <t xml:space="preserve">ORD-11387</t>
  </si>
  <si>
    <t xml:space="preserve">ORD-11388</t>
  </si>
  <si>
    <t xml:space="preserve">ORD-11389</t>
  </si>
  <si>
    <t xml:space="preserve">ORD-11390</t>
  </si>
  <si>
    <t xml:space="preserve">2025-10-07</t>
  </si>
  <si>
    <t xml:space="preserve">ORD-11391</t>
  </si>
  <si>
    <t xml:space="preserve">ORD-11392</t>
  </si>
  <si>
    <t xml:space="preserve">ORD-11393</t>
  </si>
  <si>
    <t xml:space="preserve">ORD-11394</t>
  </si>
  <si>
    <t xml:space="preserve">ORD-11395</t>
  </si>
  <si>
    <t xml:space="preserve">ORD-11396</t>
  </si>
  <si>
    <t xml:space="preserve">ORD-11397</t>
  </si>
  <si>
    <t xml:space="preserve">ORD-11398</t>
  </si>
  <si>
    <t xml:space="preserve">ORD-11399</t>
  </si>
  <si>
    <t xml:space="preserve">ORD-11400</t>
  </si>
  <si>
    <t xml:space="preserve">ORD-11401</t>
  </si>
  <si>
    <t xml:space="preserve">ORD-11402</t>
  </si>
  <si>
    <t xml:space="preserve">ORD-11403</t>
  </si>
  <si>
    <t xml:space="preserve">ORD-11404</t>
  </si>
  <si>
    <t xml:space="preserve">ORD-11405</t>
  </si>
  <si>
    <t xml:space="preserve">ORD-11406</t>
  </si>
  <si>
    <t xml:space="preserve">ORD-11407</t>
  </si>
  <si>
    <t xml:space="preserve">ORD-11408</t>
  </si>
  <si>
    <t xml:space="preserve">2025-10-09</t>
  </si>
  <si>
    <t xml:space="preserve">ORD-11409</t>
  </si>
  <si>
    <t xml:space="preserve">ORD-11410</t>
  </si>
  <si>
    <t xml:space="preserve">ORD-11411</t>
  </si>
  <si>
    <t xml:space="preserve">ORD-11412</t>
  </si>
  <si>
    <t xml:space="preserve">ORD-11413</t>
  </si>
  <si>
    <t xml:space="preserve">ORD-11414</t>
  </si>
  <si>
    <t xml:space="preserve">ORD-11415</t>
  </si>
  <si>
    <t xml:space="preserve">ORD-11416</t>
  </si>
  <si>
    <t xml:space="preserve">SPANISH LATTE</t>
  </si>
  <si>
    <t xml:space="preserve">ORD-11417</t>
  </si>
  <si>
    <t xml:space="preserve">ORD-11418</t>
  </si>
  <si>
    <t xml:space="preserve">ORD-11419</t>
  </si>
  <si>
    <t xml:space="preserve">ORD-11420</t>
  </si>
  <si>
    <t xml:space="preserve">ORD-11421</t>
  </si>
  <si>
    <t xml:space="preserve">ORD-11422</t>
  </si>
  <si>
    <t xml:space="preserve">ORD-11423</t>
  </si>
  <si>
    <t xml:space="preserve">2025-10-12</t>
  </si>
  <si>
    <t xml:space="preserve">ORD-11424</t>
  </si>
  <si>
    <t xml:space="preserve">ORD-11425</t>
  </si>
  <si>
    <t xml:space="preserve">ORD-11426</t>
  </si>
  <si>
    <t xml:space="preserve">ORD-11427</t>
  </si>
  <si>
    <t xml:space="preserve">ORD-11428</t>
  </si>
  <si>
    <t xml:space="preserve">ORD-11429</t>
  </si>
  <si>
    <t xml:space="preserve">2025-10-13</t>
  </si>
  <si>
    <t xml:space="preserve">ORD-11430</t>
  </si>
  <si>
    <t xml:space="preserve">ORD-11431</t>
  </si>
  <si>
    <t xml:space="preserve">ORD-11432</t>
  </si>
  <si>
    <t xml:space="preserve">10/14/2025</t>
  </si>
  <si>
    <t xml:space="preserve">ORD-11433</t>
  </si>
  <si>
    <t xml:space="preserve">ORD-11434</t>
  </si>
  <si>
    <t xml:space="preserve">ORD-11435</t>
  </si>
  <si>
    <t xml:space="preserve">ORD-11436</t>
  </si>
  <si>
    <t xml:space="preserve">ORD-11437</t>
  </si>
  <si>
    <t xml:space="preserve">ORD-11438</t>
  </si>
  <si>
    <t xml:space="preserve">2025-10-15</t>
  </si>
  <si>
    <t xml:space="preserve">ORD-11439</t>
  </si>
  <si>
    <t xml:space="preserve">ORD-11440</t>
  </si>
  <si>
    <t xml:space="preserve">ORD-11441</t>
  </si>
  <si>
    <t xml:space="preserve">ORD-11442</t>
  </si>
  <si>
    <t xml:space="preserve">ORD-11443</t>
  </si>
  <si>
    <t xml:space="preserve">ORD-11444</t>
  </si>
  <si>
    <t xml:space="preserve">ORD-11445</t>
  </si>
  <si>
    <t xml:space="preserve">ORD-11446</t>
  </si>
  <si>
    <t xml:space="preserve">ORD-11447</t>
  </si>
  <si>
    <t xml:space="preserve">ORD-11448</t>
  </si>
  <si>
    <t xml:space="preserve">ORD-11449</t>
  </si>
  <si>
    <t xml:space="preserve">ORD-11450</t>
  </si>
  <si>
    <t xml:space="preserve">ORD-11451</t>
  </si>
  <si>
    <t xml:space="preserve">ORD-11452</t>
  </si>
  <si>
    <t xml:space="preserve">ORD-11453</t>
  </si>
  <si>
    <t xml:space="preserve">10/17/2025</t>
  </si>
  <si>
    <t xml:space="preserve">ORD-11454</t>
  </si>
  <si>
    <t xml:space="preserve">ORD-11455</t>
  </si>
  <si>
    <t xml:space="preserve">ORD-11456</t>
  </si>
  <si>
    <t xml:space="preserve">ORD-11457</t>
  </si>
  <si>
    <t xml:space="preserve">ORD-11458</t>
  </si>
  <si>
    <t xml:space="preserve">ORD-11459</t>
  </si>
  <si>
    <t xml:space="preserve">ORD-11460</t>
  </si>
  <si>
    <t xml:space="preserve">ORD-11461</t>
  </si>
  <si>
    <t xml:space="preserve">ORD-11462</t>
  </si>
  <si>
    <t xml:space="preserve">ORD-11463</t>
  </si>
  <si>
    <t xml:space="preserve">ORD-11464</t>
  </si>
  <si>
    <t xml:space="preserve">ORD-11465</t>
  </si>
  <si>
    <t xml:space="preserve">ORD-11466</t>
  </si>
  <si>
    <t xml:space="preserve">ORD-11467</t>
  </si>
  <si>
    <t xml:space="preserve">ORD-11468</t>
  </si>
  <si>
    <t xml:space="preserve">ORD-11469</t>
  </si>
  <si>
    <t xml:space="preserve">ORD-11470</t>
  </si>
  <si>
    <t xml:space="preserve">ESPRESSO</t>
  </si>
  <si>
    <t xml:space="preserve">ORD-11471</t>
  </si>
  <si>
    <t xml:space="preserve">ORD-11472</t>
  </si>
  <si>
    <t xml:space="preserve">ORD-11473</t>
  </si>
  <si>
    <t xml:space="preserve">ORD-11474</t>
  </si>
  <si>
    <t xml:space="preserve">ORD-11475</t>
  </si>
  <si>
    <t xml:space="preserve">ORD-11476</t>
  </si>
  <si>
    <t xml:space="preserve">ORD-11477</t>
  </si>
  <si>
    <t xml:space="preserve">ORD-11478</t>
  </si>
  <si>
    <t xml:space="preserve">ORD-11479</t>
  </si>
  <si>
    <t xml:space="preserve">ORD-11480</t>
  </si>
  <si>
    <t xml:space="preserve">ORD-11481</t>
  </si>
  <si>
    <t xml:space="preserve">ORD-11482</t>
  </si>
  <si>
    <t xml:space="preserve">ORD-11483</t>
  </si>
  <si>
    <t xml:space="preserve">meals</t>
  </si>
  <si>
    <t xml:space="preserve">ORD-11484</t>
  </si>
  <si>
    <t xml:space="preserve">ORD-11485</t>
  </si>
  <si>
    <t xml:space="preserve">ORD-11486</t>
  </si>
  <si>
    <t xml:space="preserve">ORD-11487</t>
  </si>
  <si>
    <t xml:space="preserve">ORD-11488</t>
  </si>
  <si>
    <t xml:space="preserve">ORD-11489</t>
  </si>
  <si>
    <t xml:space="preserve">ORD-11490</t>
  </si>
  <si>
    <t xml:space="preserve">ORD-11491</t>
  </si>
  <si>
    <t xml:space="preserve">ORD-11492</t>
  </si>
  <si>
    <t xml:space="preserve">ORD-11493</t>
  </si>
  <si>
    <t xml:space="preserve">ORD-11494</t>
  </si>
  <si>
    <t xml:space="preserve">ORD-11495</t>
  </si>
  <si>
    <t xml:space="preserve">2025-10-25</t>
  </si>
  <si>
    <t xml:space="preserve">ORD-11496</t>
  </si>
  <si>
    <t xml:space="preserve">ORD-11497</t>
  </si>
  <si>
    <t xml:space="preserve">ORD-11498</t>
  </si>
  <si>
    <t xml:space="preserve">ORD-11499</t>
  </si>
  <si>
    <t xml:space="preserve">ORD-11500</t>
  </si>
  <si>
    <t xml:space="preserve">ORD-11501</t>
  </si>
  <si>
    <t xml:space="preserve">ORD-11502</t>
  </si>
  <si>
    <t xml:space="preserve">ORD-11503</t>
  </si>
  <si>
    <t xml:space="preserve">ORD-11504</t>
  </si>
  <si>
    <t xml:space="preserve">ORD-11505</t>
  </si>
  <si>
    <t xml:space="preserve">ORD-11506</t>
  </si>
  <si>
    <t xml:space="preserve">ORD-11507</t>
  </si>
  <si>
    <t xml:space="preserve">ORD-11508</t>
  </si>
  <si>
    <t xml:space="preserve">2025-10-28</t>
  </si>
  <si>
    <t xml:space="preserve">ORD-11509</t>
  </si>
  <si>
    <t xml:space="preserve">ORD-11510</t>
  </si>
  <si>
    <t xml:space="preserve">ORD-11511</t>
  </si>
  <si>
    <t xml:space="preserve">ORD-11512</t>
  </si>
  <si>
    <t xml:space="preserve">ORD-11513</t>
  </si>
  <si>
    <t xml:space="preserve">ORD-11514</t>
  </si>
  <si>
    <t xml:space="preserve">ORD-11515</t>
  </si>
  <si>
    <t xml:space="preserve">ORD-11516</t>
  </si>
  <si>
    <t xml:space="preserve">ORD-11517</t>
  </si>
  <si>
    <t xml:space="preserve">ORD-11518</t>
  </si>
  <si>
    <t xml:space="preserve">ORD-11519</t>
  </si>
  <si>
    <t xml:space="preserve">ORD-11520</t>
  </si>
  <si>
    <t xml:space="preserve">ORD-11521</t>
  </si>
  <si>
    <t xml:space="preserve">ORD-11522</t>
  </si>
  <si>
    <t xml:space="preserve">ORD-11523</t>
  </si>
  <si>
    <t xml:space="preserve">ORD-11524</t>
  </si>
  <si>
    <t xml:space="preserve">ORD-11525</t>
  </si>
  <si>
    <t xml:space="preserve">ORD-11526</t>
  </si>
  <si>
    <t xml:space="preserve">11/01/2025</t>
  </si>
  <si>
    <t xml:space="preserve">ORD-11527</t>
  </si>
  <si>
    <t xml:space="preserve">ORD-11528</t>
  </si>
  <si>
    <t xml:space="preserve">11/02/2025</t>
  </si>
  <si>
    <t xml:space="preserve">ORD-11529</t>
  </si>
  <si>
    <t xml:space="preserve">ORD-11530</t>
  </si>
  <si>
    <t xml:space="preserve">ORD-11531</t>
  </si>
  <si>
    <t xml:space="preserve">ORD-11532</t>
  </si>
  <si>
    <t xml:space="preserve">2025-11-02</t>
  </si>
  <si>
    <t xml:space="preserve">ORD-11533</t>
  </si>
  <si>
    <t xml:space="preserve">ORD-11534</t>
  </si>
  <si>
    <t xml:space="preserve">ORD-11535</t>
  </si>
  <si>
    <t xml:space="preserve">2025-11-03</t>
  </si>
  <si>
    <t xml:space="preserve">ORD-11536</t>
  </si>
  <si>
    <t xml:space="preserve">ORD-11537</t>
  </si>
  <si>
    <t xml:space="preserve">ORD-11538</t>
  </si>
  <si>
    <t xml:space="preserve">ORD-11539</t>
  </si>
  <si>
    <t xml:space="preserve">ORD-11540</t>
  </si>
  <si>
    <t xml:space="preserve">ORD-11541</t>
  </si>
  <si>
    <t xml:space="preserve">ORD-11542</t>
  </si>
  <si>
    <t xml:space="preserve">ORD-11543</t>
  </si>
  <si>
    <t xml:space="preserve">ORD-11544</t>
  </si>
  <si>
    <t xml:space="preserve">ORD-11545</t>
  </si>
  <si>
    <t xml:space="preserve">11/05/2025</t>
  </si>
  <si>
    <t xml:space="preserve">ORD-11546</t>
  </si>
  <si>
    <t xml:space="preserve">ORD-11547</t>
  </si>
  <si>
    <t xml:space="preserve">ORD-11548</t>
  </si>
  <si>
    <t xml:space="preserve">ORD-11549</t>
  </si>
  <si>
    <t xml:space="preserve">ORD-11550</t>
  </si>
  <si>
    <t xml:space="preserve">ORD-11551</t>
  </si>
  <si>
    <t xml:space="preserve">ORD-11552</t>
  </si>
  <si>
    <t xml:space="preserve">ORD-11553</t>
  </si>
  <si>
    <t xml:space="preserve">ORD-11554</t>
  </si>
  <si>
    <t xml:space="preserve">ORD-11555</t>
  </si>
  <si>
    <t xml:space="preserve">ORD-11556</t>
  </si>
  <si>
    <t xml:space="preserve">11/07/2025</t>
  </si>
  <si>
    <t xml:space="preserve">ORD-11557</t>
  </si>
  <si>
    <t xml:space="preserve">ORD-11558</t>
  </si>
  <si>
    <t xml:space="preserve">ORD-11559</t>
  </si>
  <si>
    <t xml:space="preserve">ORD-11560</t>
  </si>
  <si>
    <t xml:space="preserve">ORD-11561</t>
  </si>
  <si>
    <t xml:space="preserve">ORD-11562</t>
  </si>
  <si>
    <t xml:space="preserve">ORD-11563</t>
  </si>
  <si>
    <t xml:space="preserve">ORD-11564</t>
  </si>
  <si>
    <t xml:space="preserve">ORD-11565</t>
  </si>
  <si>
    <t xml:space="preserve">ORD-11566</t>
  </si>
  <si>
    <t xml:space="preserve">ORD-11567</t>
  </si>
  <si>
    <t xml:space="preserve">ORD-11568</t>
  </si>
  <si>
    <t xml:space="preserve">ORD-11569</t>
  </si>
  <si>
    <t xml:space="preserve">ORD-11570</t>
  </si>
  <si>
    <t xml:space="preserve">ORD-11571</t>
  </si>
  <si>
    <t xml:space="preserve">11/13/2025</t>
  </si>
  <si>
    <t xml:space="preserve">ORD-11572</t>
  </si>
  <si>
    <t xml:space="preserve">ORD-11573</t>
  </si>
  <si>
    <t xml:space="preserve">ORD-11574</t>
  </si>
  <si>
    <t xml:space="preserve">ORD-11575</t>
  </si>
  <si>
    <t xml:space="preserve">ORD-11576</t>
  </si>
  <si>
    <t xml:space="preserve">150.00</t>
  </si>
  <si>
    <t xml:space="preserve">ORD-11577</t>
  </si>
  <si>
    <t xml:space="preserve">2025-11-14</t>
  </si>
  <si>
    <t xml:space="preserve">ORD-11578</t>
  </si>
  <si>
    <t xml:space="preserve">ORD-11579</t>
  </si>
  <si>
    <t xml:space="preserve">ORD-11580</t>
  </si>
  <si>
    <t xml:space="preserve">ORD-11581</t>
  </si>
  <si>
    <t xml:space="preserve">ORD-11582</t>
  </si>
  <si>
    <t xml:space="preserve">ORD-11583</t>
  </si>
  <si>
    <t xml:space="preserve">ORD-11584</t>
  </si>
  <si>
    <t xml:space="preserve">ORD-11585</t>
  </si>
  <si>
    <t xml:space="preserve">ORD-11586</t>
  </si>
  <si>
    <t xml:space="preserve">ORD-11587</t>
  </si>
  <si>
    <t xml:space="preserve">ORD-11588</t>
  </si>
  <si>
    <t xml:space="preserve">2025-11-17</t>
  </si>
  <si>
    <t xml:space="preserve">ORD-11589</t>
  </si>
  <si>
    <t xml:space="preserve">ORD-11590</t>
  </si>
  <si>
    <t xml:space="preserve">ORD-11591</t>
  </si>
  <si>
    <t xml:space="preserve">ORD-11592</t>
  </si>
  <si>
    <t xml:space="preserve">ORD-11593</t>
  </si>
  <si>
    <t xml:space="preserve">ORD-11594</t>
  </si>
  <si>
    <t xml:space="preserve">ORD-11595</t>
  </si>
  <si>
    <t xml:space="preserve">2025-11-18</t>
  </si>
  <si>
    <t xml:space="preserve">ORD-11596</t>
  </si>
  <si>
    <t xml:space="preserve">ORD-11597</t>
  </si>
  <si>
    <t xml:space="preserve">ORD-11598</t>
  </si>
  <si>
    <t xml:space="preserve">ORD-11599</t>
  </si>
  <si>
    <t xml:space="preserve">ORD-11600</t>
  </si>
  <si>
    <t xml:space="preserve">ORD-11601</t>
  </si>
  <si>
    <t xml:space="preserve">ORD-11602</t>
  </si>
  <si>
    <t xml:space="preserve">2025-11-20</t>
  </si>
  <si>
    <t xml:space="preserve">ORD-11603</t>
  </si>
  <si>
    <t xml:space="preserve">ORD-11604</t>
  </si>
  <si>
    <t xml:space="preserve">ORD-11605</t>
  </si>
  <si>
    <t xml:space="preserve">ORD-11606</t>
  </si>
  <si>
    <t xml:space="preserve">ORD-11607</t>
  </si>
  <si>
    <t xml:space="preserve">ORD-11608</t>
  </si>
  <si>
    <t xml:space="preserve">ORD-11609</t>
  </si>
  <si>
    <t xml:space="preserve">ORD-11610</t>
  </si>
  <si>
    <t xml:space="preserve">ORD-11611</t>
  </si>
  <si>
    <t xml:space="preserve">ORD-11612</t>
  </si>
  <si>
    <t xml:space="preserve">ORD-11613</t>
  </si>
  <si>
    <t xml:space="preserve">ORD-11614</t>
  </si>
  <si>
    <t xml:space="preserve">ORD-11615</t>
  </si>
  <si>
    <t xml:space="preserve">ORD-11616</t>
  </si>
  <si>
    <t xml:space="preserve">ORD-11617</t>
  </si>
  <si>
    <t xml:space="preserve">ORD-11618</t>
  </si>
  <si>
    <t xml:space="preserve">ORD-11619</t>
  </si>
  <si>
    <t xml:space="preserve">ORD-11620</t>
  </si>
  <si>
    <t xml:space="preserve">ORD-11621</t>
  </si>
  <si>
    <t xml:space="preserve">ORD-11622</t>
  </si>
  <si>
    <t xml:space="preserve">ORD-11623</t>
  </si>
  <si>
    <t xml:space="preserve">11/24/2025</t>
  </si>
  <si>
    <t xml:space="preserve">ORD-11624</t>
  </si>
  <si>
    <t xml:space="preserve">ORD-11625</t>
  </si>
  <si>
    <t xml:space="preserve">ORD-11626</t>
  </si>
  <si>
    <t xml:space="preserve">ORD-11627</t>
  </si>
  <si>
    <t xml:space="preserve">ORD-11628</t>
  </si>
  <si>
    <t xml:space="preserve">ORD-11629</t>
  </si>
  <si>
    <t xml:space="preserve">ORD-11630</t>
  </si>
  <si>
    <t xml:space="preserve">ORD-11631</t>
  </si>
  <si>
    <t xml:space="preserve">ORD-11632</t>
  </si>
  <si>
    <t xml:space="preserve">ORD-11633</t>
  </si>
  <si>
    <t xml:space="preserve">ORD-11634</t>
  </si>
  <si>
    <t xml:space="preserve">ORD-11635</t>
  </si>
  <si>
    <t xml:space="preserve">ORD-11636</t>
  </si>
  <si>
    <t xml:space="preserve">ORD-11637</t>
  </si>
  <si>
    <t xml:space="preserve">ORD-11638</t>
  </si>
  <si>
    <t xml:space="preserve">ORD-11639</t>
  </si>
  <si>
    <t xml:space="preserve">ORD-11640</t>
  </si>
  <si>
    <t xml:space="preserve">2025-11-28</t>
  </si>
  <si>
    <t xml:space="preserve">ORD-11641</t>
  </si>
  <si>
    <t xml:space="preserve">ORD-11642</t>
  </si>
  <si>
    <t xml:space="preserve">ORD-11643</t>
  </si>
  <si>
    <t xml:space="preserve">ORD-11644</t>
  </si>
  <si>
    <t xml:space="preserve">ORD-11645</t>
  </si>
  <si>
    <t xml:space="preserve">11/28/2025</t>
  </si>
  <si>
    <t xml:space="preserve">ORD-11646</t>
  </si>
  <si>
    <t xml:space="preserve">ORD-11647</t>
  </si>
  <si>
    <t xml:space="preserve">Cheesecake Slice </t>
  </si>
  <si>
    <t xml:space="preserve">ORD-11648</t>
  </si>
  <si>
    <t xml:space="preserve">ORD-11649</t>
  </si>
  <si>
    <t xml:space="preserve">ORD-11650</t>
  </si>
  <si>
    <t xml:space="preserve">ORD-11651</t>
  </si>
  <si>
    <t xml:space="preserve">ORD-11652</t>
  </si>
  <si>
    <t xml:space="preserve">ORD-11653</t>
  </si>
  <si>
    <t xml:space="preserve">11/29/2025</t>
  </si>
  <si>
    <t xml:space="preserve">ORD-11654</t>
  </si>
  <si>
    <t xml:space="preserve">ORD-11655</t>
  </si>
  <si>
    <t xml:space="preserve">ORD-11656</t>
  </si>
  <si>
    <t xml:space="preserve">ORD-11657</t>
  </si>
  <si>
    <t xml:space="preserve">ORD-11658</t>
  </si>
  <si>
    <t xml:space="preserve">ORD-11659</t>
  </si>
  <si>
    <t xml:space="preserve">ORD-11660</t>
  </si>
  <si>
    <t xml:space="preserve">ORD-11661</t>
  </si>
  <si>
    <t xml:space="preserve">ORD-11662</t>
  </si>
  <si>
    <t xml:space="preserve">2025-12-02</t>
  </si>
  <si>
    <t xml:space="preserve">ORD-11663</t>
  </si>
  <si>
    <t xml:space="preserve">ORD-11664</t>
  </si>
  <si>
    <t xml:space="preserve">ORD-11665</t>
  </si>
  <si>
    <t xml:space="preserve">ORD-11666</t>
  </si>
  <si>
    <t xml:space="preserve">ORD-11667</t>
  </si>
  <si>
    <t xml:space="preserve">ORD-11668</t>
  </si>
  <si>
    <t xml:space="preserve">ORD-11669</t>
  </si>
  <si>
    <t xml:space="preserve">ORD-11670</t>
  </si>
  <si>
    <t xml:space="preserve">ORD-11671</t>
  </si>
  <si>
    <t xml:space="preserve">ORD-11672</t>
  </si>
  <si>
    <t xml:space="preserve">ORD-11673</t>
  </si>
  <si>
    <t xml:space="preserve">ORD-11674</t>
  </si>
  <si>
    <t xml:space="preserve">ORD-11675</t>
  </si>
  <si>
    <t xml:space="preserve">ORD-11676</t>
  </si>
  <si>
    <t xml:space="preserve">ORD-11677</t>
  </si>
  <si>
    <t xml:space="preserve">ORD-11678</t>
  </si>
  <si>
    <t xml:space="preserve">2025-12-04</t>
  </si>
  <si>
    <t xml:space="preserve">ORD-11679</t>
  </si>
  <si>
    <t xml:space="preserve">ORD-11680</t>
  </si>
  <si>
    <t xml:space="preserve">ORD-11681</t>
  </si>
  <si>
    <t xml:space="preserve">12/05/2025</t>
  </si>
  <si>
    <t xml:space="preserve">ORD-11682</t>
  </si>
  <si>
    <t xml:space="preserve">ORD-11683</t>
  </si>
  <si>
    <t xml:space="preserve">ORD-11684</t>
  </si>
  <si>
    <t xml:space="preserve">ORD-11685</t>
  </si>
  <si>
    <t xml:space="preserve">ORD-11686</t>
  </si>
  <si>
    <t xml:space="preserve">ORD-11687</t>
  </si>
  <si>
    <t xml:space="preserve">ORD-11688</t>
  </si>
  <si>
    <t xml:space="preserve">ORD-11689</t>
  </si>
  <si>
    <t xml:space="preserve">ORD-11690</t>
  </si>
  <si>
    <t xml:space="preserve">ORD-11691</t>
  </si>
  <si>
    <t xml:space="preserve">ORD-11692</t>
  </si>
  <si>
    <t xml:space="preserve">ORD-11693</t>
  </si>
  <si>
    <t xml:space="preserve">ORD-11694</t>
  </si>
  <si>
    <t xml:space="preserve">2025-12-09</t>
  </si>
  <si>
    <t xml:space="preserve">ORD-11695</t>
  </si>
  <si>
    <t xml:space="preserve">ORD-11696</t>
  </si>
  <si>
    <t xml:space="preserve">ORD-11697</t>
  </si>
  <si>
    <t xml:space="preserve">ORD-11698</t>
  </si>
  <si>
    <t xml:space="preserve">ORD-11699</t>
  </si>
  <si>
    <t xml:space="preserve">ORD-11700</t>
  </si>
  <si>
    <t xml:space="preserve">2025-12-10</t>
  </si>
  <si>
    <t xml:space="preserve">ORD-11701</t>
  </si>
  <si>
    <t xml:space="preserve">ORD-11702</t>
  </si>
  <si>
    <t xml:space="preserve">ORD-11703</t>
  </si>
  <si>
    <t xml:space="preserve">ORD-11704</t>
  </si>
  <si>
    <t xml:space="preserve">ORD-11705</t>
  </si>
  <si>
    <t xml:space="preserve">ORD-11706</t>
  </si>
  <si>
    <t xml:space="preserve">ORD-11707</t>
  </si>
  <si>
    <t xml:space="preserve">ORD-11708</t>
  </si>
  <si>
    <t xml:space="preserve">ORD-11709</t>
  </si>
  <si>
    <t xml:space="preserve">ORD-11710</t>
  </si>
  <si>
    <t xml:space="preserve">ORD-11711</t>
  </si>
  <si>
    <t xml:space="preserve">ORD-11712</t>
  </si>
  <si>
    <t xml:space="preserve">ORD-11713</t>
  </si>
  <si>
    <t xml:space="preserve">2025-12-13</t>
  </si>
  <si>
    <t xml:space="preserve">ORD-11714</t>
  </si>
  <si>
    <t xml:space="preserve">ORD-11715</t>
  </si>
  <si>
    <t xml:space="preserve">ORD-11716</t>
  </si>
  <si>
    <t xml:space="preserve">ORD-11717</t>
  </si>
  <si>
    <t xml:space="preserve">pasta</t>
  </si>
  <si>
    <t xml:space="preserve">ORD-11718</t>
  </si>
  <si>
    <t xml:space="preserve">12/13/2025</t>
  </si>
  <si>
    <t xml:space="preserve">ORD-11719</t>
  </si>
  <si>
    <t xml:space="preserve">ORD-11720</t>
  </si>
  <si>
    <t xml:space="preserve">12/14/2025</t>
  </si>
  <si>
    <t xml:space="preserve">ORD-11721</t>
  </si>
  <si>
    <t xml:space="preserve">ORD-11722</t>
  </si>
  <si>
    <t xml:space="preserve">ORD-11723</t>
  </si>
  <si>
    <t xml:space="preserve">ORD-11724</t>
  </si>
  <si>
    <t xml:space="preserve">2025-12-15</t>
  </si>
  <si>
    <t xml:space="preserve">ORD-11725</t>
  </si>
  <si>
    <t xml:space="preserve">ORD-11726</t>
  </si>
  <si>
    <t xml:space="preserve">ORD-11727</t>
  </si>
  <si>
    <t xml:space="preserve">ORD-11728</t>
  </si>
  <si>
    <t xml:space="preserve">ORD-11729</t>
  </si>
  <si>
    <t xml:space="preserve">ORD-11730</t>
  </si>
  <si>
    <t xml:space="preserve">ORD-11731</t>
  </si>
  <si>
    <t xml:space="preserve">ORD-11732</t>
  </si>
  <si>
    <t xml:space="preserve">ORD-11733</t>
  </si>
  <si>
    <t xml:space="preserve">60.00</t>
  </si>
  <si>
    <t xml:space="preserve">ORD-11734</t>
  </si>
  <si>
    <t xml:space="preserve">12/17/2025</t>
  </si>
  <si>
    <t xml:space="preserve">ORD-11735</t>
  </si>
  <si>
    <t xml:space="preserve">ORD-11736</t>
  </si>
  <si>
    <t xml:space="preserve">ORD-11737</t>
  </si>
  <si>
    <t xml:space="preserve">ORD-11738</t>
  </si>
  <si>
    <t xml:space="preserve">ORD-11739</t>
  </si>
  <si>
    <t xml:space="preserve">ORD-11740</t>
  </si>
  <si>
    <t xml:space="preserve">12/19/2025</t>
  </si>
  <si>
    <t xml:space="preserve">ORD-11741</t>
  </si>
  <si>
    <t xml:space="preserve">ORD-11742</t>
  </si>
  <si>
    <t xml:space="preserve">ORD-11743</t>
  </si>
  <si>
    <t xml:space="preserve">ORD-11744</t>
  </si>
  <si>
    <t xml:space="preserve">ORD-11745</t>
  </si>
  <si>
    <t xml:space="preserve">ORD-11746</t>
  </si>
  <si>
    <t xml:space="preserve">ORD-11747</t>
  </si>
  <si>
    <t xml:space="preserve">ORD-11748</t>
  </si>
  <si>
    <t xml:space="preserve">ORD-11749</t>
  </si>
  <si>
    <t xml:space="preserve">ORD-11750</t>
  </si>
  <si>
    <t xml:space="preserve">ORD-11751</t>
  </si>
  <si>
    <t xml:space="preserve">ORD-11752</t>
  </si>
  <si>
    <t xml:space="preserve">2025-12-22</t>
  </si>
  <si>
    <t xml:space="preserve">ORD-11753</t>
  </si>
  <si>
    <t xml:space="preserve">ORD-11754</t>
  </si>
  <si>
    <t xml:space="preserve">ORD-11755</t>
  </si>
  <si>
    <t xml:space="preserve">ORD-11756</t>
  </si>
  <si>
    <t xml:space="preserve">ORD-11757</t>
  </si>
  <si>
    <t xml:space="preserve">ORD-11758</t>
  </si>
  <si>
    <t xml:space="preserve">ORD-11759</t>
  </si>
  <si>
    <t xml:space="preserve">2025-12-23</t>
  </si>
  <si>
    <t xml:space="preserve">ORD-11760</t>
  </si>
  <si>
    <t xml:space="preserve">ORD-11761</t>
  </si>
  <si>
    <t xml:space="preserve">2025-12-24</t>
  </si>
  <si>
    <t xml:space="preserve">ORD-11762</t>
  </si>
  <si>
    <t xml:space="preserve">ORD-11763</t>
  </si>
  <si>
    <t xml:space="preserve">ORD-11764</t>
  </si>
  <si>
    <t xml:space="preserve">ORD-11765</t>
  </si>
  <si>
    <t xml:space="preserve">ORD-11766</t>
  </si>
  <si>
    <t xml:space="preserve">ORD-11767</t>
  </si>
  <si>
    <t xml:space="preserve">ORD-11768</t>
  </si>
  <si>
    <t xml:space="preserve">ORD-11769</t>
  </si>
  <si>
    <t xml:space="preserve">2025-12-26</t>
  </si>
  <si>
    <t xml:space="preserve">ORD-11770</t>
  </si>
  <si>
    <t xml:space="preserve">ORD-11771</t>
  </si>
  <si>
    <t xml:space="preserve">12/26/2025</t>
  </si>
  <si>
    <t xml:space="preserve">ORD-11772</t>
  </si>
  <si>
    <t xml:space="preserve">ORD-11773</t>
  </si>
  <si>
    <t xml:space="preserve">ORD-11774</t>
  </si>
  <si>
    <t xml:space="preserve">ORD-11775</t>
  </si>
  <si>
    <t xml:space="preserve">ORD-11776</t>
  </si>
  <si>
    <t xml:space="preserve">ORD-11777</t>
  </si>
  <si>
    <t xml:space="preserve">ORD-11778</t>
  </si>
  <si>
    <t xml:space="preserve">12/27/2025</t>
  </si>
  <si>
    <t xml:space="preserve">ORD-11779</t>
  </si>
  <si>
    <t xml:space="preserve">ORD-11780</t>
  </si>
  <si>
    <t xml:space="preserve">ORD-11781</t>
  </si>
  <si>
    <t xml:space="preserve">ORD-11782</t>
  </si>
  <si>
    <t xml:space="preserve">ORD-11783</t>
  </si>
  <si>
    <t xml:space="preserve">ORD-11784</t>
  </si>
  <si>
    <t xml:space="preserve">ORD-11785</t>
  </si>
  <si>
    <t xml:space="preserve">ORD-11786</t>
  </si>
  <si>
    <t xml:space="preserve">ORD-11787</t>
  </si>
  <si>
    <t xml:space="preserve">ORD-11788</t>
  </si>
  <si>
    <t xml:space="preserve">ORD-11789</t>
  </si>
  <si>
    <t xml:space="preserve">ORD-11790</t>
  </si>
  <si>
    <t xml:space="preserve">ORD-11791</t>
  </si>
  <si>
    <t xml:space="preserve">ORD-11792</t>
  </si>
  <si>
    <t xml:space="preserve">ORD-11793</t>
  </si>
  <si>
    <t xml:space="preserve">ORD-11794</t>
  </si>
  <si>
    <t xml:space="preserve">ORD-11795</t>
  </si>
  <si>
    <t xml:space="preserve">ORD-11796</t>
  </si>
  <si>
    <t xml:space="preserve">ORD-11797</t>
  </si>
  <si>
    <t xml:space="preserve">ORD-11798</t>
  </si>
  <si>
    <t xml:space="preserve">ORD-11799</t>
  </si>
  <si>
    <t xml:space="preserve">2025-12-31</t>
  </si>
  <si>
    <t xml:space="preserve">ORD-11800</t>
  </si>
  <si>
    <t xml:space="preserve">Step 2 — Inspect the raw data</t>
  </si>
  <si>
    <t xml:space="preserve">Every number on this sheet is a live formula pointing at 1_Raw_Data. Goal: find what is wrong BEFORE cleaning anything.</t>
  </si>
  <si>
    <t xml:space="preserve">A. Dataset shape</t>
  </si>
  <si>
    <t xml:space="preserve">Metric</t>
  </si>
  <si>
    <t xml:space="preserve">Value</t>
  </si>
  <si>
    <t xml:space="preserve">Rows (records)</t>
  </si>
  <si>
    <t xml:space="preserve">Columns (fields)</t>
  </si>
  <si>
    <t xml:space="preserve">Earliest real date</t>
  </si>
  <si>
    <t xml:space="preserve">Ignores dates stored as text</t>
  </si>
  <si>
    <t xml:space="preserve">Latest real date</t>
  </si>
  <si>
    <t xml:space="preserve">B. Missing values by column</t>
  </si>
  <si>
    <t xml:space="preserve">Column</t>
  </si>
  <si>
    <t xml:space="preserve">Blank cells</t>
  </si>
  <si>
    <t xml:space="preserve">% of rows</t>
  </si>
  <si>
    <t xml:space="preserve">Status</t>
  </si>
  <si>
    <t xml:space="preserve">C. Duplicates, formats &amp; invalid values</t>
  </si>
  <si>
    <t xml:space="preserve">Check</t>
  </si>
  <si>
    <t xml:space="preserve">Rows affected</t>
  </si>
  <si>
    <t xml:space="preserve">What it means</t>
  </si>
  <si>
    <t xml:space="preserve">Duplicate records (same Order_ID)</t>
  </si>
  <si>
    <t xml:space="preserve">Extra copies of an order already recorded → double counts revenue</t>
  </si>
  <si>
    <t xml:space="preserve">Dates stored as text</t>
  </si>
  <si>
    <t xml:space="preserve">Text dates cannot be grouped by month/weekday until converted</t>
  </si>
  <si>
    <t xml:space="preserve">Unit price stored as text</t>
  </si>
  <si>
    <t xml:space="preserve">Text numbers are ignored by SUM/AVERAGE</t>
  </si>
  <si>
    <t xml:space="preserve">Negative quantity</t>
  </si>
  <si>
    <t xml:space="preserve">Likely returns or entry errors; not a sale</t>
  </si>
  <si>
    <t xml:space="preserve">Quantity above 20 (outlier)</t>
  </si>
  <si>
    <t xml:space="preserve">Typical order is 1–4 units; 40–100 are implausible typing errors</t>
  </si>
  <si>
    <t xml:space="preserve">D. Numeric ranges (sanity check)</t>
  </si>
  <si>
    <t xml:space="preserve">Field</t>
  </si>
  <si>
    <t xml:space="preserve">Min</t>
  </si>
  <si>
    <t xml:space="preserve">Max</t>
  </si>
  <si>
    <t xml:space="preserve">Average</t>
  </si>
  <si>
    <t xml:space="preserve">Quantity max reveals the outliers; text prices are skipped by these formulas</t>
  </si>
  <si>
    <t xml:space="preserve">E. Inconsistent labels (exact, case- and space-sensitive match)</t>
  </si>
  <si>
    <t xml:space="preserve">The same real-world value is typed several ways. EXACT() counts each spelling separately.</t>
  </si>
  <si>
    <t xml:space="preserve">Spelling found in raw</t>
  </si>
  <si>
    <t xml:space="preserve">Rows</t>
  </si>
  <si>
    <t xml:space="preserve">Length (chars)</t>
  </si>
  <si>
    <t xml:space="preserve">Standardise to</t>
  </si>
  <si>
    <t xml:space="preserve">19 distinct spellings → 4 real values</t>
  </si>
  <si>
    <t xml:space="preserve">16 distinct spellings → 5 real values</t>
  </si>
  <si>
    <t xml:space="preserve">25 distinct spellings → 5 real values</t>
  </si>
  <si>
    <t xml:space="preserve">Product has the same problem (lower/UPPER case and trailing spaces) — handled by the same rule.</t>
  </si>
  <si>
    <t xml:space="preserve">Step 3 — Clean: what was changed and why</t>
  </si>
  <si>
    <t xml:space="preserve">Cleaning was done on a COPY (3b_Clean_Data). 1_Raw_Data is never edited, so every decision is traceable.</t>
  </si>
  <si>
    <t xml:space="preserve">#</t>
  </si>
  <si>
    <t xml:space="preserve">Problem found</t>
  </si>
  <si>
    <t xml:space="preserve">Rule applied</t>
  </si>
  <si>
    <t xml:space="preserve">Why this choice</t>
  </si>
  <si>
    <t xml:space="preserve">Duplicate records</t>
  </si>
  <si>
    <t xml:space="preserve">Kept first copy of each exact duplicate row; deleted the rest</t>
  </si>
  <si>
    <t xml:space="preserve">Duplicates would inflate revenue and order counts</t>
  </si>
  <si>
    <t xml:space="preserve">Inconsistent text labels</t>
  </si>
  <si>
    <t xml:space="preserve">TRIM + case-fold, then mapped every spelling to one standard name (Branch, Payment, Product); Category re-derived from Product</t>
  </si>
  <si>
    <t xml:space="preserve">see 2_Inspect §E</t>
  </si>
  <si>
    <t xml:space="preserve">Grouping needs one spelling per value</t>
  </si>
  <si>
    <t xml:space="preserve">Parsed yyyy-mm-dd and mm/dd/yyyy text into real Excel dates</t>
  </si>
  <si>
    <t xml:space="preserve">see 2_Inspect §C</t>
  </si>
  <si>
    <t xml:space="preserve">Required for month / weekday analysis</t>
  </si>
  <si>
    <t xml:space="preserve">Converted text to numbers</t>
  </si>
  <si>
    <t xml:space="preserve">Text is invisible to SUM</t>
  </si>
  <si>
    <t xml:space="preserve">Missing Unit_Price</t>
  </si>
  <si>
    <t xml:space="preserve">Filled from the standard menu price of that product (see list below)</t>
  </si>
  <si>
    <t xml:space="preserve">Price is fixed per product, so it can be recovered safely</t>
  </si>
  <si>
    <t xml:space="preserve">Missing Discount_Pct</t>
  </si>
  <si>
    <t xml:space="preserve">Set to 0% (no discount recorded)</t>
  </si>
  <si>
    <t xml:space="preserve">see 2_Inspect §B</t>
  </si>
  <si>
    <t xml:space="preserve">A blank discount field most plausibly means none was given</t>
  </si>
  <si>
    <t xml:space="preserve">Missing Payment_Method / Customer_Type</t>
  </si>
  <si>
    <t xml:space="preserve">Labelled "Unknown" and kept</t>
  </si>
  <si>
    <t xml:space="preserve">Row is still a valid sale; dropping would lose revenue</t>
  </si>
  <si>
    <t xml:space="preserve">Missing Quantity</t>
  </si>
  <si>
    <t xml:space="preserve">Row removed</t>
  </si>
  <si>
    <t xml:space="preserve">Revenue cannot be calculated; guessing would bias results</t>
  </si>
  <si>
    <t xml:space="preserve">Negative Quantity</t>
  </si>
  <si>
    <t xml:space="preserve">Treated as returns / entry errors, not sales</t>
  </si>
  <si>
    <t xml:space="preserve">Quantity outliers (&gt;20)</t>
  </si>
  <si>
    <t xml:space="preserve">40–100 units per order is implausible for a café order</t>
  </si>
  <si>
    <t xml:space="preserve">Rows-affected counts for steps 1, 5, 8, 9, 10 were measured in the order shown (after earlier steps), so they can differ slightly from the before-cleaning counts on 2_Inspect.</t>
  </si>
  <si>
    <t xml:space="preserve">Reconciliation (must balance)</t>
  </si>
  <si>
    <t xml:space="preserve">Raw rows</t>
  </si>
  <si>
    <t xml:space="preserve">Rows removed (steps 1, 8, 9, 10)</t>
  </si>
  <si>
    <t xml:space="preserve">Expected clean rows</t>
  </si>
  <si>
    <t xml:space="preserve">Actual rows in 3b_Clean_Data</t>
  </si>
  <si>
    <t xml:space="preserve">% of raw data discarded</t>
  </si>
  <si>
    <t xml:space="preserve">Standard menu price list (used for step 5)</t>
  </si>
  <si>
    <t xml:space="preserve">Std price (₱)</t>
  </si>
  <si>
    <t xml:space="preserve">Blue = hard-coded input. Prices are assumed menu prices for this simulated café.</t>
  </si>
  <si>
    <t xml:space="preserve">New calculated columns added in 3b_Clean_Data (L–T)</t>
  </si>
  <si>
    <t xml:space="preserve">• Gross_Sales = Quantity × Unit_Price</t>
  </si>
  <si>
    <t xml:space="preserve">• Discount_Amt = Gross_Sales × Discount_Pct</t>
  </si>
  <si>
    <t xml:space="preserve">• Net_Revenue = Gross_Sales − Discount_Amt  (the main measure used everywhere)</t>
  </si>
  <si>
    <t xml:space="preserve">• Month_No / Month, Weekday, Day_Type, Time_Slot, Season derived from Order_Date and Hour</t>
  </si>
  <si>
    <t xml:space="preserve">Gross_Sales</t>
  </si>
  <si>
    <t xml:space="preserve">Discount_Amt</t>
  </si>
  <si>
    <t xml:space="preserve">Net_Revenue</t>
  </si>
  <si>
    <t xml:space="preserve">Month_No</t>
  </si>
  <si>
    <t xml:space="preserve">Weekday</t>
  </si>
  <si>
    <t xml:space="preserve">Day_Type</t>
  </si>
  <si>
    <t xml:space="preserve">Time_Slot</t>
  </si>
  <si>
    <t xml:space="preserve">Season</t>
  </si>
  <si>
    <t xml:space="preserve">Month</t>
  </si>
  <si>
    <t xml:space="preserve">Unknown</t>
  </si>
  <si>
    <t xml:space="preserve">Step 4 — Calculate: headline KPIs</t>
  </si>
  <si>
    <t xml:space="preserve">All formulas read 3b_Clean_Data. Currency is Philippine peso (₱).</t>
  </si>
  <si>
    <t xml:space="preserve">KPI</t>
  </si>
  <si>
    <t xml:space="preserve">How it is calculated</t>
  </si>
  <si>
    <t xml:space="preserve">Transactions</t>
  </si>
  <si>
    <t xml:space="preserve">Count of Order_IDs</t>
  </si>
  <si>
    <t xml:space="preserve">Units sold</t>
  </si>
  <si>
    <t xml:space="preserve">Sum of Quantity</t>
  </si>
  <si>
    <t xml:space="preserve">Gross sales</t>
  </si>
  <si>
    <t xml:space="preserve">Quantity × Unit_Price, before discounts</t>
  </si>
  <si>
    <t xml:space="preserve">Total discounts given</t>
  </si>
  <si>
    <t xml:space="preserve">Gross sales × Discount_Pct</t>
  </si>
  <si>
    <t xml:space="preserve">Gross sales − discounts</t>
  </si>
  <si>
    <t xml:space="preserve">Discounts ÷ Gross sales</t>
  </si>
  <si>
    <t xml:space="preserve">Average order value (AOV)</t>
  </si>
  <si>
    <t xml:space="preserve">Net revenue ÷ Transactions</t>
  </si>
  <si>
    <t xml:space="preserve">Median order value</t>
  </si>
  <si>
    <t xml:space="preserve">Middle transaction (resists outliers)</t>
  </si>
  <si>
    <t xml:space="preserve">Std deviation of order value</t>
  </si>
  <si>
    <t xml:space="preserve">How spread out order values are</t>
  </si>
  <si>
    <t xml:space="preserve">Largest order</t>
  </si>
  <si>
    <t xml:space="preserve">Max Net_Revenue</t>
  </si>
  <si>
    <t xml:space="preserve">Smallest order</t>
  </si>
  <si>
    <t xml:space="preserve">Min Net_Revenue</t>
  </si>
  <si>
    <t xml:space="preserve">Units per transaction</t>
  </si>
  <si>
    <t xml:space="preserve">Units ÷ Transactions</t>
  </si>
  <si>
    <t xml:space="preserve">Net revenue per unit</t>
  </si>
  <si>
    <t xml:space="preserve">Average realised price after discount</t>
  </si>
  <si>
    <t xml:space="preserve">Share of transactions with a discount</t>
  </si>
  <si>
    <t xml:space="preserve">Rows where Discount_Pct &gt; 0</t>
  </si>
  <si>
    <t xml:space="preserve">Days in analysis period (input)</t>
  </si>
  <si>
    <t xml:space="preserve">Calendar year 2025 (input)</t>
  </si>
  <si>
    <t xml:space="preserve">Average net revenue per day (all branches)</t>
  </si>
  <si>
    <t xml:space="preserve">Net revenue ÷ days in period</t>
  </si>
  <si>
    <t xml:space="preserve">Distribution of units per transaction</t>
  </si>
  <si>
    <t xml:space="preserve">Units in order</t>
  </si>
  <si>
    <t xml:space="preserve">Share</t>
  </si>
  <si>
    <t xml:space="preserve">Mean (AOV) is well above the median: a few large meal orders pull the average up, so the typical order is smaller than the AOV suggests.</t>
  </si>
  <si>
    <t xml:space="preserve">Step 5 — Group: slicing the business by one dimension at a time</t>
  </si>
  <si>
    <t xml:space="preserve">Each table is SUMIFS / COUNTIFS on 3b_Clean_Data. Share = row revenue ÷ total net revenue.</t>
  </si>
  <si>
    <t xml:space="preserve">A. By branch</t>
  </si>
  <si>
    <t xml:space="preserve">Units</t>
  </si>
  <si>
    <t xml:space="preserve">% of revenue</t>
  </si>
  <si>
    <t xml:space="preserve">AOV</t>
  </si>
  <si>
    <t xml:space="preserve">Total</t>
  </si>
  <si>
    <t xml:space="preserve">B. By category</t>
  </si>
  <si>
    <t xml:space="preserve">C. By product (sorted by revenue at build time)</t>
  </si>
  <si>
    <t xml:space="preserve">D. By 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</si>
  <si>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</si>
  <si>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</si>
  <si>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</si>
  <si>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</si>
  <si>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</si>
  <si>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</si>
  <si>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</si>
  <si>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</si>
  <si>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</si>
  <si>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</si>
  <si>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</si>
  <si>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</si>
  <si>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E. By weekday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</si>
  <si>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</si>
  <si>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</si>
  <si>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</si>
  <si>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</si>
  <si>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</si>
  <si>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</si>
  <si>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</si>
  <si>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F. By time slot</t>
  </si>
  <si>
    <t xml:space="preserve">Time slot</t>
  </si>
  <si>
    <t xml:space="preserve">Morning (7-10)</t>
  </si>
  <si>
    <t xml:space="preserve">Lunch (11-13)</t>
  </si>
  <si>
    <t xml:space="preserve">Afternoon (14-17)</t>
  </si>
  <si>
    <t xml:space="preserve">Evening (18-20)</t>
  </si>
  <si>
    <t xml:space="preserve">G. By hour of day</t>
  </si>
  <si>
    <t xml:space="preserve">H. By payment method</t>
  </si>
  <si>
    <t xml:space="preserve">Payment</t>
  </si>
  <si>
    <t xml:space="preserve">I. By customer type</t>
  </si>
  <si>
    <t xml:space="preserve">Customer type</t>
  </si>
  <si>
    <t xml:space="preserve">J. Monthly net revenue by category (feeds the seasonality chart)</t>
  </si>
  <si>
    <t xml:space="preserve">Step 6 — Compare: which groups outperform, and by how much?</t>
  </si>
  <si>
    <t xml:space="preserve">Side-by-side comparisons using the groups from step 5. Index = group value ÷ company average (100% = average).</t>
  </si>
  <si>
    <t xml:space="preserve">A. Branch scorecard</t>
  </si>
  <si>
    <t xml:space="preserve">Units / txn</t>
  </si>
  <si>
    <t xml:space="preserve">AOV vs company avg</t>
  </si>
  <si>
    <t xml:space="preserve">Revenue rank</t>
  </si>
  <si>
    <t xml:space="preserve">B. Weekday vs weekend (fair comparison = revenue PER DAY)</t>
  </si>
  <si>
    <t xml:space="preserve">Day type</t>
  </si>
  <si>
    <t xml:space="preserve">Calendar days</t>
  </si>
  <si>
    <t xml:space="preserve">Revenue / day</t>
  </si>
  <si>
    <t xml:space="preserve">Txns / day</t>
  </si>
  <si>
    <t xml:space="preserve">Weekend</t>
  </si>
  <si>
    <t xml:space="preserve">Weekend revenue/day vs weekday</t>
  </si>
  <si>
    <t xml:space="preserve">Weekdays counted with NETWORKDAYS (no holidays removed).</t>
  </si>
  <si>
    <t xml:space="preserve">C. Discounted vs full-price transactions</t>
  </si>
  <si>
    <t xml:space="preserve">Share of txns</t>
  </si>
  <si>
    <t xml:space="preserve">Net rev / unit</t>
  </si>
  <si>
    <t xml:space="preserve">Full price</t>
  </si>
  <si>
    <t xml:space="preserve">Discounted</t>
  </si>
  <si>
    <t xml:space="preserve">Unit uplift achieved by discount</t>
  </si>
  <si>
    <t xml:space="preserve">Unit uplift NEEDED to match full-price AOV</t>
  </si>
  <si>
    <t xml:space="preserve">Calc: (full-price AOV ÷ discounted net rev per unit) ÷ full-price units per txn − 1</t>
  </si>
  <si>
    <t xml:space="preserve">Caveat: discounted and full-price orders also differ in product mix, so this is a pointer, not proof.</t>
  </si>
  <si>
    <t xml:space="preserve">D. Discount depth</t>
  </si>
  <si>
    <t xml:space="preserve">Discount</t>
  </si>
  <si>
    <t xml:space="preserve">E. Customer type</t>
  </si>
  <si>
    <t xml:space="preserve">F. Season × category: share of each season’s revenue</t>
  </si>
  <si>
    <t xml:space="preserve">Season revenue</t>
  </si>
  <si>
    <t xml:space="preserve">Cool Dry (Dec-Feb)</t>
  </si>
  <si>
    <t xml:space="preserve">Hot Dry (Mar-May)</t>
  </si>
  <si>
    <t xml:space="preserve">Rainy (Jun-Nov)</t>
  </si>
  <si>
    <t xml:space="preserve">G. Branch × category: share of each branch’s revenue</t>
  </si>
  <si>
    <t xml:space="preserve">H. Branch × time slot: share of each branch’s transactions</t>
  </si>
  <si>
    <t xml:space="preserve">I. Branch revenue per day: weekday vs weekend</t>
  </si>
  <si>
    <t xml:space="preserve">Weekday rev / day</t>
  </si>
  <si>
    <t xml:space="preserve">Weekend rev / day</t>
  </si>
  <si>
    <t xml:space="preserve">Weekend vs weekday</t>
  </si>
  <si>
    <t xml:space="preserve">Step 7 — Visualize</t>
  </si>
  <si>
    <t xml:space="preserve">Charts read live from 5_Group and 6_Compare, so they update if the data changes.</t>
  </si>
  <si>
    <t xml:space="preserve">Step 8 — Interpret: what do the numbers say?</t>
  </si>
  <si>
    <t xml:space="preserve">Each finding states the pattern, quotes the evidence (live formula) and explains why it matters.</t>
  </si>
  <si>
    <t xml:space="preserve">Finding</t>
  </si>
  <si>
    <t xml:space="preserve">What the data shows &amp; what it means</t>
  </si>
  <si>
    <t xml:space="preserve">Evidence</t>
  </si>
  <si>
    <t xml:space="preserve">Evidence source</t>
  </si>
  <si>
    <t xml:space="preserve">Revenue is concentrated in two branches</t>
  </si>
  <si>
    <t xml:space="preserve">BGC and Makati bring in 62% of net revenue. BGC leads on both volume (607 transactions) and ticket size (AOV ₱232 vs company ₱224). Makati has the 2nd-highest revenue but the LOWEST AOV (₱214), so its traffic is not being monetised as well.</t>
  </si>
  <si>
    <t xml:space="preserve">BGC share of net revenue (6_Compare §A)</t>
  </si>
  <si>
    <t xml:space="preserve">Strong, predictable seasonality in drinks</t>
  </si>
  <si>
    <t xml:space="preserve">Iced coffee is 45% of revenue in the hot dry months (Mar–May) but only 24% in Dec–Feb, peaking in May (₱19,748). Hot coffee flips: 32% of rainy-season revenue vs 11% in the hot months, peaking in Aug. Weather drives what customers order.</t>
  </si>
  <si>
    <t xml:space="preserve">Iced share of Mar–May revenue (6_Compare §F)</t>
  </si>
  <si>
    <t xml:space="preserve">Meals earn the most per order; pastries the least</t>
  </si>
  <si>
    <t xml:space="preserve">A meal order averages ₱309, almost double a pastry order (₱163). Yet meals are only 11% of transactions. Iced coffee is the biggest revenue category (32%). Pastries are cheap add-ons, so the opportunity is attaching them to drink orders.</t>
  </si>
  <si>
    <t xml:space="preserve">Meals AOV (5_Group §B)</t>
  </si>
  <si>
    <t xml:space="preserve">Discounts are not paying for themselves</t>
  </si>
  <si>
    <t xml:space="preserve">50% of transactions carry a discount and the average discount rate is 4.6% (₱19,112 given away). Discounted orders contain only 3.1% more units than full-price orders, but would need about 13% more just to match full-price AOV (₱234 vs ₱214). Product mix differs, so treat this as a strong signal, not proof.</t>
  </si>
  <si>
    <t xml:space="preserve">Unit uplift achieved (6_Compare §C)</t>
  </si>
  <si>
    <t xml:space="preserve">Demand has three clear peaks</t>
  </si>
  <si>
    <t xml:space="preserve">Morning (7–10h) is the busiest slot with 34% of revenue, followed by afternoon (28%) and lunch (28%). The 12:00 hour is the single busiest (221 transactions); 8:00 and 9:00 follow. Evening (18–20h) delivers just 10%, so late opening hours are low value.</t>
  </si>
  <si>
    <t xml:space="preserve">Evening share of revenue (5_Group §F)</t>
  </si>
  <si>
    <t xml:space="preserve">Weekends are softer per day overall</t>
  </si>
  <si>
    <t xml:space="preserve">Per calendar day, weekends bring ₱944 vs ₱1,135 on weekdays (-17%). Ticket size is almost identical, so the gap is traffic. Branch pattern (6_Compare §I): Quezon City earns about 71% more per day on weekends, while Makati falls 43% and the other business-district branches also dip.</t>
  </si>
  <si>
    <t xml:space="preserve">Weekend vs weekday revenue/day (6_Compare §B)</t>
  </si>
  <si>
    <t xml:space="preserve">Customer segments differ in value</t>
  </si>
  <si>
    <t xml:space="preserve">Office customers spend the most per order (₱240), students the least among identified groups (₱208), and students already get a standing 10% discount. Regulars (5% loyalty discount) average ₱215, below the company average.</t>
  </si>
  <si>
    <t xml:space="preserve">Office AOV vs company average (6_Compare §E)</t>
  </si>
  <si>
    <t xml:space="preserve">Data quality was a real problem</t>
  </si>
  <si>
    <t xml:space="preserve">73 of 1836 raw rows (4.0%) had to be removed, and many more needed fixing (mixed spellings, text dates, blanks). Without cleaning, duplicates would have inflated revenue and text dates would have broken every monthly chart.</t>
  </si>
  <si>
    <t xml:space="preserve">Share of raw rows discarded (3a_Cleaning_Log)</t>
  </si>
  <si>
    <t xml:space="preserve">Limitations</t>
  </si>
  <si>
    <t xml:space="preserve">• The data is SIMULATED for this exercise (≈1,800 transactions across 4 branches in 2025); real conclusions need real POS data.</t>
  </si>
  <si>
    <t xml:space="preserve">• Each row is one product per order, so basket-level effects (drink + pastry together) cannot be measured.</t>
  </si>
  <si>
    <t xml:space="preserve">• Comparisons show association, not cause (e.g. discounted orders also differ in product mix).</t>
  </si>
  <si>
    <t xml:space="preserve">• Weekday/weekend day counts ignore public holidays.</t>
  </si>
  <si>
    <t xml:space="preserve">Step 9 — Recommend: what should the café do?</t>
  </si>
  <si>
    <t xml:space="preserve">Each action is tied to a finding on 8_Interpret and has a metric so the result can be measured.</t>
  </si>
  <si>
    <t xml:space="preserve">Action</t>
  </si>
  <si>
    <t xml:space="preserve">What to do and why</t>
  </si>
  <si>
    <t xml:space="preserve">Priority</t>
  </si>
  <si>
    <t xml:space="preserve">Based on finding</t>
  </si>
  <si>
    <t xml:space="preserve">Success metric to track</t>
  </si>
  <si>
    <t xml:space="preserve">Rework the discount policy</t>
  </si>
  <si>
    <t xml:space="preserve">Stop blanket 15–20% promos. Cap discounts at 10%, and aim them at slow periods (10–11h, 14–15h, 18–20h) and at add-on items rather than the whole order. Discounts today reduce AOV without lifting units enough to compensate.</t>
  </si>
  <si>
    <t xml:space="preserve">High</t>
  </si>
  <si>
    <t xml:space="preserve">Finding #4</t>
  </si>
  <si>
    <t xml:space="preserve">AOV of discounted vs full-price orders; discount rate (target ↓)</t>
  </si>
  <si>
    <t xml:space="preserve">Plan menu and stock by season</t>
  </si>
  <si>
    <t xml:space="preserve">Raise iced-drink stock, cold-brew prep and iced promotions from late Feb to May; shift to hot-drink and cosy-pastry promotion in the rainy season (Jun–Sep) and Dec–Feb. Pre-order ingredients one month ahead of each peak.</t>
  </si>
  <si>
    <t xml:space="preserve">Finding #2</t>
  </si>
  <si>
    <t xml:space="preserve">Waste %, stock-outs in peak months, iced/hot revenue vs same month</t>
  </si>
  <si>
    <t xml:space="preserve">Launch a drink + pastry combo</t>
  </si>
  <si>
    <t xml:space="preserve">Pastry orders average only about ₱163. Offer a fixed-price drink + pastry bundle (e.g. at a small saving versus buying separately) at the till and on the menu board, to raise units per transaction.</t>
  </si>
  <si>
    <t xml:space="preserve">Finding #3</t>
  </si>
  <si>
    <t xml:space="preserve">Units per transaction; pastry attach rate; AOV</t>
  </si>
  <si>
    <t xml:space="preserve">Match staffing to the three peaks</t>
  </si>
  <si>
    <t xml:space="preserve">Schedule the strongest team 7–10h, 12–13h and 16–17h. Run a leaner crew after 18h, or trial earlier closing at the lowest-volume branches.</t>
  </si>
  <si>
    <t xml:space="preserve">Medium</t>
  </si>
  <si>
    <t xml:space="preserve">Finding #5</t>
  </si>
  <si>
    <t xml:space="preserve">Average wait time; labour cost as % of revenue</t>
  </si>
  <si>
    <t xml:space="preserve">Fix Makati’s low ticket size</t>
  </si>
  <si>
    <t xml:space="preserve">Makati has traffic but the lowest AOV. Train staff to suggest upsizes and meals at lunch, and feature meal combos for office customers who already spend more.</t>
  </si>
  <si>
    <t xml:space="preserve">Finding #1</t>
  </si>
  <si>
    <t xml:space="preserve">Makati AOV vs company average (target: close the gap)</t>
  </si>
  <si>
    <t xml:space="preserve">Build weekend traffic for office branches</t>
  </si>
  <si>
    <t xml:space="preserve">Weekend revenue per day trails weekdays. Test a weekend-only offer (e.g. loyalty double-points) at Makati/Ortigas and student bundles at Quezon City, where weekends are strongest.</t>
  </si>
  <si>
    <t xml:space="preserve">Finding #6</t>
  </si>
  <si>
    <t xml:space="preserve">Weekend revenue per day; new loyalty sign-ups</t>
  </si>
  <si>
    <t xml:space="preserve">Protect the premium segments</t>
  </si>
  <si>
    <t xml:space="preserve">Office customers have the highest AOV: offer corporate/bulk order options. Review the permanent student 10% and regular 5% discounts, since both segments sit below average spend.</t>
  </si>
  <si>
    <t xml:space="preserve">Low</t>
  </si>
  <si>
    <t xml:space="preserve">Finding #7</t>
  </si>
  <si>
    <t xml:space="preserve">AOV by customer type; repeat visit rate</t>
  </si>
  <si>
    <t xml:space="preserve">Stop bad data at the source</t>
  </si>
  <si>
    <t xml:space="preserve">Replace free-text fields in the POS with dropdowns for Branch, Product and Payment; lock Date format; make Quantity mandatory with a max of 20. This removes the cleaning burden found in step 3.</t>
  </si>
  <si>
    <t xml:space="preserve">Finding #8</t>
  </si>
  <si>
    <t xml:space="preserve">% of rows needing correction (target &lt; 1%)</t>
  </si>
  <si>
    <t xml:space="preserve">Suggested next step: run the discount and combo changes as a 4-week test in 2 branches, keep 2 as controls, and compare AOV and units per transaction.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</si>
</sst>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₱#,##0;&quot;(₱&quot;#,##0\);\-"/>
    <numFmt numFmtId="166" formatCode="#,##0"/>
    <numFmt numFmtId="167" formatCode="\₱#,##0.00;&quot;(₱&quot;#,##0.00\);\-"/>
    <numFmt numFmtId="168" formatCode="0.0%"/>
    <numFmt numFmtId="169" formatCode="yyyy\-mm\-dd"/>
    <numFmt numFmtId="170" formatCode="0%"/>
    <numFmt numFmtId="171" formatCode="0.0"/>
    <numFmt numFmtId="172" formatCode="0.00"/>
    <numFmt numFmtId="173" formatCode="0"/>
    <numFmt numFmtId="174" formatCode="#,##0.00"/>
    <numFmt numFmtId="175" formatCode="\+0.0%;\-0.0%;0.0%"/>
    <numFmt numFmtId="176" formatCode="\+0.0%;\-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B2E1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4B2E1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6B8E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B2E1F"/>
        <bgColor rgb="FF333300"/>
      </patternFill>
    </fill>
    <fill>
      <patternFill patternType="solid">
        <fgColor rgb="FF6B8E23"/>
        <bgColor rgb="FF878787"/>
      </patternFill>
    </fill>
    <fill>
      <patternFill patternType="solid">
        <fgColor rgb="FFF5EBDD"/>
        <bgColor rgb="FFFFFFFF"/>
      </patternFill>
    </fill>
    <fill>
      <patternFill patternType="solid">
        <fgColor rgb="FFF4B183"/>
        <bgColor rgb="FFF8CBAD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BB8"/>
      </left>
      <right style="thin">
        <color rgb="FFD9CBB8"/>
      </right>
      <top style="thin">
        <color rgb="FFD9CBB8"/>
      </top>
      <bottom style="thin">
        <color rgb="FFD9CB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6" fontId="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B2E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AD"/>
        </patternFill>
      </fill>
    </dxf>
    <dxf>
      <fill>
        <patternFill patternType="solid">
          <fgColor rgb="FF6B8E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8E23"/>
      <rgbColor rgb="FF800080"/>
      <rgbColor rgb="FF008080"/>
      <rgbColor rgb="FFD9CBB8"/>
      <rgbColor rgb="FF878787"/>
      <rgbColor rgb="FF9999FF"/>
      <rgbColor rgb="FF8B5A9B"/>
      <rgbColor rgb="FFF5EBD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D2691E"/>
      <rgbColor rgb="FF666666"/>
      <rgbColor rgb="FFC8A27A"/>
      <rgbColor rgb="FF003366"/>
      <rgbColor rgb="FF4682B4"/>
      <rgbColor rgb="FF003300"/>
      <rgbColor rgb="FF333300"/>
      <rgbColor rgb="FFA0522D"/>
      <rgbColor rgb="FF8B5A2B"/>
      <rgbColor rgb="FF333399"/>
      <rgbColor rgb="FF4B2E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branch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5_Group!D5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b2e1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5_Group!$A$6:$A$9</c:f>
              <c:strCache>
                <c:ptCount val="4"/>
                <c:pt idx="0">
                  <c:v>BGC</c:v>
                </c:pt>
                <c:pt idx="1">
                  <c:v>Makati</c:v>
                </c:pt>
                <c:pt idx="2">
                  <c:v>Ortigas</c:v>
                </c:pt>
                <c:pt idx="3">
                  <c:v>Quezon City</c:v>
                </c:pt>
              </c:strCache>
            </c:strRef>
          </c:cat>
          <c:val>
            <c:numRef>
              <c:f>5_Group!$D$6:$D$9</c:f>
              <c:numCache>
                <c:formatCode>\₱#,##0;"(₱"#,##0\);\-</c:formatCode>
                <c:ptCount val="4"/>
                <c:pt idx="0">
                  <c:v>140875.5</c:v>
                </c:pt>
                <c:pt idx="1">
                  <c:v>105319.25</c:v>
                </c:pt>
                <c:pt idx="2">
                  <c:v>79713.5</c:v>
                </c:pt>
                <c:pt idx="3">
                  <c:v>68520</c:v>
                </c:pt>
              </c:numCache>
            </c:numRef>
          </c:val>
        </c:ser>
        <c:gapWidth val="150"/>
        <c:overlap val="0"/>
        <c:axId val="81867863"/>
        <c:axId val="4637923"/>
      </c:barChart>
      <c:catAx>
        <c:axId val="8186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37923"/>
        <c:crosses val="autoZero"/>
        <c:auto val="1"/>
        <c:lblAlgn val="ctr"/>
        <c:lblOffset val="100"/>
        <c:noMultiLvlLbl val="0"/>
      </c:catAx>
      <c:valAx>
        <c:axId val="46379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8678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revenue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5_Group!D47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b2e1f"/>
            </a:solidFill>
            <a:ln w="28080">
              <a:solidFill>
                <a:srgbClr val="4b2e1f"/>
              </a:solidFill>
              <a:round/>
            </a:ln>
          </c:spPr>
          <c:marker>
            <c:symbol val="circle"/>
            <c:size val="5"/>
            <c:spPr>
              <a:solidFill>
                <a:srgbClr val="4b2e1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5_Group!$A$48:$A$59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5_Group!$D$48:$D$59</c:f>
              <c:numCache>
                <c:formatCode>\₱#,##0;"(₱"#,##0\);\-</c:formatCode>
                <c:ptCount val="12"/>
                <c:pt idx="0">
                  <c:v>33905</c:v>
                </c:pt>
                <c:pt idx="1">
                  <c:v>24825.75</c:v>
                </c:pt>
                <c:pt idx="2">
                  <c:v>31207.75</c:v>
                </c:pt>
                <c:pt idx="3">
                  <c:v>34946</c:v>
                </c:pt>
                <c:pt idx="4">
                  <c:v>41757.75</c:v>
                </c:pt>
                <c:pt idx="5">
                  <c:v>35224.25</c:v>
                </c:pt>
                <c:pt idx="6">
                  <c:v>32068.75</c:v>
                </c:pt>
                <c:pt idx="7">
                  <c:v>41124.5</c:v>
                </c:pt>
                <c:pt idx="8">
                  <c:v>29221.5</c:v>
                </c:pt>
                <c:pt idx="9">
                  <c:v>31263.25</c:v>
                </c:pt>
                <c:pt idx="10">
                  <c:v>27723.75</c:v>
                </c:pt>
                <c:pt idx="11">
                  <c:v>31160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689779"/>
        <c:axId val="46666942"/>
      </c:lineChart>
      <c:catAx>
        <c:axId val="216897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666942"/>
        <c:crosses val="autoZero"/>
        <c:auto val="1"/>
        <c:lblAlgn val="ctr"/>
        <c:lblOffset val="100"/>
        <c:noMultiLvlLbl val="0"/>
      </c:catAx>
      <c:valAx>
        <c:axId val="466669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897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category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5_Group!D14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c8a27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5_Group!$A$15:$A$19</c:f>
              <c:strCache>
                <c:ptCount val="5"/>
                <c:pt idx="0">
                  <c:v>Iced Coffee</c:v>
                </c:pt>
                <c:pt idx="1">
                  <c:v>Hot Coffee</c:v>
                </c:pt>
                <c:pt idx="2">
                  <c:v>Meals</c:v>
                </c:pt>
                <c:pt idx="3">
                  <c:v>Non-Coffee</c:v>
                </c:pt>
                <c:pt idx="4">
                  <c:v>Pastry</c:v>
                </c:pt>
              </c:strCache>
            </c:strRef>
          </c:cat>
          <c:val>
            <c:numRef>
              <c:f>5_Group!$D$15:$D$19</c:f>
              <c:numCache>
                <c:formatCode>\₱#,##0;"(₱"#,##0\);\-</c:formatCode>
                <c:ptCount val="5"/>
                <c:pt idx="0">
                  <c:v>128045</c:v>
                </c:pt>
                <c:pt idx="1">
                  <c:v>102429.5</c:v>
                </c:pt>
                <c:pt idx="2">
                  <c:v>61727</c:v>
                </c:pt>
                <c:pt idx="3">
                  <c:v>52605</c:v>
                </c:pt>
                <c:pt idx="4">
                  <c:v>49621.75</c:v>
                </c:pt>
              </c:numCache>
            </c:numRef>
          </c:val>
        </c:ser>
        <c:gapWidth val="150"/>
        <c:overlap val="0"/>
        <c:axId val="70964560"/>
        <c:axId val="63419901"/>
      </c:barChart>
      <c:catAx>
        <c:axId val="7096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19901"/>
        <c:crosses val="autoZero"/>
        <c:auto val="1"/>
        <c:lblAlgn val="ctr"/>
        <c:lblOffset val="100"/>
        <c:noMultiLvlLbl val="0"/>
      </c:catAx>
      <c:valAx>
        <c:axId val="634199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9645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Seasonality: Hot vs Iced Coffee revenue by month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5_Group!B125</c:f>
              <c:strCache>
                <c:ptCount val="1"/>
                <c:pt idx="0">
                  <c:v>Hot Coffee</c:v>
                </c:pt>
              </c:strCache>
            </c:strRef>
          </c:tx>
          <c:spPr>
            <a:solidFill>
              <a:srgbClr val="a0522d"/>
            </a:solidFill>
            <a:ln w="28080">
              <a:solidFill>
                <a:srgbClr val="a0522d"/>
              </a:solidFill>
              <a:round/>
            </a:ln>
          </c:spPr>
          <c:marker>
            <c:symbol val="circle"/>
            <c:size val="5"/>
            <c:spPr>
              <a:solidFill>
                <a:srgbClr val="a0522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5_Group!$A$126:$A$137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5_Group!$B$126:$B$137</c:f>
              <c:numCache>
                <c:formatCode>\₱#,##0;"(₱"#,##0\);\-</c:formatCode>
                <c:ptCount val="12"/>
                <c:pt idx="0">
                  <c:v>9605.5</c:v>
                </c:pt>
                <c:pt idx="1">
                  <c:v>9157.5</c:v>
                </c:pt>
                <c:pt idx="2">
                  <c:v>4536.5</c:v>
                </c:pt>
                <c:pt idx="3">
                  <c:v>4266.5</c:v>
                </c:pt>
                <c:pt idx="4">
                  <c:v>3568</c:v>
                </c:pt>
                <c:pt idx="5">
                  <c:v>10346</c:v>
                </c:pt>
                <c:pt idx="6">
                  <c:v>11534.5</c:v>
                </c:pt>
                <c:pt idx="7">
                  <c:v>14010.5</c:v>
                </c:pt>
                <c:pt idx="8">
                  <c:v>9239</c:v>
                </c:pt>
                <c:pt idx="9">
                  <c:v>9315</c:v>
                </c:pt>
                <c:pt idx="10">
                  <c:v>7926</c:v>
                </c:pt>
                <c:pt idx="11">
                  <c:v>8924.5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5_Group!C125</c:f>
              <c:strCache>
                <c:ptCount val="1"/>
                <c:pt idx="0">
                  <c:v>Iced Coffee</c:v>
                </c:pt>
              </c:strCache>
            </c:strRef>
          </c:tx>
          <c:spPr>
            <a:solidFill>
              <a:srgbClr val="4682b4"/>
            </a:solidFill>
            <a:ln w="28080">
              <a:solidFill>
                <a:srgbClr val="4682b4"/>
              </a:solidFill>
              <a:round/>
            </a:ln>
          </c:spPr>
          <c:marker>
            <c:symbol val="circle"/>
            <c:size val="5"/>
            <c:spPr>
              <a:solidFill>
                <a:srgbClr val="4682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5_Group!$A$126:$A$137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5_Group!$C$126:$C$137</c:f>
              <c:numCache>
                <c:formatCode>\₱#,##0;"(₱"#,##0\);\-</c:formatCode>
                <c:ptCount val="12"/>
                <c:pt idx="0">
                  <c:v>9320</c:v>
                </c:pt>
                <c:pt idx="1">
                  <c:v>4288.5</c:v>
                </c:pt>
                <c:pt idx="2">
                  <c:v>13273</c:v>
                </c:pt>
                <c:pt idx="3">
                  <c:v>15118.5</c:v>
                </c:pt>
                <c:pt idx="4">
                  <c:v>19748.5</c:v>
                </c:pt>
                <c:pt idx="5">
                  <c:v>10528.5</c:v>
                </c:pt>
                <c:pt idx="6">
                  <c:v>9313</c:v>
                </c:pt>
                <c:pt idx="7">
                  <c:v>10872.5</c:v>
                </c:pt>
                <c:pt idx="8">
                  <c:v>9190.5</c:v>
                </c:pt>
                <c:pt idx="9">
                  <c:v>8690.5</c:v>
                </c:pt>
                <c:pt idx="10">
                  <c:v>9857.5</c:v>
                </c:pt>
                <c:pt idx="11">
                  <c:v>7844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018948"/>
        <c:axId val="31231217"/>
      </c:lineChart>
      <c:catAx>
        <c:axId val="57018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31217"/>
        <c:crosses val="autoZero"/>
        <c:auto val="1"/>
        <c:lblAlgn val="ctr"/>
        <c:lblOffset val="100"/>
        <c:noMultiLvlLbl val="0"/>
      </c:catAx>
      <c:valAx>
        <c:axId val="312312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₱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189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weekday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5_Group!D64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8b5a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5_Group!$A$65:$A$71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5_Group!$D$65:$D$71</c:f>
              <c:numCache>
                <c:formatCode>\₱#,##0;"(₱"#,##0\);\-</c:formatCode>
                <c:ptCount val="7"/>
                <c:pt idx="0">
                  <c:v>60253.25</c:v>
                </c:pt>
                <c:pt idx="1">
                  <c:v>63024.25</c:v>
                </c:pt>
                <c:pt idx="2">
                  <c:v>62331.5</c:v>
                </c:pt>
                <c:pt idx="3">
                  <c:v>54852.75</c:v>
                </c:pt>
                <c:pt idx="4">
                  <c:v>55800.5</c:v>
                </c:pt>
                <c:pt idx="5">
                  <c:v>52269.25</c:v>
                </c:pt>
                <c:pt idx="6">
                  <c:v>45896.75</c:v>
                </c:pt>
              </c:numCache>
            </c:numRef>
          </c:val>
        </c:ser>
        <c:gapWidth val="150"/>
        <c:overlap val="0"/>
        <c:axId val="45705646"/>
        <c:axId val="57690633"/>
      </c:barChart>
      <c:catAx>
        <c:axId val="457056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90633"/>
        <c:crosses val="autoZero"/>
        <c:auto val="1"/>
        <c:lblAlgn val="ctr"/>
        <c:lblOffset val="100"/>
        <c:noMultiLvlLbl val="0"/>
      </c:catAx>
      <c:valAx>
        <c:axId val="576906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056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Transactions by hour of 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5_Group!B85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rgbClr val="4b2e1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5_Group!$A$86:$A$99</c:f>
              <c:strCache>
                <c:ptCount val="14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</c:strCache>
            </c:strRef>
          </c:cat>
          <c:val>
            <c:numRef>
              <c:f>5_Group!$B$86:$B$99</c:f>
              <c:numCache>
                <c:formatCode>#,##0</c:formatCode>
                <c:ptCount val="14"/>
                <c:pt idx="0">
                  <c:v>138</c:v>
                </c:pt>
                <c:pt idx="1">
                  <c:v>194</c:v>
                </c:pt>
                <c:pt idx="2">
                  <c:v>187</c:v>
                </c:pt>
                <c:pt idx="3">
                  <c:v>100</c:v>
                </c:pt>
                <c:pt idx="4">
                  <c:v>101</c:v>
                </c:pt>
                <c:pt idx="5">
                  <c:v>221</c:v>
                </c:pt>
                <c:pt idx="6">
                  <c:v>151</c:v>
                </c:pt>
                <c:pt idx="7">
                  <c:v>102</c:v>
                </c:pt>
                <c:pt idx="8">
                  <c:v>123</c:v>
                </c:pt>
                <c:pt idx="9">
                  <c:v>154</c:v>
                </c:pt>
                <c:pt idx="10">
                  <c:v>123</c:v>
                </c:pt>
                <c:pt idx="11">
                  <c:v>73</c:v>
                </c:pt>
                <c:pt idx="12">
                  <c:v>64</c:v>
                </c:pt>
                <c:pt idx="13">
                  <c:v>32</c:v>
                </c:pt>
              </c:numCache>
            </c:numRef>
          </c:val>
        </c:ser>
        <c:gapWidth val="150"/>
        <c:overlap val="0"/>
        <c:axId val="85358006"/>
        <c:axId val="54468772"/>
      </c:barChart>
      <c:catAx>
        <c:axId val="853580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Hour (24h)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68772"/>
        <c:crosses val="autoZero"/>
        <c:auto val="1"/>
        <c:lblAlgn val="ctr"/>
        <c:lblOffset val="100"/>
        <c:noMultiLvlLbl val="0"/>
      </c:catAx>
      <c:valAx>
        <c:axId val="54468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Transactions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580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order value by customer type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6_Compare!D37</c:f>
              <c:strCache>
                <c:ptCount val="1"/>
                <c:pt idx="0">
                  <c:v>AOV</c:v>
                </c:pt>
              </c:strCache>
            </c:strRef>
          </c:tx>
          <c:spPr>
            <a:solidFill>
              <a:srgbClr val="c8a27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6_Compare!$A$38:$A$42</c:f>
              <c:strCache>
                <c:ptCount val="5"/>
                <c:pt idx="0">
                  <c:v>Walk-in</c:v>
                </c:pt>
                <c:pt idx="1">
                  <c:v>Regular</c:v>
                </c:pt>
                <c:pt idx="2">
                  <c:v>Office</c:v>
                </c:pt>
                <c:pt idx="3">
                  <c:v>Student</c:v>
                </c:pt>
                <c:pt idx="4">
                  <c:v>Unknown</c:v>
                </c:pt>
              </c:strCache>
            </c:strRef>
          </c:cat>
          <c:val>
            <c:numRef>
              <c:f>6_Compare!$D$38:$D$42</c:f>
              <c:numCache>
                <c:formatCode>\₱#,##0.00;"(₱"#,##0.00\);\-</c:formatCode>
                <c:ptCount val="5"/>
                <c:pt idx="0">
                  <c:v>231.855066445183</c:v>
                </c:pt>
                <c:pt idx="1">
                  <c:v>215.166666666667</c:v>
                </c:pt>
                <c:pt idx="2">
                  <c:v>239.548209366391</c:v>
                </c:pt>
                <c:pt idx="3">
                  <c:v>208.343195266272</c:v>
                </c:pt>
                <c:pt idx="4">
                  <c:v>166.741935483871</c:v>
                </c:pt>
              </c:numCache>
            </c:numRef>
          </c:val>
        </c:ser>
        <c:gapWidth val="150"/>
        <c:overlap val="0"/>
        <c:axId val="51088956"/>
        <c:axId val="46129030"/>
      </c:barChart>
      <c:catAx>
        <c:axId val="510889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29030"/>
        <c:crosses val="autoZero"/>
        <c:auto val="1"/>
        <c:lblAlgn val="ctr"/>
        <c:lblOffset val="100"/>
        <c:noMultiLvlLbl val="0"/>
      </c:catAx>
      <c:valAx>
        <c:axId val="46129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88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AOV by discount level (₱)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6_Compare!D28</c:f>
              <c:strCache>
                <c:ptCount val="1"/>
                <c:pt idx="0">
                  <c:v>AOV</c:v>
                </c:pt>
              </c:strCache>
            </c:strRef>
          </c:tx>
          <c:spPr>
            <a:solidFill>
              <a:srgbClr val="a0522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6_Compare!$A$29:$A$33</c:f>
              <c:strCache>
                <c:ptCount val="5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</c:strCache>
            </c:strRef>
          </c:cat>
          <c:val>
            <c:numRef>
              <c:f>6_Compare!$D$29:$D$33</c:f>
              <c:numCache>
                <c:formatCode>\₱#,##0.00;"(₱"#,##0.00\);\-</c:formatCode>
                <c:ptCount val="5"/>
                <c:pt idx="0">
                  <c:v>233.510158013544</c:v>
                </c:pt>
                <c:pt idx="1">
                  <c:v>210.446229050279</c:v>
                </c:pt>
                <c:pt idx="2">
                  <c:v>217.511904761905</c:v>
                </c:pt>
                <c:pt idx="3">
                  <c:v>205.908163265306</c:v>
                </c:pt>
                <c:pt idx="4">
                  <c:v>227.906976744186</c:v>
                </c:pt>
              </c:numCache>
            </c:numRef>
          </c:val>
        </c:ser>
        <c:gapWidth val="150"/>
        <c:overlap val="0"/>
        <c:axId val="58074948"/>
        <c:axId val="95732195"/>
      </c:barChart>
      <c:catAx>
        <c:axId val="58074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Discount given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32195"/>
        <c:crosses val="autoZero"/>
        <c:auto val="1"/>
        <c:lblAlgn val="ctr"/>
        <c:lblOffset val="100"/>
        <c:noMultiLvlLbl val="0"/>
      </c:catAx>
      <c:valAx>
        <c:axId val="95732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749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10</xdr:col>
      <xdr:colOff>4680</xdr:colOff>
      <xdr:row>19</xdr:row>
      <xdr:rowOff>11520</xdr:rowOff>
    </xdr:to>
    <xdr:graphicFrame>
      <xdr:nvGraphicFramePr>
        <xdr:cNvPr id="0" name="Chart 1"/>
        <xdr:cNvGraphicFramePr/>
      </xdr:nvGraphicFramePr>
      <xdr:xfrm>
        <a:off x="0" y="704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4320</xdr:colOff>
      <xdr:row>19</xdr:row>
      <xdr:rowOff>11520</xdr:rowOff>
    </xdr:to>
    <xdr:graphicFrame>
      <xdr:nvGraphicFramePr>
        <xdr:cNvPr id="1" name="Chart 2"/>
        <xdr:cNvGraphicFramePr/>
      </xdr:nvGraphicFramePr>
      <xdr:xfrm>
        <a:off x="6114960" y="704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10</xdr:col>
      <xdr:colOff>4680</xdr:colOff>
      <xdr:row>37</xdr:row>
      <xdr:rowOff>11520</xdr:rowOff>
    </xdr:to>
    <xdr:graphicFrame>
      <xdr:nvGraphicFramePr>
        <xdr:cNvPr id="2" name="Chart 3"/>
        <xdr:cNvGraphicFramePr/>
      </xdr:nvGraphicFramePr>
      <xdr:xfrm>
        <a:off x="0" y="4133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20</xdr:col>
      <xdr:colOff>4320</xdr:colOff>
      <xdr:row>37</xdr:row>
      <xdr:rowOff>11520</xdr:rowOff>
    </xdr:to>
    <xdr:graphicFrame>
      <xdr:nvGraphicFramePr>
        <xdr:cNvPr id="3" name="Chart 4"/>
        <xdr:cNvGraphicFramePr/>
      </xdr:nvGraphicFramePr>
      <xdr:xfrm>
        <a:off x="6114960" y="4133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39</xdr:row>
      <xdr:rowOff>0</xdr:rowOff>
    </xdr:from>
    <xdr:to>
      <xdr:col>10</xdr:col>
      <xdr:colOff>4680</xdr:colOff>
      <xdr:row>55</xdr:row>
      <xdr:rowOff>11520</xdr:rowOff>
    </xdr:to>
    <xdr:graphicFrame>
      <xdr:nvGraphicFramePr>
        <xdr:cNvPr id="4" name="Chart 5"/>
        <xdr:cNvGraphicFramePr/>
      </xdr:nvGraphicFramePr>
      <xdr:xfrm>
        <a:off x="0" y="7562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39</xdr:row>
      <xdr:rowOff>0</xdr:rowOff>
    </xdr:from>
    <xdr:to>
      <xdr:col>20</xdr:col>
      <xdr:colOff>4320</xdr:colOff>
      <xdr:row>55</xdr:row>
      <xdr:rowOff>11520</xdr:rowOff>
    </xdr:to>
    <xdr:graphicFrame>
      <xdr:nvGraphicFramePr>
        <xdr:cNvPr id="5" name="Chart 6"/>
        <xdr:cNvGraphicFramePr/>
      </xdr:nvGraphicFramePr>
      <xdr:xfrm>
        <a:off x="6114960" y="7562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57</xdr:row>
      <xdr:rowOff>0</xdr:rowOff>
    </xdr:from>
    <xdr:to>
      <xdr:col>10</xdr:col>
      <xdr:colOff>4680</xdr:colOff>
      <xdr:row>73</xdr:row>
      <xdr:rowOff>11520</xdr:rowOff>
    </xdr:to>
    <xdr:graphicFrame>
      <xdr:nvGraphicFramePr>
        <xdr:cNvPr id="6" name="Chart 7"/>
        <xdr:cNvGraphicFramePr/>
      </xdr:nvGraphicFramePr>
      <xdr:xfrm>
        <a:off x="0" y="10991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57</xdr:row>
      <xdr:rowOff>0</xdr:rowOff>
    </xdr:from>
    <xdr:to>
      <xdr:col>20</xdr:col>
      <xdr:colOff>4320</xdr:colOff>
      <xdr:row>73</xdr:row>
      <xdr:rowOff>11520</xdr:rowOff>
    </xdr:to>
    <xdr:graphicFrame>
      <xdr:nvGraphicFramePr>
        <xdr:cNvPr id="7" name="Chart 8"/>
        <xdr:cNvGraphicFramePr/>
      </xdr:nvGraphicFramePr>
      <xdr:xfrm>
        <a:off x="6114960" y="10991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2E1F"/>
    <pageSetUpPr fitToPage="fals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5" t="s">
        <v>7</v>
      </c>
      <c r="B10" s="5" t="s">
        <v>8</v>
      </c>
      <c r="C10" s="5" t="s">
        <v>9</v>
      </c>
      <c r="D10" s="5" t="s">
        <v>10</v>
      </c>
    </row>
    <row r="11" customFormat="false" ht="30" hidden="false" customHeight="true" outlineLevel="0" collapsed="false">
      <c r="A11" s="6" t="n">
        <v>1</v>
      </c>
      <c r="B11" s="7" t="s">
        <v>11</v>
      </c>
      <c r="C11" s="8" t="s">
        <v>12</v>
      </c>
      <c r="D11" s="8" t="s">
        <v>13</v>
      </c>
    </row>
    <row r="12" customFormat="false" ht="30" hidden="false" customHeight="true" outlineLevel="0" collapsed="false">
      <c r="A12" s="6" t="n">
        <v>2</v>
      </c>
      <c r="B12" s="7" t="s">
        <v>14</v>
      </c>
      <c r="C12" s="8" t="s">
        <v>15</v>
      </c>
      <c r="D12" s="8" t="s">
        <v>16</v>
      </c>
    </row>
    <row r="13" customFormat="false" ht="30" hidden="false" customHeight="true" outlineLevel="0" collapsed="false">
      <c r="A13" s="6" t="n">
        <v>3</v>
      </c>
      <c r="B13" s="7" t="s">
        <v>17</v>
      </c>
      <c r="C13" s="8" t="s">
        <v>18</v>
      </c>
      <c r="D13" s="8" t="s">
        <v>19</v>
      </c>
    </row>
    <row r="14" customFormat="false" ht="30" hidden="false" customHeight="true" outlineLevel="0" collapsed="false">
      <c r="A14" s="6" t="n">
        <v>4</v>
      </c>
      <c r="B14" s="7" t="s">
        <v>20</v>
      </c>
      <c r="C14" s="8" t="s">
        <v>21</v>
      </c>
      <c r="D14" s="8" t="s">
        <v>22</v>
      </c>
    </row>
    <row r="15" customFormat="false" ht="30" hidden="false" customHeight="true" outlineLevel="0" collapsed="false">
      <c r="A15" s="6" t="n">
        <v>5</v>
      </c>
      <c r="B15" s="7" t="s">
        <v>23</v>
      </c>
      <c r="C15" s="8" t="s">
        <v>24</v>
      </c>
      <c r="D15" s="8" t="s">
        <v>25</v>
      </c>
    </row>
    <row r="16" customFormat="false" ht="30" hidden="false" customHeight="true" outlineLevel="0" collapsed="false">
      <c r="A16" s="6" t="n">
        <v>6</v>
      </c>
      <c r="B16" s="7" t="s">
        <v>26</v>
      </c>
      <c r="C16" s="8" t="s">
        <v>27</v>
      </c>
      <c r="D16" s="8" t="s">
        <v>28</v>
      </c>
    </row>
    <row r="17" customFormat="false" ht="30" hidden="false" customHeight="true" outlineLevel="0" collapsed="false">
      <c r="A17" s="6" t="n">
        <v>7</v>
      </c>
      <c r="B17" s="7" t="s">
        <v>29</v>
      </c>
      <c r="C17" s="8" t="s">
        <v>30</v>
      </c>
      <c r="D17" s="8" t="s">
        <v>31</v>
      </c>
    </row>
    <row r="18" customFormat="false" ht="30" hidden="false" customHeight="true" outlineLevel="0" collapsed="false">
      <c r="A18" s="6" t="n">
        <v>8</v>
      </c>
      <c r="B18" s="7" t="s">
        <v>32</v>
      </c>
      <c r="C18" s="8" t="s">
        <v>33</v>
      </c>
      <c r="D18" s="8" t="s">
        <v>34</v>
      </c>
    </row>
    <row r="19" customFormat="false" ht="30" hidden="false" customHeight="true" outlineLevel="0" collapsed="false">
      <c r="A19" s="6" t="n">
        <v>9</v>
      </c>
      <c r="B19" s="7" t="s">
        <v>35</v>
      </c>
      <c r="C19" s="8" t="s">
        <v>36</v>
      </c>
      <c r="D19" s="8" t="s">
        <v>37</v>
      </c>
    </row>
    <row r="21" customFormat="false" ht="15" hidden="false" customHeight="false" outlineLevel="0" collapsed="false">
      <c r="A21" s="3" t="s">
        <v>38</v>
      </c>
    </row>
    <row r="22" customFormat="false" ht="15" hidden="false" customHeight="false" outlineLevel="0" collapsed="false">
      <c r="B22" s="9" t="s">
        <v>39</v>
      </c>
      <c r="C22" s="10" t="n">
        <f aca="false">4_Calculate!B9</f>
        <v>394428.25</v>
      </c>
    </row>
    <row r="23" customFormat="false" ht="15" hidden="false" customHeight="false" outlineLevel="0" collapsed="false">
      <c r="B23" s="9" t="s">
        <v>40</v>
      </c>
      <c r="C23" s="11" t="n">
        <f aca="false">4_Calculate!B5</f>
        <v>1763</v>
      </c>
    </row>
    <row r="24" customFormat="false" ht="15" hidden="false" customHeight="false" outlineLevel="0" collapsed="false">
      <c r="B24" s="9" t="s">
        <v>41</v>
      </c>
      <c r="C24" s="12" t="n">
        <f aca="false">4_Calculate!B11</f>
        <v>223.725609756098</v>
      </c>
    </row>
    <row r="25" customFormat="false" ht="15" hidden="false" customHeight="false" outlineLevel="0" collapsed="false">
      <c r="B25" s="9" t="s">
        <v>42</v>
      </c>
      <c r="C25" s="13" t="n">
        <f aca="false">4_Calculate!B10</f>
        <v>0.0462149973400397</v>
      </c>
    </row>
    <row r="27" customFormat="false" ht="15" hidden="false" customHeight="false" outlineLevel="0" collapsed="false">
      <c r="A27" s="3" t="s">
        <v>43</v>
      </c>
    </row>
    <row r="28" customFormat="false" ht="15" hidden="false" customHeight="false" outlineLevel="0" collapsed="false">
      <c r="B28" s="14" t="s">
        <v>44</v>
      </c>
      <c r="C28" s="4" t="s">
        <v>45</v>
      </c>
    </row>
    <row r="29" customFormat="false" ht="15" hidden="false" customHeight="false" outlineLevel="0" collapsed="false">
      <c r="B29" s="15" t="s">
        <v>46</v>
      </c>
      <c r="C29" s="4" t="s">
        <v>47</v>
      </c>
    </row>
    <row r="30" customFormat="false" ht="15" hidden="false" customHeight="false" outlineLevel="0" collapsed="false">
      <c r="B30" s="4" t="s">
        <v>48</v>
      </c>
      <c r="C30" s="4" t="s">
        <v>49</v>
      </c>
    </row>
    <row r="31" customFormat="false" ht="15" hidden="false" customHeight="false" outlineLevel="0" collapsed="false">
      <c r="B31" s="16" t="s">
        <v>50</v>
      </c>
      <c r="C31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K1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5"/>
  </cols>
  <sheetData>
    <row r="1" customFormat="false" ht="23.85" hidden="false" customHeight="fals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</row>
    <row r="2" customFormat="false" ht="15" hidden="false" customHeight="false" outlineLevel="0" collapsed="false">
      <c r="A2" s="4" t="s">
        <v>63</v>
      </c>
      <c r="B2" s="17" t="n">
        <v>45658</v>
      </c>
      <c r="C2" s="4" t="n">
        <v>8</v>
      </c>
      <c r="D2" s="4" t="s">
        <v>64</v>
      </c>
      <c r="E2" s="4" t="s">
        <v>65</v>
      </c>
      <c r="F2" s="4" t="s">
        <v>66</v>
      </c>
      <c r="G2" s="4" t="n">
        <v>2</v>
      </c>
      <c r="H2" s="4" t="n">
        <v>120</v>
      </c>
      <c r="I2" s="18" t="n">
        <v>0.2</v>
      </c>
      <c r="J2" s="4" t="s">
        <v>67</v>
      </c>
      <c r="K2" s="4" t="s">
        <v>68</v>
      </c>
    </row>
    <row r="3" customFormat="false" ht="15" hidden="false" customHeight="false" outlineLevel="0" collapsed="false">
      <c r="A3" s="4" t="s">
        <v>69</v>
      </c>
      <c r="B3" s="17" t="n">
        <v>45658</v>
      </c>
      <c r="C3" s="4" t="n">
        <v>12</v>
      </c>
      <c r="D3" s="4" t="s">
        <v>70</v>
      </c>
      <c r="E3" s="4" t="s">
        <v>65</v>
      </c>
      <c r="F3" s="4" t="s">
        <v>66</v>
      </c>
      <c r="G3" s="4" t="n">
        <v>3</v>
      </c>
      <c r="H3" s="4" t="n">
        <v>120</v>
      </c>
      <c r="I3" s="18" t="n">
        <v>0.1</v>
      </c>
      <c r="J3" s="4" t="s">
        <v>67</v>
      </c>
      <c r="K3" s="4" t="s">
        <v>71</v>
      </c>
    </row>
    <row r="4" customFormat="false" ht="15" hidden="false" customHeight="false" outlineLevel="0" collapsed="false">
      <c r="A4" s="4" t="s">
        <v>72</v>
      </c>
      <c r="B4" s="17" t="n">
        <v>45658</v>
      </c>
      <c r="C4" s="4" t="n">
        <v>15</v>
      </c>
      <c r="D4" s="4" t="s">
        <v>73</v>
      </c>
      <c r="E4" s="4" t="s">
        <v>74</v>
      </c>
      <c r="F4" s="4" t="s">
        <v>75</v>
      </c>
      <c r="G4" s="4" t="n">
        <v>1</v>
      </c>
      <c r="H4" s="4" t="n">
        <v>220</v>
      </c>
      <c r="I4" s="18" t="n">
        <v>0</v>
      </c>
      <c r="J4" s="4" t="s">
        <v>76</v>
      </c>
      <c r="K4" s="4" t="s">
        <v>77</v>
      </c>
    </row>
    <row r="5" customFormat="false" ht="15" hidden="false" customHeight="false" outlineLevel="0" collapsed="false">
      <c r="A5" s="4" t="s">
        <v>78</v>
      </c>
      <c r="B5" s="17" t="n">
        <v>45658</v>
      </c>
      <c r="C5" s="4" t="n">
        <v>17</v>
      </c>
      <c r="D5" s="4" t="s">
        <v>70</v>
      </c>
      <c r="E5" s="4" t="s">
        <v>79</v>
      </c>
      <c r="F5" s="4" t="s">
        <v>80</v>
      </c>
      <c r="G5" s="4" t="n">
        <v>2</v>
      </c>
      <c r="H5" s="4" t="n">
        <v>160</v>
      </c>
      <c r="I5" s="18" t="n">
        <v>0.05</v>
      </c>
      <c r="J5" s="4" t="s">
        <v>81</v>
      </c>
      <c r="K5" s="4" t="s">
        <v>82</v>
      </c>
    </row>
    <row r="6" customFormat="false" ht="15" hidden="false" customHeight="false" outlineLevel="0" collapsed="false">
      <c r="A6" s="4" t="s">
        <v>83</v>
      </c>
      <c r="B6" s="17" t="n">
        <v>45659</v>
      </c>
      <c r="C6" s="4" t="n">
        <v>8</v>
      </c>
      <c r="D6" s="4" t="s">
        <v>70</v>
      </c>
      <c r="E6" s="4" t="s">
        <v>84</v>
      </c>
      <c r="F6" s="4" t="s">
        <v>85</v>
      </c>
      <c r="G6" s="4" t="n">
        <v>1</v>
      </c>
      <c r="H6" s="4" t="n">
        <v>150</v>
      </c>
      <c r="I6" s="18" t="n">
        <v>0.05</v>
      </c>
      <c r="J6" s="4" t="s">
        <v>76</v>
      </c>
      <c r="K6" s="4" t="s">
        <v>82</v>
      </c>
    </row>
    <row r="7" customFormat="false" ht="15" hidden="false" customHeight="false" outlineLevel="0" collapsed="false">
      <c r="A7" s="4" t="s">
        <v>86</v>
      </c>
      <c r="B7" s="17" t="n">
        <v>45659</v>
      </c>
      <c r="C7" s="4" t="n">
        <v>15</v>
      </c>
      <c r="D7" s="4" t="s">
        <v>70</v>
      </c>
      <c r="E7" s="4" t="s">
        <v>65</v>
      </c>
      <c r="F7" s="4" t="s">
        <v>87</v>
      </c>
      <c r="G7" s="4" t="n">
        <v>1</v>
      </c>
      <c r="H7" s="4" t="n">
        <v>160</v>
      </c>
      <c r="I7" s="18" t="n">
        <v>0</v>
      </c>
      <c r="J7" s="4" t="s">
        <v>88</v>
      </c>
      <c r="K7" s="4" t="s">
        <v>77</v>
      </c>
    </row>
    <row r="8" customFormat="false" ht="15" hidden="false" customHeight="false" outlineLevel="0" collapsed="false">
      <c r="A8" s="4" t="s">
        <v>89</v>
      </c>
      <c r="B8" s="17" t="n">
        <v>45659</v>
      </c>
      <c r="C8" s="4" t="n">
        <v>19</v>
      </c>
      <c r="D8" s="4" t="s">
        <v>90</v>
      </c>
      <c r="E8" s="4" t="s">
        <v>74</v>
      </c>
      <c r="F8" s="4" t="s">
        <v>91</v>
      </c>
      <c r="G8" s="4" t="n">
        <v>1</v>
      </c>
      <c r="H8" s="4" t="n">
        <v>200</v>
      </c>
      <c r="I8" s="18" t="n">
        <v>0</v>
      </c>
      <c r="J8" s="4" t="s">
        <v>81</v>
      </c>
      <c r="K8" s="4" t="s">
        <v>68</v>
      </c>
    </row>
    <row r="9" customFormat="false" ht="15" hidden="false" customHeight="false" outlineLevel="0" collapsed="false">
      <c r="A9" s="4" t="s">
        <v>89</v>
      </c>
      <c r="B9" s="17" t="n">
        <v>45659</v>
      </c>
      <c r="C9" s="4" t="n">
        <v>19</v>
      </c>
      <c r="D9" s="4" t="s">
        <v>90</v>
      </c>
      <c r="E9" s="4" t="s">
        <v>74</v>
      </c>
      <c r="F9" s="4" t="s">
        <v>91</v>
      </c>
      <c r="G9" s="4" t="n">
        <v>1</v>
      </c>
      <c r="H9" s="4" t="n">
        <v>200</v>
      </c>
      <c r="I9" s="18" t="n">
        <v>0</v>
      </c>
      <c r="J9" s="4" t="s">
        <v>81</v>
      </c>
      <c r="K9" s="4" t="s">
        <v>68</v>
      </c>
    </row>
    <row r="10" customFormat="false" ht="15" hidden="false" customHeight="false" outlineLevel="0" collapsed="false">
      <c r="A10" s="4" t="s">
        <v>92</v>
      </c>
      <c r="B10" s="4" t="s">
        <v>93</v>
      </c>
      <c r="C10" s="4" t="n">
        <v>17</v>
      </c>
      <c r="D10" s="4" t="s">
        <v>64</v>
      </c>
      <c r="E10" s="4" t="s">
        <v>65</v>
      </c>
      <c r="F10" s="4" t="s">
        <v>94</v>
      </c>
      <c r="G10" s="4" t="n">
        <v>4</v>
      </c>
      <c r="H10" s="4" t="n">
        <v>150</v>
      </c>
      <c r="I10" s="18" t="n">
        <v>0</v>
      </c>
      <c r="J10" s="4" t="s">
        <v>76</v>
      </c>
      <c r="K10" s="4" t="s">
        <v>68</v>
      </c>
    </row>
    <row r="11" customFormat="false" ht="15" hidden="false" customHeight="false" outlineLevel="0" collapsed="false">
      <c r="A11" s="4" t="s">
        <v>95</v>
      </c>
      <c r="B11" s="17" t="n">
        <v>45661</v>
      </c>
      <c r="C11" s="4" t="n">
        <v>8</v>
      </c>
      <c r="D11" s="4" t="s">
        <v>96</v>
      </c>
      <c r="E11" s="4" t="s">
        <v>84</v>
      </c>
      <c r="F11" s="4" t="s">
        <v>85</v>
      </c>
      <c r="G11" s="4" t="n">
        <v>1</v>
      </c>
      <c r="H11" s="4" t="n">
        <v>150</v>
      </c>
      <c r="I11" s="18" t="n">
        <v>0</v>
      </c>
      <c r="J11" s="4" t="s">
        <v>76</v>
      </c>
      <c r="K11" s="4" t="s">
        <v>68</v>
      </c>
    </row>
    <row r="12" customFormat="false" ht="15" hidden="false" customHeight="false" outlineLevel="0" collapsed="false">
      <c r="A12" s="4" t="s">
        <v>97</v>
      </c>
      <c r="B12" s="17" t="n">
        <v>45661</v>
      </c>
      <c r="C12" s="4" t="n">
        <v>10</v>
      </c>
      <c r="D12" s="4" t="s">
        <v>98</v>
      </c>
      <c r="E12" s="4" t="s">
        <v>99</v>
      </c>
      <c r="F12" s="4" t="s">
        <v>100</v>
      </c>
      <c r="G12" s="4" t="n">
        <v>1</v>
      </c>
      <c r="H12" s="4" t="n">
        <v>110</v>
      </c>
      <c r="I12" s="18" t="n">
        <v>0</v>
      </c>
      <c r="J12" s="4" t="s">
        <v>67</v>
      </c>
      <c r="K12" s="4" t="s">
        <v>68</v>
      </c>
    </row>
    <row r="13" customFormat="false" ht="15" hidden="false" customHeight="false" outlineLevel="0" collapsed="false">
      <c r="A13" s="4" t="s">
        <v>101</v>
      </c>
      <c r="B13" s="17" t="n">
        <v>45661</v>
      </c>
      <c r="C13" s="4" t="n">
        <v>17</v>
      </c>
      <c r="D13" s="4" t="s">
        <v>98</v>
      </c>
      <c r="E13" s="4" t="s">
        <v>99</v>
      </c>
      <c r="F13" s="4" t="s">
        <v>102</v>
      </c>
      <c r="G13" s="4" t="n">
        <v>1</v>
      </c>
      <c r="H13" s="4" t="n">
        <v>140</v>
      </c>
      <c r="I13" s="18" t="n">
        <v>0</v>
      </c>
      <c r="J13" s="4" t="s">
        <v>103</v>
      </c>
      <c r="K13" s="4" t="s">
        <v>77</v>
      </c>
    </row>
    <row r="14" customFormat="false" ht="15" hidden="false" customHeight="false" outlineLevel="0" collapsed="false">
      <c r="A14" s="4" t="s">
        <v>104</v>
      </c>
      <c r="B14" s="17" t="n">
        <v>45661</v>
      </c>
      <c r="C14" s="4" t="n">
        <v>18</v>
      </c>
      <c r="D14" s="4" t="s">
        <v>98</v>
      </c>
      <c r="E14" s="4" t="s">
        <v>65</v>
      </c>
      <c r="F14" s="4" t="s">
        <v>94</v>
      </c>
      <c r="G14" s="4" t="n">
        <v>2</v>
      </c>
      <c r="H14" s="4" t="n">
        <v>150</v>
      </c>
      <c r="I14" s="18" t="n">
        <v>0.1</v>
      </c>
      <c r="J14" s="4" t="s">
        <v>67</v>
      </c>
      <c r="K14" s="4" t="s">
        <v>71</v>
      </c>
    </row>
    <row r="15" customFormat="false" ht="15" hidden="false" customHeight="false" outlineLevel="0" collapsed="false">
      <c r="A15" s="4" t="s">
        <v>105</v>
      </c>
      <c r="B15" s="17" t="n">
        <v>45661</v>
      </c>
      <c r="C15" s="4" t="n">
        <v>20</v>
      </c>
      <c r="D15" s="4" t="s">
        <v>64</v>
      </c>
      <c r="E15" s="4" t="s">
        <v>84</v>
      </c>
      <c r="F15" s="4" t="s">
        <v>106</v>
      </c>
      <c r="G15" s="4" t="n">
        <v>1</v>
      </c>
      <c r="H15" s="4" t="n">
        <v>60</v>
      </c>
      <c r="I15" s="18" t="n">
        <v>0.1</v>
      </c>
      <c r="J15" s="4" t="s">
        <v>81</v>
      </c>
      <c r="K15" s="4" t="s">
        <v>71</v>
      </c>
    </row>
    <row r="16" customFormat="false" ht="15" hidden="false" customHeight="false" outlineLevel="0" collapsed="false">
      <c r="A16" s="4" t="s">
        <v>107</v>
      </c>
      <c r="B16" s="17" t="n">
        <v>45662</v>
      </c>
      <c r="C16" s="4" t="n">
        <v>13</v>
      </c>
      <c r="D16" s="4" t="s">
        <v>108</v>
      </c>
      <c r="E16" s="4" t="s">
        <v>99</v>
      </c>
      <c r="F16" s="4" t="s">
        <v>109</v>
      </c>
      <c r="G16" s="4" t="n">
        <v>1</v>
      </c>
      <c r="H16" s="4" t="n">
        <v>130</v>
      </c>
      <c r="I16" s="18" t="n">
        <v>0.1</v>
      </c>
      <c r="J16" s="4" t="s">
        <v>67</v>
      </c>
      <c r="K16" s="4" t="s">
        <v>71</v>
      </c>
    </row>
    <row r="17" customFormat="false" ht="15" hidden="false" customHeight="false" outlineLevel="0" collapsed="false">
      <c r="A17" s="4" t="s">
        <v>110</v>
      </c>
      <c r="B17" s="17" t="n">
        <v>45663</v>
      </c>
      <c r="C17" s="4" t="n">
        <v>9</v>
      </c>
      <c r="D17" s="4" t="s">
        <v>73</v>
      </c>
      <c r="E17" s="4" t="s">
        <v>99</v>
      </c>
      <c r="F17" s="4" t="s">
        <v>102</v>
      </c>
      <c r="G17" s="4" t="n">
        <v>1</v>
      </c>
      <c r="H17" s="4" t="n">
        <v>140</v>
      </c>
      <c r="I17" s="18" t="n">
        <v>0</v>
      </c>
      <c r="J17" s="4" t="s">
        <v>88</v>
      </c>
      <c r="K17" s="4" t="s">
        <v>68</v>
      </c>
    </row>
    <row r="18" customFormat="false" ht="15" hidden="false" customHeight="false" outlineLevel="0" collapsed="false">
      <c r="A18" s="4" t="s">
        <v>111</v>
      </c>
      <c r="B18" s="17" t="n">
        <v>45663</v>
      </c>
      <c r="C18" s="4" t="n">
        <v>10</v>
      </c>
      <c r="D18" s="4" t="s">
        <v>70</v>
      </c>
      <c r="E18" s="4" t="s">
        <v>99</v>
      </c>
      <c r="F18" s="4" t="s">
        <v>100</v>
      </c>
      <c r="G18" s="4" t="n">
        <v>1</v>
      </c>
      <c r="H18" s="4" t="n">
        <v>110</v>
      </c>
      <c r="I18" s="18" t="n">
        <v>0.15</v>
      </c>
      <c r="J18" s="4" t="s">
        <v>112</v>
      </c>
      <c r="K18" s="4" t="s">
        <v>77</v>
      </c>
    </row>
    <row r="19" customFormat="false" ht="15" hidden="false" customHeight="false" outlineLevel="0" collapsed="false">
      <c r="A19" s="4" t="s">
        <v>113</v>
      </c>
      <c r="B19" s="17" t="n">
        <v>45663</v>
      </c>
      <c r="C19" s="4" t="n">
        <v>16</v>
      </c>
      <c r="D19" s="4" t="s">
        <v>64</v>
      </c>
      <c r="E19" s="4" t="s">
        <v>84</v>
      </c>
      <c r="F19" s="4" t="s">
        <v>114</v>
      </c>
      <c r="G19" s="4" t="n">
        <v>1</v>
      </c>
      <c r="H19" s="4" t="n">
        <v>85</v>
      </c>
      <c r="I19" s="18" t="n">
        <v>0.15</v>
      </c>
      <c r="J19" s="4" t="s">
        <v>76</v>
      </c>
      <c r="K19" s="4" t="s">
        <v>68</v>
      </c>
    </row>
    <row r="20" customFormat="false" ht="15" hidden="false" customHeight="false" outlineLevel="0" collapsed="false">
      <c r="A20" s="4" t="s">
        <v>115</v>
      </c>
      <c r="B20" s="17" t="n">
        <v>45663</v>
      </c>
      <c r="C20" s="4" t="n">
        <v>17</v>
      </c>
      <c r="D20" s="4" t="s">
        <v>64</v>
      </c>
      <c r="E20" s="4" t="s">
        <v>79</v>
      </c>
      <c r="F20" s="4" t="s">
        <v>80</v>
      </c>
      <c r="G20" s="4" t="n">
        <v>4</v>
      </c>
      <c r="H20" s="4" t="n">
        <v>160</v>
      </c>
      <c r="I20" s="18" t="n">
        <v>0</v>
      </c>
      <c r="J20" s="4" t="s">
        <v>81</v>
      </c>
      <c r="K20" s="4" t="s">
        <v>68</v>
      </c>
    </row>
    <row r="21" customFormat="false" ht="15" hidden="false" customHeight="false" outlineLevel="0" collapsed="false">
      <c r="A21" s="4" t="s">
        <v>116</v>
      </c>
      <c r="B21" s="17" t="n">
        <v>45664</v>
      </c>
      <c r="C21" s="4" t="n">
        <v>7</v>
      </c>
      <c r="D21" s="4" t="s">
        <v>98</v>
      </c>
      <c r="E21" s="4" t="s">
        <v>84</v>
      </c>
      <c r="F21" s="4" t="s">
        <v>117</v>
      </c>
      <c r="G21" s="4" t="n">
        <v>1</v>
      </c>
      <c r="H21" s="4" t="n">
        <v>95</v>
      </c>
      <c r="I21" s="18" t="n">
        <v>0</v>
      </c>
      <c r="J21" s="4" t="s">
        <v>76</v>
      </c>
      <c r="K21" s="4" t="s">
        <v>68</v>
      </c>
    </row>
    <row r="22" customFormat="false" ht="15" hidden="false" customHeight="false" outlineLevel="0" collapsed="false">
      <c r="A22" s="4" t="s">
        <v>118</v>
      </c>
      <c r="B22" s="17" t="n">
        <v>45664</v>
      </c>
      <c r="C22" s="4" t="n">
        <v>9</v>
      </c>
      <c r="D22" s="4" t="s">
        <v>119</v>
      </c>
      <c r="E22" s="4" t="s">
        <v>84</v>
      </c>
      <c r="F22" s="4" t="s">
        <v>117</v>
      </c>
      <c r="G22" s="4" t="n">
        <v>1</v>
      </c>
      <c r="H22" s="4" t="n">
        <v>95</v>
      </c>
      <c r="I22" s="18" t="n">
        <v>0.05</v>
      </c>
      <c r="J22" s="4" t="s">
        <v>67</v>
      </c>
      <c r="K22" s="4" t="s">
        <v>82</v>
      </c>
    </row>
    <row r="23" customFormat="false" ht="15" hidden="false" customHeight="false" outlineLevel="0" collapsed="false">
      <c r="A23" s="4" t="s">
        <v>120</v>
      </c>
      <c r="B23" s="17" t="n">
        <v>45664</v>
      </c>
      <c r="C23" s="4" t="n">
        <v>14</v>
      </c>
      <c r="D23" s="4" t="s">
        <v>64</v>
      </c>
      <c r="E23" s="4" t="s">
        <v>65</v>
      </c>
      <c r="F23" s="4" t="s">
        <v>121</v>
      </c>
      <c r="G23" s="4" t="n">
        <v>1</v>
      </c>
      <c r="H23" s="4" t="n">
        <v>170</v>
      </c>
      <c r="I23" s="18" t="n">
        <v>0.1</v>
      </c>
      <c r="J23" s="4" t="s">
        <v>88</v>
      </c>
      <c r="K23" s="4" t="s">
        <v>71</v>
      </c>
    </row>
    <row r="24" customFormat="false" ht="15" hidden="false" customHeight="false" outlineLevel="0" collapsed="false">
      <c r="A24" s="4" t="s">
        <v>122</v>
      </c>
      <c r="B24" s="17" t="n">
        <v>45665</v>
      </c>
      <c r="C24" s="4" t="n">
        <v>8</v>
      </c>
      <c r="D24" s="4" t="s">
        <v>98</v>
      </c>
      <c r="E24" s="4" t="s">
        <v>65</v>
      </c>
      <c r="F24" s="4" t="s">
        <v>94</v>
      </c>
      <c r="G24" s="4" t="n">
        <v>3</v>
      </c>
      <c r="H24" s="4" t="n">
        <v>150</v>
      </c>
      <c r="I24" s="18" t="n">
        <v>0.1</v>
      </c>
      <c r="J24" s="4" t="s">
        <v>123</v>
      </c>
      <c r="K24" s="4" t="s">
        <v>71</v>
      </c>
    </row>
    <row r="25" customFormat="false" ht="15" hidden="false" customHeight="false" outlineLevel="0" collapsed="false">
      <c r="A25" s="4" t="s">
        <v>124</v>
      </c>
      <c r="B25" s="17" t="n">
        <v>45665</v>
      </c>
      <c r="C25" s="4" t="n">
        <v>9</v>
      </c>
      <c r="D25" s="4" t="s">
        <v>70</v>
      </c>
      <c r="E25" s="4" t="s">
        <v>65</v>
      </c>
      <c r="F25" s="4" t="s">
        <v>66</v>
      </c>
      <c r="H25" s="4" t="n">
        <v>120</v>
      </c>
      <c r="I25" s="18" t="n">
        <v>0</v>
      </c>
      <c r="J25" s="4" t="s">
        <v>103</v>
      </c>
      <c r="K25" s="4" t="s">
        <v>77</v>
      </c>
    </row>
    <row r="26" customFormat="false" ht="15" hidden="false" customHeight="false" outlineLevel="0" collapsed="false">
      <c r="A26" s="4" t="s">
        <v>125</v>
      </c>
      <c r="B26" s="17" t="n">
        <v>45665</v>
      </c>
      <c r="C26" s="4" t="n">
        <v>11</v>
      </c>
      <c r="D26" s="4" t="s">
        <v>70</v>
      </c>
      <c r="E26" s="4" t="s">
        <v>99</v>
      </c>
      <c r="F26" s="4" t="s">
        <v>102</v>
      </c>
      <c r="G26" s="4" t="n">
        <v>4</v>
      </c>
      <c r="H26" s="4" t="n">
        <v>140</v>
      </c>
      <c r="I26" s="18" t="n">
        <v>0.15</v>
      </c>
      <c r="K26" s="4" t="s">
        <v>77</v>
      </c>
    </row>
    <row r="27" customFormat="false" ht="15" hidden="false" customHeight="false" outlineLevel="0" collapsed="false">
      <c r="A27" s="4" t="s">
        <v>126</v>
      </c>
      <c r="B27" s="4" t="s">
        <v>127</v>
      </c>
      <c r="C27" s="4" t="n">
        <v>12</v>
      </c>
      <c r="D27" s="4" t="s">
        <v>119</v>
      </c>
      <c r="E27" s="4" t="s">
        <v>99</v>
      </c>
      <c r="F27" s="4" t="s">
        <v>100</v>
      </c>
      <c r="G27" s="4" t="n">
        <v>2</v>
      </c>
      <c r="H27" s="4" t="n">
        <v>110</v>
      </c>
      <c r="I27" s="18" t="n">
        <v>0</v>
      </c>
      <c r="J27" s="4" t="s">
        <v>76</v>
      </c>
      <c r="K27" s="4" t="s">
        <v>77</v>
      </c>
    </row>
    <row r="28" customFormat="false" ht="15" hidden="false" customHeight="false" outlineLevel="0" collapsed="false">
      <c r="A28" s="4" t="s">
        <v>128</v>
      </c>
      <c r="B28" s="17" t="n">
        <v>45665</v>
      </c>
      <c r="C28" s="4" t="n">
        <v>12</v>
      </c>
      <c r="D28" s="4" t="s">
        <v>70</v>
      </c>
      <c r="E28" s="4" t="s">
        <v>84</v>
      </c>
      <c r="F28" s="4" t="s">
        <v>106</v>
      </c>
      <c r="G28" s="4" t="n">
        <v>1</v>
      </c>
      <c r="H28" s="4" t="n">
        <v>60</v>
      </c>
      <c r="I28" s="18" t="n">
        <v>0</v>
      </c>
      <c r="J28" s="4" t="s">
        <v>88</v>
      </c>
      <c r="K28" s="4" t="s">
        <v>68</v>
      </c>
    </row>
    <row r="29" customFormat="false" ht="15" hidden="false" customHeight="false" outlineLevel="0" collapsed="false">
      <c r="A29" s="4" t="s">
        <v>129</v>
      </c>
      <c r="B29" s="17" t="n">
        <v>45665</v>
      </c>
      <c r="C29" s="4" t="n">
        <v>16</v>
      </c>
      <c r="D29" s="4" t="s">
        <v>70</v>
      </c>
      <c r="E29" s="4" t="s">
        <v>84</v>
      </c>
      <c r="F29" s="4" t="s">
        <v>106</v>
      </c>
      <c r="G29" s="4" t="n">
        <v>2</v>
      </c>
      <c r="H29" s="4" t="n">
        <v>60</v>
      </c>
      <c r="I29" s="18" t="n">
        <v>0</v>
      </c>
      <c r="J29" s="4" t="s">
        <v>112</v>
      </c>
    </row>
    <row r="30" customFormat="false" ht="15" hidden="false" customHeight="false" outlineLevel="0" collapsed="false">
      <c r="A30" s="4" t="s">
        <v>130</v>
      </c>
      <c r="B30" s="17" t="n">
        <v>45665</v>
      </c>
      <c r="C30" s="4" t="n">
        <v>16</v>
      </c>
      <c r="D30" s="4" t="s">
        <v>64</v>
      </c>
      <c r="E30" s="4" t="s">
        <v>79</v>
      </c>
      <c r="F30" s="4" t="s">
        <v>80</v>
      </c>
      <c r="G30" s="4" t="n">
        <v>3</v>
      </c>
      <c r="H30" s="4" t="n">
        <v>160</v>
      </c>
      <c r="I30" s="18" t="n">
        <v>0</v>
      </c>
      <c r="J30" s="4" t="s">
        <v>67</v>
      </c>
      <c r="K30" s="4" t="s">
        <v>77</v>
      </c>
    </row>
    <row r="31" customFormat="false" ht="15" hidden="false" customHeight="false" outlineLevel="0" collapsed="false">
      <c r="A31" s="4" t="s">
        <v>131</v>
      </c>
      <c r="B31" s="17" t="n">
        <v>45665</v>
      </c>
      <c r="C31" s="4" t="n">
        <v>19</v>
      </c>
      <c r="D31" s="4" t="s">
        <v>73</v>
      </c>
      <c r="E31" s="4" t="s">
        <v>65</v>
      </c>
      <c r="F31" s="4" t="s">
        <v>94</v>
      </c>
      <c r="G31" s="4" t="n">
        <v>4</v>
      </c>
      <c r="H31" s="4" t="n">
        <v>150</v>
      </c>
      <c r="I31" s="18" t="n">
        <v>0.1</v>
      </c>
      <c r="J31" s="4" t="s">
        <v>81</v>
      </c>
      <c r="K31" s="4" t="s">
        <v>77</v>
      </c>
    </row>
    <row r="32" customFormat="false" ht="15" hidden="false" customHeight="false" outlineLevel="0" collapsed="false">
      <c r="A32" s="4" t="s">
        <v>132</v>
      </c>
      <c r="B32" s="17" t="n">
        <v>45666</v>
      </c>
      <c r="C32" s="4" t="n">
        <v>9</v>
      </c>
      <c r="D32" s="4" t="s">
        <v>73</v>
      </c>
      <c r="E32" s="4" t="s">
        <v>99</v>
      </c>
      <c r="F32" s="4" t="s">
        <v>133</v>
      </c>
      <c r="G32" s="4" t="n">
        <v>3</v>
      </c>
      <c r="H32" s="4" t="n">
        <v>90</v>
      </c>
      <c r="I32" s="18" t="n">
        <v>0</v>
      </c>
      <c r="J32" s="4" t="s">
        <v>81</v>
      </c>
      <c r="K32" s="4" t="s">
        <v>68</v>
      </c>
    </row>
    <row r="33" customFormat="false" ht="15" hidden="false" customHeight="false" outlineLevel="0" collapsed="false">
      <c r="A33" s="4" t="s">
        <v>134</v>
      </c>
      <c r="B33" s="17" t="n">
        <v>45666</v>
      </c>
      <c r="C33" s="4" t="n">
        <v>10</v>
      </c>
      <c r="D33" s="4" t="s">
        <v>64</v>
      </c>
      <c r="E33" s="4" t="s">
        <v>79</v>
      </c>
      <c r="F33" s="4" t="s">
        <v>135</v>
      </c>
      <c r="G33" s="4" t="n">
        <v>4</v>
      </c>
      <c r="H33" s="4" t="n">
        <v>130</v>
      </c>
      <c r="I33" s="18" t="n">
        <v>0.05</v>
      </c>
      <c r="J33" s="4" t="s">
        <v>88</v>
      </c>
      <c r="K33" s="4" t="s">
        <v>82</v>
      </c>
    </row>
    <row r="34" customFormat="false" ht="15" hidden="false" customHeight="false" outlineLevel="0" collapsed="false">
      <c r="A34" s="4" t="s">
        <v>136</v>
      </c>
      <c r="B34" s="17" t="n">
        <v>45666</v>
      </c>
      <c r="C34" s="4" t="n">
        <v>12</v>
      </c>
      <c r="D34" s="4" t="s">
        <v>64</v>
      </c>
      <c r="E34" s="4" t="s">
        <v>84</v>
      </c>
      <c r="F34" s="4" t="s">
        <v>85</v>
      </c>
      <c r="G34" s="4" t="n">
        <v>2</v>
      </c>
      <c r="H34" s="4" t="n">
        <v>150</v>
      </c>
      <c r="I34" s="18" t="n">
        <v>0.05</v>
      </c>
      <c r="J34" s="4" t="s">
        <v>67</v>
      </c>
      <c r="K34" s="4" t="s">
        <v>82</v>
      </c>
    </row>
    <row r="35" customFormat="false" ht="15" hidden="false" customHeight="false" outlineLevel="0" collapsed="false">
      <c r="A35" s="4" t="s">
        <v>137</v>
      </c>
      <c r="B35" s="4" t="s">
        <v>138</v>
      </c>
      <c r="C35" s="4" t="n">
        <v>13</v>
      </c>
      <c r="D35" s="4" t="s">
        <v>98</v>
      </c>
      <c r="E35" s="4" t="s">
        <v>74</v>
      </c>
      <c r="F35" s="4" t="s">
        <v>139</v>
      </c>
      <c r="G35" s="4" t="n">
        <v>1</v>
      </c>
      <c r="H35" s="4" t="n">
        <v>260</v>
      </c>
      <c r="I35" s="18" t="n">
        <v>0</v>
      </c>
      <c r="J35" s="4" t="s">
        <v>67</v>
      </c>
      <c r="K35" s="4" t="s">
        <v>77</v>
      </c>
    </row>
    <row r="36" customFormat="false" ht="15" hidden="false" customHeight="false" outlineLevel="0" collapsed="false">
      <c r="A36" s="4" t="s">
        <v>140</v>
      </c>
      <c r="B36" s="17" t="n">
        <v>45666</v>
      </c>
      <c r="C36" s="4" t="n">
        <v>14</v>
      </c>
      <c r="D36" s="4" t="s">
        <v>64</v>
      </c>
      <c r="E36" s="4" t="s">
        <v>99</v>
      </c>
      <c r="F36" s="4" t="s">
        <v>102</v>
      </c>
      <c r="G36" s="4" t="n">
        <v>2</v>
      </c>
      <c r="H36" s="4" t="n">
        <v>140</v>
      </c>
      <c r="I36" s="18" t="n">
        <v>0</v>
      </c>
      <c r="J36" s="4" t="s">
        <v>67</v>
      </c>
      <c r="K36" s="4" t="s">
        <v>68</v>
      </c>
    </row>
    <row r="37" customFormat="false" ht="15" hidden="false" customHeight="false" outlineLevel="0" collapsed="false">
      <c r="A37" s="4" t="s">
        <v>141</v>
      </c>
      <c r="B37" s="17" t="n">
        <v>45666</v>
      </c>
      <c r="C37" s="4" t="n">
        <v>15</v>
      </c>
      <c r="D37" s="4" t="s">
        <v>64</v>
      </c>
      <c r="E37" s="4" t="s">
        <v>99</v>
      </c>
      <c r="F37" s="4" t="s">
        <v>100</v>
      </c>
      <c r="G37" s="4" t="n">
        <v>1</v>
      </c>
      <c r="H37" s="4" t="n">
        <v>110</v>
      </c>
      <c r="I37" s="18" t="n">
        <v>0.05</v>
      </c>
      <c r="J37" s="4" t="s">
        <v>88</v>
      </c>
      <c r="K37" s="4" t="s">
        <v>82</v>
      </c>
    </row>
    <row r="38" customFormat="false" ht="15" hidden="false" customHeight="false" outlineLevel="0" collapsed="false">
      <c r="A38" s="4" t="s">
        <v>142</v>
      </c>
      <c r="B38" s="17" t="n">
        <v>45666</v>
      </c>
      <c r="C38" s="4" t="n">
        <v>15</v>
      </c>
      <c r="D38" s="4" t="s">
        <v>64</v>
      </c>
      <c r="E38" s="4" t="s">
        <v>65</v>
      </c>
      <c r="F38" s="4" t="s">
        <v>66</v>
      </c>
      <c r="G38" s="4" t="n">
        <v>2</v>
      </c>
      <c r="H38" s="4" t="n">
        <v>120</v>
      </c>
      <c r="I38" s="18" t="n">
        <v>0.05</v>
      </c>
      <c r="J38" s="4" t="s">
        <v>81</v>
      </c>
      <c r="K38" s="4" t="s">
        <v>82</v>
      </c>
    </row>
    <row r="39" customFormat="false" ht="15" hidden="false" customHeight="false" outlineLevel="0" collapsed="false">
      <c r="A39" s="4" t="s">
        <v>143</v>
      </c>
      <c r="B39" s="17" t="n">
        <v>45666</v>
      </c>
      <c r="C39" s="4" t="n">
        <v>19</v>
      </c>
      <c r="D39" s="4" t="s">
        <v>98</v>
      </c>
      <c r="E39" s="4" t="s">
        <v>79</v>
      </c>
      <c r="F39" s="4" t="s">
        <v>135</v>
      </c>
      <c r="G39" s="4" t="n">
        <v>2</v>
      </c>
      <c r="H39" s="4" t="n">
        <v>130</v>
      </c>
      <c r="I39" s="18" t="n">
        <v>0</v>
      </c>
      <c r="J39" s="4" t="s">
        <v>76</v>
      </c>
      <c r="K39" s="4" t="s">
        <v>68</v>
      </c>
    </row>
    <row r="40" customFormat="false" ht="15" hidden="false" customHeight="false" outlineLevel="0" collapsed="false">
      <c r="A40" s="4" t="s">
        <v>144</v>
      </c>
      <c r="B40" s="17" t="n">
        <v>45667</v>
      </c>
      <c r="C40" s="4" t="n">
        <v>8</v>
      </c>
      <c r="D40" s="4" t="s">
        <v>64</v>
      </c>
      <c r="E40" s="4" t="s">
        <v>74</v>
      </c>
      <c r="F40" s="4" t="s">
        <v>139</v>
      </c>
      <c r="G40" s="4" t="n">
        <v>1</v>
      </c>
      <c r="H40" s="4" t="n">
        <v>260</v>
      </c>
      <c r="I40" s="18" t="n">
        <v>0</v>
      </c>
      <c r="J40" s="4" t="s">
        <v>81</v>
      </c>
      <c r="K40" s="4" t="s">
        <v>77</v>
      </c>
    </row>
    <row r="41" customFormat="false" ht="15" hidden="false" customHeight="false" outlineLevel="0" collapsed="false">
      <c r="A41" s="4" t="s">
        <v>145</v>
      </c>
      <c r="B41" s="17" t="n">
        <v>45667</v>
      </c>
      <c r="C41" s="4" t="n">
        <v>10</v>
      </c>
      <c r="D41" s="4" t="s">
        <v>70</v>
      </c>
      <c r="E41" s="4" t="s">
        <v>79</v>
      </c>
      <c r="F41" s="4" t="s">
        <v>80</v>
      </c>
      <c r="G41" s="4" t="n">
        <v>3</v>
      </c>
      <c r="H41" s="4" t="n">
        <v>160</v>
      </c>
      <c r="I41" s="18" t="n">
        <v>0.15</v>
      </c>
      <c r="J41" s="4" t="s">
        <v>76</v>
      </c>
      <c r="K41" s="4" t="s">
        <v>82</v>
      </c>
    </row>
    <row r="42" customFormat="false" ht="15" hidden="false" customHeight="false" outlineLevel="0" collapsed="false">
      <c r="A42" s="4" t="s">
        <v>146</v>
      </c>
      <c r="B42" s="17" t="n">
        <v>45667</v>
      </c>
      <c r="C42" s="4" t="n">
        <v>14</v>
      </c>
      <c r="D42" s="4" t="s">
        <v>70</v>
      </c>
      <c r="E42" s="4" t="s">
        <v>99</v>
      </c>
      <c r="F42" s="4" t="s">
        <v>102</v>
      </c>
      <c r="G42" s="4" t="n">
        <v>1</v>
      </c>
      <c r="H42" s="4" t="n">
        <v>140</v>
      </c>
      <c r="I42" s="18" t="n">
        <v>0</v>
      </c>
      <c r="J42" s="4" t="s">
        <v>112</v>
      </c>
      <c r="K42" s="4" t="s">
        <v>77</v>
      </c>
    </row>
    <row r="43" customFormat="false" ht="15" hidden="false" customHeight="false" outlineLevel="0" collapsed="false">
      <c r="A43" s="4" t="s">
        <v>147</v>
      </c>
      <c r="B43" s="17" t="n">
        <v>45667</v>
      </c>
      <c r="C43" s="4" t="n">
        <v>17</v>
      </c>
      <c r="D43" s="4" t="s">
        <v>64</v>
      </c>
      <c r="E43" s="4" t="s">
        <v>79</v>
      </c>
      <c r="F43" s="4" t="s">
        <v>148</v>
      </c>
      <c r="G43" s="4" t="n">
        <v>2</v>
      </c>
      <c r="H43" s="4" t="n">
        <v>120</v>
      </c>
      <c r="I43" s="18" t="n">
        <v>0.05</v>
      </c>
      <c r="J43" s="4" t="s">
        <v>76</v>
      </c>
      <c r="K43" s="4" t="s">
        <v>82</v>
      </c>
    </row>
    <row r="44" customFormat="false" ht="15" hidden="false" customHeight="false" outlineLevel="0" collapsed="false">
      <c r="A44" s="4" t="s">
        <v>149</v>
      </c>
      <c r="B44" s="17" t="n">
        <v>45667</v>
      </c>
      <c r="C44" s="4" t="n">
        <v>20</v>
      </c>
      <c r="D44" s="4" t="s">
        <v>98</v>
      </c>
      <c r="E44" s="4" t="s">
        <v>99</v>
      </c>
      <c r="F44" s="4" t="s">
        <v>102</v>
      </c>
      <c r="G44" s="4" t="n">
        <v>1</v>
      </c>
      <c r="H44" s="4" t="n">
        <v>140</v>
      </c>
      <c r="I44" s="18" t="n">
        <v>0</v>
      </c>
      <c r="J44" s="4" t="s">
        <v>67</v>
      </c>
      <c r="K44" s="4" t="s">
        <v>68</v>
      </c>
    </row>
    <row r="45" customFormat="false" ht="15" hidden="false" customHeight="false" outlineLevel="0" collapsed="false">
      <c r="A45" s="4" t="s">
        <v>150</v>
      </c>
      <c r="B45" s="17" t="n">
        <v>45668</v>
      </c>
      <c r="C45" s="4" t="n">
        <v>8</v>
      </c>
      <c r="D45" s="4" t="s">
        <v>70</v>
      </c>
      <c r="E45" s="4" t="s">
        <v>79</v>
      </c>
      <c r="F45" s="4" t="s">
        <v>80</v>
      </c>
      <c r="G45" s="4" t="n">
        <v>2</v>
      </c>
      <c r="H45" s="4" t="n">
        <v>160</v>
      </c>
      <c r="I45" s="18" t="n">
        <v>0</v>
      </c>
      <c r="J45" s="4" t="s">
        <v>67</v>
      </c>
      <c r="K45" s="4" t="s">
        <v>68</v>
      </c>
    </row>
    <row r="46" customFormat="false" ht="15" hidden="false" customHeight="false" outlineLevel="0" collapsed="false">
      <c r="A46" s="4" t="s">
        <v>151</v>
      </c>
      <c r="B46" s="17" t="n">
        <v>45669</v>
      </c>
      <c r="C46" s="4" t="n">
        <v>14</v>
      </c>
      <c r="D46" s="4" t="s">
        <v>70</v>
      </c>
      <c r="E46" s="4" t="s">
        <v>65</v>
      </c>
      <c r="F46" s="4" t="s">
        <v>87</v>
      </c>
      <c r="G46" s="4" t="n">
        <v>3</v>
      </c>
      <c r="H46" s="4" t="n">
        <v>160</v>
      </c>
      <c r="I46" s="18" t="n">
        <v>0</v>
      </c>
      <c r="J46" s="4" t="s">
        <v>67</v>
      </c>
      <c r="K46" s="4" t="s">
        <v>77</v>
      </c>
    </row>
    <row r="47" customFormat="false" ht="15" hidden="false" customHeight="false" outlineLevel="0" collapsed="false">
      <c r="A47" s="4" t="s">
        <v>152</v>
      </c>
      <c r="B47" s="17" t="n">
        <v>45669</v>
      </c>
      <c r="C47" s="4" t="n">
        <v>16</v>
      </c>
      <c r="D47" s="4" t="s">
        <v>153</v>
      </c>
      <c r="E47" s="4" t="s">
        <v>74</v>
      </c>
      <c r="F47" s="4" t="s">
        <v>139</v>
      </c>
      <c r="G47" s="4" t="n">
        <v>2</v>
      </c>
      <c r="H47" s="4" t="n">
        <v>260</v>
      </c>
      <c r="I47" s="18" t="n">
        <v>0</v>
      </c>
      <c r="J47" s="4" t="s">
        <v>67</v>
      </c>
      <c r="K47" s="4" t="s">
        <v>68</v>
      </c>
    </row>
    <row r="48" customFormat="false" ht="15" hidden="false" customHeight="false" outlineLevel="0" collapsed="false">
      <c r="A48" s="4" t="s">
        <v>154</v>
      </c>
      <c r="B48" s="17" t="n">
        <v>45669</v>
      </c>
      <c r="C48" s="4" t="n">
        <v>18</v>
      </c>
      <c r="D48" s="4" t="s">
        <v>64</v>
      </c>
      <c r="E48" s="4" t="s">
        <v>65</v>
      </c>
      <c r="F48" s="4" t="s">
        <v>121</v>
      </c>
      <c r="G48" s="4" t="n">
        <v>1</v>
      </c>
      <c r="H48" s="4" t="n">
        <v>170</v>
      </c>
      <c r="I48" s="18" t="n">
        <v>0.05</v>
      </c>
      <c r="J48" s="4" t="s">
        <v>67</v>
      </c>
      <c r="K48" s="4" t="s">
        <v>82</v>
      </c>
    </row>
    <row r="49" customFormat="false" ht="15" hidden="false" customHeight="false" outlineLevel="0" collapsed="false">
      <c r="A49" s="4" t="s">
        <v>155</v>
      </c>
      <c r="B49" s="17" t="n">
        <v>45670</v>
      </c>
      <c r="C49" s="4" t="n">
        <v>7</v>
      </c>
      <c r="D49" s="4" t="s">
        <v>98</v>
      </c>
      <c r="E49" s="4" t="s">
        <v>79</v>
      </c>
      <c r="F49" s="4" t="s">
        <v>148</v>
      </c>
      <c r="G49" s="4" t="n">
        <v>1</v>
      </c>
      <c r="H49" s="4" t="n">
        <v>120</v>
      </c>
      <c r="I49" s="18" t="n">
        <v>0</v>
      </c>
      <c r="J49" s="4" t="s">
        <v>81</v>
      </c>
      <c r="K49" s="4" t="s">
        <v>68</v>
      </c>
    </row>
    <row r="50" customFormat="false" ht="15" hidden="false" customHeight="false" outlineLevel="0" collapsed="false">
      <c r="A50" s="4" t="s">
        <v>156</v>
      </c>
      <c r="B50" s="17" t="n">
        <v>45670</v>
      </c>
      <c r="C50" s="4" t="n">
        <v>7</v>
      </c>
      <c r="D50" s="4" t="s">
        <v>73</v>
      </c>
      <c r="E50" s="4" t="s">
        <v>99</v>
      </c>
      <c r="F50" s="4" t="s">
        <v>100</v>
      </c>
      <c r="G50" s="4" t="n">
        <v>3</v>
      </c>
      <c r="H50" s="4" t="n">
        <v>110</v>
      </c>
      <c r="I50" s="18" t="n">
        <v>0.1</v>
      </c>
      <c r="J50" s="4" t="s">
        <v>67</v>
      </c>
      <c r="K50" s="4" t="s">
        <v>71</v>
      </c>
    </row>
    <row r="51" customFormat="false" ht="15" hidden="false" customHeight="false" outlineLevel="0" collapsed="false">
      <c r="A51" s="4" t="s">
        <v>157</v>
      </c>
      <c r="B51" s="17" t="n">
        <v>45670</v>
      </c>
      <c r="C51" s="4" t="n">
        <v>13</v>
      </c>
      <c r="D51" s="4" t="s">
        <v>70</v>
      </c>
      <c r="E51" s="4" t="s">
        <v>84</v>
      </c>
      <c r="F51" s="4" t="s">
        <v>117</v>
      </c>
      <c r="G51" s="4" t="n">
        <v>1</v>
      </c>
      <c r="H51" s="4" t="n">
        <v>95</v>
      </c>
      <c r="I51" s="18" t="n">
        <v>0</v>
      </c>
      <c r="J51" s="4" t="s">
        <v>76</v>
      </c>
      <c r="K51" s="4" t="s">
        <v>68</v>
      </c>
    </row>
    <row r="52" customFormat="false" ht="15" hidden="false" customHeight="false" outlineLevel="0" collapsed="false">
      <c r="A52" s="4" t="s">
        <v>158</v>
      </c>
      <c r="B52" s="17" t="n">
        <v>45670</v>
      </c>
      <c r="C52" s="4" t="n">
        <v>16</v>
      </c>
      <c r="D52" s="4" t="s">
        <v>73</v>
      </c>
      <c r="E52" s="4" t="s">
        <v>159</v>
      </c>
      <c r="F52" s="4" t="s">
        <v>91</v>
      </c>
      <c r="G52" s="4" t="n">
        <v>1</v>
      </c>
      <c r="H52" s="4" t="n">
        <v>200</v>
      </c>
      <c r="I52" s="18" t="n">
        <v>0.05</v>
      </c>
      <c r="J52" s="4" t="s">
        <v>67</v>
      </c>
      <c r="K52" s="4" t="s">
        <v>82</v>
      </c>
    </row>
    <row r="53" customFormat="false" ht="15" hidden="false" customHeight="false" outlineLevel="0" collapsed="false">
      <c r="A53" s="4" t="s">
        <v>160</v>
      </c>
      <c r="B53" s="17" t="n">
        <v>45670</v>
      </c>
      <c r="C53" s="4" t="n">
        <v>17</v>
      </c>
      <c r="D53" s="4" t="s">
        <v>70</v>
      </c>
      <c r="E53" s="4" t="s">
        <v>84</v>
      </c>
      <c r="F53" s="4" t="s">
        <v>114</v>
      </c>
      <c r="G53" s="4" t="n">
        <v>2</v>
      </c>
      <c r="H53" s="4" t="n">
        <v>85</v>
      </c>
      <c r="I53" s="18" t="n">
        <v>0</v>
      </c>
      <c r="J53" s="4" t="s">
        <v>67</v>
      </c>
      <c r="K53" s="4" t="s">
        <v>68</v>
      </c>
    </row>
    <row r="54" customFormat="false" ht="15" hidden="false" customHeight="false" outlineLevel="0" collapsed="false">
      <c r="A54" s="4" t="s">
        <v>161</v>
      </c>
      <c r="B54" s="17" t="n">
        <v>45670</v>
      </c>
      <c r="C54" s="4" t="n">
        <v>18</v>
      </c>
      <c r="D54" s="4" t="s">
        <v>64</v>
      </c>
      <c r="E54" s="4" t="s">
        <v>99</v>
      </c>
      <c r="F54" s="4" t="s">
        <v>102</v>
      </c>
      <c r="G54" s="4" t="n">
        <v>4</v>
      </c>
      <c r="H54" s="4" t="n">
        <v>140</v>
      </c>
      <c r="I54" s="18" t="n">
        <v>0</v>
      </c>
      <c r="J54" s="4" t="s">
        <v>88</v>
      </c>
      <c r="K54" s="4" t="s">
        <v>68</v>
      </c>
    </row>
    <row r="55" customFormat="false" ht="15" hidden="false" customHeight="false" outlineLevel="0" collapsed="false">
      <c r="A55" s="4" t="s">
        <v>162</v>
      </c>
      <c r="B55" s="17" t="n">
        <v>45671</v>
      </c>
      <c r="C55" s="4" t="n">
        <v>7</v>
      </c>
      <c r="D55" s="4" t="s">
        <v>98</v>
      </c>
      <c r="E55" s="4" t="s">
        <v>65</v>
      </c>
      <c r="F55" s="4" t="s">
        <v>121</v>
      </c>
      <c r="G55" s="4" t="n">
        <v>1</v>
      </c>
      <c r="H55" s="4" t="n">
        <v>170</v>
      </c>
      <c r="I55" s="18" t="n">
        <v>0.1</v>
      </c>
      <c r="J55" s="4" t="s">
        <v>67</v>
      </c>
      <c r="K55" s="4" t="s">
        <v>71</v>
      </c>
    </row>
    <row r="56" customFormat="false" ht="15" hidden="false" customHeight="false" outlineLevel="0" collapsed="false">
      <c r="A56" s="4" t="s">
        <v>163</v>
      </c>
      <c r="B56" s="17" t="n">
        <v>45671</v>
      </c>
      <c r="C56" s="4" t="n">
        <v>12</v>
      </c>
      <c r="D56" s="4" t="s">
        <v>64</v>
      </c>
      <c r="E56" s="4" t="s">
        <v>164</v>
      </c>
      <c r="F56" s="4" t="s">
        <v>102</v>
      </c>
      <c r="G56" s="4" t="n">
        <v>1</v>
      </c>
      <c r="H56" s="4" t="n">
        <v>140</v>
      </c>
      <c r="J56" s="4" t="s">
        <v>81</v>
      </c>
      <c r="K56" s="4" t="s">
        <v>82</v>
      </c>
    </row>
    <row r="57" customFormat="false" ht="15" hidden="false" customHeight="false" outlineLevel="0" collapsed="false">
      <c r="A57" s="4" t="s">
        <v>165</v>
      </c>
      <c r="B57" s="17" t="n">
        <v>45671</v>
      </c>
      <c r="C57" s="4" t="n">
        <v>12</v>
      </c>
      <c r="D57" s="4" t="s">
        <v>166</v>
      </c>
      <c r="E57" s="4" t="s">
        <v>74</v>
      </c>
      <c r="F57" s="4" t="s">
        <v>75</v>
      </c>
      <c r="G57" s="4" t="n">
        <v>4</v>
      </c>
      <c r="H57" s="4" t="n">
        <v>220</v>
      </c>
      <c r="I57" s="18" t="n">
        <v>0</v>
      </c>
      <c r="J57" s="4" t="s">
        <v>88</v>
      </c>
      <c r="K57" s="4" t="s">
        <v>77</v>
      </c>
    </row>
    <row r="58" customFormat="false" ht="15" hidden="false" customHeight="false" outlineLevel="0" collapsed="false">
      <c r="A58" s="4" t="s">
        <v>167</v>
      </c>
      <c r="B58" s="17" t="n">
        <v>45671</v>
      </c>
      <c r="C58" s="4" t="n">
        <v>12</v>
      </c>
      <c r="D58" s="4" t="s">
        <v>64</v>
      </c>
      <c r="E58" s="4" t="s">
        <v>84</v>
      </c>
      <c r="F58" s="4" t="s">
        <v>114</v>
      </c>
      <c r="G58" s="4" t="n">
        <v>1</v>
      </c>
      <c r="H58" s="4" t="n">
        <v>85</v>
      </c>
      <c r="I58" s="18" t="n">
        <v>0</v>
      </c>
      <c r="J58" s="4" t="s">
        <v>81</v>
      </c>
      <c r="K58" s="4" t="s">
        <v>68</v>
      </c>
    </row>
    <row r="59" customFormat="false" ht="15" hidden="false" customHeight="false" outlineLevel="0" collapsed="false">
      <c r="A59" s="4" t="s">
        <v>168</v>
      </c>
      <c r="B59" s="17" t="n">
        <v>45671</v>
      </c>
      <c r="C59" s="4" t="n">
        <v>16</v>
      </c>
      <c r="D59" s="4" t="s">
        <v>98</v>
      </c>
      <c r="E59" s="4" t="s">
        <v>169</v>
      </c>
      <c r="F59" s="4" t="s">
        <v>117</v>
      </c>
      <c r="G59" s="4" t="n">
        <v>4</v>
      </c>
      <c r="H59" s="4" t="n">
        <v>95</v>
      </c>
      <c r="I59" s="18" t="n">
        <v>0</v>
      </c>
      <c r="J59" s="4" t="s">
        <v>81</v>
      </c>
      <c r="K59" s="4" t="s">
        <v>68</v>
      </c>
    </row>
    <row r="60" customFormat="false" ht="15" hidden="false" customHeight="false" outlineLevel="0" collapsed="false">
      <c r="A60" s="4" t="s">
        <v>170</v>
      </c>
      <c r="B60" s="17" t="n">
        <v>45671</v>
      </c>
      <c r="C60" s="4" t="n">
        <v>17</v>
      </c>
      <c r="D60" s="4" t="s">
        <v>70</v>
      </c>
      <c r="E60" s="4" t="s">
        <v>99</v>
      </c>
      <c r="F60" s="4" t="s">
        <v>100</v>
      </c>
      <c r="G60" s="4" t="n">
        <v>1</v>
      </c>
      <c r="H60" s="4" t="n">
        <v>110</v>
      </c>
      <c r="I60" s="18" t="n">
        <v>0.1</v>
      </c>
      <c r="J60" s="4" t="s">
        <v>81</v>
      </c>
      <c r="K60" s="4" t="s">
        <v>71</v>
      </c>
    </row>
    <row r="61" customFormat="false" ht="15" hidden="false" customHeight="false" outlineLevel="0" collapsed="false">
      <c r="A61" s="4" t="s">
        <v>171</v>
      </c>
      <c r="B61" s="17" t="n">
        <v>45672</v>
      </c>
      <c r="C61" s="4" t="n">
        <v>7</v>
      </c>
      <c r="D61" s="4" t="s">
        <v>172</v>
      </c>
      <c r="E61" s="4" t="s">
        <v>164</v>
      </c>
      <c r="F61" s="4" t="s">
        <v>102</v>
      </c>
      <c r="G61" s="4" t="n">
        <v>1</v>
      </c>
      <c r="H61" s="4" t="n">
        <v>140</v>
      </c>
      <c r="I61" s="18" t="n">
        <v>0.05</v>
      </c>
      <c r="J61" s="4" t="s">
        <v>81</v>
      </c>
      <c r="K61" s="4" t="s">
        <v>82</v>
      </c>
    </row>
    <row r="62" customFormat="false" ht="15" hidden="false" customHeight="false" outlineLevel="0" collapsed="false">
      <c r="A62" s="4" t="s">
        <v>173</v>
      </c>
      <c r="B62" s="4" t="s">
        <v>174</v>
      </c>
      <c r="C62" s="4" t="n">
        <v>8</v>
      </c>
      <c r="D62" s="4" t="s">
        <v>64</v>
      </c>
      <c r="E62" s="4" t="s">
        <v>65</v>
      </c>
      <c r="F62" s="4" t="s">
        <v>121</v>
      </c>
      <c r="G62" s="4" t="n">
        <v>1</v>
      </c>
      <c r="H62" s="4" t="n">
        <v>170</v>
      </c>
      <c r="I62" s="18" t="n">
        <v>0</v>
      </c>
      <c r="J62" s="4" t="s">
        <v>112</v>
      </c>
      <c r="K62" s="4" t="s">
        <v>68</v>
      </c>
    </row>
    <row r="63" customFormat="false" ht="15" hidden="false" customHeight="false" outlineLevel="0" collapsed="false">
      <c r="A63" s="4" t="s">
        <v>175</v>
      </c>
      <c r="B63" s="17" t="n">
        <v>45672</v>
      </c>
      <c r="C63" s="4" t="n">
        <v>8</v>
      </c>
      <c r="D63" s="4" t="s">
        <v>64</v>
      </c>
      <c r="E63" s="4" t="s">
        <v>99</v>
      </c>
      <c r="F63" s="4" t="s">
        <v>102</v>
      </c>
      <c r="G63" s="4" t="n">
        <v>2</v>
      </c>
      <c r="I63" s="18" t="n">
        <v>0.05</v>
      </c>
      <c r="J63" s="4" t="s">
        <v>88</v>
      </c>
      <c r="K63" s="4" t="s">
        <v>82</v>
      </c>
    </row>
    <row r="64" customFormat="false" ht="15" hidden="false" customHeight="false" outlineLevel="0" collapsed="false">
      <c r="A64" s="4" t="s">
        <v>176</v>
      </c>
      <c r="B64" s="17" t="n">
        <v>45672</v>
      </c>
      <c r="C64" s="4" t="n">
        <v>9</v>
      </c>
      <c r="D64" s="4" t="s">
        <v>73</v>
      </c>
      <c r="E64" s="4" t="s">
        <v>65</v>
      </c>
      <c r="F64" s="4" t="s">
        <v>87</v>
      </c>
      <c r="G64" s="4" t="n">
        <v>2</v>
      </c>
      <c r="H64" s="4" t="n">
        <v>160</v>
      </c>
      <c r="I64" s="18" t="n">
        <v>0</v>
      </c>
      <c r="J64" s="4" t="s">
        <v>81</v>
      </c>
      <c r="K64" s="4" t="s">
        <v>68</v>
      </c>
    </row>
    <row r="65" customFormat="false" ht="15" hidden="false" customHeight="false" outlineLevel="0" collapsed="false">
      <c r="A65" s="4" t="s">
        <v>177</v>
      </c>
      <c r="B65" s="17" t="n">
        <v>45672</v>
      </c>
      <c r="C65" s="4" t="n">
        <v>12</v>
      </c>
      <c r="D65" s="4" t="s">
        <v>70</v>
      </c>
      <c r="E65" s="4" t="s">
        <v>65</v>
      </c>
      <c r="F65" s="4" t="s">
        <v>94</v>
      </c>
      <c r="G65" s="4" t="n">
        <v>2</v>
      </c>
      <c r="H65" s="4" t="n">
        <v>150</v>
      </c>
      <c r="I65" s="18" t="n">
        <v>0</v>
      </c>
      <c r="J65" s="4" t="s">
        <v>67</v>
      </c>
      <c r="K65" s="4" t="s">
        <v>77</v>
      </c>
    </row>
    <row r="66" customFormat="false" ht="15" hidden="false" customHeight="false" outlineLevel="0" collapsed="false">
      <c r="A66" s="4" t="s">
        <v>178</v>
      </c>
      <c r="B66" s="4" t="s">
        <v>174</v>
      </c>
      <c r="C66" s="4" t="n">
        <v>13</v>
      </c>
      <c r="D66" s="4" t="s">
        <v>64</v>
      </c>
      <c r="E66" s="4" t="s">
        <v>99</v>
      </c>
      <c r="F66" s="4" t="s">
        <v>109</v>
      </c>
      <c r="G66" s="4" t="n">
        <v>2</v>
      </c>
      <c r="H66" s="4" t="n">
        <v>130</v>
      </c>
      <c r="I66" s="18" t="n">
        <v>0</v>
      </c>
      <c r="J66" s="4" t="s">
        <v>81</v>
      </c>
      <c r="K66" s="4" t="s">
        <v>68</v>
      </c>
    </row>
    <row r="67" customFormat="false" ht="15" hidden="false" customHeight="false" outlineLevel="0" collapsed="false">
      <c r="A67" s="4" t="s">
        <v>179</v>
      </c>
      <c r="B67" s="17" t="n">
        <v>45672</v>
      </c>
      <c r="C67" s="4" t="n">
        <v>18</v>
      </c>
      <c r="D67" s="4" t="s">
        <v>98</v>
      </c>
      <c r="E67" s="4" t="s">
        <v>99</v>
      </c>
      <c r="F67" s="4" t="s">
        <v>100</v>
      </c>
      <c r="G67" s="4" t="n">
        <v>1</v>
      </c>
      <c r="H67" s="4" t="n">
        <v>110</v>
      </c>
      <c r="I67" s="18" t="n">
        <v>0.1</v>
      </c>
      <c r="J67" s="4" t="s">
        <v>112</v>
      </c>
      <c r="K67" s="4" t="s">
        <v>71</v>
      </c>
    </row>
    <row r="68" customFormat="false" ht="15" hidden="false" customHeight="false" outlineLevel="0" collapsed="false">
      <c r="A68" s="4" t="s">
        <v>180</v>
      </c>
      <c r="B68" s="17" t="n">
        <v>45673</v>
      </c>
      <c r="C68" s="4" t="n">
        <v>7</v>
      </c>
      <c r="D68" s="4" t="s">
        <v>70</v>
      </c>
      <c r="E68" s="4" t="s">
        <v>99</v>
      </c>
      <c r="F68" s="4" t="s">
        <v>109</v>
      </c>
      <c r="G68" s="4" t="n">
        <v>2</v>
      </c>
      <c r="H68" s="4" t="n">
        <v>130</v>
      </c>
      <c r="I68" s="18" t="n">
        <v>0.05</v>
      </c>
      <c r="J68" s="4" t="s">
        <v>76</v>
      </c>
      <c r="K68" s="4" t="s">
        <v>82</v>
      </c>
    </row>
    <row r="69" customFormat="false" ht="15" hidden="false" customHeight="false" outlineLevel="0" collapsed="false">
      <c r="A69" s="4" t="s">
        <v>181</v>
      </c>
      <c r="B69" s="17" t="n">
        <v>45673</v>
      </c>
      <c r="C69" s="4" t="n">
        <v>11</v>
      </c>
      <c r="D69" s="4" t="s">
        <v>70</v>
      </c>
      <c r="E69" s="4" t="s">
        <v>99</v>
      </c>
      <c r="F69" s="4" t="s">
        <v>109</v>
      </c>
      <c r="G69" s="4" t="n">
        <v>1</v>
      </c>
      <c r="H69" s="4" t="n">
        <v>130</v>
      </c>
      <c r="I69" s="18" t="n">
        <v>0</v>
      </c>
      <c r="J69" s="4" t="s">
        <v>81</v>
      </c>
      <c r="K69" s="4" t="s">
        <v>68</v>
      </c>
    </row>
    <row r="70" customFormat="false" ht="15" hidden="false" customHeight="false" outlineLevel="0" collapsed="false">
      <c r="A70" s="4" t="s">
        <v>182</v>
      </c>
      <c r="B70" s="17" t="n">
        <v>45673</v>
      </c>
      <c r="C70" s="4" t="n">
        <v>12</v>
      </c>
      <c r="D70" s="4" t="s">
        <v>183</v>
      </c>
      <c r="E70" s="4" t="s">
        <v>99</v>
      </c>
      <c r="F70" s="4" t="s">
        <v>133</v>
      </c>
      <c r="G70" s="4" t="n">
        <v>3</v>
      </c>
      <c r="H70" s="4" t="n">
        <v>90</v>
      </c>
      <c r="I70" s="18" t="n">
        <v>0.1</v>
      </c>
      <c r="J70" s="4" t="s">
        <v>67</v>
      </c>
      <c r="K70" s="4" t="s">
        <v>71</v>
      </c>
    </row>
    <row r="71" customFormat="false" ht="15" hidden="false" customHeight="false" outlineLevel="0" collapsed="false">
      <c r="A71" s="4" t="s">
        <v>184</v>
      </c>
      <c r="B71" s="17" t="n">
        <v>45673</v>
      </c>
      <c r="C71" s="4" t="n">
        <v>13</v>
      </c>
      <c r="D71" s="4" t="s">
        <v>70</v>
      </c>
      <c r="E71" s="4" t="s">
        <v>65</v>
      </c>
      <c r="F71" s="4" t="s">
        <v>94</v>
      </c>
      <c r="G71" s="4" t="n">
        <v>3</v>
      </c>
      <c r="H71" s="4" t="n">
        <v>150</v>
      </c>
      <c r="I71" s="18" t="n">
        <v>0.1</v>
      </c>
      <c r="J71" s="4" t="s">
        <v>76</v>
      </c>
      <c r="K71" s="4" t="s">
        <v>71</v>
      </c>
    </row>
    <row r="72" customFormat="false" ht="15" hidden="false" customHeight="false" outlineLevel="0" collapsed="false">
      <c r="A72" s="4" t="s">
        <v>185</v>
      </c>
      <c r="B72" s="17" t="n">
        <v>45673</v>
      </c>
      <c r="C72" s="4" t="n">
        <v>14</v>
      </c>
      <c r="D72" s="4" t="s">
        <v>70</v>
      </c>
      <c r="E72" s="4" t="s">
        <v>79</v>
      </c>
      <c r="F72" s="4" t="s">
        <v>80</v>
      </c>
      <c r="G72" s="4" t="n">
        <v>2</v>
      </c>
      <c r="H72" s="4" t="n">
        <v>160</v>
      </c>
      <c r="I72" s="18" t="n">
        <v>0</v>
      </c>
      <c r="J72" s="4" t="s">
        <v>67</v>
      </c>
      <c r="K72" s="4" t="s">
        <v>77</v>
      </c>
    </row>
    <row r="73" customFormat="false" ht="15" hidden="false" customHeight="false" outlineLevel="0" collapsed="false">
      <c r="A73" s="4" t="s">
        <v>186</v>
      </c>
      <c r="B73" s="17" t="n">
        <v>45673</v>
      </c>
      <c r="C73" s="4" t="n">
        <v>15</v>
      </c>
      <c r="D73" s="4" t="s">
        <v>187</v>
      </c>
      <c r="E73" s="4" t="s">
        <v>65</v>
      </c>
      <c r="F73" s="4" t="s">
        <v>87</v>
      </c>
      <c r="G73" s="4" t="n">
        <v>1</v>
      </c>
      <c r="H73" s="4" t="n">
        <v>160</v>
      </c>
      <c r="I73" s="18" t="n">
        <v>0.1</v>
      </c>
      <c r="J73" s="4" t="s">
        <v>67</v>
      </c>
      <c r="K73" s="4" t="s">
        <v>71</v>
      </c>
    </row>
    <row r="74" customFormat="false" ht="15" hidden="false" customHeight="false" outlineLevel="0" collapsed="false">
      <c r="A74" s="4" t="s">
        <v>188</v>
      </c>
      <c r="B74" s="17" t="n">
        <v>45673</v>
      </c>
      <c r="C74" s="4" t="n">
        <v>15</v>
      </c>
      <c r="D74" s="4" t="s">
        <v>189</v>
      </c>
      <c r="E74" s="4" t="s">
        <v>74</v>
      </c>
      <c r="F74" s="4" t="s">
        <v>139</v>
      </c>
      <c r="G74" s="4" t="n">
        <v>2</v>
      </c>
      <c r="I74" s="18" t="n">
        <v>0</v>
      </c>
      <c r="J74" s="4" t="s">
        <v>67</v>
      </c>
      <c r="K74" s="4" t="s">
        <v>77</v>
      </c>
    </row>
    <row r="75" customFormat="false" ht="15" hidden="false" customHeight="false" outlineLevel="0" collapsed="false">
      <c r="A75" s="4" t="s">
        <v>190</v>
      </c>
      <c r="B75" s="17" t="n">
        <v>45674</v>
      </c>
      <c r="C75" s="4" t="n">
        <v>9</v>
      </c>
      <c r="D75" s="4" t="s">
        <v>73</v>
      </c>
      <c r="E75" s="4" t="s">
        <v>74</v>
      </c>
      <c r="F75" s="4" t="s">
        <v>91</v>
      </c>
      <c r="G75" s="4" t="n">
        <v>4</v>
      </c>
      <c r="H75" s="4" t="n">
        <v>200</v>
      </c>
      <c r="I75" s="18" t="n">
        <v>0.1</v>
      </c>
      <c r="J75" s="4" t="s">
        <v>76</v>
      </c>
      <c r="K75" s="4" t="s">
        <v>71</v>
      </c>
    </row>
    <row r="76" customFormat="false" ht="15" hidden="false" customHeight="false" outlineLevel="0" collapsed="false">
      <c r="A76" s="4" t="s">
        <v>191</v>
      </c>
      <c r="B76" s="17" t="n">
        <v>45674</v>
      </c>
      <c r="C76" s="4" t="n">
        <v>9</v>
      </c>
      <c r="D76" s="4" t="s">
        <v>70</v>
      </c>
      <c r="E76" s="4" t="s">
        <v>99</v>
      </c>
      <c r="F76" s="4" t="s">
        <v>109</v>
      </c>
      <c r="G76" s="4" t="n">
        <v>1</v>
      </c>
      <c r="H76" s="4" t="n">
        <v>130</v>
      </c>
      <c r="I76" s="18" t="n">
        <v>0.05</v>
      </c>
      <c r="J76" s="4" t="s">
        <v>67</v>
      </c>
      <c r="K76" s="4" t="s">
        <v>82</v>
      </c>
    </row>
    <row r="77" customFormat="false" ht="15" hidden="false" customHeight="false" outlineLevel="0" collapsed="false">
      <c r="A77" s="4" t="s">
        <v>192</v>
      </c>
      <c r="B77" s="4" t="s">
        <v>193</v>
      </c>
      <c r="C77" s="4" t="n">
        <v>12</v>
      </c>
      <c r="D77" s="4" t="s">
        <v>73</v>
      </c>
      <c r="E77" s="4" t="s">
        <v>74</v>
      </c>
      <c r="F77" s="4" t="s">
        <v>75</v>
      </c>
      <c r="G77" s="4" t="n">
        <v>2</v>
      </c>
      <c r="H77" s="4" t="n">
        <v>220</v>
      </c>
      <c r="I77" s="18" t="n">
        <v>0</v>
      </c>
      <c r="J77" s="4" t="s">
        <v>123</v>
      </c>
      <c r="K77" s="4" t="s">
        <v>77</v>
      </c>
    </row>
    <row r="78" customFormat="false" ht="15" hidden="false" customHeight="false" outlineLevel="0" collapsed="false">
      <c r="A78" s="4" t="s">
        <v>194</v>
      </c>
      <c r="B78" s="4" t="s">
        <v>193</v>
      </c>
      <c r="C78" s="4" t="n">
        <v>15</v>
      </c>
      <c r="D78" s="4" t="s">
        <v>73</v>
      </c>
      <c r="E78" s="4" t="s">
        <v>65</v>
      </c>
      <c r="F78" s="4" t="s">
        <v>94</v>
      </c>
      <c r="G78" s="4" t="n">
        <v>2</v>
      </c>
      <c r="H78" s="4" t="n">
        <v>150</v>
      </c>
      <c r="I78" s="18" t="n">
        <v>0.15</v>
      </c>
      <c r="J78" s="4" t="s">
        <v>81</v>
      </c>
      <c r="K78" s="4" t="s">
        <v>68</v>
      </c>
    </row>
    <row r="79" customFormat="false" ht="15" hidden="false" customHeight="false" outlineLevel="0" collapsed="false">
      <c r="A79" s="4" t="s">
        <v>195</v>
      </c>
      <c r="B79" s="17" t="n">
        <v>45675</v>
      </c>
      <c r="C79" s="4" t="n">
        <v>7</v>
      </c>
      <c r="D79" s="4" t="s">
        <v>70</v>
      </c>
      <c r="E79" s="4" t="s">
        <v>99</v>
      </c>
      <c r="F79" s="4" t="s">
        <v>109</v>
      </c>
      <c r="G79" s="4" t="n">
        <v>1</v>
      </c>
      <c r="H79" s="4" t="n">
        <v>130</v>
      </c>
      <c r="I79" s="18" t="n">
        <v>0.05</v>
      </c>
      <c r="J79" s="4" t="s">
        <v>88</v>
      </c>
      <c r="K79" s="4" t="s">
        <v>82</v>
      </c>
    </row>
    <row r="80" customFormat="false" ht="15" hidden="false" customHeight="false" outlineLevel="0" collapsed="false">
      <c r="A80" s="4" t="s">
        <v>196</v>
      </c>
      <c r="B80" s="17" t="n">
        <v>45675</v>
      </c>
      <c r="C80" s="4" t="n">
        <v>7</v>
      </c>
      <c r="D80" s="4" t="s">
        <v>98</v>
      </c>
      <c r="E80" s="4" t="s">
        <v>79</v>
      </c>
      <c r="F80" s="4" t="s">
        <v>135</v>
      </c>
      <c r="G80" s="4" t="n">
        <v>4</v>
      </c>
      <c r="H80" s="4" t="n">
        <v>130</v>
      </c>
      <c r="I80" s="18" t="n">
        <v>0.2</v>
      </c>
      <c r="J80" s="4" t="s">
        <v>81</v>
      </c>
      <c r="K80" s="4" t="s">
        <v>71</v>
      </c>
    </row>
    <row r="81" customFormat="false" ht="15" hidden="false" customHeight="false" outlineLevel="0" collapsed="false">
      <c r="A81" s="4" t="s">
        <v>197</v>
      </c>
      <c r="B81" s="17" t="n">
        <v>45675</v>
      </c>
      <c r="C81" s="4" t="n">
        <v>7</v>
      </c>
      <c r="D81" s="4" t="s">
        <v>73</v>
      </c>
      <c r="E81" s="4" t="s">
        <v>65</v>
      </c>
      <c r="F81" s="4" t="s">
        <v>94</v>
      </c>
      <c r="G81" s="4" t="n">
        <v>2</v>
      </c>
      <c r="H81" s="4" t="n">
        <v>150</v>
      </c>
      <c r="I81" s="18" t="n">
        <v>0</v>
      </c>
      <c r="J81" s="4" t="s">
        <v>67</v>
      </c>
      <c r="K81" s="4" t="s">
        <v>68</v>
      </c>
    </row>
    <row r="82" customFormat="false" ht="15" hidden="false" customHeight="false" outlineLevel="0" collapsed="false">
      <c r="A82" s="4" t="s">
        <v>198</v>
      </c>
      <c r="B82" s="17" t="n">
        <v>45675</v>
      </c>
      <c r="C82" s="4" t="n">
        <v>8</v>
      </c>
      <c r="D82" s="4" t="s">
        <v>98</v>
      </c>
      <c r="E82" s="4" t="s">
        <v>84</v>
      </c>
      <c r="F82" s="4" t="s">
        <v>85</v>
      </c>
      <c r="G82" s="4" t="n">
        <v>1</v>
      </c>
      <c r="H82" s="4" t="n">
        <v>150</v>
      </c>
      <c r="I82" s="18" t="n">
        <v>0.05</v>
      </c>
      <c r="J82" s="4" t="s">
        <v>81</v>
      </c>
      <c r="K82" s="4" t="s">
        <v>82</v>
      </c>
    </row>
    <row r="83" customFormat="false" ht="15" hidden="false" customHeight="false" outlineLevel="0" collapsed="false">
      <c r="A83" s="4" t="s">
        <v>199</v>
      </c>
      <c r="B83" s="17" t="n">
        <v>45675</v>
      </c>
      <c r="C83" s="4" t="n">
        <v>12</v>
      </c>
      <c r="D83" s="4" t="s">
        <v>64</v>
      </c>
      <c r="E83" s="4" t="s">
        <v>74</v>
      </c>
      <c r="F83" s="4" t="s">
        <v>200</v>
      </c>
      <c r="G83" s="4" t="n">
        <v>1</v>
      </c>
      <c r="H83" s="4" t="n">
        <v>220</v>
      </c>
      <c r="I83" s="18" t="n">
        <v>0.1</v>
      </c>
      <c r="J83" s="4" t="s">
        <v>112</v>
      </c>
      <c r="K83" s="4" t="s">
        <v>71</v>
      </c>
    </row>
    <row r="84" customFormat="false" ht="15" hidden="false" customHeight="false" outlineLevel="0" collapsed="false">
      <c r="A84" s="4" t="s">
        <v>201</v>
      </c>
      <c r="B84" s="17" t="n">
        <v>45675</v>
      </c>
      <c r="C84" s="4" t="n">
        <v>13</v>
      </c>
      <c r="D84" s="4" t="s">
        <v>70</v>
      </c>
      <c r="E84" s="4" t="s">
        <v>99</v>
      </c>
      <c r="F84" s="4" t="s">
        <v>133</v>
      </c>
      <c r="G84" s="4" t="n">
        <v>1</v>
      </c>
      <c r="H84" s="4" t="n">
        <v>90</v>
      </c>
      <c r="I84" s="18" t="n">
        <v>0.05</v>
      </c>
      <c r="J84" s="4" t="s">
        <v>81</v>
      </c>
      <c r="K84" s="4" t="s">
        <v>82</v>
      </c>
    </row>
    <row r="85" customFormat="false" ht="15" hidden="false" customHeight="false" outlineLevel="0" collapsed="false">
      <c r="A85" s="4" t="s">
        <v>202</v>
      </c>
      <c r="B85" s="4" t="s">
        <v>203</v>
      </c>
      <c r="C85" s="4" t="n">
        <v>16</v>
      </c>
      <c r="D85" s="4" t="s">
        <v>64</v>
      </c>
      <c r="E85" s="4" t="s">
        <v>65</v>
      </c>
      <c r="F85" s="4" t="s">
        <v>87</v>
      </c>
      <c r="G85" s="4" t="n">
        <v>1</v>
      </c>
      <c r="H85" s="4" t="n">
        <v>160</v>
      </c>
      <c r="I85" s="18" t="n">
        <v>0</v>
      </c>
      <c r="J85" s="4" t="s">
        <v>67</v>
      </c>
      <c r="K85" s="4" t="s">
        <v>77</v>
      </c>
    </row>
    <row r="86" customFormat="false" ht="15" hidden="false" customHeight="false" outlineLevel="0" collapsed="false">
      <c r="A86" s="4" t="s">
        <v>204</v>
      </c>
      <c r="B86" s="17" t="n">
        <v>45675</v>
      </c>
      <c r="C86" s="4" t="n">
        <v>17</v>
      </c>
      <c r="D86" s="4" t="s">
        <v>98</v>
      </c>
      <c r="E86" s="4" t="s">
        <v>74</v>
      </c>
      <c r="F86" s="4" t="s">
        <v>139</v>
      </c>
      <c r="G86" s="4" t="n">
        <v>1</v>
      </c>
      <c r="H86" s="4" t="n">
        <v>260</v>
      </c>
      <c r="I86" s="18" t="n">
        <v>0.1</v>
      </c>
      <c r="J86" s="4" t="s">
        <v>81</v>
      </c>
      <c r="K86" s="4" t="s">
        <v>71</v>
      </c>
    </row>
    <row r="87" customFormat="false" ht="15" hidden="false" customHeight="false" outlineLevel="0" collapsed="false">
      <c r="A87" s="4" t="s">
        <v>205</v>
      </c>
      <c r="B87" s="17" t="n">
        <v>45676</v>
      </c>
      <c r="C87" s="4" t="n">
        <v>9</v>
      </c>
      <c r="D87" s="4" t="s">
        <v>98</v>
      </c>
      <c r="E87" s="4" t="s">
        <v>99</v>
      </c>
      <c r="F87" s="4" t="s">
        <v>102</v>
      </c>
      <c r="G87" s="4" t="n">
        <v>4</v>
      </c>
      <c r="H87" s="4" t="n">
        <v>140</v>
      </c>
      <c r="I87" s="18" t="n">
        <v>0.2</v>
      </c>
      <c r="J87" s="4" t="s">
        <v>112</v>
      </c>
      <c r="K87" s="4" t="s">
        <v>71</v>
      </c>
    </row>
    <row r="88" customFormat="false" ht="15" hidden="false" customHeight="false" outlineLevel="0" collapsed="false">
      <c r="A88" s="4" t="s">
        <v>206</v>
      </c>
      <c r="B88" s="17" t="n">
        <v>45676</v>
      </c>
      <c r="C88" s="4" t="n">
        <v>12</v>
      </c>
      <c r="D88" s="4" t="s">
        <v>70</v>
      </c>
      <c r="E88" s="4" t="s">
        <v>74</v>
      </c>
      <c r="F88" s="4" t="s">
        <v>139</v>
      </c>
      <c r="G88" s="4" t="n">
        <v>2</v>
      </c>
      <c r="H88" s="4" t="n">
        <v>260</v>
      </c>
      <c r="I88" s="18" t="n">
        <v>0</v>
      </c>
      <c r="J88" s="4" t="s">
        <v>81</v>
      </c>
      <c r="K88" s="4" t="s">
        <v>77</v>
      </c>
    </row>
    <row r="89" customFormat="false" ht="15" hidden="false" customHeight="false" outlineLevel="0" collapsed="false">
      <c r="A89" s="4" t="s">
        <v>207</v>
      </c>
      <c r="B89" s="17" t="n">
        <v>45676</v>
      </c>
      <c r="C89" s="4" t="n">
        <v>12</v>
      </c>
      <c r="D89" s="4" t="s">
        <v>166</v>
      </c>
      <c r="E89" s="4" t="s">
        <v>99</v>
      </c>
      <c r="F89" s="4" t="s">
        <v>102</v>
      </c>
      <c r="G89" s="4" t="n">
        <v>1</v>
      </c>
      <c r="H89" s="4" t="n">
        <v>140</v>
      </c>
      <c r="I89" s="18" t="n">
        <v>0.05</v>
      </c>
      <c r="J89" s="4" t="s">
        <v>67</v>
      </c>
      <c r="K89" s="4" t="s">
        <v>82</v>
      </c>
    </row>
    <row r="90" customFormat="false" ht="15" hidden="false" customHeight="false" outlineLevel="0" collapsed="false">
      <c r="A90" s="4" t="s">
        <v>208</v>
      </c>
      <c r="B90" s="17" t="n">
        <v>45676</v>
      </c>
      <c r="C90" s="4" t="n">
        <v>18</v>
      </c>
      <c r="D90" s="4" t="s">
        <v>98</v>
      </c>
      <c r="E90" s="4" t="s">
        <v>65</v>
      </c>
      <c r="F90" s="4" t="s">
        <v>87</v>
      </c>
      <c r="G90" s="4" t="n">
        <v>3</v>
      </c>
      <c r="H90" s="4" t="n">
        <v>160</v>
      </c>
      <c r="I90" s="18" t="n">
        <v>0</v>
      </c>
      <c r="J90" s="4" t="s">
        <v>88</v>
      </c>
      <c r="K90" s="4" t="s">
        <v>68</v>
      </c>
    </row>
    <row r="91" customFormat="false" ht="15" hidden="false" customHeight="false" outlineLevel="0" collapsed="false">
      <c r="A91" s="4" t="s">
        <v>209</v>
      </c>
      <c r="B91" s="17" t="n">
        <v>45677</v>
      </c>
      <c r="C91" s="4" t="n">
        <v>7</v>
      </c>
      <c r="D91" s="4" t="s">
        <v>108</v>
      </c>
      <c r="E91" s="4" t="s">
        <v>65</v>
      </c>
      <c r="F91" s="4" t="s">
        <v>94</v>
      </c>
      <c r="G91" s="4" t="n">
        <v>1</v>
      </c>
      <c r="H91" s="4" t="n">
        <v>150</v>
      </c>
      <c r="J91" s="4" t="s">
        <v>112</v>
      </c>
      <c r="K91" s="4" t="s">
        <v>77</v>
      </c>
    </row>
    <row r="92" customFormat="false" ht="15" hidden="false" customHeight="false" outlineLevel="0" collapsed="false">
      <c r="A92" s="4" t="s">
        <v>210</v>
      </c>
      <c r="B92" s="17" t="n">
        <v>45677</v>
      </c>
      <c r="C92" s="4" t="n">
        <v>8</v>
      </c>
      <c r="D92" s="4" t="s">
        <v>70</v>
      </c>
      <c r="E92" s="4" t="s">
        <v>65</v>
      </c>
      <c r="F92" s="4" t="s">
        <v>94</v>
      </c>
      <c r="G92" s="4" t="n">
        <v>3</v>
      </c>
      <c r="H92" s="4" t="n">
        <v>150</v>
      </c>
      <c r="I92" s="18" t="n">
        <v>0</v>
      </c>
      <c r="J92" s="4" t="s">
        <v>67</v>
      </c>
      <c r="K92" s="4" t="s">
        <v>77</v>
      </c>
    </row>
    <row r="93" customFormat="false" ht="15" hidden="false" customHeight="false" outlineLevel="0" collapsed="false">
      <c r="A93" s="4" t="s">
        <v>211</v>
      </c>
      <c r="B93" s="17" t="n">
        <v>45677</v>
      </c>
      <c r="C93" s="4" t="n">
        <v>8</v>
      </c>
      <c r="D93" s="4" t="s">
        <v>119</v>
      </c>
      <c r="E93" s="4" t="s">
        <v>84</v>
      </c>
      <c r="F93" s="4" t="s">
        <v>106</v>
      </c>
      <c r="G93" s="4" t="n">
        <v>1</v>
      </c>
      <c r="H93" s="4" t="n">
        <v>60</v>
      </c>
      <c r="I93" s="18" t="n">
        <v>0.05</v>
      </c>
      <c r="J93" s="4" t="s">
        <v>76</v>
      </c>
      <c r="K93" s="4" t="s">
        <v>82</v>
      </c>
    </row>
    <row r="94" customFormat="false" ht="15" hidden="false" customHeight="false" outlineLevel="0" collapsed="false">
      <c r="A94" s="4" t="s">
        <v>212</v>
      </c>
      <c r="B94" s="17" t="n">
        <v>45677</v>
      </c>
      <c r="C94" s="4" t="n">
        <v>12</v>
      </c>
      <c r="D94" s="4" t="s">
        <v>64</v>
      </c>
      <c r="E94" s="4" t="s">
        <v>65</v>
      </c>
      <c r="F94" s="4" t="s">
        <v>94</v>
      </c>
      <c r="G94" s="4" t="n">
        <v>1</v>
      </c>
      <c r="H94" s="4" t="n">
        <v>150</v>
      </c>
      <c r="I94" s="18" t="n">
        <v>0</v>
      </c>
      <c r="J94" s="4" t="s">
        <v>76</v>
      </c>
      <c r="K94" s="4" t="s">
        <v>68</v>
      </c>
    </row>
    <row r="95" customFormat="false" ht="15" hidden="false" customHeight="false" outlineLevel="0" collapsed="false">
      <c r="A95" s="4" t="s">
        <v>213</v>
      </c>
      <c r="B95" s="17" t="n">
        <v>45678</v>
      </c>
      <c r="C95" s="4" t="n">
        <v>7</v>
      </c>
      <c r="D95" s="4" t="s">
        <v>70</v>
      </c>
      <c r="E95" s="4" t="s">
        <v>84</v>
      </c>
      <c r="F95" s="4" t="s">
        <v>85</v>
      </c>
      <c r="G95" s="4" t="n">
        <v>1</v>
      </c>
      <c r="H95" s="4" t="n">
        <v>150</v>
      </c>
      <c r="I95" s="18" t="n">
        <v>0.05</v>
      </c>
      <c r="J95" s="4" t="s">
        <v>76</v>
      </c>
      <c r="K95" s="4" t="s">
        <v>82</v>
      </c>
    </row>
    <row r="96" customFormat="false" ht="15" hidden="false" customHeight="false" outlineLevel="0" collapsed="false">
      <c r="A96" s="4" t="s">
        <v>214</v>
      </c>
      <c r="B96" s="17" t="n">
        <v>45678</v>
      </c>
      <c r="C96" s="4" t="n">
        <v>8</v>
      </c>
      <c r="D96" s="4" t="s">
        <v>73</v>
      </c>
      <c r="E96" s="4" t="s">
        <v>99</v>
      </c>
      <c r="F96" s="4" t="s">
        <v>100</v>
      </c>
      <c r="G96" s="4" t="n">
        <v>2</v>
      </c>
      <c r="H96" s="4" t="n">
        <v>110</v>
      </c>
      <c r="I96" s="18" t="n">
        <v>0</v>
      </c>
      <c r="J96" s="4" t="s">
        <v>112</v>
      </c>
      <c r="K96" s="4" t="s">
        <v>68</v>
      </c>
    </row>
    <row r="97" customFormat="false" ht="15" hidden="false" customHeight="false" outlineLevel="0" collapsed="false">
      <c r="A97" s="4" t="s">
        <v>215</v>
      </c>
      <c r="B97" s="17" t="n">
        <v>45678</v>
      </c>
      <c r="C97" s="4" t="n">
        <v>9</v>
      </c>
      <c r="D97" s="4" t="s">
        <v>70</v>
      </c>
      <c r="E97" s="4" t="s">
        <v>84</v>
      </c>
      <c r="F97" s="4" t="s">
        <v>106</v>
      </c>
      <c r="H97" s="4" t="n">
        <v>60</v>
      </c>
      <c r="I97" s="18" t="n">
        <v>0.2</v>
      </c>
      <c r="J97" s="4" t="s">
        <v>67</v>
      </c>
      <c r="K97" s="4" t="s">
        <v>68</v>
      </c>
    </row>
    <row r="98" customFormat="false" ht="15" hidden="false" customHeight="false" outlineLevel="0" collapsed="false">
      <c r="A98" s="4" t="s">
        <v>216</v>
      </c>
      <c r="B98" s="17" t="n">
        <v>45678</v>
      </c>
      <c r="C98" s="4" t="n">
        <v>10</v>
      </c>
      <c r="D98" s="4" t="s">
        <v>64</v>
      </c>
      <c r="E98" s="4" t="s">
        <v>65</v>
      </c>
      <c r="F98" s="4" t="s">
        <v>66</v>
      </c>
      <c r="G98" s="4" t="n">
        <v>3</v>
      </c>
      <c r="H98" s="4" t="n">
        <v>120</v>
      </c>
      <c r="I98" s="18" t="n">
        <v>0</v>
      </c>
      <c r="J98" s="4" t="s">
        <v>76</v>
      </c>
      <c r="K98" s="4" t="s">
        <v>77</v>
      </c>
    </row>
    <row r="99" customFormat="false" ht="15" hidden="false" customHeight="false" outlineLevel="0" collapsed="false">
      <c r="A99" s="4" t="s">
        <v>217</v>
      </c>
      <c r="B99" s="17" t="n">
        <v>45678</v>
      </c>
      <c r="C99" s="4" t="n">
        <v>12</v>
      </c>
      <c r="D99" s="4" t="s">
        <v>70</v>
      </c>
      <c r="E99" s="4" t="s">
        <v>79</v>
      </c>
      <c r="F99" s="4" t="s">
        <v>80</v>
      </c>
      <c r="G99" s="4" t="n">
        <v>2</v>
      </c>
      <c r="H99" s="4" t="n">
        <v>160</v>
      </c>
      <c r="I99" s="18" t="n">
        <v>0.2</v>
      </c>
      <c r="J99" s="4" t="s">
        <v>67</v>
      </c>
      <c r="K99" s="4" t="s">
        <v>68</v>
      </c>
    </row>
    <row r="100" customFormat="false" ht="15" hidden="false" customHeight="false" outlineLevel="0" collapsed="false">
      <c r="A100" s="4" t="s">
        <v>218</v>
      </c>
      <c r="B100" s="17" t="n">
        <v>45678</v>
      </c>
      <c r="C100" s="4" t="n">
        <v>16</v>
      </c>
      <c r="D100" s="4" t="s">
        <v>70</v>
      </c>
      <c r="E100" s="4" t="s">
        <v>79</v>
      </c>
      <c r="F100" s="4" t="s">
        <v>219</v>
      </c>
      <c r="G100" s="4" t="n">
        <v>2</v>
      </c>
      <c r="H100" s="4" t="n">
        <v>120</v>
      </c>
      <c r="I100" s="18" t="n">
        <v>0</v>
      </c>
      <c r="J100" s="4" t="s">
        <v>76</v>
      </c>
      <c r="K100" s="4" t="s">
        <v>77</v>
      </c>
    </row>
    <row r="101" customFormat="false" ht="15" hidden="false" customHeight="false" outlineLevel="0" collapsed="false">
      <c r="A101" s="4" t="s">
        <v>220</v>
      </c>
      <c r="B101" s="17" t="n">
        <v>45678</v>
      </c>
      <c r="C101" s="4" t="n">
        <v>17</v>
      </c>
      <c r="D101" s="4" t="s">
        <v>108</v>
      </c>
      <c r="E101" s="4" t="s">
        <v>221</v>
      </c>
      <c r="F101" s="4" t="s">
        <v>219</v>
      </c>
      <c r="G101" s="4" t="n">
        <v>1</v>
      </c>
      <c r="H101" s="4" t="n">
        <v>120</v>
      </c>
      <c r="I101" s="18" t="n">
        <v>0.1</v>
      </c>
      <c r="J101" s="4" t="s">
        <v>76</v>
      </c>
      <c r="K101" s="4" t="s">
        <v>71</v>
      </c>
    </row>
    <row r="102" customFormat="false" ht="15" hidden="false" customHeight="false" outlineLevel="0" collapsed="false">
      <c r="A102" s="4" t="s">
        <v>222</v>
      </c>
      <c r="B102" s="17" t="n">
        <v>45679</v>
      </c>
      <c r="C102" s="4" t="n">
        <v>8</v>
      </c>
      <c r="D102" s="4" t="s">
        <v>70</v>
      </c>
      <c r="E102" s="4" t="s">
        <v>65</v>
      </c>
      <c r="F102" s="4" t="s">
        <v>94</v>
      </c>
      <c r="G102" s="4" t="n">
        <v>1</v>
      </c>
      <c r="H102" s="4" t="n">
        <v>150</v>
      </c>
      <c r="I102" s="18" t="n">
        <v>0</v>
      </c>
      <c r="J102" s="4" t="s">
        <v>81</v>
      </c>
      <c r="K102" s="4" t="s">
        <v>68</v>
      </c>
    </row>
    <row r="103" customFormat="false" ht="15" hidden="false" customHeight="false" outlineLevel="0" collapsed="false">
      <c r="A103" s="4" t="s">
        <v>223</v>
      </c>
      <c r="B103" s="4" t="s">
        <v>224</v>
      </c>
      <c r="C103" s="4" t="n">
        <v>9</v>
      </c>
      <c r="D103" s="4" t="s">
        <v>225</v>
      </c>
      <c r="E103" s="4" t="s">
        <v>84</v>
      </c>
      <c r="F103" s="4" t="s">
        <v>85</v>
      </c>
      <c r="G103" s="4" t="n">
        <v>4</v>
      </c>
      <c r="H103" s="4" t="n">
        <v>150</v>
      </c>
      <c r="I103" s="18" t="n">
        <v>0</v>
      </c>
      <c r="J103" s="4" t="s">
        <v>67</v>
      </c>
      <c r="K103" s="4" t="s">
        <v>77</v>
      </c>
    </row>
    <row r="104" customFormat="false" ht="15" hidden="false" customHeight="false" outlineLevel="0" collapsed="false">
      <c r="A104" s="4" t="s">
        <v>226</v>
      </c>
      <c r="B104" s="17" t="n">
        <v>45679</v>
      </c>
      <c r="C104" s="4" t="n">
        <v>9</v>
      </c>
      <c r="D104" s="4" t="s">
        <v>64</v>
      </c>
      <c r="E104" s="4" t="s">
        <v>99</v>
      </c>
      <c r="F104" s="4" t="s">
        <v>133</v>
      </c>
      <c r="G104" s="4" t="n">
        <v>1</v>
      </c>
      <c r="H104" s="4" t="n">
        <v>90</v>
      </c>
      <c r="I104" s="18" t="n">
        <v>0.05</v>
      </c>
      <c r="J104" s="4" t="s">
        <v>81</v>
      </c>
      <c r="K104" s="4" t="s">
        <v>82</v>
      </c>
    </row>
    <row r="105" customFormat="false" ht="15" hidden="false" customHeight="false" outlineLevel="0" collapsed="false">
      <c r="A105" s="4" t="s">
        <v>227</v>
      </c>
      <c r="B105" s="17" t="n">
        <v>45679</v>
      </c>
      <c r="C105" s="4" t="n">
        <v>11</v>
      </c>
      <c r="D105" s="4" t="s">
        <v>73</v>
      </c>
      <c r="E105" s="4" t="s">
        <v>99</v>
      </c>
      <c r="F105" s="4" t="s">
        <v>102</v>
      </c>
      <c r="G105" s="4" t="n">
        <v>1</v>
      </c>
      <c r="H105" s="4" t="n">
        <v>140</v>
      </c>
      <c r="I105" s="18" t="n">
        <v>0</v>
      </c>
      <c r="J105" s="4" t="s">
        <v>67</v>
      </c>
      <c r="K105" s="4" t="s">
        <v>68</v>
      </c>
    </row>
    <row r="106" customFormat="false" ht="15" hidden="false" customHeight="false" outlineLevel="0" collapsed="false">
      <c r="A106" s="4" t="s">
        <v>228</v>
      </c>
      <c r="B106" s="17" t="n">
        <v>45679</v>
      </c>
      <c r="C106" s="4" t="n">
        <v>16</v>
      </c>
      <c r="D106" s="4" t="s">
        <v>64</v>
      </c>
      <c r="E106" s="4" t="s">
        <v>99</v>
      </c>
      <c r="F106" s="4" t="s">
        <v>133</v>
      </c>
      <c r="G106" s="4" t="n">
        <v>1</v>
      </c>
      <c r="H106" s="4" t="n">
        <v>90</v>
      </c>
      <c r="I106" s="18" t="n">
        <v>0</v>
      </c>
      <c r="J106" s="4" t="s">
        <v>81</v>
      </c>
      <c r="K106" s="4" t="s">
        <v>68</v>
      </c>
    </row>
    <row r="107" customFormat="false" ht="15" hidden="false" customHeight="false" outlineLevel="0" collapsed="false">
      <c r="A107" s="4" t="s">
        <v>229</v>
      </c>
      <c r="B107" s="4" t="s">
        <v>230</v>
      </c>
      <c r="C107" s="4" t="n">
        <v>16</v>
      </c>
      <c r="D107" s="4" t="s">
        <v>64</v>
      </c>
      <c r="E107" s="4" t="s">
        <v>99</v>
      </c>
      <c r="F107" s="4" t="s">
        <v>100</v>
      </c>
      <c r="G107" s="4" t="n">
        <v>2</v>
      </c>
      <c r="H107" s="4" t="n">
        <v>110</v>
      </c>
      <c r="I107" s="18" t="n">
        <v>0.05</v>
      </c>
      <c r="J107" s="4" t="s">
        <v>81</v>
      </c>
      <c r="K107" s="4" t="s">
        <v>82</v>
      </c>
    </row>
    <row r="108" customFormat="false" ht="15" hidden="false" customHeight="false" outlineLevel="0" collapsed="false">
      <c r="A108" s="4" t="s">
        <v>229</v>
      </c>
      <c r="B108" s="4" t="s">
        <v>230</v>
      </c>
      <c r="C108" s="4" t="n">
        <v>16</v>
      </c>
      <c r="D108" s="4" t="s">
        <v>64</v>
      </c>
      <c r="E108" s="4" t="s">
        <v>99</v>
      </c>
      <c r="F108" s="4" t="s">
        <v>100</v>
      </c>
      <c r="G108" s="4" t="n">
        <v>2</v>
      </c>
      <c r="H108" s="4" t="n">
        <v>110</v>
      </c>
      <c r="I108" s="18" t="n">
        <v>0.05</v>
      </c>
      <c r="J108" s="4" t="s">
        <v>81</v>
      </c>
      <c r="K108" s="4" t="s">
        <v>82</v>
      </c>
    </row>
    <row r="109" customFormat="false" ht="15" hidden="false" customHeight="false" outlineLevel="0" collapsed="false">
      <c r="A109" s="4" t="s">
        <v>231</v>
      </c>
      <c r="B109" s="17" t="n">
        <v>45679</v>
      </c>
      <c r="C109" s="4" t="n">
        <v>18</v>
      </c>
      <c r="D109" s="4" t="s">
        <v>64</v>
      </c>
      <c r="E109" s="4" t="s">
        <v>99</v>
      </c>
      <c r="F109" s="4" t="s">
        <v>102</v>
      </c>
      <c r="G109" s="4" t="n">
        <v>1</v>
      </c>
      <c r="H109" s="4" t="n">
        <v>140</v>
      </c>
      <c r="I109" s="18" t="n">
        <v>0.1</v>
      </c>
      <c r="J109" s="4" t="s">
        <v>67</v>
      </c>
      <c r="K109" s="4" t="s">
        <v>71</v>
      </c>
    </row>
    <row r="110" customFormat="false" ht="15" hidden="false" customHeight="false" outlineLevel="0" collapsed="false">
      <c r="A110" s="4" t="s">
        <v>232</v>
      </c>
      <c r="B110" s="17" t="n">
        <v>45680</v>
      </c>
      <c r="C110" s="4" t="n">
        <v>9</v>
      </c>
      <c r="D110" s="4" t="s">
        <v>172</v>
      </c>
      <c r="E110" s="4" t="s">
        <v>65</v>
      </c>
      <c r="F110" s="4" t="s">
        <v>66</v>
      </c>
      <c r="G110" s="4" t="n">
        <v>2</v>
      </c>
      <c r="H110" s="4" t="n">
        <v>120</v>
      </c>
      <c r="I110" s="18" t="n">
        <v>0</v>
      </c>
      <c r="J110" s="4" t="s">
        <v>76</v>
      </c>
      <c r="K110" s="4" t="s">
        <v>68</v>
      </c>
    </row>
    <row r="111" customFormat="false" ht="15" hidden="false" customHeight="false" outlineLevel="0" collapsed="false">
      <c r="A111" s="4" t="s">
        <v>233</v>
      </c>
      <c r="B111" s="17" t="n">
        <v>45680</v>
      </c>
      <c r="C111" s="4" t="n">
        <v>10</v>
      </c>
      <c r="D111" s="4" t="s">
        <v>73</v>
      </c>
      <c r="E111" s="4" t="s">
        <v>79</v>
      </c>
      <c r="F111" s="4" t="s">
        <v>80</v>
      </c>
      <c r="G111" s="4" t="n">
        <v>1</v>
      </c>
      <c r="H111" s="4" t="n">
        <v>160</v>
      </c>
      <c r="I111" s="18" t="n">
        <v>0.05</v>
      </c>
      <c r="J111" s="4" t="s">
        <v>67</v>
      </c>
      <c r="K111" s="4" t="s">
        <v>82</v>
      </c>
    </row>
    <row r="112" customFormat="false" ht="15" hidden="false" customHeight="false" outlineLevel="0" collapsed="false">
      <c r="A112" s="4" t="s">
        <v>234</v>
      </c>
      <c r="B112" s="17" t="n">
        <v>45680</v>
      </c>
      <c r="C112" s="4" t="n">
        <v>15</v>
      </c>
      <c r="D112" s="4" t="s">
        <v>70</v>
      </c>
      <c r="E112" s="4" t="s">
        <v>235</v>
      </c>
      <c r="F112" s="4" t="s">
        <v>236</v>
      </c>
      <c r="G112" s="4" t="n">
        <v>2</v>
      </c>
      <c r="H112" s="4" t="n">
        <v>150</v>
      </c>
      <c r="I112" s="18" t="n">
        <v>0.05</v>
      </c>
      <c r="J112" s="4" t="s">
        <v>237</v>
      </c>
      <c r="K112" s="4" t="s">
        <v>82</v>
      </c>
    </row>
    <row r="113" customFormat="false" ht="15" hidden="false" customHeight="false" outlineLevel="0" collapsed="false">
      <c r="A113" s="4" t="s">
        <v>238</v>
      </c>
      <c r="B113" s="17" t="n">
        <v>45681</v>
      </c>
      <c r="C113" s="4" t="n">
        <v>11</v>
      </c>
      <c r="D113" s="4" t="s">
        <v>64</v>
      </c>
      <c r="E113" s="4" t="s">
        <v>74</v>
      </c>
      <c r="F113" s="4" t="s">
        <v>75</v>
      </c>
      <c r="G113" s="4" t="n">
        <v>1</v>
      </c>
      <c r="H113" s="4" t="n">
        <v>220</v>
      </c>
      <c r="I113" s="18" t="n">
        <v>0.1</v>
      </c>
      <c r="J113" s="4" t="s">
        <v>81</v>
      </c>
      <c r="K113" s="4" t="s">
        <v>71</v>
      </c>
    </row>
    <row r="114" customFormat="false" ht="15" hidden="false" customHeight="false" outlineLevel="0" collapsed="false">
      <c r="A114" s="4" t="s">
        <v>239</v>
      </c>
      <c r="B114" s="4" t="s">
        <v>240</v>
      </c>
      <c r="C114" s="4" t="n">
        <v>12</v>
      </c>
      <c r="D114" s="4" t="s">
        <v>64</v>
      </c>
      <c r="E114" s="4" t="s">
        <v>65</v>
      </c>
      <c r="F114" s="4" t="s">
        <v>121</v>
      </c>
      <c r="G114" s="4" t="n">
        <v>1</v>
      </c>
      <c r="H114" s="4" t="n">
        <v>170</v>
      </c>
      <c r="I114" s="18" t="n">
        <v>0.05</v>
      </c>
      <c r="J114" s="4" t="s">
        <v>67</v>
      </c>
      <c r="K114" s="4" t="s">
        <v>82</v>
      </c>
    </row>
    <row r="115" customFormat="false" ht="15" hidden="false" customHeight="false" outlineLevel="0" collapsed="false">
      <c r="A115" s="4" t="s">
        <v>241</v>
      </c>
      <c r="B115" s="17" t="n">
        <v>45681</v>
      </c>
      <c r="C115" s="4" t="n">
        <v>14</v>
      </c>
      <c r="D115" s="4" t="s">
        <v>73</v>
      </c>
      <c r="E115" s="4" t="s">
        <v>99</v>
      </c>
      <c r="F115" s="4" t="s">
        <v>133</v>
      </c>
      <c r="G115" s="4" t="n">
        <v>2</v>
      </c>
      <c r="H115" s="4" t="n">
        <v>90</v>
      </c>
      <c r="I115" s="18" t="n">
        <v>0.05</v>
      </c>
      <c r="J115" s="4" t="s">
        <v>67</v>
      </c>
      <c r="K115" s="4" t="s">
        <v>82</v>
      </c>
    </row>
    <row r="116" customFormat="false" ht="15" hidden="false" customHeight="false" outlineLevel="0" collapsed="false">
      <c r="A116" s="4" t="s">
        <v>242</v>
      </c>
      <c r="B116" s="17" t="n">
        <v>45682</v>
      </c>
      <c r="C116" s="4" t="n">
        <v>13</v>
      </c>
      <c r="D116" s="4" t="s">
        <v>70</v>
      </c>
      <c r="E116" s="4" t="s">
        <v>79</v>
      </c>
      <c r="F116" s="4" t="s">
        <v>148</v>
      </c>
      <c r="G116" s="4" t="n">
        <v>2</v>
      </c>
      <c r="H116" s="4" t="n">
        <v>120</v>
      </c>
      <c r="I116" s="18" t="n">
        <v>0</v>
      </c>
      <c r="J116" s="4" t="s">
        <v>88</v>
      </c>
      <c r="K116" s="4" t="s">
        <v>77</v>
      </c>
    </row>
    <row r="117" customFormat="false" ht="15" hidden="false" customHeight="false" outlineLevel="0" collapsed="false">
      <c r="A117" s="4" t="s">
        <v>243</v>
      </c>
      <c r="B117" s="17" t="n">
        <v>45682</v>
      </c>
      <c r="C117" s="4" t="n">
        <v>18</v>
      </c>
      <c r="D117" s="4" t="s">
        <v>70</v>
      </c>
      <c r="E117" s="4" t="s">
        <v>79</v>
      </c>
      <c r="F117" s="4" t="s">
        <v>148</v>
      </c>
      <c r="G117" s="4" t="n">
        <v>1</v>
      </c>
      <c r="H117" s="4" t="n">
        <v>120</v>
      </c>
      <c r="I117" s="18" t="n">
        <v>0</v>
      </c>
      <c r="J117" s="4" t="s">
        <v>67</v>
      </c>
      <c r="K117" s="4" t="s">
        <v>68</v>
      </c>
    </row>
    <row r="118" customFormat="false" ht="15" hidden="false" customHeight="false" outlineLevel="0" collapsed="false">
      <c r="A118" s="4" t="s">
        <v>244</v>
      </c>
      <c r="B118" s="17" t="n">
        <v>45682</v>
      </c>
      <c r="C118" s="4" t="n">
        <v>18</v>
      </c>
      <c r="D118" s="4" t="s">
        <v>98</v>
      </c>
      <c r="E118" s="4" t="s">
        <v>99</v>
      </c>
      <c r="F118" s="4" t="s">
        <v>109</v>
      </c>
      <c r="G118" s="4" t="n">
        <v>2</v>
      </c>
      <c r="H118" s="4" t="n">
        <v>130</v>
      </c>
      <c r="I118" s="18" t="n">
        <v>0</v>
      </c>
      <c r="J118" s="4" t="s">
        <v>67</v>
      </c>
      <c r="K118" s="4" t="s">
        <v>68</v>
      </c>
    </row>
    <row r="119" customFormat="false" ht="15" hidden="false" customHeight="false" outlineLevel="0" collapsed="false">
      <c r="A119" s="4" t="s">
        <v>245</v>
      </c>
      <c r="B119" s="17" t="n">
        <v>45683</v>
      </c>
      <c r="C119" s="4" t="n">
        <v>13</v>
      </c>
      <c r="D119" s="4" t="s">
        <v>64</v>
      </c>
      <c r="E119" s="4" t="s">
        <v>65</v>
      </c>
      <c r="F119" s="4" t="s">
        <v>94</v>
      </c>
      <c r="G119" s="4" t="n">
        <v>3</v>
      </c>
      <c r="H119" s="4" t="n">
        <v>150</v>
      </c>
      <c r="I119" s="18" t="n">
        <v>0</v>
      </c>
      <c r="J119" s="4" t="s">
        <v>67</v>
      </c>
      <c r="K119" s="4" t="s">
        <v>77</v>
      </c>
    </row>
    <row r="120" customFormat="false" ht="15" hidden="false" customHeight="false" outlineLevel="0" collapsed="false">
      <c r="A120" s="4" t="s">
        <v>246</v>
      </c>
      <c r="B120" s="17" t="n">
        <v>45683</v>
      </c>
      <c r="C120" s="4" t="n">
        <v>15</v>
      </c>
      <c r="D120" s="4" t="s">
        <v>64</v>
      </c>
      <c r="E120" s="4" t="s">
        <v>164</v>
      </c>
      <c r="F120" s="4" t="s">
        <v>102</v>
      </c>
      <c r="G120" s="4" t="n">
        <v>1</v>
      </c>
      <c r="H120" s="4" t="n">
        <v>140</v>
      </c>
      <c r="I120" s="18" t="n">
        <v>0.05</v>
      </c>
      <c r="J120" s="4" t="s">
        <v>237</v>
      </c>
      <c r="K120" s="4" t="s">
        <v>82</v>
      </c>
    </row>
    <row r="121" customFormat="false" ht="15" hidden="false" customHeight="false" outlineLevel="0" collapsed="false">
      <c r="A121" s="4" t="s">
        <v>247</v>
      </c>
      <c r="B121" s="17" t="n">
        <v>45684</v>
      </c>
      <c r="C121" s="4" t="n">
        <v>7</v>
      </c>
      <c r="D121" s="4" t="s">
        <v>64</v>
      </c>
      <c r="E121" s="4" t="s">
        <v>99</v>
      </c>
      <c r="F121" s="4" t="s">
        <v>100</v>
      </c>
      <c r="G121" s="4" t="n">
        <v>2</v>
      </c>
      <c r="H121" s="4" t="n">
        <v>110</v>
      </c>
      <c r="I121" s="18" t="n">
        <v>0.1</v>
      </c>
      <c r="J121" s="4" t="s">
        <v>67</v>
      </c>
      <c r="K121" s="4" t="s">
        <v>71</v>
      </c>
    </row>
    <row r="122" customFormat="false" ht="15" hidden="false" customHeight="false" outlineLevel="0" collapsed="false">
      <c r="A122" s="4" t="s">
        <v>248</v>
      </c>
      <c r="B122" s="4" t="s">
        <v>249</v>
      </c>
      <c r="C122" s="4" t="n">
        <v>7</v>
      </c>
      <c r="D122" s="4" t="s">
        <v>64</v>
      </c>
      <c r="E122" s="4" t="s">
        <v>84</v>
      </c>
      <c r="F122" s="4" t="s">
        <v>117</v>
      </c>
      <c r="G122" s="4" t="n">
        <v>4</v>
      </c>
      <c r="H122" s="4" t="s">
        <v>250</v>
      </c>
      <c r="I122" s="18" t="n">
        <v>0</v>
      </c>
      <c r="J122" s="4" t="s">
        <v>67</v>
      </c>
      <c r="K122" s="4" t="s">
        <v>68</v>
      </c>
    </row>
    <row r="123" customFormat="false" ht="15" hidden="false" customHeight="false" outlineLevel="0" collapsed="false">
      <c r="A123" s="4" t="s">
        <v>251</v>
      </c>
      <c r="B123" s="17" t="n">
        <v>45684</v>
      </c>
      <c r="C123" s="4" t="n">
        <v>11</v>
      </c>
      <c r="D123" s="4" t="s">
        <v>98</v>
      </c>
      <c r="E123" s="4" t="s">
        <v>99</v>
      </c>
      <c r="F123" s="4" t="s">
        <v>252</v>
      </c>
      <c r="G123" s="4" t="n">
        <v>3</v>
      </c>
      <c r="H123" s="4" t="n">
        <v>130</v>
      </c>
      <c r="I123" s="18" t="n">
        <v>0.05</v>
      </c>
      <c r="J123" s="4" t="s">
        <v>112</v>
      </c>
      <c r="K123" s="4" t="s">
        <v>82</v>
      </c>
    </row>
    <row r="124" customFormat="false" ht="15" hidden="false" customHeight="false" outlineLevel="0" collapsed="false">
      <c r="A124" s="4" t="s">
        <v>253</v>
      </c>
      <c r="B124" s="17" t="n">
        <v>45684</v>
      </c>
      <c r="C124" s="4" t="n">
        <v>13</v>
      </c>
      <c r="D124" s="4" t="s">
        <v>73</v>
      </c>
      <c r="E124" s="4" t="s">
        <v>99</v>
      </c>
      <c r="F124" s="4" t="s">
        <v>109</v>
      </c>
      <c r="G124" s="4" t="n">
        <v>1</v>
      </c>
      <c r="H124" s="4" t="n">
        <v>130</v>
      </c>
      <c r="I124" s="18" t="n">
        <v>0</v>
      </c>
      <c r="J124" s="4" t="s">
        <v>67</v>
      </c>
      <c r="K124" s="4" t="s">
        <v>68</v>
      </c>
    </row>
    <row r="125" customFormat="false" ht="15" hidden="false" customHeight="false" outlineLevel="0" collapsed="false">
      <c r="A125" s="4" t="s">
        <v>254</v>
      </c>
      <c r="B125" s="17" t="n">
        <v>45684</v>
      </c>
      <c r="C125" s="4" t="n">
        <v>17</v>
      </c>
      <c r="D125" s="4" t="s">
        <v>70</v>
      </c>
      <c r="E125" s="4" t="s">
        <v>99</v>
      </c>
      <c r="F125" s="4" t="s">
        <v>102</v>
      </c>
      <c r="G125" s="4" t="n">
        <v>3</v>
      </c>
      <c r="H125" s="4" t="n">
        <v>140</v>
      </c>
      <c r="I125" s="18" t="n">
        <v>0</v>
      </c>
      <c r="J125" s="4" t="s">
        <v>76</v>
      </c>
      <c r="K125" s="4" t="s">
        <v>68</v>
      </c>
    </row>
    <row r="126" customFormat="false" ht="15" hidden="false" customHeight="false" outlineLevel="0" collapsed="false">
      <c r="A126" s="4" t="s">
        <v>255</v>
      </c>
      <c r="B126" s="17" t="n">
        <v>45684</v>
      </c>
      <c r="C126" s="4" t="n">
        <v>17</v>
      </c>
      <c r="D126" s="4" t="s">
        <v>70</v>
      </c>
      <c r="E126" s="4" t="s">
        <v>99</v>
      </c>
      <c r="F126" s="4" t="s">
        <v>100</v>
      </c>
      <c r="G126" s="4" t="n">
        <v>3</v>
      </c>
      <c r="H126" s="4" t="n">
        <v>110</v>
      </c>
      <c r="I126" s="18" t="n">
        <v>0</v>
      </c>
      <c r="J126" s="4" t="s">
        <v>88</v>
      </c>
      <c r="K126" s="4" t="s">
        <v>68</v>
      </c>
    </row>
    <row r="127" customFormat="false" ht="15" hidden="false" customHeight="false" outlineLevel="0" collapsed="false">
      <c r="A127" s="4" t="s">
        <v>256</v>
      </c>
      <c r="B127" s="17" t="n">
        <v>45684</v>
      </c>
      <c r="C127" s="4" t="n">
        <v>19</v>
      </c>
      <c r="D127" s="4" t="s">
        <v>70</v>
      </c>
      <c r="E127" s="4" t="s">
        <v>99</v>
      </c>
      <c r="F127" s="4" t="s">
        <v>100</v>
      </c>
      <c r="G127" s="4" t="n">
        <v>3</v>
      </c>
      <c r="H127" s="4" t="n">
        <v>110</v>
      </c>
      <c r="I127" s="18" t="n">
        <v>0.15</v>
      </c>
      <c r="J127" s="4" t="s">
        <v>112</v>
      </c>
      <c r="K127" s="4" t="s">
        <v>82</v>
      </c>
    </row>
    <row r="128" customFormat="false" ht="15" hidden="false" customHeight="false" outlineLevel="0" collapsed="false">
      <c r="A128" s="4" t="s">
        <v>257</v>
      </c>
      <c r="B128" s="17" t="n">
        <v>45685</v>
      </c>
      <c r="C128" s="4" t="n">
        <v>7</v>
      </c>
      <c r="D128" s="4" t="s">
        <v>73</v>
      </c>
      <c r="E128" s="4" t="s">
        <v>84</v>
      </c>
      <c r="F128" s="4" t="s">
        <v>258</v>
      </c>
      <c r="G128" s="4" t="n">
        <v>1</v>
      </c>
      <c r="H128" s="4" t="n">
        <v>95</v>
      </c>
      <c r="I128" s="18" t="n">
        <v>0.1</v>
      </c>
      <c r="J128" s="4" t="s">
        <v>81</v>
      </c>
      <c r="K128" s="4" t="s">
        <v>71</v>
      </c>
    </row>
    <row r="129" customFormat="false" ht="15" hidden="false" customHeight="false" outlineLevel="0" collapsed="false">
      <c r="A129" s="4" t="s">
        <v>259</v>
      </c>
      <c r="B129" s="17" t="n">
        <v>45685</v>
      </c>
      <c r="C129" s="4" t="n">
        <v>17</v>
      </c>
      <c r="D129" s="4" t="s">
        <v>70</v>
      </c>
      <c r="E129" s="4" t="s">
        <v>74</v>
      </c>
      <c r="F129" s="4" t="s">
        <v>75</v>
      </c>
      <c r="G129" s="4" t="n">
        <v>1</v>
      </c>
      <c r="H129" s="4" t="n">
        <v>220</v>
      </c>
      <c r="I129" s="18" t="n">
        <v>0.05</v>
      </c>
      <c r="J129" s="4" t="s">
        <v>260</v>
      </c>
      <c r="K129" s="4" t="s">
        <v>82</v>
      </c>
    </row>
    <row r="130" customFormat="false" ht="15" hidden="false" customHeight="false" outlineLevel="0" collapsed="false">
      <c r="A130" s="4" t="s">
        <v>261</v>
      </c>
      <c r="B130" s="17" t="n">
        <v>45686</v>
      </c>
      <c r="C130" s="4" t="n">
        <v>9</v>
      </c>
      <c r="D130" s="4" t="s">
        <v>64</v>
      </c>
      <c r="E130" s="4" t="s">
        <v>84</v>
      </c>
      <c r="F130" s="4" t="s">
        <v>85</v>
      </c>
      <c r="G130" s="4" t="n">
        <v>1</v>
      </c>
      <c r="H130" s="4" t="n">
        <v>150</v>
      </c>
      <c r="I130" s="18" t="n">
        <v>0.05</v>
      </c>
      <c r="J130" s="4" t="s">
        <v>67</v>
      </c>
      <c r="K130" s="4" t="s">
        <v>82</v>
      </c>
    </row>
    <row r="131" customFormat="false" ht="15" hidden="false" customHeight="false" outlineLevel="0" collapsed="false">
      <c r="A131" s="4" t="s">
        <v>262</v>
      </c>
      <c r="B131" s="17" t="n">
        <v>45686</v>
      </c>
      <c r="C131" s="4" t="n">
        <v>11</v>
      </c>
      <c r="D131" s="4" t="s">
        <v>70</v>
      </c>
      <c r="E131" s="4" t="s">
        <v>74</v>
      </c>
      <c r="F131" s="4" t="s">
        <v>91</v>
      </c>
      <c r="G131" s="4" t="n">
        <v>1</v>
      </c>
      <c r="H131" s="4" t="n">
        <v>200</v>
      </c>
      <c r="I131" s="18" t="n">
        <v>0.05</v>
      </c>
      <c r="J131" s="4" t="s">
        <v>81</v>
      </c>
      <c r="K131" s="4" t="s">
        <v>82</v>
      </c>
    </row>
    <row r="132" customFormat="false" ht="15" hidden="false" customHeight="false" outlineLevel="0" collapsed="false">
      <c r="A132" s="4" t="s">
        <v>263</v>
      </c>
      <c r="B132" s="17" t="n">
        <v>45686</v>
      </c>
      <c r="C132" s="4" t="n">
        <v>11</v>
      </c>
      <c r="D132" s="4" t="s">
        <v>64</v>
      </c>
      <c r="E132" s="4" t="s">
        <v>79</v>
      </c>
      <c r="F132" s="4" t="s">
        <v>264</v>
      </c>
      <c r="G132" s="4" t="n">
        <v>1</v>
      </c>
      <c r="H132" s="4" t="n">
        <v>120</v>
      </c>
      <c r="I132" s="18" t="n">
        <v>0.05</v>
      </c>
      <c r="J132" s="4" t="s">
        <v>123</v>
      </c>
      <c r="K132" s="4" t="s">
        <v>82</v>
      </c>
    </row>
    <row r="133" customFormat="false" ht="15" hidden="false" customHeight="false" outlineLevel="0" collapsed="false">
      <c r="A133" s="4" t="s">
        <v>265</v>
      </c>
      <c r="B133" s="17" t="n">
        <v>45686</v>
      </c>
      <c r="C133" s="4" t="n">
        <v>14</v>
      </c>
      <c r="D133" s="4" t="s">
        <v>70</v>
      </c>
      <c r="E133" s="4" t="s">
        <v>84</v>
      </c>
      <c r="F133" s="4" t="s">
        <v>106</v>
      </c>
      <c r="G133" s="4" t="n">
        <v>1</v>
      </c>
      <c r="H133" s="4" t="n">
        <v>60</v>
      </c>
      <c r="I133" s="18" t="n">
        <v>0</v>
      </c>
      <c r="J133" s="4" t="s">
        <v>266</v>
      </c>
      <c r="K133" s="4" t="s">
        <v>68</v>
      </c>
    </row>
    <row r="134" customFormat="false" ht="15" hidden="false" customHeight="false" outlineLevel="0" collapsed="false">
      <c r="A134" s="4" t="s">
        <v>267</v>
      </c>
      <c r="B134" s="17" t="n">
        <v>45687</v>
      </c>
      <c r="C134" s="4" t="n">
        <v>8</v>
      </c>
      <c r="D134" s="4" t="s">
        <v>70</v>
      </c>
      <c r="E134" s="4" t="s">
        <v>65</v>
      </c>
      <c r="F134" s="4" t="s">
        <v>66</v>
      </c>
      <c r="G134" s="4" t="n">
        <v>2</v>
      </c>
      <c r="H134" s="4" t="n">
        <v>120</v>
      </c>
      <c r="I134" s="18" t="n">
        <v>0.15</v>
      </c>
      <c r="J134" s="4" t="s">
        <v>268</v>
      </c>
      <c r="K134" s="4" t="s">
        <v>77</v>
      </c>
    </row>
    <row r="135" customFormat="false" ht="15" hidden="false" customHeight="false" outlineLevel="0" collapsed="false">
      <c r="A135" s="4" t="s">
        <v>269</v>
      </c>
      <c r="B135" s="17" t="n">
        <v>45687</v>
      </c>
      <c r="C135" s="4" t="n">
        <v>9</v>
      </c>
      <c r="D135" s="4" t="s">
        <v>70</v>
      </c>
      <c r="E135" s="4" t="s">
        <v>65</v>
      </c>
      <c r="F135" s="4" t="s">
        <v>270</v>
      </c>
      <c r="G135" s="4" t="n">
        <v>1</v>
      </c>
      <c r="H135" s="4" t="n">
        <v>150</v>
      </c>
      <c r="J135" s="4" t="s">
        <v>268</v>
      </c>
      <c r="K135" s="4" t="s">
        <v>71</v>
      </c>
    </row>
    <row r="136" customFormat="false" ht="15" hidden="false" customHeight="false" outlineLevel="0" collapsed="false">
      <c r="A136" s="4" t="s">
        <v>271</v>
      </c>
      <c r="B136" s="17" t="n">
        <v>45687</v>
      </c>
      <c r="C136" s="4" t="n">
        <v>13</v>
      </c>
      <c r="D136" s="4" t="s">
        <v>98</v>
      </c>
      <c r="E136" s="4" t="s">
        <v>99</v>
      </c>
      <c r="F136" s="4" t="s">
        <v>109</v>
      </c>
      <c r="G136" s="4" t="n">
        <v>2</v>
      </c>
      <c r="H136" s="4" t="n">
        <v>130</v>
      </c>
      <c r="I136" s="18" t="n">
        <v>0.1</v>
      </c>
      <c r="J136" s="4" t="s">
        <v>81</v>
      </c>
      <c r="K136" s="4" t="s">
        <v>71</v>
      </c>
    </row>
    <row r="137" customFormat="false" ht="15" hidden="false" customHeight="false" outlineLevel="0" collapsed="false">
      <c r="A137" s="4" t="s">
        <v>272</v>
      </c>
      <c r="B137" s="17" t="n">
        <v>45687</v>
      </c>
      <c r="C137" s="4" t="n">
        <v>13</v>
      </c>
      <c r="D137" s="4" t="s">
        <v>70</v>
      </c>
      <c r="E137" s="4" t="s">
        <v>65</v>
      </c>
      <c r="F137" s="4" t="s">
        <v>94</v>
      </c>
      <c r="G137" s="4" t="n">
        <v>2</v>
      </c>
      <c r="H137" s="4" t="n">
        <v>150</v>
      </c>
      <c r="I137" s="18" t="n">
        <v>0.15</v>
      </c>
      <c r="J137" s="4" t="s">
        <v>273</v>
      </c>
      <c r="K137" s="4" t="s">
        <v>77</v>
      </c>
    </row>
    <row r="138" customFormat="false" ht="15" hidden="false" customHeight="false" outlineLevel="0" collapsed="false">
      <c r="A138" s="4" t="s">
        <v>274</v>
      </c>
      <c r="B138" s="17" t="n">
        <v>45687</v>
      </c>
      <c r="C138" s="4" t="n">
        <v>19</v>
      </c>
      <c r="D138" s="4" t="s">
        <v>64</v>
      </c>
      <c r="E138" s="4" t="s">
        <v>99</v>
      </c>
      <c r="F138" s="4" t="s">
        <v>275</v>
      </c>
      <c r="G138" s="4" t="n">
        <v>3</v>
      </c>
      <c r="H138" s="4" t="n">
        <v>140</v>
      </c>
      <c r="I138" s="18" t="n">
        <v>0.1</v>
      </c>
      <c r="J138" s="4" t="s">
        <v>112</v>
      </c>
      <c r="K138" s="4" t="s">
        <v>71</v>
      </c>
    </row>
    <row r="139" customFormat="false" ht="15" hidden="false" customHeight="false" outlineLevel="0" collapsed="false">
      <c r="A139" s="4" t="s">
        <v>274</v>
      </c>
      <c r="B139" s="17" t="n">
        <v>45687</v>
      </c>
      <c r="C139" s="4" t="n">
        <v>19</v>
      </c>
      <c r="D139" s="4" t="s">
        <v>64</v>
      </c>
      <c r="E139" s="4" t="s">
        <v>99</v>
      </c>
      <c r="F139" s="4" t="s">
        <v>275</v>
      </c>
      <c r="G139" s="4" t="n">
        <v>3</v>
      </c>
      <c r="H139" s="4" t="n">
        <v>140</v>
      </c>
      <c r="I139" s="18" t="n">
        <v>0.1</v>
      </c>
      <c r="J139" s="4" t="s">
        <v>112</v>
      </c>
      <c r="K139" s="4" t="s">
        <v>71</v>
      </c>
    </row>
    <row r="140" customFormat="false" ht="15" hidden="false" customHeight="false" outlineLevel="0" collapsed="false">
      <c r="A140" s="4" t="s">
        <v>276</v>
      </c>
      <c r="B140" s="17" t="n">
        <v>45687</v>
      </c>
      <c r="C140" s="4" t="n">
        <v>20</v>
      </c>
      <c r="D140" s="4" t="s">
        <v>70</v>
      </c>
      <c r="E140" s="4" t="s">
        <v>65</v>
      </c>
      <c r="F140" s="4" t="s">
        <v>66</v>
      </c>
      <c r="G140" s="4" t="n">
        <v>1</v>
      </c>
      <c r="H140" s="4" t="n">
        <v>120</v>
      </c>
      <c r="I140" s="18" t="n">
        <v>0.05</v>
      </c>
      <c r="J140" s="4" t="s">
        <v>81</v>
      </c>
      <c r="K140" s="4" t="s">
        <v>82</v>
      </c>
    </row>
    <row r="141" customFormat="false" ht="15" hidden="false" customHeight="false" outlineLevel="0" collapsed="false">
      <c r="A141" s="4" t="s">
        <v>277</v>
      </c>
      <c r="B141" s="17" t="n">
        <v>45688</v>
      </c>
      <c r="C141" s="4" t="n">
        <v>17</v>
      </c>
      <c r="D141" s="4" t="s">
        <v>70</v>
      </c>
      <c r="E141" s="4" t="s">
        <v>99</v>
      </c>
      <c r="F141" s="4" t="s">
        <v>133</v>
      </c>
      <c r="G141" s="4" t="n">
        <v>1</v>
      </c>
      <c r="H141" s="4" t="n">
        <v>90</v>
      </c>
      <c r="I141" s="18" t="n">
        <v>0.05</v>
      </c>
      <c r="J141" s="4" t="s">
        <v>67</v>
      </c>
      <c r="K141" s="4" t="s">
        <v>82</v>
      </c>
    </row>
    <row r="142" customFormat="false" ht="15" hidden="false" customHeight="false" outlineLevel="0" collapsed="false">
      <c r="A142" s="4" t="s">
        <v>278</v>
      </c>
      <c r="B142" s="17" t="n">
        <v>45688</v>
      </c>
      <c r="C142" s="4" t="n">
        <v>17</v>
      </c>
      <c r="D142" s="4" t="s">
        <v>73</v>
      </c>
      <c r="E142" s="4" t="s">
        <v>74</v>
      </c>
      <c r="F142" s="4" t="s">
        <v>139</v>
      </c>
      <c r="G142" s="4" t="n">
        <v>2</v>
      </c>
      <c r="H142" s="4" t="n">
        <v>260</v>
      </c>
      <c r="I142" s="18" t="n">
        <v>0.1</v>
      </c>
      <c r="J142" s="4" t="s">
        <v>88</v>
      </c>
      <c r="K142" s="4" t="s">
        <v>71</v>
      </c>
    </row>
    <row r="143" customFormat="false" ht="15" hidden="false" customHeight="false" outlineLevel="0" collapsed="false">
      <c r="A143" s="4" t="s">
        <v>279</v>
      </c>
      <c r="B143" s="17" t="n">
        <v>45688</v>
      </c>
      <c r="C143" s="4" t="n">
        <v>17</v>
      </c>
      <c r="D143" s="4" t="s">
        <v>73</v>
      </c>
      <c r="E143" s="4" t="s">
        <v>79</v>
      </c>
      <c r="F143" s="4" t="s">
        <v>135</v>
      </c>
      <c r="G143" s="4" t="n">
        <v>1</v>
      </c>
      <c r="H143" s="4" t="n">
        <v>130</v>
      </c>
      <c r="I143" s="18" t="n">
        <v>0.05</v>
      </c>
      <c r="J143" s="4" t="s">
        <v>76</v>
      </c>
      <c r="K143" s="4" t="s">
        <v>82</v>
      </c>
    </row>
    <row r="144" customFormat="false" ht="15" hidden="false" customHeight="false" outlineLevel="0" collapsed="false">
      <c r="A144" s="4" t="s">
        <v>280</v>
      </c>
      <c r="B144" s="17" t="n">
        <v>45688</v>
      </c>
      <c r="C144" s="4" t="n">
        <v>20</v>
      </c>
      <c r="D144" s="4" t="s">
        <v>64</v>
      </c>
      <c r="E144" s="4" t="s">
        <v>99</v>
      </c>
      <c r="F144" s="4" t="s">
        <v>102</v>
      </c>
      <c r="G144" s="4" t="n">
        <v>1</v>
      </c>
      <c r="H144" s="4" t="n">
        <v>140</v>
      </c>
      <c r="I144" s="18" t="n">
        <v>0.1</v>
      </c>
      <c r="J144" s="4" t="s">
        <v>81</v>
      </c>
    </row>
    <row r="145" customFormat="false" ht="15" hidden="false" customHeight="false" outlineLevel="0" collapsed="false">
      <c r="A145" s="4" t="s">
        <v>281</v>
      </c>
      <c r="B145" s="17" t="n">
        <v>45689</v>
      </c>
      <c r="C145" s="4" t="n">
        <v>13</v>
      </c>
      <c r="D145" s="4" t="s">
        <v>70</v>
      </c>
      <c r="E145" s="4" t="s">
        <v>99</v>
      </c>
      <c r="F145" s="4" t="s">
        <v>133</v>
      </c>
      <c r="G145" s="4" t="n">
        <v>1</v>
      </c>
      <c r="H145" s="4" t="n">
        <v>90</v>
      </c>
      <c r="I145" s="18" t="n">
        <v>0</v>
      </c>
      <c r="J145" s="4" t="s">
        <v>81</v>
      </c>
      <c r="K145" s="4" t="s">
        <v>68</v>
      </c>
    </row>
    <row r="146" customFormat="false" ht="15" hidden="false" customHeight="false" outlineLevel="0" collapsed="false">
      <c r="A146" s="4" t="s">
        <v>282</v>
      </c>
      <c r="B146" s="4" t="s">
        <v>283</v>
      </c>
      <c r="C146" s="4" t="n">
        <v>16</v>
      </c>
      <c r="D146" s="4" t="s">
        <v>73</v>
      </c>
      <c r="E146" s="4" t="s">
        <v>65</v>
      </c>
      <c r="F146" s="4" t="s">
        <v>66</v>
      </c>
      <c r="G146" s="4" t="n">
        <v>2</v>
      </c>
      <c r="H146" s="4" t="n">
        <v>120</v>
      </c>
      <c r="I146" s="18" t="n">
        <v>0</v>
      </c>
      <c r="J146" s="4" t="s">
        <v>67</v>
      </c>
      <c r="K146" s="4" t="s">
        <v>68</v>
      </c>
    </row>
    <row r="147" customFormat="false" ht="15" hidden="false" customHeight="false" outlineLevel="0" collapsed="false">
      <c r="A147" s="4" t="s">
        <v>284</v>
      </c>
      <c r="B147" s="17" t="n">
        <v>45691</v>
      </c>
      <c r="C147" s="4" t="n">
        <v>9</v>
      </c>
      <c r="D147" s="4" t="s">
        <v>166</v>
      </c>
      <c r="E147" s="4" t="s">
        <v>79</v>
      </c>
      <c r="F147" s="4" t="s">
        <v>148</v>
      </c>
      <c r="G147" s="4" t="n">
        <v>1</v>
      </c>
      <c r="H147" s="4" t="n">
        <v>120</v>
      </c>
      <c r="I147" s="18" t="n">
        <v>0.1</v>
      </c>
      <c r="J147" s="4" t="s">
        <v>112</v>
      </c>
      <c r="K147" s="4" t="s">
        <v>71</v>
      </c>
    </row>
    <row r="148" customFormat="false" ht="15" hidden="false" customHeight="false" outlineLevel="0" collapsed="false">
      <c r="A148" s="4" t="s">
        <v>285</v>
      </c>
      <c r="B148" s="17" t="n">
        <v>45692</v>
      </c>
      <c r="C148" s="4" t="n">
        <v>9</v>
      </c>
      <c r="D148" s="4" t="s">
        <v>64</v>
      </c>
      <c r="E148" s="4" t="s">
        <v>79</v>
      </c>
      <c r="F148" s="4" t="s">
        <v>135</v>
      </c>
      <c r="G148" s="4" t="n">
        <v>1</v>
      </c>
      <c r="H148" s="4" t="n">
        <v>130</v>
      </c>
      <c r="I148" s="18" t="n">
        <v>0.05</v>
      </c>
      <c r="J148" s="4" t="s">
        <v>81</v>
      </c>
      <c r="K148" s="4" t="s">
        <v>82</v>
      </c>
    </row>
    <row r="149" customFormat="false" ht="15" hidden="false" customHeight="false" outlineLevel="0" collapsed="false">
      <c r="A149" s="4" t="s">
        <v>286</v>
      </c>
      <c r="B149" s="4" t="s">
        <v>287</v>
      </c>
      <c r="C149" s="4" t="n">
        <v>9</v>
      </c>
      <c r="D149" s="4" t="s">
        <v>70</v>
      </c>
      <c r="E149" s="4" t="s">
        <v>99</v>
      </c>
      <c r="F149" s="4" t="s">
        <v>102</v>
      </c>
      <c r="G149" s="4" t="n">
        <v>4</v>
      </c>
      <c r="H149" s="4" t="n">
        <v>140</v>
      </c>
      <c r="I149" s="18" t="n">
        <v>0</v>
      </c>
      <c r="J149" s="4" t="s">
        <v>76</v>
      </c>
      <c r="K149" s="4" t="s">
        <v>77</v>
      </c>
    </row>
    <row r="150" customFormat="false" ht="15" hidden="false" customHeight="false" outlineLevel="0" collapsed="false">
      <c r="A150" s="4" t="s">
        <v>288</v>
      </c>
      <c r="B150" s="17" t="n">
        <v>45693</v>
      </c>
      <c r="C150" s="4" t="n">
        <v>8</v>
      </c>
      <c r="D150" s="4" t="s">
        <v>70</v>
      </c>
      <c r="E150" s="4" t="s">
        <v>65</v>
      </c>
      <c r="F150" s="4" t="s">
        <v>121</v>
      </c>
      <c r="G150" s="4" t="n">
        <v>2</v>
      </c>
      <c r="H150" s="4" t="n">
        <v>170</v>
      </c>
      <c r="I150" s="18" t="n">
        <v>0.1</v>
      </c>
      <c r="J150" s="4" t="s">
        <v>76</v>
      </c>
      <c r="K150" s="4" t="s">
        <v>71</v>
      </c>
    </row>
    <row r="151" customFormat="false" ht="15" hidden="false" customHeight="false" outlineLevel="0" collapsed="false">
      <c r="A151" s="4" t="s">
        <v>289</v>
      </c>
      <c r="B151" s="17" t="n">
        <v>45693</v>
      </c>
      <c r="C151" s="4" t="n">
        <v>12</v>
      </c>
      <c r="D151" s="4" t="s">
        <v>98</v>
      </c>
      <c r="E151" s="4" t="s">
        <v>79</v>
      </c>
      <c r="F151" s="4" t="s">
        <v>148</v>
      </c>
      <c r="G151" s="4" t="n">
        <v>2</v>
      </c>
      <c r="H151" s="4" t="n">
        <v>120</v>
      </c>
      <c r="I151" s="18" t="n">
        <v>0</v>
      </c>
      <c r="J151" s="4" t="s">
        <v>290</v>
      </c>
      <c r="K151" s="4" t="s">
        <v>68</v>
      </c>
    </row>
    <row r="152" customFormat="false" ht="15" hidden="false" customHeight="false" outlineLevel="0" collapsed="false">
      <c r="A152" s="4" t="s">
        <v>291</v>
      </c>
      <c r="B152" s="17" t="n">
        <v>45693</v>
      </c>
      <c r="C152" s="4" t="n">
        <v>13</v>
      </c>
      <c r="D152" s="4" t="s">
        <v>98</v>
      </c>
      <c r="E152" s="4" t="s">
        <v>79</v>
      </c>
      <c r="F152" s="4" t="s">
        <v>148</v>
      </c>
      <c r="G152" s="4" t="n">
        <v>1</v>
      </c>
      <c r="H152" s="4" t="n">
        <v>120</v>
      </c>
      <c r="I152" s="18" t="n">
        <v>0.1</v>
      </c>
      <c r="J152" s="4" t="s">
        <v>76</v>
      </c>
      <c r="K152" s="4" t="s">
        <v>71</v>
      </c>
    </row>
    <row r="153" customFormat="false" ht="15" hidden="false" customHeight="false" outlineLevel="0" collapsed="false">
      <c r="A153" s="4" t="s">
        <v>292</v>
      </c>
      <c r="B153" s="17" t="n">
        <v>45693</v>
      </c>
      <c r="C153" s="4" t="n">
        <v>13</v>
      </c>
      <c r="D153" s="4" t="s">
        <v>73</v>
      </c>
      <c r="E153" s="4" t="s">
        <v>84</v>
      </c>
      <c r="F153" s="4" t="s">
        <v>106</v>
      </c>
      <c r="G153" s="4" t="n">
        <v>3</v>
      </c>
      <c r="H153" s="4" t="n">
        <v>60</v>
      </c>
      <c r="I153" s="18" t="n">
        <v>0.1</v>
      </c>
      <c r="J153" s="4" t="s">
        <v>81</v>
      </c>
      <c r="K153" s="4" t="s">
        <v>77</v>
      </c>
    </row>
    <row r="154" customFormat="false" ht="15" hidden="false" customHeight="false" outlineLevel="0" collapsed="false">
      <c r="A154" s="4" t="s">
        <v>293</v>
      </c>
      <c r="B154" s="17" t="n">
        <v>45693</v>
      </c>
      <c r="C154" s="4" t="n">
        <v>14</v>
      </c>
      <c r="D154" s="4" t="s">
        <v>64</v>
      </c>
      <c r="E154" s="4" t="s">
        <v>99</v>
      </c>
      <c r="F154" s="4" t="s">
        <v>102</v>
      </c>
      <c r="G154" s="4" t="n">
        <v>1</v>
      </c>
      <c r="H154" s="4" t="n">
        <v>140</v>
      </c>
      <c r="I154" s="18" t="n">
        <v>0</v>
      </c>
      <c r="J154" s="4" t="s">
        <v>81</v>
      </c>
      <c r="K154" s="4" t="s">
        <v>77</v>
      </c>
    </row>
    <row r="155" customFormat="false" ht="15" hidden="false" customHeight="false" outlineLevel="0" collapsed="false">
      <c r="A155" s="4" t="s">
        <v>294</v>
      </c>
      <c r="B155" s="17" t="n">
        <v>45693</v>
      </c>
      <c r="C155" s="4" t="n">
        <v>18</v>
      </c>
      <c r="D155" s="4" t="s">
        <v>64</v>
      </c>
      <c r="E155" s="4" t="s">
        <v>99</v>
      </c>
      <c r="F155" s="4" t="s">
        <v>133</v>
      </c>
      <c r="G155" s="4" t="n">
        <v>1</v>
      </c>
      <c r="H155" s="4" t="n">
        <v>90</v>
      </c>
      <c r="I155" s="18" t="n">
        <v>0</v>
      </c>
      <c r="J155" s="4" t="s">
        <v>81</v>
      </c>
      <c r="K155" s="4" t="s">
        <v>68</v>
      </c>
    </row>
    <row r="156" customFormat="false" ht="15" hidden="false" customHeight="false" outlineLevel="0" collapsed="false">
      <c r="A156" s="4" t="s">
        <v>295</v>
      </c>
      <c r="B156" s="17" t="n">
        <v>45694</v>
      </c>
      <c r="C156" s="4" t="n">
        <v>10</v>
      </c>
      <c r="D156" s="4" t="s">
        <v>73</v>
      </c>
      <c r="E156" s="4" t="s">
        <v>84</v>
      </c>
      <c r="F156" s="4" t="s">
        <v>114</v>
      </c>
      <c r="G156" s="4" t="n">
        <v>1</v>
      </c>
      <c r="H156" s="4" t="n">
        <v>85</v>
      </c>
      <c r="I156" s="18" t="n">
        <v>0.05</v>
      </c>
      <c r="J156" s="4" t="s">
        <v>76</v>
      </c>
      <c r="K156" s="4" t="s">
        <v>82</v>
      </c>
    </row>
    <row r="157" customFormat="false" ht="15" hidden="false" customHeight="false" outlineLevel="0" collapsed="false">
      <c r="A157" s="4" t="s">
        <v>296</v>
      </c>
      <c r="B157" s="17" t="n">
        <v>45694</v>
      </c>
      <c r="C157" s="4" t="n">
        <v>15</v>
      </c>
      <c r="D157" s="4" t="s">
        <v>64</v>
      </c>
      <c r="E157" s="4" t="s">
        <v>99</v>
      </c>
      <c r="F157" s="4" t="s">
        <v>102</v>
      </c>
      <c r="G157" s="4" t="n">
        <v>2</v>
      </c>
      <c r="H157" s="4" t="n">
        <v>140</v>
      </c>
      <c r="I157" s="18" t="n">
        <v>0</v>
      </c>
      <c r="J157" s="4" t="s">
        <v>76</v>
      </c>
      <c r="K157" s="4" t="s">
        <v>68</v>
      </c>
    </row>
    <row r="158" customFormat="false" ht="15" hidden="false" customHeight="false" outlineLevel="0" collapsed="false">
      <c r="A158" s="4" t="s">
        <v>296</v>
      </c>
      <c r="B158" s="17" t="n">
        <v>45694</v>
      </c>
      <c r="C158" s="4" t="n">
        <v>15</v>
      </c>
      <c r="D158" s="4" t="s">
        <v>64</v>
      </c>
      <c r="E158" s="4" t="s">
        <v>99</v>
      </c>
      <c r="F158" s="4" t="s">
        <v>102</v>
      </c>
      <c r="G158" s="4" t="n">
        <v>2</v>
      </c>
      <c r="H158" s="4" t="n">
        <v>140</v>
      </c>
      <c r="I158" s="18" t="n">
        <v>0</v>
      </c>
      <c r="J158" s="4" t="s">
        <v>76</v>
      </c>
      <c r="K158" s="4" t="s">
        <v>68</v>
      </c>
    </row>
    <row r="159" customFormat="false" ht="15" hidden="false" customHeight="false" outlineLevel="0" collapsed="false">
      <c r="A159" s="4" t="s">
        <v>297</v>
      </c>
      <c r="B159" s="17" t="n">
        <v>45694</v>
      </c>
      <c r="C159" s="4" t="n">
        <v>18</v>
      </c>
      <c r="D159" s="4" t="s">
        <v>64</v>
      </c>
      <c r="E159" s="4" t="s">
        <v>79</v>
      </c>
      <c r="F159" s="4" t="s">
        <v>80</v>
      </c>
      <c r="G159" s="4" t="n">
        <v>1</v>
      </c>
      <c r="H159" s="4" t="n">
        <v>160</v>
      </c>
      <c r="I159" s="18" t="n">
        <v>0.1</v>
      </c>
      <c r="J159" s="4" t="s">
        <v>81</v>
      </c>
    </row>
    <row r="160" customFormat="false" ht="15" hidden="false" customHeight="false" outlineLevel="0" collapsed="false">
      <c r="A160" s="4" t="s">
        <v>298</v>
      </c>
      <c r="B160" s="17" t="n">
        <v>45695</v>
      </c>
      <c r="C160" s="4" t="n">
        <v>8</v>
      </c>
      <c r="D160" s="4" t="s">
        <v>172</v>
      </c>
      <c r="E160" s="4" t="s">
        <v>84</v>
      </c>
      <c r="F160" s="4" t="s">
        <v>85</v>
      </c>
      <c r="G160" s="4" t="n">
        <v>3</v>
      </c>
      <c r="H160" s="4" t="n">
        <v>150</v>
      </c>
      <c r="I160" s="18" t="n">
        <v>0.1</v>
      </c>
      <c r="J160" s="4" t="s">
        <v>67</v>
      </c>
      <c r="K160" s="4" t="s">
        <v>82</v>
      </c>
    </row>
    <row r="161" customFormat="false" ht="15" hidden="false" customHeight="false" outlineLevel="0" collapsed="false">
      <c r="A161" s="4" t="s">
        <v>298</v>
      </c>
      <c r="B161" s="17" t="n">
        <v>45695</v>
      </c>
      <c r="C161" s="4" t="n">
        <v>8</v>
      </c>
      <c r="D161" s="4" t="s">
        <v>172</v>
      </c>
      <c r="E161" s="4" t="s">
        <v>84</v>
      </c>
      <c r="F161" s="4" t="s">
        <v>85</v>
      </c>
      <c r="G161" s="4" t="n">
        <v>3</v>
      </c>
      <c r="H161" s="4" t="n">
        <v>150</v>
      </c>
      <c r="I161" s="18" t="n">
        <v>0.1</v>
      </c>
      <c r="J161" s="4" t="s">
        <v>67</v>
      </c>
      <c r="K161" s="4" t="s">
        <v>82</v>
      </c>
    </row>
    <row r="162" customFormat="false" ht="15" hidden="false" customHeight="false" outlineLevel="0" collapsed="false">
      <c r="A162" s="4" t="s">
        <v>299</v>
      </c>
      <c r="B162" s="17" t="n">
        <v>45695</v>
      </c>
      <c r="C162" s="4" t="n">
        <v>14</v>
      </c>
      <c r="D162" s="4" t="s">
        <v>73</v>
      </c>
      <c r="E162" s="4" t="s">
        <v>99</v>
      </c>
      <c r="F162" s="4" t="s">
        <v>133</v>
      </c>
      <c r="G162" s="4" t="n">
        <v>2</v>
      </c>
      <c r="H162" s="4" t="s">
        <v>300</v>
      </c>
      <c r="I162" s="18" t="n">
        <v>0.1</v>
      </c>
      <c r="J162" s="4" t="s">
        <v>76</v>
      </c>
      <c r="K162" s="4" t="s">
        <v>71</v>
      </c>
    </row>
    <row r="163" customFormat="false" ht="15" hidden="false" customHeight="false" outlineLevel="0" collapsed="false">
      <c r="A163" s="4" t="s">
        <v>301</v>
      </c>
      <c r="B163" s="17" t="n">
        <v>45695</v>
      </c>
      <c r="C163" s="4" t="n">
        <v>14</v>
      </c>
      <c r="D163" s="4" t="s">
        <v>73</v>
      </c>
      <c r="E163" s="4" t="s">
        <v>302</v>
      </c>
      <c r="F163" s="4" t="s">
        <v>109</v>
      </c>
      <c r="H163" s="4" t="n">
        <v>130</v>
      </c>
      <c r="I163" s="18" t="n">
        <v>0</v>
      </c>
      <c r="J163" s="4" t="s">
        <v>81</v>
      </c>
      <c r="K163" s="4" t="s">
        <v>68</v>
      </c>
    </row>
    <row r="164" customFormat="false" ht="15" hidden="false" customHeight="false" outlineLevel="0" collapsed="false">
      <c r="A164" s="4" t="s">
        <v>303</v>
      </c>
      <c r="B164" s="17" t="n">
        <v>45695</v>
      </c>
      <c r="C164" s="4" t="n">
        <v>16</v>
      </c>
      <c r="D164" s="4" t="s">
        <v>73</v>
      </c>
      <c r="E164" s="4" t="s">
        <v>65</v>
      </c>
      <c r="F164" s="4" t="s">
        <v>66</v>
      </c>
      <c r="G164" s="4" t="n">
        <v>1</v>
      </c>
      <c r="H164" s="4" t="n">
        <v>120</v>
      </c>
      <c r="I164" s="18" t="n">
        <v>0</v>
      </c>
      <c r="J164" s="4" t="s">
        <v>81</v>
      </c>
      <c r="K164" s="4" t="s">
        <v>68</v>
      </c>
    </row>
    <row r="165" customFormat="false" ht="15" hidden="false" customHeight="false" outlineLevel="0" collapsed="false">
      <c r="A165" s="4" t="s">
        <v>304</v>
      </c>
      <c r="B165" s="17" t="n">
        <v>45696</v>
      </c>
      <c r="C165" s="4" t="n">
        <v>12</v>
      </c>
      <c r="D165" s="4" t="s">
        <v>64</v>
      </c>
      <c r="E165" s="4" t="s">
        <v>99</v>
      </c>
      <c r="F165" s="4" t="s">
        <v>133</v>
      </c>
      <c r="G165" s="4" t="n">
        <v>1</v>
      </c>
      <c r="H165" s="4" t="n">
        <v>90</v>
      </c>
      <c r="I165" s="18" t="n">
        <v>0</v>
      </c>
      <c r="J165" s="4" t="s">
        <v>88</v>
      </c>
      <c r="K165" s="4" t="s">
        <v>68</v>
      </c>
    </row>
    <row r="166" customFormat="false" ht="15" hidden="false" customHeight="false" outlineLevel="0" collapsed="false">
      <c r="A166" s="4" t="s">
        <v>305</v>
      </c>
      <c r="B166" s="17" t="n">
        <v>45696</v>
      </c>
      <c r="C166" s="4" t="n">
        <v>15</v>
      </c>
      <c r="D166" s="4" t="s">
        <v>98</v>
      </c>
      <c r="E166" s="4" t="s">
        <v>84</v>
      </c>
      <c r="F166" s="4" t="s">
        <v>117</v>
      </c>
      <c r="G166" s="4" t="n">
        <v>2</v>
      </c>
      <c r="H166" s="4" t="n">
        <v>95</v>
      </c>
      <c r="I166" s="18" t="n">
        <v>0</v>
      </c>
      <c r="J166" s="4" t="s">
        <v>81</v>
      </c>
      <c r="K166" s="4" t="s">
        <v>68</v>
      </c>
    </row>
    <row r="167" customFormat="false" ht="15" hidden="false" customHeight="false" outlineLevel="0" collapsed="false">
      <c r="A167" s="4" t="s">
        <v>306</v>
      </c>
      <c r="B167" s="17" t="n">
        <v>45696</v>
      </c>
      <c r="C167" s="4" t="n">
        <v>17</v>
      </c>
      <c r="D167" s="4" t="s">
        <v>70</v>
      </c>
      <c r="E167" s="4" t="s">
        <v>84</v>
      </c>
      <c r="F167" s="4" t="s">
        <v>85</v>
      </c>
      <c r="G167" s="4" t="n">
        <v>3</v>
      </c>
      <c r="H167" s="4" t="n">
        <v>150</v>
      </c>
      <c r="I167" s="18" t="n">
        <v>0</v>
      </c>
      <c r="J167" s="4" t="s">
        <v>67</v>
      </c>
      <c r="K167" s="4" t="s">
        <v>77</v>
      </c>
    </row>
    <row r="168" customFormat="false" ht="15" hidden="false" customHeight="false" outlineLevel="0" collapsed="false">
      <c r="A168" s="4" t="s">
        <v>307</v>
      </c>
      <c r="B168" s="17" t="n">
        <v>45696</v>
      </c>
      <c r="C168" s="4" t="n">
        <v>18</v>
      </c>
      <c r="D168" s="4" t="s">
        <v>187</v>
      </c>
      <c r="E168" s="4" t="s">
        <v>99</v>
      </c>
      <c r="F168" s="4" t="s">
        <v>100</v>
      </c>
      <c r="G168" s="4" t="n">
        <v>2</v>
      </c>
      <c r="I168" s="18" t="n">
        <v>0.1</v>
      </c>
      <c r="J168" s="4" t="s">
        <v>67</v>
      </c>
      <c r="K168" s="4" t="s">
        <v>71</v>
      </c>
    </row>
    <row r="169" customFormat="false" ht="15" hidden="false" customHeight="false" outlineLevel="0" collapsed="false">
      <c r="A169" s="4" t="s">
        <v>308</v>
      </c>
      <c r="B169" s="17" t="n">
        <v>45696</v>
      </c>
      <c r="C169" s="4" t="n">
        <v>19</v>
      </c>
      <c r="D169" s="4" t="s">
        <v>98</v>
      </c>
      <c r="E169" s="4" t="s">
        <v>84</v>
      </c>
      <c r="F169" s="4" t="s">
        <v>85</v>
      </c>
      <c r="G169" s="4" t="n">
        <v>3</v>
      </c>
      <c r="H169" s="4" t="n">
        <v>150</v>
      </c>
      <c r="I169" s="18" t="n">
        <v>0</v>
      </c>
      <c r="J169" s="4" t="s">
        <v>112</v>
      </c>
      <c r="K169" s="4" t="s">
        <v>68</v>
      </c>
    </row>
    <row r="170" customFormat="false" ht="15" hidden="false" customHeight="false" outlineLevel="0" collapsed="false">
      <c r="A170" s="4" t="s">
        <v>309</v>
      </c>
      <c r="B170" s="17" t="n">
        <v>45697</v>
      </c>
      <c r="C170" s="4" t="n">
        <v>12</v>
      </c>
      <c r="D170" s="4" t="s">
        <v>64</v>
      </c>
      <c r="E170" s="4" t="s">
        <v>65</v>
      </c>
      <c r="F170" s="4" t="s">
        <v>87</v>
      </c>
      <c r="G170" s="4" t="n">
        <v>2</v>
      </c>
      <c r="H170" s="4" t="n">
        <v>160</v>
      </c>
      <c r="I170" s="18" t="n">
        <v>0</v>
      </c>
      <c r="J170" s="4" t="s">
        <v>81</v>
      </c>
      <c r="K170" s="4" t="s">
        <v>68</v>
      </c>
    </row>
    <row r="171" customFormat="false" ht="15" hidden="false" customHeight="false" outlineLevel="0" collapsed="false">
      <c r="A171" s="4" t="s">
        <v>310</v>
      </c>
      <c r="B171" s="17" t="n">
        <v>45697</v>
      </c>
      <c r="C171" s="4" t="n">
        <v>15</v>
      </c>
      <c r="D171" s="4" t="s">
        <v>64</v>
      </c>
      <c r="E171" s="4" t="s">
        <v>99</v>
      </c>
      <c r="F171" s="4" t="s">
        <v>109</v>
      </c>
      <c r="G171" s="4" t="n">
        <v>1</v>
      </c>
      <c r="H171" s="4" t="n">
        <v>130</v>
      </c>
      <c r="I171" s="18" t="n">
        <v>0</v>
      </c>
      <c r="J171" s="4" t="s">
        <v>67</v>
      </c>
      <c r="K171" s="4" t="s">
        <v>77</v>
      </c>
    </row>
    <row r="172" customFormat="false" ht="15" hidden="false" customHeight="false" outlineLevel="0" collapsed="false">
      <c r="A172" s="4" t="s">
        <v>311</v>
      </c>
      <c r="B172" s="17" t="n">
        <v>45697</v>
      </c>
      <c r="C172" s="4" t="n">
        <v>16</v>
      </c>
      <c r="D172" s="4" t="s">
        <v>73</v>
      </c>
      <c r="E172" s="4" t="s">
        <v>74</v>
      </c>
      <c r="F172" s="4" t="s">
        <v>91</v>
      </c>
      <c r="G172" s="4" t="n">
        <v>2</v>
      </c>
      <c r="H172" s="4" t="n">
        <v>200</v>
      </c>
      <c r="I172" s="18" t="n">
        <v>0</v>
      </c>
      <c r="J172" s="4" t="s">
        <v>76</v>
      </c>
      <c r="K172" s="4" t="s">
        <v>68</v>
      </c>
    </row>
    <row r="173" customFormat="false" ht="15" hidden="false" customHeight="false" outlineLevel="0" collapsed="false">
      <c r="A173" s="4" t="s">
        <v>312</v>
      </c>
      <c r="B173" s="17" t="n">
        <v>45697</v>
      </c>
      <c r="C173" s="4" t="n">
        <v>18</v>
      </c>
      <c r="D173" s="4" t="s">
        <v>183</v>
      </c>
      <c r="E173" s="4" t="s">
        <v>74</v>
      </c>
      <c r="F173" s="4" t="s">
        <v>75</v>
      </c>
      <c r="G173" s="4" t="n">
        <v>2</v>
      </c>
      <c r="H173" s="4" t="n">
        <v>220</v>
      </c>
      <c r="I173" s="18" t="n">
        <v>0</v>
      </c>
      <c r="J173" s="4" t="s">
        <v>67</v>
      </c>
      <c r="K173" s="4" t="s">
        <v>77</v>
      </c>
    </row>
    <row r="174" customFormat="false" ht="15" hidden="false" customHeight="false" outlineLevel="0" collapsed="false">
      <c r="A174" s="4" t="s">
        <v>313</v>
      </c>
      <c r="B174" s="17" t="n">
        <v>45698</v>
      </c>
      <c r="C174" s="4" t="n">
        <v>7</v>
      </c>
      <c r="D174" s="4" t="s">
        <v>64</v>
      </c>
      <c r="E174" s="4" t="s">
        <v>65</v>
      </c>
      <c r="F174" s="4" t="s">
        <v>121</v>
      </c>
      <c r="G174" s="4" t="n">
        <v>1</v>
      </c>
      <c r="H174" s="4" t="n">
        <v>170</v>
      </c>
      <c r="J174" s="4" t="s">
        <v>81</v>
      </c>
      <c r="K174" s="4" t="s">
        <v>82</v>
      </c>
    </row>
    <row r="175" customFormat="false" ht="15" hidden="false" customHeight="false" outlineLevel="0" collapsed="false">
      <c r="A175" s="4" t="s">
        <v>314</v>
      </c>
      <c r="B175" s="17" t="n">
        <v>45698</v>
      </c>
      <c r="C175" s="4" t="n">
        <v>12</v>
      </c>
      <c r="D175" s="4" t="s">
        <v>70</v>
      </c>
      <c r="E175" s="4" t="s">
        <v>99</v>
      </c>
      <c r="F175" s="4" t="s">
        <v>133</v>
      </c>
      <c r="H175" s="4" t="n">
        <v>90</v>
      </c>
      <c r="I175" s="18" t="n">
        <v>0</v>
      </c>
      <c r="J175" s="4" t="s">
        <v>112</v>
      </c>
      <c r="K175" s="4" t="s">
        <v>68</v>
      </c>
    </row>
    <row r="176" customFormat="false" ht="15" hidden="false" customHeight="false" outlineLevel="0" collapsed="false">
      <c r="A176" s="4" t="s">
        <v>315</v>
      </c>
      <c r="B176" s="17" t="n">
        <v>45698</v>
      </c>
      <c r="C176" s="4" t="n">
        <v>13</v>
      </c>
      <c r="D176" s="4" t="s">
        <v>70</v>
      </c>
      <c r="E176" s="4" t="s">
        <v>84</v>
      </c>
      <c r="F176" s="4" t="s">
        <v>114</v>
      </c>
      <c r="G176" s="4" t="n">
        <v>2</v>
      </c>
      <c r="H176" s="4" t="n">
        <v>85</v>
      </c>
      <c r="I176" s="18" t="n">
        <v>0.05</v>
      </c>
      <c r="J176" s="4" t="s">
        <v>81</v>
      </c>
      <c r="K176" s="4" t="s">
        <v>82</v>
      </c>
    </row>
    <row r="177" customFormat="false" ht="15" hidden="false" customHeight="false" outlineLevel="0" collapsed="false">
      <c r="A177" s="4" t="s">
        <v>316</v>
      </c>
      <c r="B177" s="17" t="n">
        <v>45698</v>
      </c>
      <c r="C177" s="4" t="n">
        <v>16</v>
      </c>
      <c r="D177" s="4" t="s">
        <v>73</v>
      </c>
      <c r="E177" s="4" t="s">
        <v>99</v>
      </c>
      <c r="F177" s="4" t="s">
        <v>109</v>
      </c>
      <c r="G177" s="4" t="n">
        <v>1</v>
      </c>
      <c r="H177" s="4" t="n">
        <v>130</v>
      </c>
      <c r="I177" s="18" t="n">
        <v>0.05</v>
      </c>
      <c r="J177" s="4" t="s">
        <v>67</v>
      </c>
      <c r="K177" s="4" t="s">
        <v>82</v>
      </c>
    </row>
    <row r="178" customFormat="false" ht="15" hidden="false" customHeight="false" outlineLevel="0" collapsed="false">
      <c r="A178" s="4" t="s">
        <v>317</v>
      </c>
      <c r="B178" s="17" t="n">
        <v>45699</v>
      </c>
      <c r="C178" s="4" t="n">
        <v>7</v>
      </c>
      <c r="D178" s="4" t="s">
        <v>98</v>
      </c>
      <c r="E178" s="4" t="s">
        <v>84</v>
      </c>
      <c r="F178" s="4" t="s">
        <v>106</v>
      </c>
      <c r="G178" s="4" t="n">
        <v>3</v>
      </c>
      <c r="H178" s="4" t="n">
        <v>60</v>
      </c>
      <c r="I178" s="18" t="n">
        <v>0.1</v>
      </c>
      <c r="J178" s="4" t="s">
        <v>67</v>
      </c>
      <c r="K178" s="4" t="s">
        <v>71</v>
      </c>
    </row>
    <row r="179" customFormat="false" ht="15" hidden="false" customHeight="false" outlineLevel="0" collapsed="false">
      <c r="A179" s="4" t="s">
        <v>318</v>
      </c>
      <c r="B179" s="17" t="n">
        <v>45699</v>
      </c>
      <c r="C179" s="4" t="n">
        <v>8</v>
      </c>
      <c r="D179" s="4" t="s">
        <v>98</v>
      </c>
      <c r="E179" s="4" t="s">
        <v>79</v>
      </c>
      <c r="F179" s="4" t="s">
        <v>135</v>
      </c>
      <c r="G179" s="4" t="n">
        <v>1</v>
      </c>
      <c r="H179" s="4" t="n">
        <v>130</v>
      </c>
      <c r="I179" s="18" t="n">
        <v>0.1</v>
      </c>
      <c r="J179" s="4" t="s">
        <v>112</v>
      </c>
      <c r="K179" s="4" t="s">
        <v>71</v>
      </c>
    </row>
    <row r="180" customFormat="false" ht="15" hidden="false" customHeight="false" outlineLevel="0" collapsed="false">
      <c r="A180" s="4" t="s">
        <v>319</v>
      </c>
      <c r="B180" s="17" t="n">
        <v>45699</v>
      </c>
      <c r="C180" s="4" t="n">
        <v>9</v>
      </c>
      <c r="D180" s="4" t="s">
        <v>73</v>
      </c>
      <c r="E180" s="4" t="s">
        <v>99</v>
      </c>
      <c r="F180" s="4" t="s">
        <v>100</v>
      </c>
      <c r="G180" s="4" t="n">
        <v>1</v>
      </c>
      <c r="H180" s="4" t="n">
        <v>110</v>
      </c>
      <c r="I180" s="18" t="n">
        <v>0</v>
      </c>
      <c r="J180" s="4" t="s">
        <v>88</v>
      </c>
      <c r="K180" s="4" t="s">
        <v>68</v>
      </c>
    </row>
    <row r="181" customFormat="false" ht="15" hidden="false" customHeight="false" outlineLevel="0" collapsed="false">
      <c r="A181" s="4" t="s">
        <v>320</v>
      </c>
      <c r="B181" s="17" t="n">
        <v>45699</v>
      </c>
      <c r="C181" s="4" t="n">
        <v>10</v>
      </c>
      <c r="D181" s="4" t="s">
        <v>70</v>
      </c>
      <c r="E181" s="4" t="s">
        <v>79</v>
      </c>
      <c r="F181" s="4" t="s">
        <v>148</v>
      </c>
      <c r="G181" s="4" t="n">
        <v>1</v>
      </c>
      <c r="I181" s="18" t="n">
        <v>0</v>
      </c>
      <c r="J181" s="4" t="s">
        <v>67</v>
      </c>
      <c r="K181" s="4" t="s">
        <v>68</v>
      </c>
    </row>
    <row r="182" customFormat="false" ht="15" hidden="false" customHeight="false" outlineLevel="0" collapsed="false">
      <c r="A182" s="4" t="s">
        <v>321</v>
      </c>
      <c r="B182" s="17" t="n">
        <v>45699</v>
      </c>
      <c r="C182" s="4" t="n">
        <v>11</v>
      </c>
      <c r="D182" s="4" t="s">
        <v>64</v>
      </c>
      <c r="E182" s="4" t="s">
        <v>65</v>
      </c>
      <c r="F182" s="4" t="s">
        <v>121</v>
      </c>
      <c r="G182" s="4" t="n">
        <v>2</v>
      </c>
      <c r="H182" s="4" t="n">
        <v>170</v>
      </c>
      <c r="I182" s="18" t="n">
        <v>0</v>
      </c>
      <c r="J182" s="4" t="s">
        <v>112</v>
      </c>
      <c r="K182" s="4" t="s">
        <v>68</v>
      </c>
    </row>
    <row r="183" customFormat="false" ht="15" hidden="false" customHeight="false" outlineLevel="0" collapsed="false">
      <c r="A183" s="4" t="s">
        <v>322</v>
      </c>
      <c r="B183" s="17" t="n">
        <v>45699</v>
      </c>
      <c r="C183" s="4" t="n">
        <v>11</v>
      </c>
      <c r="D183" s="4" t="s">
        <v>64</v>
      </c>
      <c r="E183" s="4" t="s">
        <v>79</v>
      </c>
      <c r="F183" s="4" t="s">
        <v>80</v>
      </c>
      <c r="G183" s="4" t="n">
        <v>2</v>
      </c>
      <c r="H183" s="4" t="n">
        <v>160</v>
      </c>
      <c r="I183" s="18" t="n">
        <v>0.1</v>
      </c>
      <c r="J183" s="4" t="s">
        <v>76</v>
      </c>
      <c r="K183" s="4" t="s">
        <v>71</v>
      </c>
    </row>
    <row r="184" customFormat="false" ht="15" hidden="false" customHeight="false" outlineLevel="0" collapsed="false">
      <c r="A184" s="4" t="s">
        <v>323</v>
      </c>
      <c r="B184" s="17" t="n">
        <v>45699</v>
      </c>
      <c r="C184" s="4" t="n">
        <v>15</v>
      </c>
      <c r="D184" s="4" t="s">
        <v>70</v>
      </c>
      <c r="E184" s="4" t="s">
        <v>99</v>
      </c>
      <c r="F184" s="4" t="s">
        <v>109</v>
      </c>
      <c r="G184" s="4" t="n">
        <v>2</v>
      </c>
      <c r="H184" s="4" t="n">
        <v>130</v>
      </c>
      <c r="I184" s="18" t="n">
        <v>0</v>
      </c>
      <c r="J184" s="4" t="s">
        <v>67</v>
      </c>
      <c r="K184" s="4" t="s">
        <v>77</v>
      </c>
    </row>
    <row r="185" customFormat="false" ht="15" hidden="false" customHeight="false" outlineLevel="0" collapsed="false">
      <c r="A185" s="4" t="s">
        <v>324</v>
      </c>
      <c r="B185" s="17" t="n">
        <v>45700</v>
      </c>
      <c r="C185" s="4" t="n">
        <v>8</v>
      </c>
      <c r="D185" s="4" t="s">
        <v>64</v>
      </c>
      <c r="E185" s="4" t="s">
        <v>79</v>
      </c>
      <c r="F185" s="4" t="s">
        <v>148</v>
      </c>
      <c r="G185" s="4" t="n">
        <v>1</v>
      </c>
      <c r="H185" s="4" t="n">
        <v>120</v>
      </c>
      <c r="I185" s="18" t="n">
        <v>0.1</v>
      </c>
      <c r="J185" s="4" t="s">
        <v>81</v>
      </c>
      <c r="K185" s="4" t="s">
        <v>71</v>
      </c>
    </row>
    <row r="186" customFormat="false" ht="15" hidden="false" customHeight="false" outlineLevel="0" collapsed="false">
      <c r="A186" s="4" t="s">
        <v>325</v>
      </c>
      <c r="B186" s="17" t="n">
        <v>45700</v>
      </c>
      <c r="C186" s="4" t="n">
        <v>8</v>
      </c>
      <c r="D186" s="4" t="s">
        <v>70</v>
      </c>
      <c r="E186" s="4" t="s">
        <v>99</v>
      </c>
      <c r="F186" s="4" t="s">
        <v>100</v>
      </c>
      <c r="G186" s="4" t="n">
        <v>1</v>
      </c>
      <c r="H186" s="4" t="n">
        <v>110</v>
      </c>
      <c r="J186" s="4" t="s">
        <v>67</v>
      </c>
      <c r="K186" s="4" t="s">
        <v>68</v>
      </c>
    </row>
    <row r="187" customFormat="false" ht="15" hidden="false" customHeight="false" outlineLevel="0" collapsed="false">
      <c r="A187" s="4" t="s">
        <v>326</v>
      </c>
      <c r="B187" s="17" t="n">
        <v>45700</v>
      </c>
      <c r="C187" s="4" t="n">
        <v>12</v>
      </c>
      <c r="D187" s="4" t="s">
        <v>70</v>
      </c>
      <c r="E187" s="4" t="s">
        <v>74</v>
      </c>
      <c r="F187" s="4" t="s">
        <v>75</v>
      </c>
      <c r="G187" s="4" t="n">
        <v>1</v>
      </c>
      <c r="H187" s="4" t="n">
        <v>220</v>
      </c>
      <c r="I187" s="18" t="n">
        <v>0</v>
      </c>
      <c r="J187" s="4" t="s">
        <v>76</v>
      </c>
      <c r="K187" s="4" t="s">
        <v>68</v>
      </c>
    </row>
    <row r="188" customFormat="false" ht="15" hidden="false" customHeight="false" outlineLevel="0" collapsed="false">
      <c r="A188" s="4" t="s">
        <v>327</v>
      </c>
      <c r="B188" s="17" t="n">
        <v>45700</v>
      </c>
      <c r="C188" s="4" t="n">
        <v>14</v>
      </c>
      <c r="D188" s="4" t="s">
        <v>73</v>
      </c>
      <c r="E188" s="4" t="s">
        <v>74</v>
      </c>
      <c r="F188" s="4" t="s">
        <v>91</v>
      </c>
      <c r="G188" s="4" t="n">
        <v>1</v>
      </c>
      <c r="H188" s="4" t="n">
        <v>200</v>
      </c>
      <c r="I188" s="18" t="n">
        <v>0</v>
      </c>
      <c r="J188" s="4" t="s">
        <v>76</v>
      </c>
      <c r="K188" s="4" t="s">
        <v>68</v>
      </c>
    </row>
    <row r="189" customFormat="false" ht="15" hidden="false" customHeight="false" outlineLevel="0" collapsed="false">
      <c r="A189" s="4" t="s">
        <v>328</v>
      </c>
      <c r="B189" s="17" t="n">
        <v>45700</v>
      </c>
      <c r="C189" s="4" t="n">
        <v>20</v>
      </c>
      <c r="D189" s="4" t="s">
        <v>64</v>
      </c>
      <c r="E189" s="4" t="s">
        <v>99</v>
      </c>
      <c r="F189" s="4" t="s">
        <v>102</v>
      </c>
      <c r="G189" s="4" t="n">
        <v>2</v>
      </c>
      <c r="H189" s="4" t="n">
        <v>140</v>
      </c>
      <c r="I189" s="18" t="n">
        <v>0</v>
      </c>
      <c r="J189" s="4" t="s">
        <v>76</v>
      </c>
    </row>
    <row r="190" customFormat="false" ht="15" hidden="false" customHeight="false" outlineLevel="0" collapsed="false">
      <c r="A190" s="4" t="s">
        <v>329</v>
      </c>
      <c r="B190" s="17" t="n">
        <v>45701</v>
      </c>
      <c r="C190" s="4" t="n">
        <v>7</v>
      </c>
      <c r="D190" s="4" t="s">
        <v>96</v>
      </c>
      <c r="E190" s="4" t="s">
        <v>302</v>
      </c>
      <c r="F190" s="4" t="s">
        <v>109</v>
      </c>
      <c r="G190" s="4" t="n">
        <v>1</v>
      </c>
      <c r="H190" s="4" t="n">
        <v>130</v>
      </c>
      <c r="I190" s="18" t="n">
        <v>0</v>
      </c>
      <c r="J190" s="4" t="s">
        <v>88</v>
      </c>
      <c r="K190" s="4" t="s">
        <v>68</v>
      </c>
    </row>
    <row r="191" customFormat="false" ht="15" hidden="false" customHeight="false" outlineLevel="0" collapsed="false">
      <c r="A191" s="4" t="s">
        <v>330</v>
      </c>
      <c r="B191" s="4" t="s">
        <v>331</v>
      </c>
      <c r="C191" s="4" t="n">
        <v>9</v>
      </c>
      <c r="D191" s="4" t="s">
        <v>70</v>
      </c>
      <c r="E191" s="4" t="s">
        <v>79</v>
      </c>
      <c r="F191" s="4" t="s">
        <v>80</v>
      </c>
      <c r="G191" s="4" t="n">
        <v>2</v>
      </c>
      <c r="H191" s="4" t="n">
        <v>160</v>
      </c>
      <c r="I191" s="18" t="n">
        <v>0</v>
      </c>
      <c r="J191" s="4" t="s">
        <v>76</v>
      </c>
      <c r="K191" s="4" t="s">
        <v>68</v>
      </c>
    </row>
    <row r="192" customFormat="false" ht="15" hidden="false" customHeight="false" outlineLevel="0" collapsed="false">
      <c r="A192" s="4" t="s">
        <v>332</v>
      </c>
      <c r="B192" s="17" t="n">
        <v>45701</v>
      </c>
      <c r="C192" s="4" t="n">
        <v>12</v>
      </c>
      <c r="D192" s="4" t="s">
        <v>64</v>
      </c>
      <c r="E192" s="4" t="s">
        <v>84</v>
      </c>
      <c r="F192" s="4" t="s">
        <v>106</v>
      </c>
      <c r="G192" s="4" t="n">
        <v>1</v>
      </c>
      <c r="H192" s="4" t="n">
        <v>60</v>
      </c>
      <c r="I192" s="18" t="n">
        <v>0.15</v>
      </c>
      <c r="J192" s="4" t="s">
        <v>76</v>
      </c>
      <c r="K192" s="4" t="s">
        <v>77</v>
      </c>
    </row>
    <row r="193" customFormat="false" ht="15" hidden="false" customHeight="false" outlineLevel="0" collapsed="false">
      <c r="A193" s="4" t="s">
        <v>333</v>
      </c>
      <c r="B193" s="17" t="n">
        <v>45701</v>
      </c>
      <c r="C193" s="4" t="n">
        <v>12</v>
      </c>
      <c r="D193" s="4" t="s">
        <v>73</v>
      </c>
      <c r="E193" s="4" t="s">
        <v>99</v>
      </c>
      <c r="F193" s="4" t="s">
        <v>102</v>
      </c>
      <c r="G193" s="4" t="n">
        <v>3</v>
      </c>
      <c r="H193" s="4" t="n">
        <v>140</v>
      </c>
      <c r="I193" s="18" t="n">
        <v>0</v>
      </c>
      <c r="J193" s="4" t="s">
        <v>67</v>
      </c>
      <c r="K193" s="4" t="s">
        <v>68</v>
      </c>
    </row>
    <row r="194" customFormat="false" ht="15" hidden="false" customHeight="false" outlineLevel="0" collapsed="false">
      <c r="A194" s="4" t="s">
        <v>334</v>
      </c>
      <c r="B194" s="17" t="n">
        <v>45701</v>
      </c>
      <c r="C194" s="4" t="n">
        <v>16</v>
      </c>
      <c r="D194" s="4" t="s">
        <v>335</v>
      </c>
      <c r="E194" s="4" t="s">
        <v>65</v>
      </c>
      <c r="F194" s="4" t="s">
        <v>87</v>
      </c>
      <c r="G194" s="4" t="n">
        <v>1</v>
      </c>
      <c r="H194" s="4" t="n">
        <v>160</v>
      </c>
      <c r="I194" s="18" t="n">
        <v>0.1</v>
      </c>
      <c r="J194" s="4" t="s">
        <v>76</v>
      </c>
      <c r="K194" s="4" t="s">
        <v>71</v>
      </c>
    </row>
    <row r="195" customFormat="false" ht="15" hidden="false" customHeight="false" outlineLevel="0" collapsed="false">
      <c r="A195" s="4" t="s">
        <v>336</v>
      </c>
      <c r="B195" s="17" t="n">
        <v>45702</v>
      </c>
      <c r="C195" s="4" t="n">
        <v>8</v>
      </c>
      <c r="D195" s="4" t="s">
        <v>64</v>
      </c>
      <c r="E195" s="4" t="s">
        <v>99</v>
      </c>
      <c r="F195" s="4" t="s">
        <v>100</v>
      </c>
      <c r="G195" s="4" t="n">
        <v>4</v>
      </c>
      <c r="H195" s="4" t="n">
        <v>110</v>
      </c>
      <c r="I195" s="18" t="n">
        <v>0.05</v>
      </c>
      <c r="J195" s="4" t="s">
        <v>81</v>
      </c>
      <c r="K195" s="4" t="s">
        <v>82</v>
      </c>
    </row>
    <row r="196" customFormat="false" ht="15" hidden="false" customHeight="false" outlineLevel="0" collapsed="false">
      <c r="A196" s="4" t="s">
        <v>337</v>
      </c>
      <c r="B196" s="17" t="n">
        <v>45702</v>
      </c>
      <c r="C196" s="4" t="n">
        <v>13</v>
      </c>
      <c r="D196" s="4" t="s">
        <v>73</v>
      </c>
      <c r="E196" s="4" t="s">
        <v>74</v>
      </c>
      <c r="F196" s="4" t="s">
        <v>75</v>
      </c>
      <c r="G196" s="4" t="n">
        <v>1</v>
      </c>
      <c r="H196" s="4" t="n">
        <v>220</v>
      </c>
      <c r="I196" s="18" t="n">
        <v>0</v>
      </c>
      <c r="J196" s="4" t="s">
        <v>88</v>
      </c>
      <c r="K196" s="4" t="s">
        <v>68</v>
      </c>
    </row>
    <row r="197" customFormat="false" ht="15" hidden="false" customHeight="false" outlineLevel="0" collapsed="false">
      <c r="A197" s="4" t="s">
        <v>338</v>
      </c>
      <c r="B197" s="17" t="n">
        <v>45702</v>
      </c>
      <c r="C197" s="4" t="n">
        <v>16</v>
      </c>
      <c r="D197" s="4" t="s">
        <v>70</v>
      </c>
      <c r="E197" s="4" t="s">
        <v>339</v>
      </c>
      <c r="F197" s="4" t="s">
        <v>148</v>
      </c>
      <c r="G197" s="4" t="n">
        <v>2</v>
      </c>
      <c r="H197" s="4" t="n">
        <v>120</v>
      </c>
      <c r="I197" s="18" t="n">
        <v>0.05</v>
      </c>
      <c r="J197" s="4" t="s">
        <v>81</v>
      </c>
      <c r="K197" s="4" t="s">
        <v>82</v>
      </c>
    </row>
    <row r="198" customFormat="false" ht="15" hidden="false" customHeight="false" outlineLevel="0" collapsed="false">
      <c r="A198" s="4" t="s">
        <v>340</v>
      </c>
      <c r="B198" s="17" t="n">
        <v>45702</v>
      </c>
      <c r="C198" s="4" t="n">
        <v>18</v>
      </c>
      <c r="D198" s="4" t="s">
        <v>341</v>
      </c>
      <c r="E198" s="4" t="s">
        <v>84</v>
      </c>
      <c r="F198" s="4" t="s">
        <v>114</v>
      </c>
      <c r="G198" s="4" t="n">
        <v>3</v>
      </c>
      <c r="H198" s="4" t="n">
        <v>85</v>
      </c>
      <c r="I198" s="18" t="n">
        <v>0</v>
      </c>
      <c r="J198" s="4" t="s">
        <v>81</v>
      </c>
      <c r="K198" s="4" t="s">
        <v>77</v>
      </c>
    </row>
    <row r="199" customFormat="false" ht="15" hidden="false" customHeight="false" outlineLevel="0" collapsed="false">
      <c r="A199" s="4" t="s">
        <v>342</v>
      </c>
      <c r="B199" s="17" t="n">
        <v>45703</v>
      </c>
      <c r="C199" s="4" t="n">
        <v>9</v>
      </c>
      <c r="D199" s="4" t="s">
        <v>64</v>
      </c>
      <c r="E199" s="4" t="s">
        <v>99</v>
      </c>
      <c r="F199" s="4" t="s">
        <v>100</v>
      </c>
      <c r="G199" s="4" t="n">
        <v>1</v>
      </c>
      <c r="H199" s="4" t="n">
        <v>110</v>
      </c>
      <c r="I199" s="18" t="n">
        <v>0</v>
      </c>
      <c r="J199" s="4" t="s">
        <v>112</v>
      </c>
      <c r="K199" s="4" t="s">
        <v>68</v>
      </c>
    </row>
    <row r="200" customFormat="false" ht="15" hidden="false" customHeight="false" outlineLevel="0" collapsed="false">
      <c r="A200" s="4" t="s">
        <v>343</v>
      </c>
      <c r="B200" s="17" t="n">
        <v>45703</v>
      </c>
      <c r="C200" s="4" t="n">
        <v>9</v>
      </c>
      <c r="D200" s="4" t="s">
        <v>98</v>
      </c>
      <c r="E200" s="4" t="s">
        <v>99</v>
      </c>
      <c r="F200" s="4" t="s">
        <v>102</v>
      </c>
      <c r="G200" s="4" t="n">
        <v>2</v>
      </c>
      <c r="H200" s="4" t="n">
        <v>140</v>
      </c>
      <c r="I200" s="18" t="n">
        <v>0.1</v>
      </c>
      <c r="J200" s="4" t="s">
        <v>81</v>
      </c>
    </row>
    <row r="201" customFormat="false" ht="15" hidden="false" customHeight="false" outlineLevel="0" collapsed="false">
      <c r="A201" s="4" t="s">
        <v>344</v>
      </c>
      <c r="B201" s="17" t="n">
        <v>45703</v>
      </c>
      <c r="C201" s="4" t="n">
        <v>19</v>
      </c>
      <c r="D201" s="4" t="s">
        <v>108</v>
      </c>
      <c r="E201" s="4" t="s">
        <v>99</v>
      </c>
      <c r="F201" s="4" t="s">
        <v>100</v>
      </c>
      <c r="G201" s="4" t="n">
        <v>1</v>
      </c>
      <c r="H201" s="4" t="n">
        <v>110</v>
      </c>
      <c r="I201" s="18" t="n">
        <v>0.05</v>
      </c>
      <c r="J201" s="4" t="s">
        <v>67</v>
      </c>
      <c r="K201" s="4" t="s">
        <v>82</v>
      </c>
    </row>
    <row r="202" customFormat="false" ht="15" hidden="false" customHeight="false" outlineLevel="0" collapsed="false">
      <c r="A202" s="4" t="s">
        <v>345</v>
      </c>
      <c r="B202" s="17" t="n">
        <v>45704</v>
      </c>
      <c r="C202" s="4" t="n">
        <v>8</v>
      </c>
      <c r="D202" s="4" t="s">
        <v>64</v>
      </c>
      <c r="E202" s="4" t="s">
        <v>65</v>
      </c>
      <c r="F202" s="4" t="s">
        <v>66</v>
      </c>
      <c r="G202" s="4" t="n">
        <v>1</v>
      </c>
      <c r="H202" s="4" t="n">
        <v>120</v>
      </c>
      <c r="I202" s="18" t="n">
        <v>0</v>
      </c>
      <c r="J202" s="4" t="s">
        <v>81</v>
      </c>
      <c r="K202" s="4" t="s">
        <v>68</v>
      </c>
    </row>
    <row r="203" customFormat="false" ht="15" hidden="false" customHeight="false" outlineLevel="0" collapsed="false">
      <c r="A203" s="4" t="s">
        <v>346</v>
      </c>
      <c r="B203" s="17" t="n">
        <v>45704</v>
      </c>
      <c r="C203" s="4" t="n">
        <v>9</v>
      </c>
      <c r="D203" s="4" t="s">
        <v>70</v>
      </c>
      <c r="E203" s="4" t="s">
        <v>65</v>
      </c>
      <c r="F203" s="4" t="s">
        <v>94</v>
      </c>
      <c r="G203" s="4" t="n">
        <v>3</v>
      </c>
      <c r="H203" s="4" t="n">
        <v>150</v>
      </c>
      <c r="I203" s="18" t="n">
        <v>0.1</v>
      </c>
      <c r="J203" s="4" t="s">
        <v>81</v>
      </c>
      <c r="K203" s="4" t="s">
        <v>71</v>
      </c>
    </row>
    <row r="204" customFormat="false" ht="15" hidden="false" customHeight="false" outlineLevel="0" collapsed="false">
      <c r="A204" s="4" t="s">
        <v>347</v>
      </c>
      <c r="B204" s="17" t="n">
        <v>45704</v>
      </c>
      <c r="C204" s="4" t="n">
        <v>11</v>
      </c>
      <c r="D204" s="4" t="s">
        <v>70</v>
      </c>
      <c r="E204" s="4" t="s">
        <v>99</v>
      </c>
      <c r="F204" s="4" t="s">
        <v>102</v>
      </c>
      <c r="G204" s="4" t="n">
        <v>2</v>
      </c>
      <c r="H204" s="4" t="n">
        <v>140</v>
      </c>
      <c r="I204" s="18" t="n">
        <v>0.15</v>
      </c>
      <c r="J204" s="4" t="s">
        <v>67</v>
      </c>
      <c r="K204" s="4" t="s">
        <v>82</v>
      </c>
    </row>
    <row r="205" customFormat="false" ht="15" hidden="false" customHeight="false" outlineLevel="0" collapsed="false">
      <c r="A205" s="4" t="s">
        <v>348</v>
      </c>
      <c r="B205" s="17" t="n">
        <v>45704</v>
      </c>
      <c r="C205" s="4" t="n">
        <v>13</v>
      </c>
      <c r="D205" s="4" t="s">
        <v>70</v>
      </c>
      <c r="E205" s="4" t="s">
        <v>65</v>
      </c>
      <c r="F205" s="4" t="s">
        <v>94</v>
      </c>
      <c r="G205" s="4" t="n">
        <v>1</v>
      </c>
      <c r="H205" s="4" t="n">
        <v>150</v>
      </c>
      <c r="I205" s="18" t="n">
        <v>0.05</v>
      </c>
      <c r="J205" s="4" t="s">
        <v>81</v>
      </c>
      <c r="K205" s="4" t="s">
        <v>82</v>
      </c>
    </row>
    <row r="206" customFormat="false" ht="15" hidden="false" customHeight="false" outlineLevel="0" collapsed="false">
      <c r="A206" s="4" t="s">
        <v>349</v>
      </c>
      <c r="B206" s="17" t="n">
        <v>45704</v>
      </c>
      <c r="C206" s="4" t="n">
        <v>15</v>
      </c>
      <c r="D206" s="4" t="s">
        <v>70</v>
      </c>
      <c r="E206" s="4" t="s">
        <v>350</v>
      </c>
      <c r="F206" s="4" t="s">
        <v>75</v>
      </c>
      <c r="G206" s="4" t="n">
        <v>1</v>
      </c>
      <c r="H206" s="4" t="n">
        <v>220</v>
      </c>
      <c r="I206" s="18" t="n">
        <v>0</v>
      </c>
      <c r="J206" s="4" t="s">
        <v>67</v>
      </c>
      <c r="K206" s="4" t="s">
        <v>68</v>
      </c>
    </row>
    <row r="207" customFormat="false" ht="15" hidden="false" customHeight="false" outlineLevel="0" collapsed="false">
      <c r="A207" s="4" t="s">
        <v>351</v>
      </c>
      <c r="B207" s="17" t="n">
        <v>45704</v>
      </c>
      <c r="C207" s="4" t="n">
        <v>15</v>
      </c>
      <c r="D207" s="4" t="s">
        <v>64</v>
      </c>
      <c r="E207" s="4" t="s">
        <v>99</v>
      </c>
      <c r="F207" s="4" t="s">
        <v>133</v>
      </c>
      <c r="G207" s="4" t="n">
        <v>1</v>
      </c>
      <c r="H207" s="4" t="n">
        <v>90</v>
      </c>
      <c r="I207" s="18" t="n">
        <v>0</v>
      </c>
      <c r="J207" s="4" t="s">
        <v>67</v>
      </c>
      <c r="K207" s="4" t="s">
        <v>77</v>
      </c>
    </row>
    <row r="208" customFormat="false" ht="15" hidden="false" customHeight="false" outlineLevel="0" collapsed="false">
      <c r="A208" s="4" t="s">
        <v>352</v>
      </c>
      <c r="B208" s="17" t="n">
        <v>45705</v>
      </c>
      <c r="C208" s="4" t="n">
        <v>7</v>
      </c>
      <c r="D208" s="4" t="s">
        <v>73</v>
      </c>
      <c r="E208" s="4" t="s">
        <v>79</v>
      </c>
      <c r="F208" s="4" t="s">
        <v>135</v>
      </c>
      <c r="G208" s="4" t="n">
        <v>1</v>
      </c>
      <c r="H208" s="4" t="n">
        <v>130</v>
      </c>
      <c r="I208" s="18" t="n">
        <v>0</v>
      </c>
      <c r="J208" s="4" t="s">
        <v>67</v>
      </c>
      <c r="K208" s="4" t="s">
        <v>68</v>
      </c>
    </row>
    <row r="209" customFormat="false" ht="15" hidden="false" customHeight="false" outlineLevel="0" collapsed="false">
      <c r="A209" s="4" t="s">
        <v>353</v>
      </c>
      <c r="B209" s="17" t="n">
        <v>45705</v>
      </c>
      <c r="C209" s="4" t="n">
        <v>8</v>
      </c>
      <c r="D209" s="4" t="s">
        <v>98</v>
      </c>
      <c r="E209" s="4" t="s">
        <v>99</v>
      </c>
      <c r="F209" s="4" t="s">
        <v>102</v>
      </c>
      <c r="G209" s="4" t="n">
        <v>1</v>
      </c>
      <c r="H209" s="4" t="n">
        <v>140</v>
      </c>
      <c r="I209" s="18" t="n">
        <v>0.1</v>
      </c>
      <c r="J209" s="4" t="s">
        <v>81</v>
      </c>
      <c r="K209" s="4" t="s">
        <v>71</v>
      </c>
    </row>
    <row r="210" customFormat="false" ht="15" hidden="false" customHeight="false" outlineLevel="0" collapsed="false">
      <c r="A210" s="4" t="s">
        <v>354</v>
      </c>
      <c r="B210" s="17" t="n">
        <v>45705</v>
      </c>
      <c r="C210" s="4" t="n">
        <v>13</v>
      </c>
      <c r="D210" s="4" t="s">
        <v>70</v>
      </c>
      <c r="E210" s="4" t="s">
        <v>350</v>
      </c>
      <c r="F210" s="4" t="s">
        <v>91</v>
      </c>
      <c r="G210" s="4" t="n">
        <v>1</v>
      </c>
      <c r="H210" s="4" t="n">
        <v>200</v>
      </c>
      <c r="I210" s="18" t="n">
        <v>0</v>
      </c>
      <c r="J210" s="4" t="s">
        <v>67</v>
      </c>
      <c r="K210" s="4" t="s">
        <v>68</v>
      </c>
    </row>
    <row r="211" customFormat="false" ht="15" hidden="false" customHeight="false" outlineLevel="0" collapsed="false">
      <c r="A211" s="4" t="s">
        <v>355</v>
      </c>
      <c r="B211" s="17" t="n">
        <v>45705</v>
      </c>
      <c r="C211" s="4" t="n">
        <v>13</v>
      </c>
      <c r="D211" s="4" t="s">
        <v>64</v>
      </c>
      <c r="E211" s="4" t="s">
        <v>74</v>
      </c>
      <c r="F211" s="4" t="s">
        <v>75</v>
      </c>
      <c r="G211" s="4" t="n">
        <v>1</v>
      </c>
      <c r="H211" s="4" t="n">
        <v>220</v>
      </c>
      <c r="I211" s="18" t="n">
        <v>0.05</v>
      </c>
      <c r="K211" s="4" t="s">
        <v>82</v>
      </c>
    </row>
    <row r="212" customFormat="false" ht="15" hidden="false" customHeight="false" outlineLevel="0" collapsed="false">
      <c r="A212" s="4" t="s">
        <v>356</v>
      </c>
      <c r="B212" s="17" t="n">
        <v>45705</v>
      </c>
      <c r="C212" s="4" t="n">
        <v>15</v>
      </c>
      <c r="D212" s="4" t="s">
        <v>70</v>
      </c>
      <c r="E212" s="4" t="s">
        <v>84</v>
      </c>
      <c r="F212" s="4" t="s">
        <v>117</v>
      </c>
      <c r="G212" s="4" t="n">
        <v>1</v>
      </c>
      <c r="H212" s="4" t="n">
        <v>95</v>
      </c>
      <c r="I212" s="18" t="n">
        <v>0.15</v>
      </c>
      <c r="J212" s="4" t="s">
        <v>76</v>
      </c>
      <c r="K212" s="4" t="s">
        <v>68</v>
      </c>
    </row>
    <row r="213" customFormat="false" ht="15" hidden="false" customHeight="false" outlineLevel="0" collapsed="false">
      <c r="A213" s="4" t="s">
        <v>357</v>
      </c>
      <c r="B213" s="4" t="s">
        <v>358</v>
      </c>
      <c r="C213" s="4" t="n">
        <v>20</v>
      </c>
      <c r="D213" s="4" t="s">
        <v>73</v>
      </c>
      <c r="E213" s="4" t="s">
        <v>99</v>
      </c>
      <c r="F213" s="4" t="s">
        <v>102</v>
      </c>
      <c r="G213" s="4" t="n">
        <v>4</v>
      </c>
      <c r="H213" s="4" t="n">
        <v>140</v>
      </c>
      <c r="I213" s="18" t="n">
        <v>0.05</v>
      </c>
      <c r="J213" s="4" t="s">
        <v>76</v>
      </c>
      <c r="K213" s="4" t="s">
        <v>82</v>
      </c>
    </row>
    <row r="214" customFormat="false" ht="15" hidden="false" customHeight="false" outlineLevel="0" collapsed="false">
      <c r="A214" s="4" t="s">
        <v>359</v>
      </c>
      <c r="B214" s="17" t="n">
        <v>45706</v>
      </c>
      <c r="C214" s="4" t="n">
        <v>8</v>
      </c>
      <c r="D214" s="4" t="s">
        <v>64</v>
      </c>
      <c r="E214" s="4" t="s">
        <v>74</v>
      </c>
      <c r="F214" s="4" t="s">
        <v>75</v>
      </c>
      <c r="G214" s="4" t="n">
        <v>1</v>
      </c>
      <c r="H214" s="4" t="n">
        <v>220</v>
      </c>
      <c r="J214" s="4" t="s">
        <v>67</v>
      </c>
      <c r="K214" s="4" t="s">
        <v>77</v>
      </c>
    </row>
    <row r="215" customFormat="false" ht="15" hidden="false" customHeight="false" outlineLevel="0" collapsed="false">
      <c r="A215" s="4" t="s">
        <v>360</v>
      </c>
      <c r="B215" s="17" t="n">
        <v>45706</v>
      </c>
      <c r="C215" s="4" t="n">
        <v>10</v>
      </c>
      <c r="D215" s="4" t="s">
        <v>70</v>
      </c>
      <c r="E215" s="4" t="s">
        <v>65</v>
      </c>
      <c r="F215" s="4" t="s">
        <v>87</v>
      </c>
      <c r="G215" s="4" t="n">
        <v>1</v>
      </c>
      <c r="H215" s="4" t="n">
        <v>160</v>
      </c>
      <c r="I215" s="18" t="n">
        <v>0</v>
      </c>
      <c r="J215" s="4" t="s">
        <v>76</v>
      </c>
      <c r="K215" s="4" t="s">
        <v>77</v>
      </c>
    </row>
    <row r="216" customFormat="false" ht="15" hidden="false" customHeight="false" outlineLevel="0" collapsed="false">
      <c r="A216" s="4" t="s">
        <v>361</v>
      </c>
      <c r="B216" s="4" t="s">
        <v>362</v>
      </c>
      <c r="C216" s="4" t="n">
        <v>13</v>
      </c>
      <c r="D216" s="4" t="s">
        <v>70</v>
      </c>
      <c r="E216" s="4" t="s">
        <v>79</v>
      </c>
      <c r="F216" s="4" t="s">
        <v>80</v>
      </c>
      <c r="G216" s="4" t="n">
        <v>1</v>
      </c>
      <c r="H216" s="4" t="n">
        <v>160</v>
      </c>
      <c r="I216" s="18" t="n">
        <v>0.1</v>
      </c>
      <c r="J216" s="4" t="s">
        <v>67</v>
      </c>
      <c r="K216" s="4" t="s">
        <v>71</v>
      </c>
    </row>
    <row r="217" customFormat="false" ht="15" hidden="false" customHeight="false" outlineLevel="0" collapsed="false">
      <c r="A217" s="4" t="s">
        <v>363</v>
      </c>
      <c r="B217" s="17" t="n">
        <v>45706</v>
      </c>
      <c r="C217" s="4" t="n">
        <v>15</v>
      </c>
      <c r="D217" s="4" t="s">
        <v>70</v>
      </c>
      <c r="E217" s="4" t="s">
        <v>364</v>
      </c>
      <c r="F217" s="4" t="s">
        <v>117</v>
      </c>
      <c r="G217" s="4" t="n">
        <v>2</v>
      </c>
      <c r="H217" s="4" t="n">
        <v>95</v>
      </c>
      <c r="I217" s="18" t="n">
        <v>0</v>
      </c>
      <c r="J217" s="4" t="s">
        <v>81</v>
      </c>
      <c r="K217" s="4" t="s">
        <v>77</v>
      </c>
    </row>
    <row r="218" customFormat="false" ht="15" hidden="false" customHeight="false" outlineLevel="0" collapsed="false">
      <c r="A218" s="4" t="s">
        <v>365</v>
      </c>
      <c r="B218" s="17" t="n">
        <v>45706</v>
      </c>
      <c r="C218" s="4" t="n">
        <v>15</v>
      </c>
      <c r="D218" s="4" t="s">
        <v>119</v>
      </c>
      <c r="E218" s="4" t="s">
        <v>65</v>
      </c>
      <c r="F218" s="4" t="s">
        <v>121</v>
      </c>
      <c r="G218" s="4" t="n">
        <v>2</v>
      </c>
      <c r="H218" s="4" t="n">
        <v>170</v>
      </c>
      <c r="I218" s="18" t="n">
        <v>0.05</v>
      </c>
      <c r="J218" s="4" t="s">
        <v>67</v>
      </c>
      <c r="K218" s="4" t="s">
        <v>82</v>
      </c>
    </row>
    <row r="219" customFormat="false" ht="15" hidden="false" customHeight="false" outlineLevel="0" collapsed="false">
      <c r="A219" s="4" t="s">
        <v>366</v>
      </c>
      <c r="B219" s="17" t="n">
        <v>45706</v>
      </c>
      <c r="C219" s="4" t="n">
        <v>17</v>
      </c>
      <c r="D219" s="4" t="s">
        <v>73</v>
      </c>
      <c r="E219" s="4" t="s">
        <v>99</v>
      </c>
      <c r="F219" s="4" t="s">
        <v>102</v>
      </c>
      <c r="G219" s="4" t="n">
        <v>4</v>
      </c>
      <c r="H219" s="4" t="n">
        <v>140</v>
      </c>
      <c r="I219" s="18" t="n">
        <v>0.05</v>
      </c>
      <c r="J219" s="4" t="s">
        <v>81</v>
      </c>
      <c r="K219" s="4" t="s">
        <v>82</v>
      </c>
    </row>
    <row r="220" customFormat="false" ht="15" hidden="false" customHeight="false" outlineLevel="0" collapsed="false">
      <c r="A220" s="4" t="s">
        <v>367</v>
      </c>
      <c r="B220" s="17" t="n">
        <v>45707</v>
      </c>
      <c r="C220" s="4" t="n">
        <v>16</v>
      </c>
      <c r="D220" s="4" t="s">
        <v>64</v>
      </c>
      <c r="E220" s="4" t="s">
        <v>79</v>
      </c>
      <c r="F220" s="4" t="s">
        <v>80</v>
      </c>
      <c r="G220" s="4" t="n">
        <v>1</v>
      </c>
      <c r="H220" s="4" t="n">
        <v>160</v>
      </c>
      <c r="I220" s="18" t="n">
        <v>0</v>
      </c>
      <c r="J220" s="4" t="s">
        <v>76</v>
      </c>
      <c r="K220" s="4" t="s">
        <v>68</v>
      </c>
    </row>
    <row r="221" customFormat="false" ht="15" hidden="false" customHeight="false" outlineLevel="0" collapsed="false">
      <c r="A221" s="4" t="s">
        <v>368</v>
      </c>
      <c r="B221" s="17" t="n">
        <v>45708</v>
      </c>
      <c r="C221" s="4" t="n">
        <v>8</v>
      </c>
      <c r="D221" s="4" t="s">
        <v>70</v>
      </c>
      <c r="E221" s="4" t="s">
        <v>99</v>
      </c>
      <c r="F221" s="4" t="s">
        <v>102</v>
      </c>
      <c r="G221" s="4" t="n">
        <v>3</v>
      </c>
      <c r="H221" s="4" t="n">
        <v>140</v>
      </c>
      <c r="I221" s="18" t="n">
        <v>0.05</v>
      </c>
      <c r="J221" s="4" t="s">
        <v>81</v>
      </c>
      <c r="K221" s="4" t="s">
        <v>82</v>
      </c>
    </row>
    <row r="222" customFormat="false" ht="15" hidden="false" customHeight="false" outlineLevel="0" collapsed="false">
      <c r="A222" s="4" t="s">
        <v>369</v>
      </c>
      <c r="B222" s="17" t="n">
        <v>45708</v>
      </c>
      <c r="C222" s="4" t="n">
        <v>8</v>
      </c>
      <c r="D222" s="4" t="s">
        <v>70</v>
      </c>
      <c r="E222" s="4" t="s">
        <v>65</v>
      </c>
      <c r="F222" s="4" t="s">
        <v>87</v>
      </c>
      <c r="G222" s="4" t="n">
        <v>2</v>
      </c>
      <c r="H222" s="4" t="n">
        <v>160</v>
      </c>
      <c r="I222" s="18" t="n">
        <v>0.1</v>
      </c>
      <c r="J222" s="4" t="s">
        <v>88</v>
      </c>
      <c r="K222" s="4" t="s">
        <v>71</v>
      </c>
    </row>
    <row r="223" customFormat="false" ht="15" hidden="false" customHeight="false" outlineLevel="0" collapsed="false">
      <c r="A223" s="4" t="s">
        <v>370</v>
      </c>
      <c r="B223" s="4" t="s">
        <v>371</v>
      </c>
      <c r="C223" s="4" t="n">
        <v>15</v>
      </c>
      <c r="D223" s="4" t="s">
        <v>70</v>
      </c>
      <c r="E223" s="4" t="s">
        <v>302</v>
      </c>
      <c r="F223" s="4" t="s">
        <v>109</v>
      </c>
      <c r="G223" s="4" t="n">
        <v>1</v>
      </c>
      <c r="H223" s="4" t="n">
        <v>130</v>
      </c>
      <c r="I223" s="18" t="n">
        <v>0</v>
      </c>
      <c r="J223" s="4" t="s">
        <v>88</v>
      </c>
      <c r="K223" s="4" t="s">
        <v>68</v>
      </c>
    </row>
    <row r="224" customFormat="false" ht="15" hidden="false" customHeight="false" outlineLevel="0" collapsed="false">
      <c r="A224" s="4" t="s">
        <v>372</v>
      </c>
      <c r="B224" s="17" t="n">
        <v>45708</v>
      </c>
      <c r="C224" s="4" t="n">
        <v>17</v>
      </c>
      <c r="D224" s="4" t="s">
        <v>64</v>
      </c>
      <c r="E224" s="4" t="s">
        <v>373</v>
      </c>
      <c r="F224" s="4" t="s">
        <v>109</v>
      </c>
      <c r="G224" s="4" t="n">
        <v>1</v>
      </c>
      <c r="H224" s="4" t="n">
        <v>130</v>
      </c>
      <c r="I224" s="18" t="n">
        <v>0</v>
      </c>
      <c r="J224" s="4" t="s">
        <v>103</v>
      </c>
      <c r="K224" s="4" t="s">
        <v>77</v>
      </c>
    </row>
    <row r="225" customFormat="false" ht="15" hidden="false" customHeight="false" outlineLevel="0" collapsed="false">
      <c r="A225" s="4" t="s">
        <v>374</v>
      </c>
      <c r="B225" s="17" t="n">
        <v>45709</v>
      </c>
      <c r="C225" s="4" t="n">
        <v>7</v>
      </c>
      <c r="D225" s="4" t="s">
        <v>70</v>
      </c>
      <c r="E225" s="4" t="s">
        <v>74</v>
      </c>
      <c r="F225" s="4" t="s">
        <v>75</v>
      </c>
      <c r="G225" s="4" t="n">
        <v>1</v>
      </c>
      <c r="H225" s="4" t="n">
        <v>220</v>
      </c>
      <c r="I225" s="18" t="n">
        <v>0</v>
      </c>
      <c r="J225" s="4" t="s">
        <v>88</v>
      </c>
      <c r="K225" s="4" t="s">
        <v>68</v>
      </c>
    </row>
    <row r="226" customFormat="false" ht="15" hidden="false" customHeight="false" outlineLevel="0" collapsed="false">
      <c r="A226" s="4" t="s">
        <v>375</v>
      </c>
      <c r="B226" s="17" t="n">
        <v>45709</v>
      </c>
      <c r="C226" s="4" t="n">
        <v>8</v>
      </c>
      <c r="D226" s="4" t="s">
        <v>172</v>
      </c>
      <c r="E226" s="4" t="s">
        <v>302</v>
      </c>
      <c r="F226" s="4" t="s">
        <v>133</v>
      </c>
      <c r="G226" s="4" t="n">
        <v>1</v>
      </c>
      <c r="H226" s="4" t="n">
        <v>90</v>
      </c>
      <c r="I226" s="18" t="n">
        <v>0.2</v>
      </c>
      <c r="J226" s="4" t="s">
        <v>81</v>
      </c>
      <c r="K226" s="4" t="s">
        <v>68</v>
      </c>
    </row>
    <row r="227" customFormat="false" ht="15" hidden="false" customHeight="false" outlineLevel="0" collapsed="false">
      <c r="A227" s="4" t="s">
        <v>376</v>
      </c>
      <c r="B227" s="17" t="n">
        <v>45709</v>
      </c>
      <c r="C227" s="4" t="n">
        <v>9</v>
      </c>
      <c r="D227" s="4" t="s">
        <v>70</v>
      </c>
      <c r="E227" s="4" t="s">
        <v>79</v>
      </c>
      <c r="F227" s="4" t="s">
        <v>80</v>
      </c>
      <c r="G227" s="4" t="n">
        <v>1</v>
      </c>
      <c r="H227" s="4" t="n">
        <v>160</v>
      </c>
      <c r="I227" s="18" t="n">
        <v>0</v>
      </c>
      <c r="J227" s="4" t="s">
        <v>67</v>
      </c>
      <c r="K227" s="4" t="s">
        <v>68</v>
      </c>
    </row>
    <row r="228" customFormat="false" ht="15" hidden="false" customHeight="false" outlineLevel="0" collapsed="false">
      <c r="A228" s="4" t="s">
        <v>377</v>
      </c>
      <c r="B228" s="17" t="n">
        <v>45709</v>
      </c>
      <c r="C228" s="4" t="n">
        <v>11</v>
      </c>
      <c r="D228" s="4" t="s">
        <v>64</v>
      </c>
      <c r="E228" s="4" t="s">
        <v>65</v>
      </c>
      <c r="F228" s="4" t="s">
        <v>236</v>
      </c>
      <c r="G228" s="4" t="n">
        <v>4</v>
      </c>
      <c r="H228" s="4" t="n">
        <v>150</v>
      </c>
      <c r="I228" s="18" t="n">
        <v>0</v>
      </c>
      <c r="J228" s="4" t="s">
        <v>81</v>
      </c>
      <c r="K228" s="4" t="s">
        <v>68</v>
      </c>
    </row>
    <row r="229" customFormat="false" ht="15" hidden="false" customHeight="false" outlineLevel="0" collapsed="false">
      <c r="A229" s="4" t="s">
        <v>378</v>
      </c>
      <c r="B229" s="17" t="n">
        <v>45710</v>
      </c>
      <c r="C229" s="4" t="n">
        <v>8</v>
      </c>
      <c r="D229" s="4" t="s">
        <v>98</v>
      </c>
      <c r="E229" s="4" t="s">
        <v>79</v>
      </c>
      <c r="F229" s="4" t="s">
        <v>80</v>
      </c>
      <c r="G229" s="4" t="n">
        <v>1</v>
      </c>
      <c r="H229" s="4" t="n">
        <v>160</v>
      </c>
      <c r="I229" s="18" t="n">
        <v>0.1</v>
      </c>
      <c r="J229" s="4" t="s">
        <v>112</v>
      </c>
      <c r="K229" s="4" t="s">
        <v>71</v>
      </c>
    </row>
    <row r="230" customFormat="false" ht="15" hidden="false" customHeight="false" outlineLevel="0" collapsed="false">
      <c r="A230" s="4" t="s">
        <v>379</v>
      </c>
      <c r="B230" s="17" t="n">
        <v>45710</v>
      </c>
      <c r="C230" s="4" t="n">
        <v>12</v>
      </c>
      <c r="D230" s="4" t="s">
        <v>70</v>
      </c>
      <c r="E230" s="4" t="s">
        <v>74</v>
      </c>
      <c r="F230" s="4" t="s">
        <v>91</v>
      </c>
      <c r="G230" s="4" t="n">
        <v>1</v>
      </c>
      <c r="H230" s="4" t="n">
        <v>200</v>
      </c>
      <c r="I230" s="18" t="n">
        <v>0</v>
      </c>
      <c r="J230" s="4" t="s">
        <v>67</v>
      </c>
      <c r="K230" s="4" t="s">
        <v>68</v>
      </c>
    </row>
    <row r="231" customFormat="false" ht="15" hidden="false" customHeight="false" outlineLevel="0" collapsed="false">
      <c r="A231" s="4" t="s">
        <v>380</v>
      </c>
      <c r="B231" s="17" t="n">
        <v>45710</v>
      </c>
      <c r="C231" s="4" t="n">
        <v>12</v>
      </c>
      <c r="D231" s="4" t="s">
        <v>98</v>
      </c>
      <c r="E231" s="4" t="s">
        <v>79</v>
      </c>
      <c r="F231" s="4" t="s">
        <v>148</v>
      </c>
      <c r="G231" s="4" t="n">
        <v>1</v>
      </c>
      <c r="H231" s="4" t="n">
        <v>120</v>
      </c>
      <c r="I231" s="18" t="n">
        <v>0</v>
      </c>
      <c r="J231" s="4" t="s">
        <v>81</v>
      </c>
      <c r="K231" s="4" t="s">
        <v>68</v>
      </c>
    </row>
    <row r="232" customFormat="false" ht="15" hidden="false" customHeight="false" outlineLevel="0" collapsed="false">
      <c r="A232" s="4" t="s">
        <v>381</v>
      </c>
      <c r="B232" s="17" t="n">
        <v>45710</v>
      </c>
      <c r="C232" s="4" t="n">
        <v>13</v>
      </c>
      <c r="D232" s="4" t="s">
        <v>73</v>
      </c>
      <c r="E232" s="4" t="s">
        <v>74</v>
      </c>
      <c r="F232" s="4" t="s">
        <v>139</v>
      </c>
      <c r="G232" s="4" t="n">
        <v>2</v>
      </c>
      <c r="H232" s="4" t="n">
        <v>260</v>
      </c>
      <c r="I232" s="18" t="n">
        <v>0</v>
      </c>
      <c r="J232" s="4" t="s">
        <v>81</v>
      </c>
      <c r="K232" s="4" t="s">
        <v>77</v>
      </c>
    </row>
    <row r="233" customFormat="false" ht="15" hidden="false" customHeight="false" outlineLevel="0" collapsed="false">
      <c r="A233" s="4" t="s">
        <v>382</v>
      </c>
      <c r="B233" s="17" t="n">
        <v>45710</v>
      </c>
      <c r="C233" s="4" t="n">
        <v>13</v>
      </c>
      <c r="D233" s="4" t="s">
        <v>73</v>
      </c>
      <c r="E233" s="4" t="s">
        <v>74</v>
      </c>
      <c r="F233" s="4" t="s">
        <v>139</v>
      </c>
      <c r="G233" s="4" t="n">
        <v>1</v>
      </c>
      <c r="H233" s="4" t="n">
        <v>260</v>
      </c>
      <c r="I233" s="18" t="n">
        <v>0.05</v>
      </c>
      <c r="J233" s="4" t="s">
        <v>67</v>
      </c>
      <c r="K233" s="4" t="s">
        <v>82</v>
      </c>
    </row>
    <row r="234" customFormat="false" ht="15" hidden="false" customHeight="false" outlineLevel="0" collapsed="false">
      <c r="A234" s="4" t="s">
        <v>382</v>
      </c>
      <c r="B234" s="17" t="n">
        <v>45710</v>
      </c>
      <c r="C234" s="4" t="n">
        <v>13</v>
      </c>
      <c r="D234" s="4" t="s">
        <v>73</v>
      </c>
      <c r="E234" s="4" t="s">
        <v>74</v>
      </c>
      <c r="F234" s="4" t="s">
        <v>139</v>
      </c>
      <c r="G234" s="4" t="n">
        <v>1</v>
      </c>
      <c r="H234" s="4" t="n">
        <v>260</v>
      </c>
      <c r="I234" s="18" t="n">
        <v>0.05</v>
      </c>
      <c r="J234" s="4" t="s">
        <v>67</v>
      </c>
      <c r="K234" s="4" t="s">
        <v>82</v>
      </c>
    </row>
    <row r="235" customFormat="false" ht="15" hidden="false" customHeight="false" outlineLevel="0" collapsed="false">
      <c r="A235" s="4" t="s">
        <v>383</v>
      </c>
      <c r="B235" s="17" t="n">
        <v>45711</v>
      </c>
      <c r="C235" s="4" t="n">
        <v>15</v>
      </c>
      <c r="D235" s="4" t="s">
        <v>70</v>
      </c>
      <c r="E235" s="4" t="s">
        <v>99</v>
      </c>
      <c r="F235" s="4" t="s">
        <v>109</v>
      </c>
      <c r="G235" s="4" t="n">
        <v>2</v>
      </c>
      <c r="H235" s="4" t="n">
        <v>130</v>
      </c>
      <c r="I235" s="18" t="n">
        <v>0.05</v>
      </c>
      <c r="J235" s="4" t="s">
        <v>67</v>
      </c>
      <c r="K235" s="4" t="s">
        <v>82</v>
      </c>
    </row>
    <row r="236" customFormat="false" ht="15" hidden="false" customHeight="false" outlineLevel="0" collapsed="false">
      <c r="A236" s="4" t="s">
        <v>384</v>
      </c>
      <c r="B236" s="17" t="n">
        <v>45711</v>
      </c>
      <c r="C236" s="4" t="n">
        <v>15</v>
      </c>
      <c r="D236" s="4" t="s">
        <v>70</v>
      </c>
      <c r="E236" s="4" t="s">
        <v>84</v>
      </c>
      <c r="F236" s="4" t="s">
        <v>117</v>
      </c>
      <c r="G236" s="4" t="n">
        <v>1</v>
      </c>
      <c r="H236" s="4" t="n">
        <v>95</v>
      </c>
      <c r="I236" s="18" t="n">
        <v>0.2</v>
      </c>
      <c r="J236" s="4" t="s">
        <v>67</v>
      </c>
      <c r="K236" s="4" t="s">
        <v>77</v>
      </c>
    </row>
    <row r="237" customFormat="false" ht="15" hidden="false" customHeight="false" outlineLevel="0" collapsed="false">
      <c r="A237" s="4" t="s">
        <v>385</v>
      </c>
      <c r="B237" s="17" t="n">
        <v>45711</v>
      </c>
      <c r="C237" s="4" t="n">
        <v>18</v>
      </c>
      <c r="D237" s="4" t="s">
        <v>341</v>
      </c>
      <c r="E237" s="4" t="s">
        <v>99</v>
      </c>
      <c r="F237" s="4" t="s">
        <v>102</v>
      </c>
      <c r="G237" s="4" t="n">
        <v>1</v>
      </c>
      <c r="H237" s="4" t="n">
        <v>140</v>
      </c>
      <c r="I237" s="18" t="n">
        <v>0</v>
      </c>
      <c r="J237" s="4" t="s">
        <v>112</v>
      </c>
      <c r="K237" s="4" t="s">
        <v>77</v>
      </c>
    </row>
    <row r="238" customFormat="false" ht="15" hidden="false" customHeight="false" outlineLevel="0" collapsed="false">
      <c r="A238" s="4" t="s">
        <v>386</v>
      </c>
      <c r="B238" s="17" t="n">
        <v>45712</v>
      </c>
      <c r="C238" s="4" t="n">
        <v>8</v>
      </c>
      <c r="D238" s="4" t="s">
        <v>64</v>
      </c>
      <c r="E238" s="4" t="s">
        <v>65</v>
      </c>
      <c r="F238" s="4" t="s">
        <v>66</v>
      </c>
      <c r="G238" s="4" t="n">
        <v>1</v>
      </c>
      <c r="H238" s="4" t="n">
        <v>120</v>
      </c>
      <c r="I238" s="18" t="n">
        <v>0.05</v>
      </c>
      <c r="J238" s="4" t="s">
        <v>81</v>
      </c>
      <c r="K238" s="4" t="s">
        <v>82</v>
      </c>
    </row>
    <row r="239" customFormat="false" ht="15" hidden="false" customHeight="false" outlineLevel="0" collapsed="false">
      <c r="A239" s="4" t="s">
        <v>387</v>
      </c>
      <c r="B239" s="17" t="n">
        <v>45712</v>
      </c>
      <c r="C239" s="4" t="n">
        <v>9</v>
      </c>
      <c r="D239" s="4" t="s">
        <v>64</v>
      </c>
      <c r="E239" s="4" t="s">
        <v>99</v>
      </c>
      <c r="F239" s="4" t="s">
        <v>100</v>
      </c>
      <c r="G239" s="4" t="n">
        <v>3</v>
      </c>
      <c r="H239" s="4" t="n">
        <v>110</v>
      </c>
      <c r="I239" s="18" t="n">
        <v>0</v>
      </c>
      <c r="J239" s="4" t="s">
        <v>81</v>
      </c>
      <c r="K239" s="4" t="s">
        <v>77</v>
      </c>
    </row>
    <row r="240" customFormat="false" ht="15" hidden="false" customHeight="false" outlineLevel="0" collapsed="false">
      <c r="A240" s="4" t="s">
        <v>388</v>
      </c>
      <c r="B240" s="17" t="n">
        <v>45712</v>
      </c>
      <c r="C240" s="4" t="n">
        <v>10</v>
      </c>
      <c r="D240" s="4" t="s">
        <v>187</v>
      </c>
      <c r="E240" s="4" t="s">
        <v>164</v>
      </c>
      <c r="F240" s="4" t="s">
        <v>102</v>
      </c>
      <c r="G240" s="4" t="n">
        <v>1</v>
      </c>
      <c r="H240" s="4" t="n">
        <v>140</v>
      </c>
      <c r="I240" s="18" t="n">
        <v>0</v>
      </c>
      <c r="J240" s="4" t="s">
        <v>112</v>
      </c>
      <c r="K240" s="4" t="s">
        <v>68</v>
      </c>
    </row>
    <row r="241" customFormat="false" ht="15" hidden="false" customHeight="false" outlineLevel="0" collapsed="false">
      <c r="A241" s="4" t="s">
        <v>389</v>
      </c>
      <c r="B241" s="17" t="n">
        <v>45712</v>
      </c>
      <c r="C241" s="4" t="n">
        <v>15</v>
      </c>
      <c r="D241" s="4" t="s">
        <v>70</v>
      </c>
      <c r="E241" s="4" t="s">
        <v>74</v>
      </c>
      <c r="F241" s="4" t="s">
        <v>91</v>
      </c>
      <c r="G241" s="4" t="n">
        <v>1</v>
      </c>
      <c r="H241" s="4" t="n">
        <v>200</v>
      </c>
      <c r="I241" s="18" t="n">
        <v>0.05</v>
      </c>
      <c r="J241" s="4" t="s">
        <v>76</v>
      </c>
      <c r="K241" s="4" t="s">
        <v>82</v>
      </c>
    </row>
    <row r="242" customFormat="false" ht="15" hidden="false" customHeight="false" outlineLevel="0" collapsed="false">
      <c r="A242" s="4" t="s">
        <v>390</v>
      </c>
      <c r="B242" s="17" t="n">
        <v>45712</v>
      </c>
      <c r="C242" s="4" t="n">
        <v>16</v>
      </c>
      <c r="D242" s="4" t="s">
        <v>64</v>
      </c>
      <c r="E242" s="4" t="s">
        <v>99</v>
      </c>
      <c r="F242" s="4" t="s">
        <v>102</v>
      </c>
      <c r="G242" s="4" t="n">
        <v>3</v>
      </c>
      <c r="H242" s="4" t="n">
        <v>140</v>
      </c>
      <c r="I242" s="18" t="n">
        <v>0</v>
      </c>
      <c r="J242" s="4" t="s">
        <v>112</v>
      </c>
      <c r="K242" s="4" t="s">
        <v>68</v>
      </c>
    </row>
    <row r="243" customFormat="false" ht="15" hidden="false" customHeight="false" outlineLevel="0" collapsed="false">
      <c r="A243" s="4" t="s">
        <v>391</v>
      </c>
      <c r="B243" s="17" t="n">
        <v>45712</v>
      </c>
      <c r="C243" s="4" t="n">
        <v>17</v>
      </c>
      <c r="D243" s="4" t="s">
        <v>73</v>
      </c>
      <c r="E243" s="4" t="s">
        <v>84</v>
      </c>
      <c r="F243" s="4" t="s">
        <v>117</v>
      </c>
      <c r="G243" s="4" t="n">
        <v>4</v>
      </c>
      <c r="H243" s="4" t="n">
        <v>95</v>
      </c>
      <c r="I243" s="18" t="n">
        <v>0.1</v>
      </c>
      <c r="J243" s="4" t="s">
        <v>112</v>
      </c>
      <c r="K243" s="4" t="s">
        <v>71</v>
      </c>
    </row>
    <row r="244" customFormat="false" ht="15" hidden="false" customHeight="false" outlineLevel="0" collapsed="false">
      <c r="A244" s="4" t="s">
        <v>392</v>
      </c>
      <c r="B244" s="17" t="n">
        <v>45712</v>
      </c>
      <c r="C244" s="4" t="n">
        <v>18</v>
      </c>
      <c r="D244" s="4" t="s">
        <v>64</v>
      </c>
      <c r="E244" s="4" t="s">
        <v>65</v>
      </c>
      <c r="F244" s="4" t="s">
        <v>94</v>
      </c>
      <c r="G244" s="4" t="n">
        <v>1</v>
      </c>
      <c r="H244" s="4" t="n">
        <v>150</v>
      </c>
      <c r="I244" s="18" t="n">
        <v>0.05</v>
      </c>
      <c r="J244" s="4" t="s">
        <v>81</v>
      </c>
      <c r="K244" s="4" t="s">
        <v>82</v>
      </c>
    </row>
    <row r="245" customFormat="false" ht="15" hidden="false" customHeight="false" outlineLevel="0" collapsed="false">
      <c r="A245" s="4" t="s">
        <v>393</v>
      </c>
      <c r="B245" s="17" t="n">
        <v>45713</v>
      </c>
      <c r="C245" s="4" t="n">
        <v>14</v>
      </c>
      <c r="D245" s="4" t="s">
        <v>70</v>
      </c>
      <c r="E245" s="4" t="s">
        <v>74</v>
      </c>
      <c r="F245" s="4" t="s">
        <v>139</v>
      </c>
      <c r="G245" s="4" t="n">
        <v>2</v>
      </c>
      <c r="H245" s="4" t="n">
        <v>260</v>
      </c>
      <c r="I245" s="18" t="n">
        <v>0.1</v>
      </c>
      <c r="J245" s="4" t="s">
        <v>76</v>
      </c>
      <c r="K245" s="4" t="s">
        <v>71</v>
      </c>
    </row>
    <row r="246" customFormat="false" ht="15" hidden="false" customHeight="false" outlineLevel="0" collapsed="false">
      <c r="A246" s="4" t="s">
        <v>394</v>
      </c>
      <c r="B246" s="4" t="s">
        <v>395</v>
      </c>
      <c r="C246" s="4" t="n">
        <v>7</v>
      </c>
      <c r="D246" s="4" t="s">
        <v>64</v>
      </c>
      <c r="E246" s="4" t="s">
        <v>99</v>
      </c>
      <c r="F246" s="4" t="s">
        <v>100</v>
      </c>
      <c r="G246" s="4" t="n">
        <v>4</v>
      </c>
      <c r="H246" s="4" t="n">
        <v>110</v>
      </c>
      <c r="I246" s="18" t="n">
        <v>0.15</v>
      </c>
      <c r="J246" s="4" t="s">
        <v>76</v>
      </c>
      <c r="K246" s="4" t="s">
        <v>68</v>
      </c>
    </row>
    <row r="247" customFormat="false" ht="15" hidden="false" customHeight="false" outlineLevel="0" collapsed="false">
      <c r="A247" s="4" t="s">
        <v>396</v>
      </c>
      <c r="B247" s="17" t="n">
        <v>45714</v>
      </c>
      <c r="C247" s="4" t="n">
        <v>9</v>
      </c>
      <c r="D247" s="4" t="s">
        <v>70</v>
      </c>
      <c r="E247" s="4" t="s">
        <v>65</v>
      </c>
      <c r="F247" s="4" t="s">
        <v>66</v>
      </c>
      <c r="G247" s="4" t="n">
        <v>2</v>
      </c>
      <c r="H247" s="4" t="n">
        <v>120</v>
      </c>
      <c r="I247" s="18" t="n">
        <v>0.2</v>
      </c>
      <c r="K247" s="4" t="s">
        <v>77</v>
      </c>
    </row>
    <row r="248" customFormat="false" ht="15" hidden="false" customHeight="false" outlineLevel="0" collapsed="false">
      <c r="A248" s="4" t="s">
        <v>397</v>
      </c>
      <c r="B248" s="17" t="n">
        <v>45714</v>
      </c>
      <c r="C248" s="4" t="n">
        <v>13</v>
      </c>
      <c r="D248" s="4" t="s">
        <v>98</v>
      </c>
      <c r="E248" s="4" t="s">
        <v>84</v>
      </c>
      <c r="F248" s="4" t="s">
        <v>117</v>
      </c>
      <c r="G248" s="4" t="n">
        <v>1</v>
      </c>
      <c r="H248" s="4" t="n">
        <v>95</v>
      </c>
      <c r="I248" s="18" t="n">
        <v>0.05</v>
      </c>
      <c r="J248" s="4" t="s">
        <v>67</v>
      </c>
      <c r="K248" s="4" t="s">
        <v>82</v>
      </c>
    </row>
    <row r="249" customFormat="false" ht="15" hidden="false" customHeight="false" outlineLevel="0" collapsed="false">
      <c r="A249" s="4" t="s">
        <v>398</v>
      </c>
      <c r="B249" s="17" t="n">
        <v>45714</v>
      </c>
      <c r="C249" s="4" t="n">
        <v>17</v>
      </c>
      <c r="D249" s="4" t="s">
        <v>70</v>
      </c>
      <c r="E249" s="4" t="s">
        <v>84</v>
      </c>
      <c r="F249" s="4" t="s">
        <v>117</v>
      </c>
      <c r="G249" s="4" t="n">
        <v>1</v>
      </c>
      <c r="H249" s="4" t="n">
        <v>95</v>
      </c>
      <c r="I249" s="18" t="n">
        <v>0.1</v>
      </c>
      <c r="J249" s="4" t="s">
        <v>76</v>
      </c>
      <c r="K249" s="4" t="s">
        <v>68</v>
      </c>
    </row>
    <row r="250" customFormat="false" ht="15" hidden="false" customHeight="false" outlineLevel="0" collapsed="false">
      <c r="A250" s="4" t="s">
        <v>399</v>
      </c>
      <c r="B250" s="17" t="n">
        <v>45714</v>
      </c>
      <c r="C250" s="4" t="n">
        <v>18</v>
      </c>
      <c r="D250" s="4" t="s">
        <v>98</v>
      </c>
      <c r="E250" s="4" t="s">
        <v>74</v>
      </c>
      <c r="F250" s="4" t="s">
        <v>139</v>
      </c>
      <c r="G250" s="4" t="n">
        <v>1</v>
      </c>
      <c r="H250" s="4" t="n">
        <v>260</v>
      </c>
      <c r="I250" s="18" t="n">
        <v>0.1</v>
      </c>
      <c r="J250" s="4" t="s">
        <v>67</v>
      </c>
      <c r="K250" s="4" t="s">
        <v>71</v>
      </c>
    </row>
    <row r="251" customFormat="false" ht="15" hidden="false" customHeight="false" outlineLevel="0" collapsed="false">
      <c r="A251" s="4" t="s">
        <v>400</v>
      </c>
      <c r="B251" s="17" t="n">
        <v>45715</v>
      </c>
      <c r="C251" s="4" t="n">
        <v>8</v>
      </c>
      <c r="D251" s="4" t="s">
        <v>73</v>
      </c>
      <c r="E251" s="4" t="s">
        <v>79</v>
      </c>
      <c r="F251" s="4" t="s">
        <v>401</v>
      </c>
      <c r="G251" s="4" t="n">
        <v>2</v>
      </c>
      <c r="H251" s="4" t="n">
        <v>130</v>
      </c>
      <c r="I251" s="18" t="n">
        <v>0.1</v>
      </c>
      <c r="J251" s="4" t="s">
        <v>81</v>
      </c>
      <c r="K251" s="4" t="s">
        <v>68</v>
      </c>
    </row>
    <row r="252" customFormat="false" ht="15" hidden="false" customHeight="false" outlineLevel="0" collapsed="false">
      <c r="A252" s="4" t="s">
        <v>402</v>
      </c>
      <c r="B252" s="17" t="n">
        <v>45715</v>
      </c>
      <c r="C252" s="4" t="n">
        <v>12</v>
      </c>
      <c r="D252" s="4" t="s">
        <v>70</v>
      </c>
      <c r="E252" s="4" t="s">
        <v>403</v>
      </c>
      <c r="F252" s="4" t="s">
        <v>133</v>
      </c>
      <c r="G252" s="4" t="n">
        <v>1</v>
      </c>
      <c r="H252" s="4" t="n">
        <v>90</v>
      </c>
      <c r="I252" s="18" t="n">
        <v>0</v>
      </c>
      <c r="J252" s="4" t="s">
        <v>67</v>
      </c>
      <c r="K252" s="4" t="s">
        <v>68</v>
      </c>
    </row>
    <row r="253" customFormat="false" ht="15" hidden="false" customHeight="false" outlineLevel="0" collapsed="false">
      <c r="A253" s="4" t="s">
        <v>404</v>
      </c>
      <c r="B253" s="17" t="n">
        <v>45715</v>
      </c>
      <c r="C253" s="4" t="n">
        <v>13</v>
      </c>
      <c r="D253" s="4" t="s">
        <v>70</v>
      </c>
      <c r="E253" s="4" t="s">
        <v>79</v>
      </c>
      <c r="F253" s="4" t="s">
        <v>135</v>
      </c>
      <c r="G253" s="4" t="n">
        <v>1</v>
      </c>
      <c r="H253" s="4" t="n">
        <v>130</v>
      </c>
      <c r="I253" s="18" t="n">
        <v>0.05</v>
      </c>
      <c r="J253" s="4" t="s">
        <v>67</v>
      </c>
      <c r="K253" s="4" t="s">
        <v>82</v>
      </c>
    </row>
    <row r="254" customFormat="false" ht="15" hidden="false" customHeight="false" outlineLevel="0" collapsed="false">
      <c r="A254" s="4" t="s">
        <v>405</v>
      </c>
      <c r="B254" s="17" t="n">
        <v>45715</v>
      </c>
      <c r="C254" s="4" t="n">
        <v>13</v>
      </c>
      <c r="D254" s="4" t="s">
        <v>64</v>
      </c>
      <c r="E254" s="4" t="s">
        <v>99</v>
      </c>
      <c r="F254" s="4" t="s">
        <v>102</v>
      </c>
      <c r="G254" s="4" t="n">
        <v>1</v>
      </c>
      <c r="H254" s="4" t="n">
        <v>140</v>
      </c>
      <c r="I254" s="18" t="n">
        <v>0</v>
      </c>
      <c r="J254" s="4" t="s">
        <v>81</v>
      </c>
    </row>
    <row r="255" customFormat="false" ht="15" hidden="false" customHeight="false" outlineLevel="0" collapsed="false">
      <c r="A255" s="4" t="s">
        <v>406</v>
      </c>
      <c r="B255" s="17" t="n">
        <v>45715</v>
      </c>
      <c r="C255" s="4" t="n">
        <v>17</v>
      </c>
      <c r="D255" s="4" t="s">
        <v>70</v>
      </c>
      <c r="E255" s="4" t="s">
        <v>99</v>
      </c>
      <c r="F255" s="4" t="s">
        <v>102</v>
      </c>
      <c r="G255" s="4" t="n">
        <v>2</v>
      </c>
      <c r="H255" s="4" t="n">
        <v>140</v>
      </c>
      <c r="I255" s="18" t="n">
        <v>0</v>
      </c>
      <c r="J255" s="4" t="s">
        <v>76</v>
      </c>
      <c r="K255" s="4" t="s">
        <v>68</v>
      </c>
    </row>
    <row r="256" customFormat="false" ht="15" hidden="false" customHeight="false" outlineLevel="0" collapsed="false">
      <c r="A256" s="4" t="s">
        <v>407</v>
      </c>
      <c r="B256" s="17" t="n">
        <v>45716</v>
      </c>
      <c r="C256" s="4" t="n">
        <v>7</v>
      </c>
      <c r="D256" s="4" t="s">
        <v>73</v>
      </c>
      <c r="E256" s="4" t="s">
        <v>99</v>
      </c>
      <c r="F256" s="4" t="s">
        <v>100</v>
      </c>
      <c r="G256" s="4" t="n">
        <v>1</v>
      </c>
      <c r="H256" s="4" t="n">
        <v>110</v>
      </c>
      <c r="I256" s="18" t="n">
        <v>0</v>
      </c>
      <c r="J256" s="4" t="s">
        <v>81</v>
      </c>
      <c r="K256" s="4" t="s">
        <v>77</v>
      </c>
    </row>
    <row r="257" customFormat="false" ht="15" hidden="false" customHeight="false" outlineLevel="0" collapsed="false">
      <c r="A257" s="4" t="s">
        <v>408</v>
      </c>
      <c r="B257" s="17" t="n">
        <v>45716</v>
      </c>
      <c r="C257" s="4" t="n">
        <v>8</v>
      </c>
      <c r="D257" s="4" t="s">
        <v>73</v>
      </c>
      <c r="E257" s="4" t="s">
        <v>99</v>
      </c>
      <c r="F257" s="4" t="s">
        <v>409</v>
      </c>
      <c r="G257" s="4" t="n">
        <v>2</v>
      </c>
      <c r="H257" s="4" t="n">
        <v>110</v>
      </c>
      <c r="I257" s="18" t="n">
        <v>0.05</v>
      </c>
      <c r="J257" s="4" t="s">
        <v>67</v>
      </c>
      <c r="K257" s="4" t="s">
        <v>82</v>
      </c>
    </row>
    <row r="258" customFormat="false" ht="15" hidden="false" customHeight="false" outlineLevel="0" collapsed="false">
      <c r="A258" s="4" t="s">
        <v>410</v>
      </c>
      <c r="B258" s="17" t="n">
        <v>45716</v>
      </c>
      <c r="C258" s="4" t="n">
        <v>11</v>
      </c>
      <c r="D258" s="4" t="s">
        <v>64</v>
      </c>
      <c r="E258" s="4" t="s">
        <v>411</v>
      </c>
      <c r="F258" s="4" t="s">
        <v>139</v>
      </c>
      <c r="G258" s="4" t="n">
        <v>1</v>
      </c>
      <c r="H258" s="4" t="n">
        <v>260</v>
      </c>
      <c r="I258" s="18" t="n">
        <v>0</v>
      </c>
      <c r="J258" s="4" t="s">
        <v>81</v>
      </c>
      <c r="K258" s="4" t="s">
        <v>68</v>
      </c>
    </row>
    <row r="259" customFormat="false" ht="15" hidden="false" customHeight="false" outlineLevel="0" collapsed="false">
      <c r="A259" s="4" t="s">
        <v>412</v>
      </c>
      <c r="B259" s="17" t="n">
        <v>45716</v>
      </c>
      <c r="C259" s="4" t="n">
        <v>12</v>
      </c>
      <c r="D259" s="4" t="s">
        <v>64</v>
      </c>
      <c r="E259" s="4" t="s">
        <v>79</v>
      </c>
      <c r="F259" s="4" t="s">
        <v>80</v>
      </c>
      <c r="G259" s="4" t="n">
        <v>1</v>
      </c>
      <c r="H259" s="4" t="n">
        <v>160</v>
      </c>
      <c r="I259" s="18" t="n">
        <v>0</v>
      </c>
      <c r="J259" s="4" t="s">
        <v>67</v>
      </c>
      <c r="K259" s="4" t="s">
        <v>68</v>
      </c>
    </row>
    <row r="260" customFormat="false" ht="15" hidden="false" customHeight="false" outlineLevel="0" collapsed="false">
      <c r="A260" s="4" t="s">
        <v>413</v>
      </c>
      <c r="B260" s="17" t="n">
        <v>45716</v>
      </c>
      <c r="C260" s="4" t="n">
        <v>13</v>
      </c>
      <c r="D260" s="4" t="s">
        <v>70</v>
      </c>
      <c r="E260" s="4" t="s">
        <v>235</v>
      </c>
      <c r="F260" s="4" t="s">
        <v>121</v>
      </c>
      <c r="G260" s="4" t="n">
        <v>1</v>
      </c>
      <c r="H260" s="4" t="n">
        <v>170</v>
      </c>
      <c r="I260" s="18" t="n">
        <v>0.05</v>
      </c>
      <c r="J260" s="4" t="s">
        <v>67</v>
      </c>
      <c r="K260" s="4" t="s">
        <v>82</v>
      </c>
    </row>
    <row r="261" customFormat="false" ht="15" hidden="false" customHeight="false" outlineLevel="0" collapsed="false">
      <c r="A261" s="4" t="s">
        <v>414</v>
      </c>
      <c r="B261" s="17" t="n">
        <v>45716</v>
      </c>
      <c r="C261" s="4" t="n">
        <v>13</v>
      </c>
      <c r="D261" s="4" t="s">
        <v>73</v>
      </c>
      <c r="E261" s="4" t="s">
        <v>99</v>
      </c>
      <c r="F261" s="4" t="s">
        <v>109</v>
      </c>
      <c r="G261" s="4" t="n">
        <v>1</v>
      </c>
      <c r="H261" s="4" t="n">
        <v>130</v>
      </c>
      <c r="I261" s="18" t="n">
        <v>0.05</v>
      </c>
      <c r="J261" s="4" t="s">
        <v>76</v>
      </c>
      <c r="K261" s="4" t="s">
        <v>82</v>
      </c>
    </row>
    <row r="262" customFormat="false" ht="15" hidden="false" customHeight="false" outlineLevel="0" collapsed="false">
      <c r="A262" s="4" t="s">
        <v>415</v>
      </c>
      <c r="B262" s="17" t="n">
        <v>45716</v>
      </c>
      <c r="C262" s="4" t="n">
        <v>14</v>
      </c>
      <c r="D262" s="4" t="s">
        <v>90</v>
      </c>
      <c r="E262" s="4" t="s">
        <v>99</v>
      </c>
      <c r="F262" s="4" t="s">
        <v>109</v>
      </c>
      <c r="G262" s="4" t="n">
        <v>2</v>
      </c>
      <c r="H262" s="4" t="n">
        <v>130</v>
      </c>
      <c r="I262" s="18" t="n">
        <v>0.05</v>
      </c>
      <c r="J262" s="4" t="s">
        <v>67</v>
      </c>
      <c r="K262" s="4" t="s">
        <v>82</v>
      </c>
    </row>
    <row r="263" customFormat="false" ht="15" hidden="false" customHeight="false" outlineLevel="0" collapsed="false">
      <c r="A263" s="4" t="s">
        <v>416</v>
      </c>
      <c r="B263" s="17" t="n">
        <v>45716</v>
      </c>
      <c r="C263" s="4" t="n">
        <v>16</v>
      </c>
      <c r="D263" s="4" t="s">
        <v>335</v>
      </c>
      <c r="E263" s="4" t="s">
        <v>74</v>
      </c>
      <c r="F263" s="4" t="s">
        <v>91</v>
      </c>
      <c r="G263" s="4" t="n">
        <v>1</v>
      </c>
      <c r="H263" s="4" t="n">
        <v>200</v>
      </c>
      <c r="I263" s="18" t="n">
        <v>0</v>
      </c>
      <c r="J263" s="4" t="s">
        <v>76</v>
      </c>
      <c r="K263" s="4" t="s">
        <v>68</v>
      </c>
    </row>
    <row r="264" customFormat="false" ht="15" hidden="false" customHeight="false" outlineLevel="0" collapsed="false">
      <c r="A264" s="4" t="s">
        <v>417</v>
      </c>
      <c r="B264" s="17" t="n">
        <v>45717</v>
      </c>
      <c r="C264" s="4" t="n">
        <v>16</v>
      </c>
      <c r="D264" s="4" t="s">
        <v>98</v>
      </c>
      <c r="E264" s="4" t="s">
        <v>79</v>
      </c>
      <c r="F264" s="4" t="s">
        <v>135</v>
      </c>
      <c r="G264" s="4" t="n">
        <v>1</v>
      </c>
      <c r="H264" s="4" t="n">
        <v>130</v>
      </c>
      <c r="I264" s="18" t="n">
        <v>0</v>
      </c>
      <c r="J264" s="4" t="s">
        <v>112</v>
      </c>
      <c r="K264" s="4" t="s">
        <v>77</v>
      </c>
    </row>
    <row r="265" customFormat="false" ht="15" hidden="false" customHeight="false" outlineLevel="0" collapsed="false">
      <c r="A265" s="4" t="s">
        <v>418</v>
      </c>
      <c r="B265" s="4" t="s">
        <v>419</v>
      </c>
      <c r="C265" s="4" t="n">
        <v>7</v>
      </c>
      <c r="D265" s="4" t="s">
        <v>90</v>
      </c>
      <c r="E265" s="4" t="s">
        <v>65</v>
      </c>
      <c r="F265" s="4" t="s">
        <v>66</v>
      </c>
      <c r="G265" s="4" t="n">
        <v>1</v>
      </c>
      <c r="H265" s="4" t="n">
        <v>120</v>
      </c>
      <c r="I265" s="18" t="n">
        <v>0</v>
      </c>
      <c r="J265" s="4" t="s">
        <v>81</v>
      </c>
      <c r="K265" s="4" t="s">
        <v>77</v>
      </c>
    </row>
    <row r="266" customFormat="false" ht="15" hidden="false" customHeight="false" outlineLevel="0" collapsed="false">
      <c r="A266" s="4" t="s">
        <v>420</v>
      </c>
      <c r="B266" s="17" t="n">
        <v>45718</v>
      </c>
      <c r="C266" s="4" t="n">
        <v>8</v>
      </c>
      <c r="D266" s="4" t="s">
        <v>98</v>
      </c>
      <c r="E266" s="4" t="s">
        <v>99</v>
      </c>
      <c r="F266" s="4" t="s">
        <v>102</v>
      </c>
      <c r="G266" s="4" t="n">
        <v>2</v>
      </c>
      <c r="H266" s="4" t="n">
        <v>140</v>
      </c>
      <c r="I266" s="18" t="n">
        <v>0.1</v>
      </c>
      <c r="J266" s="4" t="s">
        <v>76</v>
      </c>
      <c r="K266" s="4" t="s">
        <v>71</v>
      </c>
    </row>
    <row r="267" customFormat="false" ht="15" hidden="false" customHeight="false" outlineLevel="0" collapsed="false">
      <c r="A267" s="4" t="s">
        <v>421</v>
      </c>
      <c r="B267" s="17" t="n">
        <v>45718</v>
      </c>
      <c r="C267" s="4" t="n">
        <v>12</v>
      </c>
      <c r="D267" s="4" t="s">
        <v>96</v>
      </c>
      <c r="E267" s="4" t="s">
        <v>65</v>
      </c>
      <c r="F267" s="4" t="s">
        <v>121</v>
      </c>
      <c r="G267" s="4" t="n">
        <v>1</v>
      </c>
      <c r="H267" s="4" t="n">
        <v>170</v>
      </c>
      <c r="I267" s="18" t="n">
        <v>0</v>
      </c>
      <c r="J267" s="4" t="s">
        <v>67</v>
      </c>
      <c r="K267" s="4" t="s">
        <v>77</v>
      </c>
    </row>
    <row r="268" customFormat="false" ht="15" hidden="false" customHeight="false" outlineLevel="0" collapsed="false">
      <c r="A268" s="4" t="s">
        <v>422</v>
      </c>
      <c r="B268" s="17" t="n">
        <v>45718</v>
      </c>
      <c r="C268" s="4" t="n">
        <v>12</v>
      </c>
      <c r="D268" s="4" t="s">
        <v>70</v>
      </c>
      <c r="E268" s="4" t="s">
        <v>79</v>
      </c>
      <c r="F268" s="4" t="s">
        <v>148</v>
      </c>
      <c r="G268" s="4" t="n">
        <v>1</v>
      </c>
      <c r="H268" s="4" t="n">
        <v>120</v>
      </c>
      <c r="I268" s="18" t="n">
        <v>0.05</v>
      </c>
      <c r="J268" s="4" t="s">
        <v>81</v>
      </c>
      <c r="K268" s="4" t="s">
        <v>82</v>
      </c>
    </row>
    <row r="269" customFormat="false" ht="15" hidden="false" customHeight="false" outlineLevel="0" collapsed="false">
      <c r="A269" s="4" t="s">
        <v>423</v>
      </c>
      <c r="B269" s="4" t="s">
        <v>419</v>
      </c>
      <c r="C269" s="4" t="n">
        <v>14</v>
      </c>
      <c r="D269" s="4" t="s">
        <v>424</v>
      </c>
      <c r="E269" s="4" t="s">
        <v>84</v>
      </c>
      <c r="F269" s="4" t="s">
        <v>117</v>
      </c>
      <c r="G269" s="4" t="n">
        <v>3</v>
      </c>
      <c r="H269" s="4" t="n">
        <v>95</v>
      </c>
      <c r="I269" s="18" t="n">
        <v>0.05</v>
      </c>
      <c r="J269" s="4" t="s">
        <v>81</v>
      </c>
      <c r="K269" s="4" t="s">
        <v>82</v>
      </c>
    </row>
    <row r="270" customFormat="false" ht="15" hidden="false" customHeight="false" outlineLevel="0" collapsed="false">
      <c r="A270" s="4" t="s">
        <v>425</v>
      </c>
      <c r="B270" s="17" t="n">
        <v>45718</v>
      </c>
      <c r="C270" s="4" t="n">
        <v>15</v>
      </c>
      <c r="D270" s="4" t="s">
        <v>64</v>
      </c>
      <c r="E270" s="4" t="s">
        <v>65</v>
      </c>
      <c r="F270" s="4" t="s">
        <v>121</v>
      </c>
      <c r="G270" s="4" t="n">
        <v>1</v>
      </c>
      <c r="H270" s="4" t="n">
        <v>170</v>
      </c>
      <c r="I270" s="18" t="n">
        <v>0.15</v>
      </c>
      <c r="J270" s="4" t="s">
        <v>67</v>
      </c>
      <c r="K270" s="4" t="s">
        <v>82</v>
      </c>
    </row>
    <row r="271" customFormat="false" ht="15" hidden="false" customHeight="false" outlineLevel="0" collapsed="false">
      <c r="A271" s="4" t="s">
        <v>426</v>
      </c>
      <c r="B271" s="4" t="s">
        <v>427</v>
      </c>
      <c r="C271" s="4" t="n">
        <v>19</v>
      </c>
      <c r="D271" s="4" t="s">
        <v>98</v>
      </c>
      <c r="E271" s="4" t="s">
        <v>79</v>
      </c>
      <c r="F271" s="4" t="s">
        <v>135</v>
      </c>
      <c r="G271" s="4" t="n">
        <v>3</v>
      </c>
      <c r="H271" s="4" t="n">
        <v>130</v>
      </c>
      <c r="I271" s="18" t="n">
        <v>0.1</v>
      </c>
      <c r="J271" s="4" t="s">
        <v>81</v>
      </c>
      <c r="K271" s="4" t="s">
        <v>71</v>
      </c>
    </row>
    <row r="272" customFormat="false" ht="15" hidden="false" customHeight="false" outlineLevel="0" collapsed="false">
      <c r="A272" s="4" t="s">
        <v>428</v>
      </c>
      <c r="B272" s="17" t="n">
        <v>45719</v>
      </c>
      <c r="C272" s="4" t="n">
        <v>7</v>
      </c>
      <c r="D272" s="4" t="s">
        <v>98</v>
      </c>
      <c r="E272" s="4" t="s">
        <v>99</v>
      </c>
      <c r="F272" s="4" t="s">
        <v>102</v>
      </c>
      <c r="G272" s="4" t="n">
        <v>1</v>
      </c>
      <c r="H272" s="4" t="n">
        <v>140</v>
      </c>
      <c r="I272" s="18" t="n">
        <v>0.1</v>
      </c>
      <c r="J272" s="4" t="s">
        <v>67</v>
      </c>
      <c r="K272" s="4" t="s">
        <v>71</v>
      </c>
    </row>
    <row r="273" customFormat="false" ht="15" hidden="false" customHeight="false" outlineLevel="0" collapsed="false">
      <c r="A273" s="4" t="s">
        <v>429</v>
      </c>
      <c r="B273" s="17" t="n">
        <v>45719</v>
      </c>
      <c r="C273" s="4" t="n">
        <v>8</v>
      </c>
      <c r="D273" s="4" t="s">
        <v>64</v>
      </c>
      <c r="E273" s="4" t="s">
        <v>430</v>
      </c>
      <c r="F273" s="4" t="s">
        <v>87</v>
      </c>
      <c r="G273" s="4" t="n">
        <v>1</v>
      </c>
      <c r="H273" s="4" t="n">
        <v>160</v>
      </c>
      <c r="I273" s="18" t="n">
        <v>0.05</v>
      </c>
      <c r="J273" s="4" t="s">
        <v>81</v>
      </c>
      <c r="K273" s="4" t="s">
        <v>82</v>
      </c>
    </row>
    <row r="274" customFormat="false" ht="15" hidden="false" customHeight="false" outlineLevel="0" collapsed="false">
      <c r="A274" s="4" t="s">
        <v>431</v>
      </c>
      <c r="B274" s="17" t="n">
        <v>45719</v>
      </c>
      <c r="C274" s="4" t="n">
        <v>8</v>
      </c>
      <c r="D274" s="4" t="s">
        <v>70</v>
      </c>
      <c r="E274" s="4" t="s">
        <v>65</v>
      </c>
      <c r="F274" s="4" t="s">
        <v>94</v>
      </c>
      <c r="G274" s="4" t="n">
        <v>4</v>
      </c>
      <c r="H274" s="4" t="n">
        <v>150</v>
      </c>
      <c r="I274" s="18" t="n">
        <v>0</v>
      </c>
      <c r="J274" s="4" t="s">
        <v>88</v>
      </c>
      <c r="K274" s="4" t="s">
        <v>77</v>
      </c>
    </row>
    <row r="275" customFormat="false" ht="15" hidden="false" customHeight="false" outlineLevel="0" collapsed="false">
      <c r="A275" s="4" t="s">
        <v>432</v>
      </c>
      <c r="B275" s="17" t="n">
        <v>45719</v>
      </c>
      <c r="C275" s="4" t="n">
        <v>8</v>
      </c>
      <c r="D275" s="4" t="s">
        <v>64</v>
      </c>
      <c r="E275" s="4" t="s">
        <v>65</v>
      </c>
      <c r="F275" s="4" t="s">
        <v>94</v>
      </c>
      <c r="G275" s="4" t="n">
        <v>1</v>
      </c>
      <c r="H275" s="4" t="n">
        <v>150</v>
      </c>
      <c r="I275" s="18" t="n">
        <v>0</v>
      </c>
      <c r="J275" s="4" t="s">
        <v>67</v>
      </c>
      <c r="K275" s="4" t="s">
        <v>77</v>
      </c>
    </row>
    <row r="276" customFormat="false" ht="15" hidden="false" customHeight="false" outlineLevel="0" collapsed="false">
      <c r="A276" s="4" t="s">
        <v>433</v>
      </c>
      <c r="B276" s="17" t="n">
        <v>45720</v>
      </c>
      <c r="C276" s="4" t="n">
        <v>12</v>
      </c>
      <c r="D276" s="4" t="s">
        <v>70</v>
      </c>
      <c r="E276" s="4" t="s">
        <v>84</v>
      </c>
      <c r="F276" s="4" t="s">
        <v>106</v>
      </c>
      <c r="G276" s="4" t="n">
        <v>2</v>
      </c>
      <c r="H276" s="4" t="n">
        <v>60</v>
      </c>
      <c r="I276" s="18" t="n">
        <v>0.05</v>
      </c>
      <c r="J276" s="4" t="s">
        <v>67</v>
      </c>
      <c r="K276" s="4" t="s">
        <v>82</v>
      </c>
    </row>
    <row r="277" customFormat="false" ht="15" hidden="false" customHeight="false" outlineLevel="0" collapsed="false">
      <c r="A277" s="4" t="s">
        <v>434</v>
      </c>
      <c r="B277" s="17" t="n">
        <v>45720</v>
      </c>
      <c r="C277" s="4" t="n">
        <v>14</v>
      </c>
      <c r="D277" s="4" t="s">
        <v>70</v>
      </c>
      <c r="E277" s="4" t="s">
        <v>65</v>
      </c>
      <c r="F277" s="4" t="s">
        <v>121</v>
      </c>
      <c r="G277" s="4" t="n">
        <v>4</v>
      </c>
      <c r="H277" s="4" t="n">
        <v>170</v>
      </c>
      <c r="I277" s="18" t="n">
        <v>0.05</v>
      </c>
      <c r="J277" s="4" t="s">
        <v>67</v>
      </c>
      <c r="K277" s="4" t="s">
        <v>82</v>
      </c>
    </row>
    <row r="278" customFormat="false" ht="15" hidden="false" customHeight="false" outlineLevel="0" collapsed="false">
      <c r="A278" s="4" t="s">
        <v>435</v>
      </c>
      <c r="B278" s="17" t="n">
        <v>45720</v>
      </c>
      <c r="C278" s="4" t="n">
        <v>16</v>
      </c>
      <c r="D278" s="4" t="s">
        <v>73</v>
      </c>
      <c r="E278" s="4" t="s">
        <v>74</v>
      </c>
      <c r="F278" s="4" t="s">
        <v>91</v>
      </c>
      <c r="G278" s="4" t="n">
        <v>1</v>
      </c>
      <c r="H278" s="4" t="n">
        <v>200</v>
      </c>
      <c r="I278" s="18" t="n">
        <v>0</v>
      </c>
      <c r="J278" s="4" t="s">
        <v>112</v>
      </c>
      <c r="K278" s="4" t="s">
        <v>68</v>
      </c>
    </row>
    <row r="279" customFormat="false" ht="15" hidden="false" customHeight="false" outlineLevel="0" collapsed="false">
      <c r="A279" s="4" t="s">
        <v>436</v>
      </c>
      <c r="B279" s="4" t="s">
        <v>437</v>
      </c>
      <c r="C279" s="4" t="n">
        <v>16</v>
      </c>
      <c r="D279" s="4" t="s">
        <v>98</v>
      </c>
      <c r="E279" s="4" t="s">
        <v>84</v>
      </c>
      <c r="F279" s="4" t="s">
        <v>85</v>
      </c>
      <c r="G279" s="4" t="n">
        <v>3</v>
      </c>
      <c r="H279" s="4" t="n">
        <v>150</v>
      </c>
      <c r="I279" s="18" t="n">
        <v>0</v>
      </c>
      <c r="J279" s="4" t="s">
        <v>67</v>
      </c>
      <c r="K279" s="4" t="s">
        <v>68</v>
      </c>
    </row>
    <row r="280" customFormat="false" ht="15" hidden="false" customHeight="false" outlineLevel="0" collapsed="false">
      <c r="A280" s="4" t="s">
        <v>438</v>
      </c>
      <c r="B280" s="17" t="n">
        <v>45721</v>
      </c>
      <c r="C280" s="4" t="n">
        <v>9</v>
      </c>
      <c r="D280" s="4" t="s">
        <v>64</v>
      </c>
      <c r="E280" s="4" t="s">
        <v>79</v>
      </c>
      <c r="F280" s="4" t="s">
        <v>439</v>
      </c>
      <c r="G280" s="4" t="n">
        <v>4</v>
      </c>
      <c r="H280" s="4" t="n">
        <v>160</v>
      </c>
      <c r="I280" s="18" t="n">
        <v>0</v>
      </c>
      <c r="J280" s="4" t="s">
        <v>67</v>
      </c>
      <c r="K280" s="4" t="s">
        <v>68</v>
      </c>
    </row>
    <row r="281" customFormat="false" ht="15" hidden="false" customHeight="false" outlineLevel="0" collapsed="false">
      <c r="A281" s="4" t="s">
        <v>440</v>
      </c>
      <c r="B281" s="17" t="n">
        <v>45721</v>
      </c>
      <c r="C281" s="4" t="n">
        <v>12</v>
      </c>
      <c r="D281" s="4" t="s">
        <v>73</v>
      </c>
      <c r="E281" s="4" t="s">
        <v>74</v>
      </c>
      <c r="F281" s="4" t="s">
        <v>91</v>
      </c>
      <c r="G281" s="4" t="n">
        <v>2</v>
      </c>
      <c r="H281" s="4" t="n">
        <v>200</v>
      </c>
      <c r="I281" s="18" t="n">
        <v>0.15</v>
      </c>
      <c r="J281" s="4" t="s">
        <v>237</v>
      </c>
      <c r="K281" s="4" t="s">
        <v>68</v>
      </c>
    </row>
    <row r="282" customFormat="false" ht="15" hidden="false" customHeight="false" outlineLevel="0" collapsed="false">
      <c r="A282" s="4" t="s">
        <v>441</v>
      </c>
      <c r="B282" s="17" t="n">
        <v>45721</v>
      </c>
      <c r="C282" s="4" t="n">
        <v>12</v>
      </c>
      <c r="D282" s="4" t="s">
        <v>70</v>
      </c>
      <c r="E282" s="4" t="s">
        <v>74</v>
      </c>
      <c r="F282" s="4" t="s">
        <v>75</v>
      </c>
      <c r="G282" s="4" t="n">
        <v>1</v>
      </c>
      <c r="H282" s="4" t="n">
        <v>220</v>
      </c>
      <c r="I282" s="18" t="n">
        <v>0.05</v>
      </c>
      <c r="J282" s="4" t="s">
        <v>81</v>
      </c>
      <c r="K282" s="4" t="s">
        <v>82</v>
      </c>
    </row>
    <row r="283" customFormat="false" ht="15" hidden="false" customHeight="false" outlineLevel="0" collapsed="false">
      <c r="A283" s="4" t="s">
        <v>442</v>
      </c>
      <c r="B283" s="4" t="s">
        <v>443</v>
      </c>
      <c r="C283" s="4" t="n">
        <v>12</v>
      </c>
      <c r="D283" s="4" t="s">
        <v>70</v>
      </c>
      <c r="E283" s="4" t="s">
        <v>74</v>
      </c>
      <c r="F283" s="4" t="s">
        <v>91</v>
      </c>
      <c r="G283" s="4" t="n">
        <v>2</v>
      </c>
      <c r="H283" s="4" t="n">
        <v>200</v>
      </c>
      <c r="I283" s="18" t="n">
        <v>0</v>
      </c>
      <c r="J283" s="4" t="s">
        <v>76</v>
      </c>
      <c r="K283" s="4" t="s">
        <v>68</v>
      </c>
    </row>
    <row r="284" customFormat="false" ht="15" hidden="false" customHeight="false" outlineLevel="0" collapsed="false">
      <c r="A284" s="4" t="s">
        <v>444</v>
      </c>
      <c r="B284" s="17" t="n">
        <v>45721</v>
      </c>
      <c r="C284" s="4" t="n">
        <v>14</v>
      </c>
      <c r="D284" s="4" t="s">
        <v>70</v>
      </c>
      <c r="E284" s="4" t="s">
        <v>79</v>
      </c>
      <c r="F284" s="4" t="s">
        <v>80</v>
      </c>
      <c r="G284" s="4" t="n">
        <v>1</v>
      </c>
      <c r="H284" s="4" t="n">
        <v>160</v>
      </c>
      <c r="I284" s="18" t="n">
        <v>0.05</v>
      </c>
      <c r="J284" s="4" t="s">
        <v>67</v>
      </c>
      <c r="K284" s="4" t="s">
        <v>82</v>
      </c>
    </row>
    <row r="285" customFormat="false" ht="15" hidden="false" customHeight="false" outlineLevel="0" collapsed="false">
      <c r="A285" s="4" t="s">
        <v>445</v>
      </c>
      <c r="B285" s="17" t="n">
        <v>45722</v>
      </c>
      <c r="C285" s="4" t="n">
        <v>7</v>
      </c>
      <c r="D285" s="4" t="s">
        <v>70</v>
      </c>
      <c r="E285" s="4" t="s">
        <v>65</v>
      </c>
      <c r="F285" s="4" t="s">
        <v>94</v>
      </c>
      <c r="G285" s="4" t="n">
        <v>1</v>
      </c>
      <c r="H285" s="4" t="n">
        <v>150</v>
      </c>
      <c r="I285" s="18" t="n">
        <v>0</v>
      </c>
      <c r="J285" s="4" t="s">
        <v>81</v>
      </c>
      <c r="K285" s="4" t="s">
        <v>68</v>
      </c>
    </row>
    <row r="286" customFormat="false" ht="15" hidden="false" customHeight="false" outlineLevel="0" collapsed="false">
      <c r="A286" s="4" t="s">
        <v>446</v>
      </c>
      <c r="B286" s="17" t="n">
        <v>45722</v>
      </c>
      <c r="C286" s="4" t="n">
        <v>15</v>
      </c>
      <c r="D286" s="4" t="s">
        <v>73</v>
      </c>
      <c r="E286" s="4" t="s">
        <v>65</v>
      </c>
      <c r="F286" s="4" t="s">
        <v>66</v>
      </c>
      <c r="G286" s="4" t="n">
        <v>3</v>
      </c>
      <c r="H286" s="4" t="s">
        <v>447</v>
      </c>
      <c r="I286" s="18" t="n">
        <v>0.15</v>
      </c>
      <c r="J286" s="4" t="s">
        <v>67</v>
      </c>
      <c r="K286" s="4" t="s">
        <v>82</v>
      </c>
    </row>
    <row r="287" customFormat="false" ht="15" hidden="false" customHeight="false" outlineLevel="0" collapsed="false">
      <c r="A287" s="4" t="s">
        <v>448</v>
      </c>
      <c r="B287" s="17" t="n">
        <v>45722</v>
      </c>
      <c r="C287" s="4" t="n">
        <v>17</v>
      </c>
      <c r="D287" s="4" t="s">
        <v>73</v>
      </c>
      <c r="E287" s="4" t="s">
        <v>84</v>
      </c>
      <c r="F287" s="4" t="s">
        <v>106</v>
      </c>
      <c r="G287" s="4" t="n">
        <v>1</v>
      </c>
      <c r="H287" s="4" t="n">
        <v>60</v>
      </c>
      <c r="I287" s="18" t="n">
        <v>0</v>
      </c>
      <c r="J287" s="4" t="s">
        <v>112</v>
      </c>
      <c r="K287" s="4" t="s">
        <v>68</v>
      </c>
    </row>
    <row r="288" customFormat="false" ht="15" hidden="false" customHeight="false" outlineLevel="0" collapsed="false">
      <c r="A288" s="4" t="s">
        <v>449</v>
      </c>
      <c r="B288" s="17" t="n">
        <v>45722</v>
      </c>
      <c r="C288" s="4" t="n">
        <v>17</v>
      </c>
      <c r="D288" s="4" t="s">
        <v>73</v>
      </c>
      <c r="E288" s="4" t="s">
        <v>84</v>
      </c>
      <c r="F288" s="4" t="s">
        <v>117</v>
      </c>
      <c r="G288" s="4" t="n">
        <v>2</v>
      </c>
      <c r="H288" s="4" t="n">
        <v>95</v>
      </c>
      <c r="I288" s="18" t="n">
        <v>0.1</v>
      </c>
      <c r="J288" s="4" t="s">
        <v>67</v>
      </c>
      <c r="K288" s="4" t="s">
        <v>71</v>
      </c>
    </row>
    <row r="289" customFormat="false" ht="15" hidden="false" customHeight="false" outlineLevel="0" collapsed="false">
      <c r="A289" s="4" t="s">
        <v>450</v>
      </c>
      <c r="B289" s="17" t="n">
        <v>45723</v>
      </c>
      <c r="C289" s="4" t="n">
        <v>8</v>
      </c>
      <c r="D289" s="4" t="s">
        <v>70</v>
      </c>
      <c r="E289" s="4" t="s">
        <v>84</v>
      </c>
      <c r="F289" s="4" t="s">
        <v>117</v>
      </c>
      <c r="G289" s="4" t="n">
        <v>1</v>
      </c>
      <c r="H289" s="4" t="n">
        <v>95</v>
      </c>
      <c r="I289" s="18" t="n">
        <v>0</v>
      </c>
      <c r="J289" s="4" t="s">
        <v>81</v>
      </c>
      <c r="K289" s="4" t="s">
        <v>68</v>
      </c>
    </row>
    <row r="290" customFormat="false" ht="15" hidden="false" customHeight="false" outlineLevel="0" collapsed="false">
      <c r="A290" s="4" t="s">
        <v>451</v>
      </c>
      <c r="B290" s="17" t="n">
        <v>45723</v>
      </c>
      <c r="C290" s="4" t="n">
        <v>13</v>
      </c>
      <c r="D290" s="4" t="s">
        <v>73</v>
      </c>
      <c r="E290" s="4" t="s">
        <v>99</v>
      </c>
      <c r="F290" s="4" t="s">
        <v>133</v>
      </c>
      <c r="G290" s="4" t="n">
        <v>4</v>
      </c>
      <c r="H290" s="4" t="n">
        <v>90</v>
      </c>
      <c r="I290" s="18" t="n">
        <v>0</v>
      </c>
      <c r="J290" s="4" t="s">
        <v>112</v>
      </c>
      <c r="K290" s="4" t="s">
        <v>77</v>
      </c>
    </row>
    <row r="291" customFormat="false" ht="15" hidden="false" customHeight="false" outlineLevel="0" collapsed="false">
      <c r="A291" s="4" t="s">
        <v>452</v>
      </c>
      <c r="B291" s="17" t="n">
        <v>45724</v>
      </c>
      <c r="C291" s="4" t="n">
        <v>8</v>
      </c>
      <c r="D291" s="4" t="s">
        <v>98</v>
      </c>
      <c r="E291" s="4" t="s">
        <v>65</v>
      </c>
      <c r="F291" s="4" t="s">
        <v>453</v>
      </c>
      <c r="G291" s="4" t="n">
        <v>2</v>
      </c>
      <c r="H291" s="4" t="n">
        <v>160</v>
      </c>
      <c r="I291" s="18" t="n">
        <v>0.1</v>
      </c>
      <c r="J291" s="4" t="s">
        <v>81</v>
      </c>
      <c r="K291" s="4" t="s">
        <v>71</v>
      </c>
    </row>
    <row r="292" customFormat="false" ht="15" hidden="false" customHeight="false" outlineLevel="0" collapsed="false">
      <c r="A292" s="4" t="s">
        <v>454</v>
      </c>
      <c r="B292" s="17" t="n">
        <v>45724</v>
      </c>
      <c r="C292" s="4" t="n">
        <v>8</v>
      </c>
      <c r="D292" s="4" t="s">
        <v>70</v>
      </c>
      <c r="E292" s="4" t="s">
        <v>84</v>
      </c>
      <c r="F292" s="4" t="s">
        <v>85</v>
      </c>
      <c r="G292" s="4" t="n">
        <v>1</v>
      </c>
      <c r="H292" s="4" t="n">
        <v>150</v>
      </c>
      <c r="I292" s="18" t="n">
        <v>0.05</v>
      </c>
      <c r="J292" s="4" t="s">
        <v>67</v>
      </c>
      <c r="K292" s="4" t="s">
        <v>82</v>
      </c>
    </row>
    <row r="293" customFormat="false" ht="15" hidden="false" customHeight="false" outlineLevel="0" collapsed="false">
      <c r="A293" s="4" t="s">
        <v>455</v>
      </c>
      <c r="B293" s="17" t="n">
        <v>45724</v>
      </c>
      <c r="C293" s="4" t="n">
        <v>9</v>
      </c>
      <c r="D293" s="4" t="s">
        <v>64</v>
      </c>
      <c r="E293" s="4" t="s">
        <v>79</v>
      </c>
      <c r="F293" s="4" t="s">
        <v>80</v>
      </c>
      <c r="G293" s="4" t="n">
        <v>2</v>
      </c>
      <c r="H293" s="4" t="n">
        <v>160</v>
      </c>
      <c r="I293" s="18" t="n">
        <v>0.1</v>
      </c>
      <c r="J293" s="4" t="s">
        <v>112</v>
      </c>
    </row>
    <row r="294" customFormat="false" ht="15" hidden="false" customHeight="false" outlineLevel="0" collapsed="false">
      <c r="A294" s="4" t="s">
        <v>455</v>
      </c>
      <c r="B294" s="17" t="n">
        <v>45724</v>
      </c>
      <c r="C294" s="4" t="n">
        <v>9</v>
      </c>
      <c r="D294" s="4" t="s">
        <v>64</v>
      </c>
      <c r="E294" s="4" t="s">
        <v>79</v>
      </c>
      <c r="F294" s="4" t="s">
        <v>80</v>
      </c>
      <c r="G294" s="4" t="n">
        <v>2</v>
      </c>
      <c r="H294" s="4" t="n">
        <v>160</v>
      </c>
      <c r="I294" s="18" t="n">
        <v>0.1</v>
      </c>
      <c r="J294" s="4" t="s">
        <v>112</v>
      </c>
    </row>
    <row r="295" customFormat="false" ht="15" hidden="false" customHeight="false" outlineLevel="0" collapsed="false">
      <c r="A295" s="4" t="s">
        <v>456</v>
      </c>
      <c r="B295" s="17" t="n">
        <v>45724</v>
      </c>
      <c r="C295" s="4" t="n">
        <v>12</v>
      </c>
      <c r="D295" s="4" t="s">
        <v>70</v>
      </c>
      <c r="E295" s="4" t="s">
        <v>65</v>
      </c>
      <c r="F295" s="4" t="s">
        <v>121</v>
      </c>
      <c r="G295" s="4" t="n">
        <v>3</v>
      </c>
      <c r="H295" s="4" t="n">
        <v>170</v>
      </c>
      <c r="I295" s="18" t="n">
        <v>0.05</v>
      </c>
      <c r="J295" s="4" t="s">
        <v>81</v>
      </c>
      <c r="K295" s="4" t="s">
        <v>82</v>
      </c>
    </row>
    <row r="296" customFormat="false" ht="15" hidden="false" customHeight="false" outlineLevel="0" collapsed="false">
      <c r="A296" s="4" t="s">
        <v>457</v>
      </c>
      <c r="B296" s="17" t="n">
        <v>45724</v>
      </c>
      <c r="C296" s="4" t="n">
        <v>12</v>
      </c>
      <c r="D296" s="4" t="s">
        <v>64</v>
      </c>
      <c r="E296" s="4" t="s">
        <v>65</v>
      </c>
      <c r="F296" s="4" t="s">
        <v>87</v>
      </c>
      <c r="G296" s="4" t="n">
        <v>1</v>
      </c>
      <c r="H296" s="4" t="n">
        <v>160</v>
      </c>
      <c r="I296" s="18" t="n">
        <v>0</v>
      </c>
      <c r="J296" s="4" t="s">
        <v>81</v>
      </c>
      <c r="K296" s="4" t="s">
        <v>77</v>
      </c>
    </row>
    <row r="297" customFormat="false" ht="15" hidden="false" customHeight="false" outlineLevel="0" collapsed="false">
      <c r="A297" s="4" t="s">
        <v>458</v>
      </c>
      <c r="B297" s="17" t="n">
        <v>45724</v>
      </c>
      <c r="C297" s="4" t="n">
        <v>17</v>
      </c>
      <c r="D297" s="4" t="s">
        <v>70</v>
      </c>
      <c r="E297" s="4" t="s">
        <v>99</v>
      </c>
      <c r="F297" s="4" t="s">
        <v>252</v>
      </c>
      <c r="G297" s="4" t="n">
        <v>4</v>
      </c>
      <c r="H297" s="4" t="n">
        <v>130</v>
      </c>
      <c r="I297" s="18" t="n">
        <v>0</v>
      </c>
      <c r="J297" s="4" t="s">
        <v>112</v>
      </c>
      <c r="K297" s="4" t="s">
        <v>77</v>
      </c>
    </row>
    <row r="298" customFormat="false" ht="15" hidden="false" customHeight="false" outlineLevel="0" collapsed="false">
      <c r="A298" s="4" t="s">
        <v>459</v>
      </c>
      <c r="B298" s="17" t="n">
        <v>45724</v>
      </c>
      <c r="C298" s="4" t="n">
        <v>17</v>
      </c>
      <c r="D298" s="4" t="s">
        <v>73</v>
      </c>
      <c r="E298" s="4" t="s">
        <v>99</v>
      </c>
      <c r="F298" s="4" t="s">
        <v>109</v>
      </c>
      <c r="G298" s="4" t="n">
        <v>1</v>
      </c>
      <c r="H298" s="4" t="n">
        <v>130</v>
      </c>
      <c r="I298" s="18" t="n">
        <v>0</v>
      </c>
      <c r="J298" s="4" t="s">
        <v>112</v>
      </c>
      <c r="K298" s="4" t="s">
        <v>68</v>
      </c>
    </row>
    <row r="299" customFormat="false" ht="15" hidden="false" customHeight="false" outlineLevel="0" collapsed="false">
      <c r="A299" s="4" t="s">
        <v>460</v>
      </c>
      <c r="B299" s="17" t="n">
        <v>45724</v>
      </c>
      <c r="C299" s="4" t="n">
        <v>18</v>
      </c>
      <c r="D299" s="4" t="s">
        <v>98</v>
      </c>
      <c r="E299" s="4" t="s">
        <v>79</v>
      </c>
      <c r="F299" s="4" t="s">
        <v>148</v>
      </c>
      <c r="G299" s="4" t="n">
        <v>1</v>
      </c>
      <c r="H299" s="4" t="n">
        <v>120</v>
      </c>
      <c r="I299" s="18" t="n">
        <v>0</v>
      </c>
      <c r="J299" s="4" t="s">
        <v>81</v>
      </c>
      <c r="K299" s="4" t="s">
        <v>68</v>
      </c>
    </row>
    <row r="300" customFormat="false" ht="15" hidden="false" customHeight="false" outlineLevel="0" collapsed="false">
      <c r="A300" s="4" t="s">
        <v>461</v>
      </c>
      <c r="B300" s="17" t="n">
        <v>45724</v>
      </c>
      <c r="C300" s="4" t="n">
        <v>20</v>
      </c>
      <c r="D300" s="4" t="s">
        <v>98</v>
      </c>
      <c r="E300" s="4" t="s">
        <v>462</v>
      </c>
      <c r="F300" s="4" t="s">
        <v>66</v>
      </c>
      <c r="G300" s="4" t="n">
        <v>2</v>
      </c>
      <c r="H300" s="4" t="n">
        <v>120</v>
      </c>
      <c r="I300" s="18" t="n">
        <v>0</v>
      </c>
      <c r="J300" s="4" t="s">
        <v>76</v>
      </c>
      <c r="K300" s="4" t="s">
        <v>68</v>
      </c>
    </row>
    <row r="301" customFormat="false" ht="15" hidden="false" customHeight="false" outlineLevel="0" collapsed="false">
      <c r="A301" s="4" t="s">
        <v>463</v>
      </c>
      <c r="B301" s="17" t="n">
        <v>45725</v>
      </c>
      <c r="C301" s="4" t="n">
        <v>12</v>
      </c>
      <c r="D301" s="4" t="s">
        <v>70</v>
      </c>
      <c r="E301" s="4" t="s">
        <v>84</v>
      </c>
      <c r="F301" s="4" t="s">
        <v>85</v>
      </c>
      <c r="G301" s="4" t="n">
        <v>4</v>
      </c>
      <c r="H301" s="4" t="n">
        <v>150</v>
      </c>
      <c r="I301" s="18" t="n">
        <v>0</v>
      </c>
      <c r="J301" s="4" t="s">
        <v>67</v>
      </c>
      <c r="K301" s="4" t="s">
        <v>68</v>
      </c>
    </row>
    <row r="302" customFormat="false" ht="15" hidden="false" customHeight="false" outlineLevel="0" collapsed="false">
      <c r="A302" s="4" t="s">
        <v>464</v>
      </c>
      <c r="B302" s="17" t="n">
        <v>45725</v>
      </c>
      <c r="C302" s="4" t="n">
        <v>12</v>
      </c>
      <c r="D302" s="4" t="s">
        <v>70</v>
      </c>
      <c r="E302" s="4" t="s">
        <v>84</v>
      </c>
      <c r="F302" s="4" t="s">
        <v>114</v>
      </c>
      <c r="G302" s="4" t="n">
        <v>3</v>
      </c>
      <c r="H302" s="4" t="n">
        <v>85</v>
      </c>
      <c r="I302" s="18" t="n">
        <v>0.1</v>
      </c>
      <c r="J302" s="4" t="s">
        <v>76</v>
      </c>
      <c r="K302" s="4" t="s">
        <v>71</v>
      </c>
    </row>
    <row r="303" customFormat="false" ht="15" hidden="false" customHeight="false" outlineLevel="0" collapsed="false">
      <c r="A303" s="4" t="s">
        <v>465</v>
      </c>
      <c r="B303" s="17" t="n">
        <v>45725</v>
      </c>
      <c r="C303" s="4" t="n">
        <v>17</v>
      </c>
      <c r="D303" s="4" t="s">
        <v>73</v>
      </c>
      <c r="E303" s="4" t="s">
        <v>65</v>
      </c>
      <c r="F303" s="4" t="s">
        <v>66</v>
      </c>
      <c r="G303" s="4" t="n">
        <v>2</v>
      </c>
      <c r="H303" s="4" t="n">
        <v>120</v>
      </c>
      <c r="I303" s="18" t="n">
        <v>0.05</v>
      </c>
      <c r="J303" s="4" t="s">
        <v>81</v>
      </c>
      <c r="K303" s="4" t="s">
        <v>82</v>
      </c>
    </row>
    <row r="304" customFormat="false" ht="15" hidden="false" customHeight="false" outlineLevel="0" collapsed="false">
      <c r="A304" s="4" t="s">
        <v>466</v>
      </c>
      <c r="B304" s="17" t="n">
        <v>45726</v>
      </c>
      <c r="C304" s="4" t="n">
        <v>7</v>
      </c>
      <c r="D304" s="4" t="s">
        <v>73</v>
      </c>
      <c r="E304" s="4" t="s">
        <v>462</v>
      </c>
      <c r="F304" s="4" t="s">
        <v>94</v>
      </c>
      <c r="G304" s="4" t="n">
        <v>1</v>
      </c>
      <c r="H304" s="4" t="n">
        <v>150</v>
      </c>
      <c r="I304" s="18" t="n">
        <v>0</v>
      </c>
      <c r="J304" s="4" t="s">
        <v>67</v>
      </c>
      <c r="K304" s="4" t="s">
        <v>77</v>
      </c>
    </row>
    <row r="305" customFormat="false" ht="15" hidden="false" customHeight="false" outlineLevel="0" collapsed="false">
      <c r="A305" s="4" t="s">
        <v>467</v>
      </c>
      <c r="B305" s="17" t="n">
        <v>45726</v>
      </c>
      <c r="C305" s="4" t="n">
        <v>9</v>
      </c>
      <c r="D305" s="4" t="s">
        <v>64</v>
      </c>
      <c r="E305" s="4" t="s">
        <v>65</v>
      </c>
      <c r="F305" s="4" t="s">
        <v>87</v>
      </c>
      <c r="G305" s="4" t="n">
        <v>2</v>
      </c>
      <c r="H305" s="4" t="n">
        <v>160</v>
      </c>
      <c r="I305" s="18" t="n">
        <v>0</v>
      </c>
      <c r="J305" s="4" t="s">
        <v>76</v>
      </c>
      <c r="K305" s="4" t="s">
        <v>68</v>
      </c>
    </row>
    <row r="306" customFormat="false" ht="15" hidden="false" customHeight="false" outlineLevel="0" collapsed="false">
      <c r="A306" s="4" t="s">
        <v>468</v>
      </c>
      <c r="B306" s="17" t="n">
        <v>45726</v>
      </c>
      <c r="C306" s="4" t="n">
        <v>12</v>
      </c>
      <c r="D306" s="4" t="s">
        <v>64</v>
      </c>
      <c r="E306" s="4" t="s">
        <v>99</v>
      </c>
      <c r="F306" s="4" t="s">
        <v>100</v>
      </c>
      <c r="G306" s="4" t="n">
        <v>1</v>
      </c>
      <c r="H306" s="4" t="n">
        <v>110</v>
      </c>
      <c r="I306" s="18" t="n">
        <v>0</v>
      </c>
      <c r="J306" s="4" t="s">
        <v>290</v>
      </c>
      <c r="K306" s="4" t="s">
        <v>77</v>
      </c>
    </row>
    <row r="307" customFormat="false" ht="15" hidden="false" customHeight="false" outlineLevel="0" collapsed="false">
      <c r="A307" s="4" t="s">
        <v>469</v>
      </c>
      <c r="B307" s="17" t="n">
        <v>45726</v>
      </c>
      <c r="C307" s="4" t="n">
        <v>12</v>
      </c>
      <c r="D307" s="4" t="s">
        <v>64</v>
      </c>
      <c r="E307" s="4" t="s">
        <v>84</v>
      </c>
      <c r="F307" s="4" t="s">
        <v>114</v>
      </c>
      <c r="G307" s="4" t="n">
        <v>2</v>
      </c>
      <c r="H307" s="4" t="n">
        <v>85</v>
      </c>
      <c r="I307" s="18" t="n">
        <v>0.1</v>
      </c>
      <c r="J307" s="4" t="s">
        <v>112</v>
      </c>
      <c r="K307" s="4" t="s">
        <v>82</v>
      </c>
    </row>
    <row r="308" customFormat="false" ht="15" hidden="false" customHeight="false" outlineLevel="0" collapsed="false">
      <c r="A308" s="4" t="s">
        <v>470</v>
      </c>
      <c r="B308" s="17" t="n">
        <v>45726</v>
      </c>
      <c r="C308" s="4" t="n">
        <v>17</v>
      </c>
      <c r="D308" s="4" t="s">
        <v>70</v>
      </c>
      <c r="E308" s="4" t="s">
        <v>79</v>
      </c>
      <c r="F308" s="4" t="s">
        <v>80</v>
      </c>
      <c r="G308" s="4" t="n">
        <v>-3</v>
      </c>
      <c r="H308" s="4" t="n">
        <v>160</v>
      </c>
      <c r="I308" s="18" t="n">
        <v>0</v>
      </c>
      <c r="J308" s="4" t="s">
        <v>76</v>
      </c>
      <c r="K308" s="4" t="s">
        <v>77</v>
      </c>
    </row>
    <row r="309" customFormat="false" ht="15" hidden="false" customHeight="false" outlineLevel="0" collapsed="false">
      <c r="A309" s="4" t="s">
        <v>471</v>
      </c>
      <c r="B309" s="17" t="n">
        <v>45726</v>
      </c>
      <c r="C309" s="4" t="n">
        <v>19</v>
      </c>
      <c r="D309" s="4" t="s">
        <v>98</v>
      </c>
      <c r="E309" s="4" t="s">
        <v>79</v>
      </c>
      <c r="F309" s="4" t="s">
        <v>80</v>
      </c>
      <c r="G309" s="4" t="n">
        <v>3</v>
      </c>
      <c r="H309" s="4" t="n">
        <v>160</v>
      </c>
      <c r="I309" s="18" t="n">
        <v>0.1</v>
      </c>
      <c r="J309" s="4" t="s">
        <v>81</v>
      </c>
      <c r="K309" s="4" t="s">
        <v>71</v>
      </c>
    </row>
    <row r="310" customFormat="false" ht="15" hidden="false" customHeight="false" outlineLevel="0" collapsed="false">
      <c r="A310" s="4" t="s">
        <v>472</v>
      </c>
      <c r="B310" s="17" t="n">
        <v>45727</v>
      </c>
      <c r="C310" s="4" t="n">
        <v>13</v>
      </c>
      <c r="D310" s="4" t="s">
        <v>98</v>
      </c>
      <c r="E310" s="4" t="s">
        <v>84</v>
      </c>
      <c r="F310" s="4" t="s">
        <v>117</v>
      </c>
      <c r="G310" s="4" t="n">
        <v>1</v>
      </c>
      <c r="H310" s="4" t="n">
        <v>95</v>
      </c>
      <c r="I310" s="18" t="n">
        <v>0.05</v>
      </c>
      <c r="J310" s="4" t="s">
        <v>67</v>
      </c>
      <c r="K310" s="4" t="s">
        <v>82</v>
      </c>
    </row>
    <row r="311" customFormat="false" ht="15" hidden="false" customHeight="false" outlineLevel="0" collapsed="false">
      <c r="A311" s="4" t="s">
        <v>473</v>
      </c>
      <c r="B311" s="17" t="n">
        <v>45727</v>
      </c>
      <c r="C311" s="4" t="n">
        <v>13</v>
      </c>
      <c r="D311" s="4" t="s">
        <v>70</v>
      </c>
      <c r="E311" s="4" t="s">
        <v>159</v>
      </c>
      <c r="F311" s="4" t="s">
        <v>139</v>
      </c>
      <c r="G311" s="4" t="n">
        <v>1</v>
      </c>
      <c r="H311" s="4" t="n">
        <v>260</v>
      </c>
      <c r="I311" s="18" t="n">
        <v>0</v>
      </c>
      <c r="J311" s="4" t="s">
        <v>81</v>
      </c>
      <c r="K311" s="4" t="s">
        <v>77</v>
      </c>
    </row>
    <row r="312" customFormat="false" ht="15" hidden="false" customHeight="false" outlineLevel="0" collapsed="false">
      <c r="A312" s="4" t="s">
        <v>473</v>
      </c>
      <c r="B312" s="17" t="n">
        <v>45727</v>
      </c>
      <c r="C312" s="4" t="n">
        <v>13</v>
      </c>
      <c r="D312" s="4" t="s">
        <v>70</v>
      </c>
      <c r="E312" s="4" t="s">
        <v>159</v>
      </c>
      <c r="F312" s="4" t="s">
        <v>139</v>
      </c>
      <c r="G312" s="4" t="n">
        <v>1</v>
      </c>
      <c r="H312" s="4" t="n">
        <v>260</v>
      </c>
      <c r="I312" s="18" t="n">
        <v>0</v>
      </c>
      <c r="J312" s="4" t="s">
        <v>81</v>
      </c>
      <c r="K312" s="4" t="s">
        <v>77</v>
      </c>
    </row>
    <row r="313" customFormat="false" ht="15" hidden="false" customHeight="false" outlineLevel="0" collapsed="false">
      <c r="A313" s="4" t="s">
        <v>474</v>
      </c>
      <c r="B313" s="17" t="n">
        <v>45727</v>
      </c>
      <c r="C313" s="4" t="n">
        <v>13</v>
      </c>
      <c r="D313" s="4" t="s">
        <v>64</v>
      </c>
      <c r="E313" s="4" t="s">
        <v>65</v>
      </c>
      <c r="F313" s="4" t="s">
        <v>66</v>
      </c>
      <c r="G313" s="4" t="n">
        <v>1</v>
      </c>
      <c r="H313" s="4" t="n">
        <v>120</v>
      </c>
      <c r="I313" s="18" t="n">
        <v>0.05</v>
      </c>
      <c r="J313" s="4" t="s">
        <v>76</v>
      </c>
      <c r="K313" s="4" t="s">
        <v>82</v>
      </c>
    </row>
    <row r="314" customFormat="false" ht="15" hidden="false" customHeight="false" outlineLevel="0" collapsed="false">
      <c r="A314" s="4" t="s">
        <v>475</v>
      </c>
      <c r="B314" s="17" t="n">
        <v>45727</v>
      </c>
      <c r="C314" s="4" t="n">
        <v>15</v>
      </c>
      <c r="D314" s="4" t="s">
        <v>64</v>
      </c>
      <c r="E314" s="4" t="s">
        <v>65</v>
      </c>
      <c r="F314" s="4" t="s">
        <v>121</v>
      </c>
      <c r="G314" s="4" t="n">
        <v>2</v>
      </c>
      <c r="H314" s="4" t="n">
        <v>170</v>
      </c>
      <c r="I314" s="18" t="n">
        <v>0.05</v>
      </c>
      <c r="J314" s="4" t="s">
        <v>76</v>
      </c>
      <c r="K314" s="4" t="s">
        <v>82</v>
      </c>
    </row>
    <row r="315" customFormat="false" ht="15" hidden="false" customHeight="false" outlineLevel="0" collapsed="false">
      <c r="A315" s="4" t="s">
        <v>476</v>
      </c>
      <c r="B315" s="4" t="s">
        <v>477</v>
      </c>
      <c r="C315" s="4" t="n">
        <v>15</v>
      </c>
      <c r="D315" s="4" t="s">
        <v>73</v>
      </c>
      <c r="E315" s="4" t="s">
        <v>430</v>
      </c>
      <c r="F315" s="4" t="s">
        <v>87</v>
      </c>
      <c r="G315" s="4" t="n">
        <v>2</v>
      </c>
      <c r="H315" s="4" t="n">
        <v>160</v>
      </c>
      <c r="I315" s="18" t="n">
        <v>0</v>
      </c>
      <c r="J315" s="4" t="s">
        <v>88</v>
      </c>
      <c r="K315" s="4" t="s">
        <v>68</v>
      </c>
    </row>
    <row r="316" customFormat="false" ht="15" hidden="false" customHeight="false" outlineLevel="0" collapsed="false">
      <c r="A316" s="4" t="s">
        <v>478</v>
      </c>
      <c r="B316" s="17" t="n">
        <v>45727</v>
      </c>
      <c r="C316" s="4" t="n">
        <v>17</v>
      </c>
      <c r="D316" s="4" t="s">
        <v>98</v>
      </c>
      <c r="E316" s="4" t="s">
        <v>79</v>
      </c>
      <c r="F316" s="4" t="s">
        <v>80</v>
      </c>
      <c r="G316" s="4" t="n">
        <v>1</v>
      </c>
      <c r="H316" s="4" t="n">
        <v>160</v>
      </c>
      <c r="I316" s="18" t="n">
        <v>0</v>
      </c>
      <c r="J316" s="4" t="s">
        <v>81</v>
      </c>
      <c r="K316" s="4" t="s">
        <v>68</v>
      </c>
    </row>
    <row r="317" customFormat="false" ht="15" hidden="false" customHeight="false" outlineLevel="0" collapsed="false">
      <c r="A317" s="4" t="s">
        <v>479</v>
      </c>
      <c r="B317" s="17" t="n">
        <v>45728</v>
      </c>
      <c r="C317" s="4" t="n">
        <v>9</v>
      </c>
      <c r="D317" s="4" t="s">
        <v>70</v>
      </c>
      <c r="E317" s="4" t="s">
        <v>84</v>
      </c>
      <c r="F317" s="4" t="s">
        <v>117</v>
      </c>
      <c r="G317" s="4" t="n">
        <v>3</v>
      </c>
      <c r="H317" s="4" t="n">
        <v>95</v>
      </c>
      <c r="I317" s="18" t="n">
        <v>0</v>
      </c>
      <c r="J317" s="4" t="s">
        <v>67</v>
      </c>
      <c r="K317" s="4" t="s">
        <v>77</v>
      </c>
    </row>
    <row r="318" customFormat="false" ht="15" hidden="false" customHeight="false" outlineLevel="0" collapsed="false">
      <c r="A318" s="4" t="s">
        <v>480</v>
      </c>
      <c r="B318" s="17" t="n">
        <v>45728</v>
      </c>
      <c r="C318" s="4" t="n">
        <v>15</v>
      </c>
      <c r="D318" s="4" t="s">
        <v>73</v>
      </c>
      <c r="E318" s="4" t="s">
        <v>79</v>
      </c>
      <c r="F318" s="4" t="s">
        <v>80</v>
      </c>
      <c r="G318" s="4" t="n">
        <v>2</v>
      </c>
      <c r="H318" s="4" t="n">
        <v>160</v>
      </c>
      <c r="I318" s="18" t="n">
        <v>0.05</v>
      </c>
      <c r="J318" s="4" t="s">
        <v>76</v>
      </c>
      <c r="K318" s="4" t="s">
        <v>82</v>
      </c>
    </row>
    <row r="319" customFormat="false" ht="15" hidden="false" customHeight="false" outlineLevel="0" collapsed="false">
      <c r="A319" s="4" t="s">
        <v>481</v>
      </c>
      <c r="B319" s="4" t="s">
        <v>482</v>
      </c>
      <c r="C319" s="4" t="n">
        <v>15</v>
      </c>
      <c r="D319" s="4" t="s">
        <v>70</v>
      </c>
      <c r="E319" s="4" t="s">
        <v>65</v>
      </c>
      <c r="F319" s="4" t="s">
        <v>94</v>
      </c>
      <c r="G319" s="4" t="n">
        <v>1</v>
      </c>
      <c r="H319" s="4" t="n">
        <v>150</v>
      </c>
      <c r="I319" s="18" t="n">
        <v>0</v>
      </c>
      <c r="J319" s="4" t="s">
        <v>81</v>
      </c>
      <c r="K319" s="4" t="s">
        <v>77</v>
      </c>
    </row>
    <row r="320" customFormat="false" ht="15" hidden="false" customHeight="false" outlineLevel="0" collapsed="false">
      <c r="A320" s="4" t="s">
        <v>483</v>
      </c>
      <c r="B320" s="17" t="n">
        <v>45728</v>
      </c>
      <c r="C320" s="4" t="n">
        <v>17</v>
      </c>
      <c r="D320" s="4" t="s">
        <v>64</v>
      </c>
      <c r="E320" s="4" t="s">
        <v>462</v>
      </c>
      <c r="F320" s="4" t="s">
        <v>94</v>
      </c>
      <c r="G320" s="4" t="n">
        <v>2</v>
      </c>
      <c r="H320" s="4" t="n">
        <v>150</v>
      </c>
      <c r="I320" s="18" t="n">
        <v>0.05</v>
      </c>
      <c r="J320" s="4" t="s">
        <v>88</v>
      </c>
      <c r="K320" s="4" t="s">
        <v>82</v>
      </c>
    </row>
    <row r="321" customFormat="false" ht="15" hidden="false" customHeight="false" outlineLevel="0" collapsed="false">
      <c r="A321" s="4" t="s">
        <v>484</v>
      </c>
      <c r="B321" s="17" t="n">
        <v>45728</v>
      </c>
      <c r="C321" s="4" t="n">
        <v>18</v>
      </c>
      <c r="D321" s="4" t="s">
        <v>225</v>
      </c>
      <c r="E321" s="4" t="s">
        <v>79</v>
      </c>
      <c r="F321" s="4" t="s">
        <v>80</v>
      </c>
      <c r="G321" s="4" t="n">
        <v>2</v>
      </c>
      <c r="H321" s="4" t="n">
        <v>160</v>
      </c>
      <c r="I321" s="18" t="n">
        <v>0.1</v>
      </c>
      <c r="J321" s="4" t="s">
        <v>88</v>
      </c>
      <c r="K321" s="4" t="s">
        <v>71</v>
      </c>
    </row>
    <row r="322" customFormat="false" ht="15" hidden="false" customHeight="false" outlineLevel="0" collapsed="false">
      <c r="A322" s="4" t="s">
        <v>485</v>
      </c>
      <c r="B322" s="17" t="n">
        <v>45729</v>
      </c>
      <c r="C322" s="4" t="n">
        <v>8</v>
      </c>
      <c r="D322" s="4" t="s">
        <v>98</v>
      </c>
      <c r="E322" s="4" t="s">
        <v>65</v>
      </c>
      <c r="F322" s="4" t="s">
        <v>486</v>
      </c>
      <c r="G322" s="4" t="n">
        <v>1</v>
      </c>
      <c r="H322" s="4" t="n">
        <v>150</v>
      </c>
      <c r="I322" s="18" t="n">
        <v>0</v>
      </c>
      <c r="J322" s="4" t="s">
        <v>76</v>
      </c>
      <c r="K322" s="4" t="s">
        <v>68</v>
      </c>
    </row>
    <row r="323" customFormat="false" ht="15" hidden="false" customHeight="false" outlineLevel="0" collapsed="false">
      <c r="A323" s="4" t="s">
        <v>487</v>
      </c>
      <c r="B323" s="17" t="n">
        <v>45729</v>
      </c>
      <c r="C323" s="4" t="n">
        <v>14</v>
      </c>
      <c r="D323" s="4" t="s">
        <v>64</v>
      </c>
      <c r="E323" s="4" t="s">
        <v>65</v>
      </c>
      <c r="F323" s="4" t="s">
        <v>121</v>
      </c>
      <c r="G323" s="4" t="n">
        <v>1</v>
      </c>
      <c r="H323" s="4" t="n">
        <v>170</v>
      </c>
      <c r="I323" s="18" t="n">
        <v>0</v>
      </c>
      <c r="J323" s="4" t="s">
        <v>81</v>
      </c>
      <c r="K323" s="4" t="s">
        <v>77</v>
      </c>
    </row>
    <row r="324" customFormat="false" ht="15" hidden="false" customHeight="false" outlineLevel="0" collapsed="false">
      <c r="A324" s="4" t="s">
        <v>488</v>
      </c>
      <c r="B324" s="17" t="n">
        <v>45729</v>
      </c>
      <c r="C324" s="4" t="n">
        <v>15</v>
      </c>
      <c r="D324" s="4" t="s">
        <v>98</v>
      </c>
      <c r="E324" s="4" t="s">
        <v>74</v>
      </c>
      <c r="F324" s="4" t="s">
        <v>139</v>
      </c>
      <c r="G324" s="4" t="n">
        <v>1</v>
      </c>
      <c r="H324" s="4" t="n">
        <v>260</v>
      </c>
      <c r="I324" s="18" t="n">
        <v>0.05</v>
      </c>
      <c r="J324" s="4" t="s">
        <v>76</v>
      </c>
    </row>
    <row r="325" customFormat="false" ht="15" hidden="false" customHeight="false" outlineLevel="0" collapsed="false">
      <c r="A325" s="4" t="s">
        <v>489</v>
      </c>
      <c r="B325" s="17" t="n">
        <v>45729</v>
      </c>
      <c r="C325" s="4" t="n">
        <v>17</v>
      </c>
      <c r="D325" s="4" t="s">
        <v>98</v>
      </c>
      <c r="E325" s="4" t="s">
        <v>79</v>
      </c>
      <c r="F325" s="4" t="s">
        <v>135</v>
      </c>
      <c r="G325" s="4" t="n">
        <v>1</v>
      </c>
      <c r="H325" s="4" t="n">
        <v>130</v>
      </c>
      <c r="J325" s="4" t="s">
        <v>67</v>
      </c>
      <c r="K325" s="4" t="s">
        <v>82</v>
      </c>
    </row>
    <row r="326" customFormat="false" ht="15" hidden="false" customHeight="false" outlineLevel="0" collapsed="false">
      <c r="A326" s="4" t="s">
        <v>490</v>
      </c>
      <c r="B326" s="17" t="n">
        <v>45730</v>
      </c>
      <c r="C326" s="4" t="n">
        <v>9</v>
      </c>
      <c r="D326" s="4" t="s">
        <v>73</v>
      </c>
      <c r="E326" s="4" t="s">
        <v>99</v>
      </c>
      <c r="F326" s="4" t="s">
        <v>133</v>
      </c>
      <c r="G326" s="4" t="n">
        <v>4</v>
      </c>
      <c r="H326" s="4" t="n">
        <v>90</v>
      </c>
      <c r="I326" s="18" t="n">
        <v>0.05</v>
      </c>
      <c r="J326" s="4" t="s">
        <v>491</v>
      </c>
      <c r="K326" s="4" t="s">
        <v>82</v>
      </c>
    </row>
    <row r="327" customFormat="false" ht="15" hidden="false" customHeight="false" outlineLevel="0" collapsed="false">
      <c r="A327" s="4" t="s">
        <v>492</v>
      </c>
      <c r="B327" s="17" t="n">
        <v>45730</v>
      </c>
      <c r="C327" s="4" t="n">
        <v>10</v>
      </c>
      <c r="D327" s="4" t="s">
        <v>96</v>
      </c>
      <c r="E327" s="4" t="s">
        <v>65</v>
      </c>
      <c r="F327" s="4" t="s">
        <v>94</v>
      </c>
      <c r="G327" s="4" t="n">
        <v>1</v>
      </c>
      <c r="H327" s="4" t="n">
        <v>150</v>
      </c>
      <c r="I327" s="18" t="n">
        <v>0</v>
      </c>
      <c r="J327" s="4" t="s">
        <v>290</v>
      </c>
      <c r="K327" s="4" t="s">
        <v>68</v>
      </c>
    </row>
    <row r="328" customFormat="false" ht="15" hidden="false" customHeight="false" outlineLevel="0" collapsed="false">
      <c r="A328" s="4" t="s">
        <v>493</v>
      </c>
      <c r="B328" s="17" t="n">
        <v>45730</v>
      </c>
      <c r="C328" s="4" t="n">
        <v>12</v>
      </c>
      <c r="D328" s="4" t="s">
        <v>73</v>
      </c>
      <c r="E328" s="4" t="s">
        <v>74</v>
      </c>
      <c r="F328" s="4" t="s">
        <v>75</v>
      </c>
      <c r="G328" s="4" t="n">
        <v>1</v>
      </c>
      <c r="H328" s="4" t="n">
        <v>220</v>
      </c>
      <c r="I328" s="18" t="n">
        <v>0.15</v>
      </c>
      <c r="J328" s="4" t="s">
        <v>81</v>
      </c>
      <c r="K328" s="4" t="s">
        <v>82</v>
      </c>
    </row>
    <row r="329" customFormat="false" ht="15" hidden="false" customHeight="false" outlineLevel="0" collapsed="false">
      <c r="A329" s="4" t="s">
        <v>494</v>
      </c>
      <c r="B329" s="17" t="n">
        <v>45730</v>
      </c>
      <c r="C329" s="4" t="n">
        <v>19</v>
      </c>
      <c r="D329" s="4" t="s">
        <v>341</v>
      </c>
      <c r="E329" s="4" t="s">
        <v>65</v>
      </c>
      <c r="F329" s="4" t="s">
        <v>94</v>
      </c>
      <c r="G329" s="4" t="n">
        <v>1</v>
      </c>
      <c r="H329" s="4" t="n">
        <v>150</v>
      </c>
      <c r="J329" s="4" t="s">
        <v>88</v>
      </c>
      <c r="K329" s="4" t="s">
        <v>77</v>
      </c>
    </row>
    <row r="330" customFormat="false" ht="15" hidden="false" customHeight="false" outlineLevel="0" collapsed="false">
      <c r="A330" s="4" t="s">
        <v>495</v>
      </c>
      <c r="B330" s="17" t="n">
        <v>45731</v>
      </c>
      <c r="C330" s="4" t="n">
        <v>8</v>
      </c>
      <c r="D330" s="4" t="s">
        <v>98</v>
      </c>
      <c r="E330" s="4" t="s">
        <v>79</v>
      </c>
      <c r="F330" s="4" t="s">
        <v>80</v>
      </c>
      <c r="G330" s="4" t="n">
        <v>1</v>
      </c>
      <c r="H330" s="4" t="n">
        <v>160</v>
      </c>
      <c r="I330" s="18" t="n">
        <v>0</v>
      </c>
      <c r="J330" s="4" t="s">
        <v>81</v>
      </c>
      <c r="K330" s="4" t="s">
        <v>68</v>
      </c>
    </row>
    <row r="331" customFormat="false" ht="15" hidden="false" customHeight="false" outlineLevel="0" collapsed="false">
      <c r="A331" s="4" t="s">
        <v>496</v>
      </c>
      <c r="B331" s="17" t="n">
        <v>45731</v>
      </c>
      <c r="C331" s="4" t="n">
        <v>8</v>
      </c>
      <c r="D331" s="4" t="s">
        <v>73</v>
      </c>
      <c r="E331" s="4" t="s">
        <v>339</v>
      </c>
      <c r="F331" s="4" t="s">
        <v>135</v>
      </c>
      <c r="G331" s="4" t="n">
        <v>2</v>
      </c>
      <c r="H331" s="4" t="n">
        <v>130</v>
      </c>
      <c r="I331" s="18" t="n">
        <v>0</v>
      </c>
      <c r="J331" s="4" t="s">
        <v>81</v>
      </c>
      <c r="K331" s="4" t="s">
        <v>68</v>
      </c>
    </row>
    <row r="332" customFormat="false" ht="15" hidden="false" customHeight="false" outlineLevel="0" collapsed="false">
      <c r="A332" s="4" t="s">
        <v>497</v>
      </c>
      <c r="B332" s="17" t="n">
        <v>45731</v>
      </c>
      <c r="C332" s="4" t="n">
        <v>9</v>
      </c>
      <c r="D332" s="4" t="s">
        <v>64</v>
      </c>
      <c r="E332" s="4" t="s">
        <v>74</v>
      </c>
      <c r="F332" s="4" t="s">
        <v>91</v>
      </c>
      <c r="G332" s="4" t="n">
        <v>1</v>
      </c>
      <c r="H332" s="4" t="n">
        <v>200</v>
      </c>
      <c r="I332" s="18" t="n">
        <v>0.05</v>
      </c>
      <c r="J332" s="4" t="s">
        <v>67</v>
      </c>
      <c r="K332" s="4" t="s">
        <v>82</v>
      </c>
    </row>
    <row r="333" customFormat="false" ht="15" hidden="false" customHeight="false" outlineLevel="0" collapsed="false">
      <c r="A333" s="4" t="s">
        <v>498</v>
      </c>
      <c r="B333" s="4" t="s">
        <v>499</v>
      </c>
      <c r="C333" s="4" t="n">
        <v>12</v>
      </c>
      <c r="D333" s="4" t="s">
        <v>98</v>
      </c>
      <c r="E333" s="4" t="s">
        <v>65</v>
      </c>
      <c r="F333" s="4" t="s">
        <v>87</v>
      </c>
      <c r="G333" s="4" t="n">
        <v>2</v>
      </c>
      <c r="H333" s="4" t="n">
        <v>160</v>
      </c>
      <c r="I333" s="18" t="n">
        <v>0.1</v>
      </c>
      <c r="J333" s="4" t="s">
        <v>76</v>
      </c>
      <c r="K333" s="4" t="s">
        <v>71</v>
      </c>
    </row>
    <row r="334" customFormat="false" ht="15" hidden="false" customHeight="false" outlineLevel="0" collapsed="false">
      <c r="A334" s="4" t="s">
        <v>500</v>
      </c>
      <c r="B334" s="4" t="s">
        <v>499</v>
      </c>
      <c r="C334" s="4" t="n">
        <v>12</v>
      </c>
      <c r="D334" s="4" t="s">
        <v>98</v>
      </c>
      <c r="E334" s="4" t="s">
        <v>403</v>
      </c>
      <c r="F334" s="4" t="s">
        <v>133</v>
      </c>
      <c r="G334" s="4" t="n">
        <v>2</v>
      </c>
      <c r="H334" s="4" t="n">
        <v>90</v>
      </c>
      <c r="I334" s="18" t="n">
        <v>0</v>
      </c>
      <c r="J334" s="4" t="s">
        <v>76</v>
      </c>
      <c r="K334" s="4" t="s">
        <v>68</v>
      </c>
    </row>
    <row r="335" customFormat="false" ht="15" hidden="false" customHeight="false" outlineLevel="0" collapsed="false">
      <c r="A335" s="4" t="s">
        <v>501</v>
      </c>
      <c r="B335" s="17" t="n">
        <v>45731</v>
      </c>
      <c r="C335" s="4" t="n">
        <v>12</v>
      </c>
      <c r="D335" s="4" t="s">
        <v>98</v>
      </c>
      <c r="E335" s="4" t="s">
        <v>79</v>
      </c>
      <c r="F335" s="4" t="s">
        <v>80</v>
      </c>
      <c r="G335" s="4" t="n">
        <v>1</v>
      </c>
      <c r="H335" s="4" t="n">
        <v>160</v>
      </c>
      <c r="I335" s="18" t="n">
        <v>0.1</v>
      </c>
      <c r="J335" s="4" t="s">
        <v>76</v>
      </c>
      <c r="K335" s="4" t="s">
        <v>71</v>
      </c>
    </row>
    <row r="336" customFormat="false" ht="15" hidden="false" customHeight="false" outlineLevel="0" collapsed="false">
      <c r="A336" s="4" t="s">
        <v>502</v>
      </c>
      <c r="B336" s="17" t="n">
        <v>45731</v>
      </c>
      <c r="C336" s="4" t="n">
        <v>13</v>
      </c>
      <c r="D336" s="4" t="s">
        <v>64</v>
      </c>
      <c r="E336" s="4" t="s">
        <v>430</v>
      </c>
      <c r="F336" s="4" t="s">
        <v>94</v>
      </c>
      <c r="G336" s="4" t="n">
        <v>1</v>
      </c>
      <c r="H336" s="4" t="n">
        <v>150</v>
      </c>
      <c r="I336" s="18" t="n">
        <v>0</v>
      </c>
      <c r="J336" s="4" t="s">
        <v>67</v>
      </c>
      <c r="K336" s="4" t="s">
        <v>68</v>
      </c>
    </row>
    <row r="337" customFormat="false" ht="15" hidden="false" customHeight="false" outlineLevel="0" collapsed="false">
      <c r="A337" s="4" t="s">
        <v>503</v>
      </c>
      <c r="B337" s="17" t="n">
        <v>45731</v>
      </c>
      <c r="C337" s="4" t="n">
        <v>14</v>
      </c>
      <c r="D337" s="4" t="s">
        <v>70</v>
      </c>
      <c r="E337" s="4" t="s">
        <v>504</v>
      </c>
      <c r="F337" s="4" t="s">
        <v>106</v>
      </c>
      <c r="G337" s="4" t="n">
        <v>1</v>
      </c>
      <c r="H337" s="4" t="n">
        <v>60</v>
      </c>
      <c r="I337" s="18" t="n">
        <v>0.1</v>
      </c>
      <c r="J337" s="4" t="s">
        <v>81</v>
      </c>
      <c r="K337" s="4" t="s">
        <v>71</v>
      </c>
    </row>
    <row r="338" customFormat="false" ht="15" hidden="false" customHeight="false" outlineLevel="0" collapsed="false">
      <c r="A338" s="4" t="s">
        <v>505</v>
      </c>
      <c r="B338" s="17" t="n">
        <v>45731</v>
      </c>
      <c r="C338" s="4" t="n">
        <v>15</v>
      </c>
      <c r="D338" s="4" t="s">
        <v>64</v>
      </c>
      <c r="E338" s="4" t="s">
        <v>65</v>
      </c>
      <c r="F338" s="4" t="s">
        <v>121</v>
      </c>
      <c r="G338" s="4" t="n">
        <v>1</v>
      </c>
      <c r="H338" s="4" t="n">
        <v>170</v>
      </c>
      <c r="I338" s="18" t="n">
        <v>0</v>
      </c>
      <c r="J338" s="4" t="s">
        <v>76</v>
      </c>
      <c r="K338" s="4" t="s">
        <v>68</v>
      </c>
    </row>
    <row r="339" customFormat="false" ht="15" hidden="false" customHeight="false" outlineLevel="0" collapsed="false">
      <c r="A339" s="4" t="s">
        <v>506</v>
      </c>
      <c r="B339" s="17" t="n">
        <v>45731</v>
      </c>
      <c r="C339" s="4" t="n">
        <v>16</v>
      </c>
      <c r="D339" s="4" t="s">
        <v>70</v>
      </c>
      <c r="E339" s="4" t="s">
        <v>99</v>
      </c>
      <c r="F339" s="4" t="s">
        <v>100</v>
      </c>
      <c r="G339" s="4" t="n">
        <v>2</v>
      </c>
      <c r="H339" s="4" t="n">
        <v>110</v>
      </c>
      <c r="I339" s="18" t="n">
        <v>0</v>
      </c>
      <c r="J339" s="4" t="s">
        <v>88</v>
      </c>
      <c r="K339" s="4" t="s">
        <v>68</v>
      </c>
    </row>
    <row r="340" customFormat="false" ht="15" hidden="false" customHeight="false" outlineLevel="0" collapsed="false">
      <c r="A340" s="4" t="s">
        <v>507</v>
      </c>
      <c r="B340" s="17" t="n">
        <v>45731</v>
      </c>
      <c r="C340" s="4" t="n">
        <v>20</v>
      </c>
      <c r="D340" s="4" t="s">
        <v>70</v>
      </c>
      <c r="E340" s="4" t="s">
        <v>65</v>
      </c>
      <c r="F340" s="4" t="s">
        <v>94</v>
      </c>
      <c r="G340" s="4" t="n">
        <v>1</v>
      </c>
      <c r="H340" s="4" t="n">
        <v>150</v>
      </c>
      <c r="I340" s="18" t="n">
        <v>0</v>
      </c>
      <c r="J340" s="4" t="s">
        <v>81</v>
      </c>
      <c r="K340" s="4" t="s">
        <v>77</v>
      </c>
    </row>
    <row r="341" customFormat="false" ht="15" hidden="false" customHeight="false" outlineLevel="0" collapsed="false">
      <c r="A341" s="4" t="s">
        <v>508</v>
      </c>
      <c r="B341" s="17" t="n">
        <v>45732</v>
      </c>
      <c r="C341" s="4" t="n">
        <v>11</v>
      </c>
      <c r="D341" s="4" t="s">
        <v>70</v>
      </c>
      <c r="E341" s="4" t="s">
        <v>84</v>
      </c>
      <c r="F341" s="4" t="s">
        <v>117</v>
      </c>
      <c r="G341" s="4" t="n">
        <v>1</v>
      </c>
      <c r="H341" s="4" t="n">
        <v>95</v>
      </c>
      <c r="J341" s="4" t="s">
        <v>81</v>
      </c>
      <c r="K341" s="4" t="s">
        <v>82</v>
      </c>
    </row>
    <row r="342" customFormat="false" ht="15" hidden="false" customHeight="false" outlineLevel="0" collapsed="false">
      <c r="A342" s="4" t="s">
        <v>509</v>
      </c>
      <c r="B342" s="17" t="n">
        <v>45733</v>
      </c>
      <c r="C342" s="4" t="n">
        <v>8</v>
      </c>
      <c r="D342" s="4" t="s">
        <v>64</v>
      </c>
      <c r="E342" s="4" t="s">
        <v>65</v>
      </c>
      <c r="F342" s="4" t="s">
        <v>66</v>
      </c>
      <c r="G342" s="4" t="n">
        <v>1</v>
      </c>
      <c r="H342" s="4" t="n">
        <v>120</v>
      </c>
      <c r="I342" s="18" t="n">
        <v>0</v>
      </c>
      <c r="J342" s="4" t="s">
        <v>112</v>
      </c>
      <c r="K342" s="4" t="s">
        <v>77</v>
      </c>
    </row>
    <row r="343" customFormat="false" ht="15" hidden="false" customHeight="false" outlineLevel="0" collapsed="false">
      <c r="A343" s="4" t="s">
        <v>510</v>
      </c>
      <c r="B343" s="17" t="n">
        <v>45733</v>
      </c>
      <c r="C343" s="4" t="n">
        <v>15</v>
      </c>
      <c r="D343" s="4" t="s">
        <v>153</v>
      </c>
      <c r="E343" s="4" t="s">
        <v>84</v>
      </c>
      <c r="F343" s="4" t="s">
        <v>511</v>
      </c>
      <c r="G343" s="4" t="n">
        <v>3</v>
      </c>
      <c r="H343" s="4" t="n">
        <v>85</v>
      </c>
      <c r="I343" s="18" t="n">
        <v>0.05</v>
      </c>
      <c r="J343" s="4" t="s">
        <v>76</v>
      </c>
      <c r="K343" s="4" t="s">
        <v>82</v>
      </c>
    </row>
    <row r="344" customFormat="false" ht="15" hidden="false" customHeight="false" outlineLevel="0" collapsed="false">
      <c r="A344" s="4" t="s">
        <v>512</v>
      </c>
      <c r="B344" s="17" t="n">
        <v>45733</v>
      </c>
      <c r="C344" s="4" t="n">
        <v>17</v>
      </c>
      <c r="D344" s="4" t="s">
        <v>98</v>
      </c>
      <c r="E344" s="4" t="s">
        <v>65</v>
      </c>
      <c r="F344" s="4" t="s">
        <v>66</v>
      </c>
      <c r="G344" s="4" t="n">
        <v>3</v>
      </c>
      <c r="H344" s="4" t="n">
        <v>120</v>
      </c>
      <c r="I344" s="18" t="n">
        <v>0.05</v>
      </c>
      <c r="J344" s="4" t="s">
        <v>81</v>
      </c>
      <c r="K344" s="4" t="s">
        <v>82</v>
      </c>
    </row>
    <row r="345" customFormat="false" ht="15" hidden="false" customHeight="false" outlineLevel="0" collapsed="false">
      <c r="A345" s="4" t="s">
        <v>513</v>
      </c>
      <c r="B345" s="4" t="s">
        <v>514</v>
      </c>
      <c r="C345" s="4" t="n">
        <v>18</v>
      </c>
      <c r="D345" s="4" t="s">
        <v>73</v>
      </c>
      <c r="E345" s="4" t="s">
        <v>84</v>
      </c>
      <c r="F345" s="4" t="s">
        <v>106</v>
      </c>
      <c r="G345" s="4" t="n">
        <v>1</v>
      </c>
      <c r="H345" s="4" t="n">
        <v>60</v>
      </c>
      <c r="I345" s="18" t="n">
        <v>0</v>
      </c>
      <c r="K345" s="4" t="s">
        <v>68</v>
      </c>
    </row>
    <row r="346" customFormat="false" ht="15" hidden="false" customHeight="false" outlineLevel="0" collapsed="false">
      <c r="A346" s="4" t="s">
        <v>515</v>
      </c>
      <c r="B346" s="17" t="n">
        <v>45734</v>
      </c>
      <c r="C346" s="4" t="n">
        <v>9</v>
      </c>
      <c r="D346" s="4" t="s">
        <v>70</v>
      </c>
      <c r="E346" s="4" t="s">
        <v>99</v>
      </c>
      <c r="F346" s="4" t="s">
        <v>109</v>
      </c>
      <c r="G346" s="4" t="n">
        <v>3</v>
      </c>
      <c r="H346" s="4" t="n">
        <v>130</v>
      </c>
      <c r="I346" s="18" t="n">
        <v>0</v>
      </c>
      <c r="J346" s="4" t="s">
        <v>67</v>
      </c>
      <c r="K346" s="4" t="s">
        <v>68</v>
      </c>
    </row>
    <row r="347" customFormat="false" ht="15" hidden="false" customHeight="false" outlineLevel="0" collapsed="false">
      <c r="A347" s="4" t="s">
        <v>516</v>
      </c>
      <c r="B347" s="17" t="n">
        <v>45734</v>
      </c>
      <c r="C347" s="4" t="n">
        <v>10</v>
      </c>
      <c r="D347" s="4" t="s">
        <v>172</v>
      </c>
      <c r="E347" s="4" t="s">
        <v>79</v>
      </c>
      <c r="F347" s="4" t="s">
        <v>517</v>
      </c>
      <c r="G347" s="4" t="n">
        <v>3</v>
      </c>
      <c r="H347" s="4" t="n">
        <v>120</v>
      </c>
      <c r="I347" s="18" t="n">
        <v>0.1</v>
      </c>
      <c r="J347" s="4" t="s">
        <v>67</v>
      </c>
      <c r="K347" s="4" t="s">
        <v>71</v>
      </c>
    </row>
    <row r="348" customFormat="false" ht="15" hidden="false" customHeight="false" outlineLevel="0" collapsed="false">
      <c r="A348" s="4" t="s">
        <v>518</v>
      </c>
      <c r="B348" s="17" t="n">
        <v>45734</v>
      </c>
      <c r="C348" s="4" t="n">
        <v>13</v>
      </c>
      <c r="D348" s="4" t="s">
        <v>64</v>
      </c>
      <c r="E348" s="4" t="s">
        <v>65</v>
      </c>
      <c r="F348" s="4" t="s">
        <v>66</v>
      </c>
      <c r="G348" s="4" t="n">
        <v>3</v>
      </c>
      <c r="H348" s="4" t="n">
        <v>120</v>
      </c>
      <c r="I348" s="18" t="n">
        <v>0</v>
      </c>
      <c r="J348" s="4" t="s">
        <v>88</v>
      </c>
      <c r="K348" s="4" t="s">
        <v>77</v>
      </c>
    </row>
    <row r="349" customFormat="false" ht="15" hidden="false" customHeight="false" outlineLevel="0" collapsed="false">
      <c r="A349" s="4" t="s">
        <v>519</v>
      </c>
      <c r="B349" s="17" t="n">
        <v>45734</v>
      </c>
      <c r="C349" s="4" t="n">
        <v>13</v>
      </c>
      <c r="D349" s="4" t="s">
        <v>64</v>
      </c>
      <c r="E349" s="4" t="s">
        <v>99</v>
      </c>
      <c r="F349" s="4" t="s">
        <v>102</v>
      </c>
      <c r="G349" s="4" t="n">
        <v>1</v>
      </c>
      <c r="H349" s="4" t="n">
        <v>140</v>
      </c>
      <c r="I349" s="18" t="n">
        <v>0.1</v>
      </c>
      <c r="J349" s="4" t="s">
        <v>67</v>
      </c>
      <c r="K349" s="4" t="s">
        <v>71</v>
      </c>
    </row>
    <row r="350" customFormat="false" ht="15" hidden="false" customHeight="false" outlineLevel="0" collapsed="false">
      <c r="A350" s="4" t="s">
        <v>520</v>
      </c>
      <c r="B350" s="17" t="n">
        <v>45735</v>
      </c>
      <c r="C350" s="4" t="n">
        <v>11</v>
      </c>
      <c r="D350" s="4" t="s">
        <v>70</v>
      </c>
      <c r="E350" s="4" t="s">
        <v>65</v>
      </c>
      <c r="F350" s="4" t="s">
        <v>121</v>
      </c>
      <c r="G350" s="4" t="n">
        <v>3</v>
      </c>
      <c r="H350" s="4" t="n">
        <v>170</v>
      </c>
      <c r="I350" s="18" t="n">
        <v>0</v>
      </c>
      <c r="J350" s="4" t="s">
        <v>67</v>
      </c>
      <c r="K350" s="4" t="s">
        <v>77</v>
      </c>
    </row>
    <row r="351" customFormat="false" ht="15" hidden="false" customHeight="false" outlineLevel="0" collapsed="false">
      <c r="A351" s="4" t="s">
        <v>521</v>
      </c>
      <c r="B351" s="4" t="s">
        <v>522</v>
      </c>
      <c r="C351" s="4" t="n">
        <v>11</v>
      </c>
      <c r="D351" s="4" t="s">
        <v>64</v>
      </c>
      <c r="E351" s="4" t="s">
        <v>79</v>
      </c>
      <c r="F351" s="4" t="s">
        <v>148</v>
      </c>
      <c r="G351" s="4" t="n">
        <v>1</v>
      </c>
      <c r="H351" s="4" t="n">
        <v>120</v>
      </c>
      <c r="I351" s="18" t="n">
        <v>0.05</v>
      </c>
      <c r="J351" s="4" t="s">
        <v>81</v>
      </c>
      <c r="K351" s="4" t="s">
        <v>82</v>
      </c>
    </row>
    <row r="352" customFormat="false" ht="15" hidden="false" customHeight="false" outlineLevel="0" collapsed="false">
      <c r="A352" s="4" t="s">
        <v>523</v>
      </c>
      <c r="B352" s="17" t="n">
        <v>45735</v>
      </c>
      <c r="C352" s="4" t="n">
        <v>11</v>
      </c>
      <c r="D352" s="4" t="s">
        <v>70</v>
      </c>
      <c r="E352" s="4" t="s">
        <v>65</v>
      </c>
      <c r="F352" s="4" t="s">
        <v>121</v>
      </c>
      <c r="G352" s="4" t="n">
        <v>2</v>
      </c>
      <c r="H352" s="4" t="n">
        <v>170</v>
      </c>
      <c r="I352" s="18" t="n">
        <v>0</v>
      </c>
      <c r="J352" s="4" t="s">
        <v>67</v>
      </c>
      <c r="K352" s="4" t="s">
        <v>68</v>
      </c>
    </row>
    <row r="353" customFormat="false" ht="15" hidden="false" customHeight="false" outlineLevel="0" collapsed="false">
      <c r="A353" s="4" t="s">
        <v>524</v>
      </c>
      <c r="B353" s="17" t="n">
        <v>45735</v>
      </c>
      <c r="C353" s="4" t="n">
        <v>12</v>
      </c>
      <c r="D353" s="4" t="s">
        <v>64</v>
      </c>
      <c r="E353" s="4" t="s">
        <v>84</v>
      </c>
      <c r="F353" s="4" t="s">
        <v>117</v>
      </c>
      <c r="G353" s="4" t="n">
        <v>2</v>
      </c>
      <c r="H353" s="4" t="n">
        <v>95</v>
      </c>
      <c r="I353" s="18" t="n">
        <v>0.1</v>
      </c>
      <c r="J353" s="4" t="s">
        <v>76</v>
      </c>
      <c r="K353" s="4" t="s">
        <v>71</v>
      </c>
    </row>
    <row r="354" customFormat="false" ht="15" hidden="false" customHeight="false" outlineLevel="0" collapsed="false">
      <c r="A354" s="4" t="s">
        <v>525</v>
      </c>
      <c r="B354" s="17" t="n">
        <v>45735</v>
      </c>
      <c r="C354" s="4" t="n">
        <v>15</v>
      </c>
      <c r="D354" s="4" t="s">
        <v>98</v>
      </c>
      <c r="E354" s="4" t="s">
        <v>79</v>
      </c>
      <c r="F354" s="4" t="s">
        <v>135</v>
      </c>
      <c r="H354" s="4" t="n">
        <v>130</v>
      </c>
      <c r="I354" s="18" t="n">
        <v>0</v>
      </c>
      <c r="J354" s="4" t="s">
        <v>88</v>
      </c>
      <c r="K354" s="4" t="s">
        <v>77</v>
      </c>
    </row>
    <row r="355" customFormat="false" ht="15" hidden="false" customHeight="false" outlineLevel="0" collapsed="false">
      <c r="A355" s="4" t="s">
        <v>526</v>
      </c>
      <c r="B355" s="17" t="n">
        <v>45735</v>
      </c>
      <c r="C355" s="4" t="n">
        <v>16</v>
      </c>
      <c r="D355" s="4" t="s">
        <v>64</v>
      </c>
      <c r="E355" s="4" t="s">
        <v>99</v>
      </c>
      <c r="F355" s="4" t="s">
        <v>102</v>
      </c>
      <c r="G355" s="4" t="n">
        <v>2</v>
      </c>
      <c r="H355" s="4" t="n">
        <v>140</v>
      </c>
      <c r="I355" s="18" t="n">
        <v>0.1</v>
      </c>
      <c r="J355" s="4" t="s">
        <v>76</v>
      </c>
      <c r="K355" s="4" t="s">
        <v>71</v>
      </c>
    </row>
    <row r="356" customFormat="false" ht="15" hidden="false" customHeight="false" outlineLevel="0" collapsed="false">
      <c r="A356" s="4" t="s">
        <v>527</v>
      </c>
      <c r="B356" s="17" t="n">
        <v>45735</v>
      </c>
      <c r="C356" s="4" t="n">
        <v>17</v>
      </c>
      <c r="D356" s="4" t="s">
        <v>70</v>
      </c>
      <c r="E356" s="4" t="s">
        <v>65</v>
      </c>
      <c r="F356" s="4" t="s">
        <v>270</v>
      </c>
      <c r="G356" s="4" t="n">
        <v>1</v>
      </c>
      <c r="H356" s="4" t="n">
        <v>150</v>
      </c>
      <c r="I356" s="18" t="n">
        <v>0.1</v>
      </c>
      <c r="J356" s="4" t="s">
        <v>67</v>
      </c>
      <c r="K356" s="4" t="s">
        <v>71</v>
      </c>
    </row>
    <row r="357" customFormat="false" ht="15" hidden="false" customHeight="false" outlineLevel="0" collapsed="false">
      <c r="A357" s="4" t="s">
        <v>528</v>
      </c>
      <c r="B357" s="17" t="n">
        <v>45736</v>
      </c>
      <c r="C357" s="4" t="n">
        <v>8</v>
      </c>
      <c r="D357" s="4" t="s">
        <v>64</v>
      </c>
      <c r="E357" s="4" t="s">
        <v>74</v>
      </c>
      <c r="F357" s="4" t="s">
        <v>75</v>
      </c>
      <c r="G357" s="4" t="n">
        <v>1</v>
      </c>
      <c r="H357" s="4" t="n">
        <v>220</v>
      </c>
      <c r="I357" s="18" t="n">
        <v>0.1</v>
      </c>
      <c r="J357" s="4" t="s">
        <v>67</v>
      </c>
      <c r="K357" s="4" t="s">
        <v>71</v>
      </c>
    </row>
    <row r="358" customFormat="false" ht="15" hidden="false" customHeight="false" outlineLevel="0" collapsed="false">
      <c r="A358" s="4" t="s">
        <v>529</v>
      </c>
      <c r="B358" s="17" t="n">
        <v>45736</v>
      </c>
      <c r="C358" s="4" t="n">
        <v>16</v>
      </c>
      <c r="D358" s="4" t="s">
        <v>64</v>
      </c>
      <c r="E358" s="4" t="s">
        <v>84</v>
      </c>
      <c r="F358" s="4" t="s">
        <v>114</v>
      </c>
      <c r="G358" s="4" t="n">
        <v>2</v>
      </c>
      <c r="H358" s="4" t="n">
        <v>85</v>
      </c>
      <c r="I358" s="18" t="n">
        <v>0.05</v>
      </c>
      <c r="J358" s="4" t="s">
        <v>112</v>
      </c>
      <c r="K358" s="4" t="s">
        <v>82</v>
      </c>
    </row>
    <row r="359" customFormat="false" ht="15" hidden="false" customHeight="false" outlineLevel="0" collapsed="false">
      <c r="A359" s="4" t="s">
        <v>530</v>
      </c>
      <c r="B359" s="17" t="n">
        <v>45736</v>
      </c>
      <c r="C359" s="4" t="n">
        <v>17</v>
      </c>
      <c r="D359" s="4" t="s">
        <v>73</v>
      </c>
      <c r="E359" s="4" t="s">
        <v>99</v>
      </c>
      <c r="F359" s="4" t="s">
        <v>109</v>
      </c>
      <c r="G359" s="4" t="n">
        <v>3</v>
      </c>
      <c r="H359" s="4" t="n">
        <v>130</v>
      </c>
      <c r="I359" s="18" t="n">
        <v>0.05</v>
      </c>
      <c r="J359" s="4" t="s">
        <v>67</v>
      </c>
      <c r="K359" s="4" t="s">
        <v>82</v>
      </c>
    </row>
    <row r="360" customFormat="false" ht="15" hidden="false" customHeight="false" outlineLevel="0" collapsed="false">
      <c r="A360" s="4" t="s">
        <v>531</v>
      </c>
      <c r="B360" s="17" t="n">
        <v>45737</v>
      </c>
      <c r="C360" s="4" t="n">
        <v>9</v>
      </c>
      <c r="D360" s="4" t="s">
        <v>70</v>
      </c>
      <c r="E360" s="4" t="s">
        <v>65</v>
      </c>
      <c r="F360" s="4" t="s">
        <v>94</v>
      </c>
      <c r="G360" s="4" t="n">
        <v>1</v>
      </c>
      <c r="H360" s="4" t="n">
        <v>150</v>
      </c>
      <c r="I360" s="18" t="n">
        <v>0</v>
      </c>
      <c r="J360" s="4" t="s">
        <v>81</v>
      </c>
      <c r="K360" s="4" t="s">
        <v>68</v>
      </c>
    </row>
    <row r="361" customFormat="false" ht="15" hidden="false" customHeight="false" outlineLevel="0" collapsed="false">
      <c r="A361" s="4" t="s">
        <v>532</v>
      </c>
      <c r="B361" s="17" t="n">
        <v>45737</v>
      </c>
      <c r="C361" s="4" t="n">
        <v>10</v>
      </c>
      <c r="D361" s="4" t="s">
        <v>225</v>
      </c>
      <c r="E361" s="4" t="s">
        <v>99</v>
      </c>
      <c r="F361" s="4" t="s">
        <v>102</v>
      </c>
      <c r="G361" s="4" t="n">
        <v>1</v>
      </c>
      <c r="H361" s="4" t="n">
        <v>140</v>
      </c>
      <c r="I361" s="18" t="n">
        <v>0.1</v>
      </c>
      <c r="J361" s="4" t="s">
        <v>81</v>
      </c>
      <c r="K361" s="4" t="s">
        <v>71</v>
      </c>
    </row>
    <row r="362" customFormat="false" ht="15" hidden="false" customHeight="false" outlineLevel="0" collapsed="false">
      <c r="A362" s="4" t="s">
        <v>533</v>
      </c>
      <c r="B362" s="17" t="n">
        <v>45737</v>
      </c>
      <c r="C362" s="4" t="n">
        <v>11</v>
      </c>
      <c r="D362" s="4" t="s">
        <v>70</v>
      </c>
      <c r="E362" s="4" t="s">
        <v>65</v>
      </c>
      <c r="F362" s="4" t="s">
        <v>94</v>
      </c>
      <c r="G362" s="4" t="n">
        <v>3</v>
      </c>
      <c r="H362" s="4" t="n">
        <v>150</v>
      </c>
      <c r="I362" s="18" t="n">
        <v>0</v>
      </c>
      <c r="J362" s="4" t="s">
        <v>112</v>
      </c>
      <c r="K362" s="4" t="s">
        <v>68</v>
      </c>
    </row>
    <row r="363" customFormat="false" ht="15" hidden="false" customHeight="false" outlineLevel="0" collapsed="false">
      <c r="A363" s="4" t="s">
        <v>534</v>
      </c>
      <c r="B363" s="17" t="n">
        <v>45737</v>
      </c>
      <c r="C363" s="4" t="n">
        <v>13</v>
      </c>
      <c r="D363" s="4" t="s">
        <v>70</v>
      </c>
      <c r="E363" s="4" t="s">
        <v>65</v>
      </c>
      <c r="F363" s="4" t="s">
        <v>87</v>
      </c>
      <c r="G363" s="4" t="n">
        <v>1</v>
      </c>
      <c r="H363" s="4" t="n">
        <v>160</v>
      </c>
      <c r="I363" s="18" t="n">
        <v>0.15</v>
      </c>
      <c r="J363" s="4" t="s">
        <v>67</v>
      </c>
      <c r="K363" s="4" t="s">
        <v>82</v>
      </c>
    </row>
    <row r="364" customFormat="false" ht="15" hidden="false" customHeight="false" outlineLevel="0" collapsed="false">
      <c r="A364" s="4" t="s">
        <v>535</v>
      </c>
      <c r="B364" s="4" t="s">
        <v>536</v>
      </c>
      <c r="C364" s="4" t="n">
        <v>16</v>
      </c>
      <c r="D364" s="4" t="s">
        <v>64</v>
      </c>
      <c r="E364" s="4" t="s">
        <v>65</v>
      </c>
      <c r="F364" s="4" t="s">
        <v>94</v>
      </c>
      <c r="G364" s="4" t="n">
        <v>1</v>
      </c>
      <c r="H364" s="4" t="n">
        <v>150</v>
      </c>
      <c r="I364" s="18" t="n">
        <v>0</v>
      </c>
      <c r="J364" s="4" t="s">
        <v>76</v>
      </c>
      <c r="K364" s="4" t="s">
        <v>68</v>
      </c>
    </row>
    <row r="365" customFormat="false" ht="15" hidden="false" customHeight="false" outlineLevel="0" collapsed="false">
      <c r="A365" s="4" t="s">
        <v>537</v>
      </c>
      <c r="B365" s="17" t="n">
        <v>45737</v>
      </c>
      <c r="C365" s="4" t="n">
        <v>16</v>
      </c>
      <c r="D365" s="4" t="s">
        <v>70</v>
      </c>
      <c r="E365" s="4" t="s">
        <v>65</v>
      </c>
      <c r="F365" s="4" t="s">
        <v>121</v>
      </c>
      <c r="G365" s="4" t="n">
        <v>1</v>
      </c>
      <c r="H365" s="4" t="n">
        <v>170</v>
      </c>
      <c r="I365" s="18" t="n">
        <v>0.05</v>
      </c>
      <c r="J365" s="4" t="s">
        <v>81</v>
      </c>
      <c r="K365" s="4" t="s">
        <v>82</v>
      </c>
    </row>
    <row r="366" customFormat="false" ht="15" hidden="false" customHeight="false" outlineLevel="0" collapsed="false">
      <c r="A366" s="4" t="s">
        <v>538</v>
      </c>
      <c r="B366" s="17" t="n">
        <v>45737</v>
      </c>
      <c r="C366" s="4" t="n">
        <v>17</v>
      </c>
      <c r="D366" s="4" t="s">
        <v>70</v>
      </c>
      <c r="E366" s="4" t="s">
        <v>99</v>
      </c>
      <c r="F366" s="4" t="s">
        <v>539</v>
      </c>
      <c r="G366" s="4" t="n">
        <v>1</v>
      </c>
      <c r="H366" s="4" t="n">
        <v>130</v>
      </c>
      <c r="I366" s="18" t="n">
        <v>0.1</v>
      </c>
      <c r="J366" s="4" t="s">
        <v>76</v>
      </c>
      <c r="K366" s="4" t="s">
        <v>71</v>
      </c>
    </row>
    <row r="367" customFormat="false" ht="15" hidden="false" customHeight="false" outlineLevel="0" collapsed="false">
      <c r="A367" s="4" t="s">
        <v>540</v>
      </c>
      <c r="B367" s="4" t="s">
        <v>541</v>
      </c>
      <c r="C367" s="4" t="n">
        <v>12</v>
      </c>
      <c r="D367" s="4" t="s">
        <v>98</v>
      </c>
      <c r="E367" s="4" t="s">
        <v>74</v>
      </c>
      <c r="F367" s="4" t="s">
        <v>91</v>
      </c>
      <c r="G367" s="4" t="n">
        <v>1</v>
      </c>
      <c r="H367" s="4" t="n">
        <v>200</v>
      </c>
      <c r="I367" s="18" t="n">
        <v>0.05</v>
      </c>
      <c r="J367" s="4" t="s">
        <v>67</v>
      </c>
      <c r="K367" s="4" t="s">
        <v>82</v>
      </c>
    </row>
    <row r="368" customFormat="false" ht="15" hidden="false" customHeight="false" outlineLevel="0" collapsed="false">
      <c r="A368" s="4" t="s">
        <v>542</v>
      </c>
      <c r="B368" s="17" t="n">
        <v>45738</v>
      </c>
      <c r="C368" s="4" t="n">
        <v>14</v>
      </c>
      <c r="D368" s="4" t="s">
        <v>98</v>
      </c>
      <c r="E368" s="4" t="s">
        <v>79</v>
      </c>
      <c r="F368" s="4" t="s">
        <v>148</v>
      </c>
      <c r="G368" s="4" t="n">
        <v>1</v>
      </c>
      <c r="H368" s="4" t="n">
        <v>120</v>
      </c>
      <c r="I368" s="18" t="n">
        <v>0</v>
      </c>
      <c r="J368" s="4" t="s">
        <v>67</v>
      </c>
      <c r="K368" s="4" t="s">
        <v>77</v>
      </c>
    </row>
    <row r="369" customFormat="false" ht="15" hidden="false" customHeight="false" outlineLevel="0" collapsed="false">
      <c r="A369" s="4" t="s">
        <v>543</v>
      </c>
      <c r="B369" s="17" t="n">
        <v>45739</v>
      </c>
      <c r="C369" s="4" t="n">
        <v>12</v>
      </c>
      <c r="D369" s="4" t="s">
        <v>119</v>
      </c>
      <c r="E369" s="4" t="s">
        <v>84</v>
      </c>
      <c r="F369" s="4" t="s">
        <v>106</v>
      </c>
      <c r="G369" s="4" t="n">
        <v>1</v>
      </c>
      <c r="H369" s="4" t="n">
        <v>60</v>
      </c>
      <c r="I369" s="18" t="n">
        <v>0</v>
      </c>
      <c r="J369" s="4" t="s">
        <v>81</v>
      </c>
      <c r="K369" s="4" t="s">
        <v>68</v>
      </c>
    </row>
    <row r="370" customFormat="false" ht="15" hidden="false" customHeight="false" outlineLevel="0" collapsed="false">
      <c r="A370" s="4" t="s">
        <v>544</v>
      </c>
      <c r="B370" s="17" t="n">
        <v>45739</v>
      </c>
      <c r="C370" s="4" t="n">
        <v>18</v>
      </c>
      <c r="D370" s="4" t="s">
        <v>70</v>
      </c>
      <c r="E370" s="4" t="s">
        <v>99</v>
      </c>
      <c r="F370" s="4" t="s">
        <v>102</v>
      </c>
      <c r="G370" s="4" t="n">
        <v>1</v>
      </c>
      <c r="H370" s="4" t="n">
        <v>140</v>
      </c>
      <c r="I370" s="18" t="n">
        <v>0</v>
      </c>
      <c r="J370" s="4" t="s">
        <v>67</v>
      </c>
      <c r="K370" s="4" t="s">
        <v>68</v>
      </c>
    </row>
    <row r="371" customFormat="false" ht="15" hidden="false" customHeight="false" outlineLevel="0" collapsed="false">
      <c r="A371" s="4" t="s">
        <v>545</v>
      </c>
      <c r="B371" s="17" t="n">
        <v>45740</v>
      </c>
      <c r="C371" s="4" t="n">
        <v>8</v>
      </c>
      <c r="D371" s="4" t="s">
        <v>70</v>
      </c>
      <c r="E371" s="4" t="s">
        <v>79</v>
      </c>
      <c r="F371" s="4" t="s">
        <v>135</v>
      </c>
      <c r="G371" s="4" t="n">
        <v>1</v>
      </c>
      <c r="H371" s="4" t="n">
        <v>130</v>
      </c>
      <c r="I371" s="18" t="n">
        <v>0</v>
      </c>
      <c r="J371" s="4" t="s">
        <v>76</v>
      </c>
      <c r="K371" s="4" t="s">
        <v>68</v>
      </c>
    </row>
    <row r="372" customFormat="false" ht="15" hidden="false" customHeight="false" outlineLevel="0" collapsed="false">
      <c r="A372" s="4" t="s">
        <v>546</v>
      </c>
      <c r="B372" s="4" t="s">
        <v>547</v>
      </c>
      <c r="C372" s="4" t="n">
        <v>13</v>
      </c>
      <c r="D372" s="4" t="s">
        <v>70</v>
      </c>
      <c r="E372" s="4" t="s">
        <v>74</v>
      </c>
      <c r="F372" s="4" t="s">
        <v>75</v>
      </c>
      <c r="G372" s="4" t="n">
        <v>1</v>
      </c>
      <c r="H372" s="4" t="n">
        <v>220</v>
      </c>
      <c r="I372" s="18" t="n">
        <v>0.05</v>
      </c>
      <c r="J372" s="4" t="s">
        <v>67</v>
      </c>
      <c r="K372" s="4" t="s">
        <v>82</v>
      </c>
    </row>
    <row r="373" customFormat="false" ht="15" hidden="false" customHeight="false" outlineLevel="0" collapsed="false">
      <c r="A373" s="4" t="s">
        <v>548</v>
      </c>
      <c r="B373" s="4" t="s">
        <v>547</v>
      </c>
      <c r="C373" s="4" t="n">
        <v>16</v>
      </c>
      <c r="D373" s="4" t="s">
        <v>73</v>
      </c>
      <c r="E373" s="4" t="s">
        <v>99</v>
      </c>
      <c r="F373" s="4" t="s">
        <v>133</v>
      </c>
      <c r="G373" s="4" t="n">
        <v>1</v>
      </c>
      <c r="H373" s="4" t="n">
        <v>90</v>
      </c>
      <c r="I373" s="18" t="n">
        <v>0</v>
      </c>
      <c r="J373" s="4" t="s">
        <v>88</v>
      </c>
      <c r="K373" s="4" t="s">
        <v>77</v>
      </c>
    </row>
    <row r="374" customFormat="false" ht="15" hidden="false" customHeight="false" outlineLevel="0" collapsed="false">
      <c r="A374" s="4" t="s">
        <v>549</v>
      </c>
      <c r="B374" s="17" t="n">
        <v>45740</v>
      </c>
      <c r="C374" s="4" t="n">
        <v>16</v>
      </c>
      <c r="D374" s="4" t="s">
        <v>70</v>
      </c>
      <c r="E374" s="4" t="s">
        <v>65</v>
      </c>
      <c r="F374" s="4" t="s">
        <v>121</v>
      </c>
      <c r="G374" s="4" t="n">
        <v>2</v>
      </c>
      <c r="H374" s="4" t="n">
        <v>170</v>
      </c>
      <c r="I374" s="18" t="n">
        <v>0.05</v>
      </c>
      <c r="J374" s="4" t="s">
        <v>67</v>
      </c>
      <c r="K374" s="4" t="s">
        <v>82</v>
      </c>
    </row>
    <row r="375" customFormat="false" ht="15" hidden="false" customHeight="false" outlineLevel="0" collapsed="false">
      <c r="A375" s="4" t="s">
        <v>550</v>
      </c>
      <c r="B375" s="17" t="n">
        <v>45740</v>
      </c>
      <c r="C375" s="4" t="n">
        <v>18</v>
      </c>
      <c r="D375" s="4" t="s">
        <v>70</v>
      </c>
      <c r="E375" s="4" t="s">
        <v>65</v>
      </c>
      <c r="F375" s="4" t="s">
        <v>66</v>
      </c>
      <c r="G375" s="4" t="n">
        <v>1</v>
      </c>
      <c r="H375" s="4" t="n">
        <v>120</v>
      </c>
      <c r="I375" s="18" t="n">
        <v>0.05</v>
      </c>
      <c r="J375" s="4" t="s">
        <v>76</v>
      </c>
      <c r="K375" s="4" t="s">
        <v>82</v>
      </c>
    </row>
    <row r="376" customFormat="false" ht="15" hidden="false" customHeight="false" outlineLevel="0" collapsed="false">
      <c r="A376" s="4" t="s">
        <v>551</v>
      </c>
      <c r="B376" s="17" t="n">
        <v>45741</v>
      </c>
      <c r="C376" s="4" t="n">
        <v>7</v>
      </c>
      <c r="D376" s="4" t="s">
        <v>70</v>
      </c>
      <c r="E376" s="4" t="s">
        <v>84</v>
      </c>
      <c r="F376" s="4" t="s">
        <v>114</v>
      </c>
      <c r="G376" s="4" t="n">
        <v>3</v>
      </c>
      <c r="H376" s="4" t="n">
        <v>85</v>
      </c>
      <c r="I376" s="18" t="n">
        <v>0.1</v>
      </c>
      <c r="J376" s="4" t="s">
        <v>81</v>
      </c>
      <c r="K376" s="4" t="s">
        <v>71</v>
      </c>
    </row>
    <row r="377" customFormat="false" ht="15" hidden="false" customHeight="false" outlineLevel="0" collapsed="false">
      <c r="A377" s="4" t="s">
        <v>552</v>
      </c>
      <c r="B377" s="4" t="s">
        <v>553</v>
      </c>
      <c r="C377" s="4" t="n">
        <v>7</v>
      </c>
      <c r="D377" s="4" t="s">
        <v>98</v>
      </c>
      <c r="E377" s="4" t="s">
        <v>65</v>
      </c>
      <c r="F377" s="4" t="s">
        <v>121</v>
      </c>
      <c r="G377" s="4" t="n">
        <v>4</v>
      </c>
      <c r="H377" s="4" t="n">
        <v>170</v>
      </c>
      <c r="I377" s="18" t="n">
        <v>0.2</v>
      </c>
      <c r="K377" s="4" t="s">
        <v>68</v>
      </c>
    </row>
    <row r="378" customFormat="false" ht="15" hidden="false" customHeight="false" outlineLevel="0" collapsed="false">
      <c r="A378" s="4" t="s">
        <v>554</v>
      </c>
      <c r="B378" s="4" t="s">
        <v>555</v>
      </c>
      <c r="C378" s="4" t="n">
        <v>9</v>
      </c>
      <c r="D378" s="4" t="s">
        <v>98</v>
      </c>
      <c r="E378" s="4" t="s">
        <v>65</v>
      </c>
      <c r="F378" s="4" t="s">
        <v>87</v>
      </c>
      <c r="G378" s="4" t="n">
        <v>1</v>
      </c>
      <c r="H378" s="4" t="n">
        <v>160</v>
      </c>
      <c r="I378" s="18" t="n">
        <v>0</v>
      </c>
      <c r="J378" s="4" t="s">
        <v>81</v>
      </c>
      <c r="K378" s="4" t="s">
        <v>68</v>
      </c>
    </row>
    <row r="379" customFormat="false" ht="15" hidden="false" customHeight="false" outlineLevel="0" collapsed="false">
      <c r="A379" s="4" t="s">
        <v>556</v>
      </c>
      <c r="B379" s="17" t="n">
        <v>45741</v>
      </c>
      <c r="C379" s="4" t="n">
        <v>11</v>
      </c>
      <c r="D379" s="4" t="s">
        <v>64</v>
      </c>
      <c r="E379" s="4" t="s">
        <v>99</v>
      </c>
      <c r="F379" s="4" t="s">
        <v>100</v>
      </c>
      <c r="G379" s="4" t="n">
        <v>1</v>
      </c>
      <c r="H379" s="4" t="n">
        <v>110</v>
      </c>
      <c r="I379" s="18" t="n">
        <v>0</v>
      </c>
      <c r="J379" s="4" t="s">
        <v>273</v>
      </c>
      <c r="K379" s="4" t="s">
        <v>77</v>
      </c>
    </row>
    <row r="380" customFormat="false" ht="15" hidden="false" customHeight="false" outlineLevel="0" collapsed="false">
      <c r="A380" s="4" t="s">
        <v>557</v>
      </c>
      <c r="B380" s="17" t="n">
        <v>45741</v>
      </c>
      <c r="C380" s="4" t="n">
        <v>14</v>
      </c>
      <c r="D380" s="4" t="s">
        <v>64</v>
      </c>
      <c r="E380" s="4" t="s">
        <v>84</v>
      </c>
      <c r="F380" s="4" t="s">
        <v>117</v>
      </c>
      <c r="G380" s="4" t="n">
        <v>2</v>
      </c>
      <c r="H380" s="4" t="n">
        <v>95</v>
      </c>
      <c r="I380" s="18" t="n">
        <v>0</v>
      </c>
      <c r="J380" s="4" t="s">
        <v>76</v>
      </c>
      <c r="K380" s="4" t="s">
        <v>68</v>
      </c>
    </row>
    <row r="381" customFormat="false" ht="15" hidden="false" customHeight="false" outlineLevel="0" collapsed="false">
      <c r="A381" s="4" t="s">
        <v>558</v>
      </c>
      <c r="B381" s="17" t="n">
        <v>45741</v>
      </c>
      <c r="C381" s="4" t="n">
        <v>14</v>
      </c>
      <c r="D381" s="4" t="s">
        <v>172</v>
      </c>
      <c r="E381" s="4" t="s">
        <v>99</v>
      </c>
      <c r="F381" s="4" t="s">
        <v>102</v>
      </c>
      <c r="G381" s="4" t="n">
        <v>1</v>
      </c>
      <c r="H381" s="4" t="n">
        <v>140</v>
      </c>
      <c r="I381" s="18" t="n">
        <v>0</v>
      </c>
      <c r="J381" s="4" t="s">
        <v>67</v>
      </c>
      <c r="K381" s="4" t="s">
        <v>77</v>
      </c>
    </row>
    <row r="382" customFormat="false" ht="15" hidden="false" customHeight="false" outlineLevel="0" collapsed="false">
      <c r="A382" s="4" t="s">
        <v>559</v>
      </c>
      <c r="B382" s="17" t="n">
        <v>45741</v>
      </c>
      <c r="C382" s="4" t="n">
        <v>15</v>
      </c>
      <c r="D382" s="4" t="s">
        <v>70</v>
      </c>
      <c r="E382" s="4" t="s">
        <v>65</v>
      </c>
      <c r="F382" s="4" t="s">
        <v>94</v>
      </c>
      <c r="G382" s="4" t="n">
        <v>2</v>
      </c>
      <c r="H382" s="4" t="n">
        <v>150</v>
      </c>
      <c r="I382" s="18" t="n">
        <v>0.15</v>
      </c>
      <c r="J382" s="4" t="s">
        <v>67</v>
      </c>
      <c r="K382" s="4" t="s">
        <v>68</v>
      </c>
    </row>
    <row r="383" customFormat="false" ht="15" hidden="false" customHeight="false" outlineLevel="0" collapsed="false">
      <c r="A383" s="4" t="s">
        <v>559</v>
      </c>
      <c r="B383" s="17" t="n">
        <v>45741</v>
      </c>
      <c r="C383" s="4" t="n">
        <v>15</v>
      </c>
      <c r="D383" s="4" t="s">
        <v>70</v>
      </c>
      <c r="E383" s="4" t="s">
        <v>65</v>
      </c>
      <c r="F383" s="4" t="s">
        <v>94</v>
      </c>
      <c r="G383" s="4" t="n">
        <v>2</v>
      </c>
      <c r="H383" s="4" t="n">
        <v>150</v>
      </c>
      <c r="I383" s="18" t="n">
        <v>0.15</v>
      </c>
      <c r="J383" s="4" t="s">
        <v>67</v>
      </c>
      <c r="K383" s="4" t="s">
        <v>68</v>
      </c>
    </row>
    <row r="384" customFormat="false" ht="15" hidden="false" customHeight="false" outlineLevel="0" collapsed="false">
      <c r="A384" s="4" t="s">
        <v>560</v>
      </c>
      <c r="B384" s="17" t="n">
        <v>45741</v>
      </c>
      <c r="C384" s="4" t="n">
        <v>17</v>
      </c>
      <c r="D384" s="4" t="s">
        <v>64</v>
      </c>
      <c r="E384" s="4" t="s">
        <v>84</v>
      </c>
      <c r="F384" s="4" t="s">
        <v>85</v>
      </c>
      <c r="G384" s="4" t="n">
        <v>1</v>
      </c>
      <c r="H384" s="4" t="n">
        <v>150</v>
      </c>
      <c r="I384" s="18" t="n">
        <v>0</v>
      </c>
      <c r="J384" s="4" t="s">
        <v>81</v>
      </c>
      <c r="K384" s="4" t="s">
        <v>77</v>
      </c>
    </row>
    <row r="385" customFormat="false" ht="15" hidden="false" customHeight="false" outlineLevel="0" collapsed="false">
      <c r="A385" s="4" t="s">
        <v>561</v>
      </c>
      <c r="B385" s="17" t="n">
        <v>45742</v>
      </c>
      <c r="C385" s="4" t="n">
        <v>7</v>
      </c>
      <c r="D385" s="4" t="s">
        <v>73</v>
      </c>
      <c r="E385" s="4" t="s">
        <v>339</v>
      </c>
      <c r="F385" s="4" t="s">
        <v>135</v>
      </c>
      <c r="G385" s="4" t="n">
        <v>1</v>
      </c>
      <c r="H385" s="4" t="n">
        <v>130</v>
      </c>
      <c r="I385" s="18" t="n">
        <v>0</v>
      </c>
      <c r="J385" s="4" t="s">
        <v>67</v>
      </c>
      <c r="K385" s="4" t="s">
        <v>68</v>
      </c>
    </row>
    <row r="386" customFormat="false" ht="15" hidden="false" customHeight="false" outlineLevel="0" collapsed="false">
      <c r="A386" s="4" t="s">
        <v>562</v>
      </c>
      <c r="B386" s="17" t="n">
        <v>45742</v>
      </c>
      <c r="C386" s="4" t="n">
        <v>8</v>
      </c>
      <c r="D386" s="4" t="s">
        <v>70</v>
      </c>
      <c r="E386" s="4" t="s">
        <v>65</v>
      </c>
      <c r="F386" s="4" t="s">
        <v>94</v>
      </c>
      <c r="G386" s="4" t="n">
        <v>2</v>
      </c>
      <c r="H386" s="4" t="n">
        <v>150</v>
      </c>
      <c r="I386" s="18" t="n">
        <v>0</v>
      </c>
      <c r="J386" s="4" t="s">
        <v>67</v>
      </c>
      <c r="K386" s="4" t="s">
        <v>77</v>
      </c>
    </row>
    <row r="387" customFormat="false" ht="15" hidden="false" customHeight="false" outlineLevel="0" collapsed="false">
      <c r="A387" s="4" t="s">
        <v>563</v>
      </c>
      <c r="B387" s="17" t="n">
        <v>45742</v>
      </c>
      <c r="C387" s="4" t="n">
        <v>9</v>
      </c>
      <c r="D387" s="4" t="s">
        <v>98</v>
      </c>
      <c r="E387" s="4" t="s">
        <v>84</v>
      </c>
      <c r="F387" s="4" t="s">
        <v>85</v>
      </c>
      <c r="G387" s="4" t="n">
        <v>2</v>
      </c>
      <c r="H387" s="4" t="n">
        <v>150</v>
      </c>
      <c r="I387" s="18" t="n">
        <v>0.1</v>
      </c>
      <c r="J387" s="4" t="s">
        <v>273</v>
      </c>
      <c r="K387" s="4" t="s">
        <v>68</v>
      </c>
    </row>
    <row r="388" customFormat="false" ht="15" hidden="false" customHeight="false" outlineLevel="0" collapsed="false">
      <c r="A388" s="4" t="s">
        <v>564</v>
      </c>
      <c r="B388" s="17" t="n">
        <v>45742</v>
      </c>
      <c r="C388" s="4" t="n">
        <v>11</v>
      </c>
      <c r="D388" s="4" t="s">
        <v>153</v>
      </c>
      <c r="E388" s="4" t="s">
        <v>65</v>
      </c>
      <c r="F388" s="4" t="s">
        <v>121</v>
      </c>
      <c r="G388" s="4" t="n">
        <v>1</v>
      </c>
      <c r="H388" s="4" t="n">
        <v>170</v>
      </c>
      <c r="I388" s="18" t="n">
        <v>0</v>
      </c>
      <c r="J388" s="4" t="s">
        <v>88</v>
      </c>
    </row>
    <row r="389" customFormat="false" ht="15" hidden="false" customHeight="false" outlineLevel="0" collapsed="false">
      <c r="A389" s="4" t="s">
        <v>565</v>
      </c>
      <c r="B389" s="17" t="n">
        <v>45742</v>
      </c>
      <c r="C389" s="4" t="n">
        <v>15</v>
      </c>
      <c r="D389" s="4" t="s">
        <v>70</v>
      </c>
      <c r="E389" s="4" t="s">
        <v>65</v>
      </c>
      <c r="F389" s="4" t="s">
        <v>486</v>
      </c>
      <c r="G389" s="4" t="n">
        <v>1</v>
      </c>
      <c r="H389" s="4" t="n">
        <v>150</v>
      </c>
      <c r="I389" s="18" t="n">
        <v>0.05</v>
      </c>
      <c r="J389" s="4" t="s">
        <v>67</v>
      </c>
      <c r="K389" s="4" t="s">
        <v>82</v>
      </c>
    </row>
    <row r="390" customFormat="false" ht="15" hidden="false" customHeight="false" outlineLevel="0" collapsed="false">
      <c r="A390" s="4" t="s">
        <v>566</v>
      </c>
      <c r="B390" s="17" t="n">
        <v>45742</v>
      </c>
      <c r="C390" s="4" t="n">
        <v>15</v>
      </c>
      <c r="D390" s="4" t="s">
        <v>73</v>
      </c>
      <c r="E390" s="4" t="s">
        <v>84</v>
      </c>
      <c r="F390" s="4" t="s">
        <v>106</v>
      </c>
      <c r="G390" s="4" t="n">
        <v>2</v>
      </c>
      <c r="H390" s="4" t="n">
        <v>60</v>
      </c>
      <c r="I390" s="18" t="n">
        <v>0.15</v>
      </c>
      <c r="J390" s="4" t="s">
        <v>76</v>
      </c>
      <c r="K390" s="4" t="s">
        <v>82</v>
      </c>
    </row>
    <row r="391" customFormat="false" ht="15" hidden="false" customHeight="false" outlineLevel="0" collapsed="false">
      <c r="A391" s="4" t="s">
        <v>567</v>
      </c>
      <c r="B391" s="17" t="n">
        <v>45742</v>
      </c>
      <c r="C391" s="4" t="n">
        <v>16</v>
      </c>
      <c r="D391" s="4" t="s">
        <v>70</v>
      </c>
      <c r="E391" s="4" t="s">
        <v>65</v>
      </c>
      <c r="F391" s="4" t="s">
        <v>66</v>
      </c>
      <c r="G391" s="4" t="n">
        <v>2</v>
      </c>
      <c r="H391" s="4" t="n">
        <v>120</v>
      </c>
      <c r="I391" s="18" t="n">
        <v>0.1</v>
      </c>
      <c r="J391" s="4" t="s">
        <v>81</v>
      </c>
      <c r="K391" s="4" t="s">
        <v>71</v>
      </c>
    </row>
    <row r="392" customFormat="false" ht="15" hidden="false" customHeight="false" outlineLevel="0" collapsed="false">
      <c r="A392" s="4" t="s">
        <v>568</v>
      </c>
      <c r="B392" s="17" t="n">
        <v>45743</v>
      </c>
      <c r="C392" s="4" t="n">
        <v>9</v>
      </c>
      <c r="D392" s="4" t="s">
        <v>64</v>
      </c>
      <c r="E392" s="4" t="s">
        <v>99</v>
      </c>
      <c r="F392" s="4" t="s">
        <v>100</v>
      </c>
      <c r="G392" s="4" t="n">
        <v>1</v>
      </c>
      <c r="H392" s="4" t="n">
        <v>110</v>
      </c>
      <c r="I392" s="18" t="n">
        <v>0.05</v>
      </c>
      <c r="J392" s="4" t="s">
        <v>81</v>
      </c>
      <c r="K392" s="4" t="s">
        <v>82</v>
      </c>
    </row>
    <row r="393" customFormat="false" ht="15" hidden="false" customHeight="false" outlineLevel="0" collapsed="false">
      <c r="A393" s="4" t="s">
        <v>569</v>
      </c>
      <c r="B393" s="17" t="n">
        <v>45743</v>
      </c>
      <c r="C393" s="4" t="n">
        <v>10</v>
      </c>
      <c r="D393" s="4" t="s">
        <v>70</v>
      </c>
      <c r="E393" s="4" t="s">
        <v>65</v>
      </c>
      <c r="F393" s="4" t="s">
        <v>87</v>
      </c>
      <c r="G393" s="4" t="n">
        <v>1</v>
      </c>
      <c r="H393" s="4" t="n">
        <v>160</v>
      </c>
      <c r="I393" s="18" t="n">
        <v>0.1</v>
      </c>
      <c r="J393" s="4" t="s">
        <v>112</v>
      </c>
      <c r="K393" s="4" t="s">
        <v>71</v>
      </c>
    </row>
    <row r="394" customFormat="false" ht="15" hidden="false" customHeight="false" outlineLevel="0" collapsed="false">
      <c r="A394" s="4" t="s">
        <v>570</v>
      </c>
      <c r="B394" s="17" t="n">
        <v>45743</v>
      </c>
      <c r="C394" s="4" t="n">
        <v>12</v>
      </c>
      <c r="D394" s="4" t="s">
        <v>225</v>
      </c>
      <c r="E394" s="4" t="s">
        <v>74</v>
      </c>
      <c r="F394" s="4" t="s">
        <v>139</v>
      </c>
      <c r="G394" s="4" t="n">
        <v>1</v>
      </c>
      <c r="H394" s="4" t="n">
        <v>260</v>
      </c>
      <c r="I394" s="18" t="n">
        <v>0.05</v>
      </c>
      <c r="J394" s="4" t="s">
        <v>67</v>
      </c>
      <c r="K394" s="4" t="s">
        <v>82</v>
      </c>
    </row>
    <row r="395" customFormat="false" ht="15" hidden="false" customHeight="false" outlineLevel="0" collapsed="false">
      <c r="A395" s="4" t="s">
        <v>571</v>
      </c>
      <c r="B395" s="17" t="n">
        <v>45743</v>
      </c>
      <c r="C395" s="4" t="n">
        <v>12</v>
      </c>
      <c r="D395" s="4" t="s">
        <v>64</v>
      </c>
      <c r="E395" s="4" t="s">
        <v>65</v>
      </c>
      <c r="F395" s="4" t="s">
        <v>94</v>
      </c>
      <c r="G395" s="4" t="n">
        <v>1</v>
      </c>
      <c r="H395" s="4" t="n">
        <v>150</v>
      </c>
      <c r="I395" s="18" t="n">
        <v>0.1</v>
      </c>
      <c r="J395" s="4" t="s">
        <v>67</v>
      </c>
      <c r="K395" s="4" t="s">
        <v>71</v>
      </c>
    </row>
    <row r="396" customFormat="false" ht="15" hidden="false" customHeight="false" outlineLevel="0" collapsed="false">
      <c r="A396" s="4" t="s">
        <v>572</v>
      </c>
      <c r="B396" s="17" t="n">
        <v>45743</v>
      </c>
      <c r="C396" s="4" t="n">
        <v>13</v>
      </c>
      <c r="D396" s="4" t="s">
        <v>70</v>
      </c>
      <c r="E396" s="4" t="s">
        <v>65</v>
      </c>
      <c r="F396" s="4" t="s">
        <v>573</v>
      </c>
      <c r="G396" s="4" t="n">
        <v>1</v>
      </c>
      <c r="H396" s="4" t="n">
        <v>120</v>
      </c>
      <c r="I396" s="18" t="n">
        <v>0.05</v>
      </c>
      <c r="J396" s="4" t="s">
        <v>81</v>
      </c>
      <c r="K396" s="4" t="s">
        <v>82</v>
      </c>
    </row>
    <row r="397" customFormat="false" ht="15" hidden="false" customHeight="false" outlineLevel="0" collapsed="false">
      <c r="A397" s="4" t="s">
        <v>574</v>
      </c>
      <c r="B397" s="17" t="n">
        <v>45743</v>
      </c>
      <c r="C397" s="4" t="n">
        <v>17</v>
      </c>
      <c r="D397" s="4" t="s">
        <v>98</v>
      </c>
      <c r="E397" s="4" t="s">
        <v>79</v>
      </c>
      <c r="F397" s="4" t="s">
        <v>80</v>
      </c>
      <c r="G397" s="4" t="n">
        <v>3</v>
      </c>
      <c r="H397" s="4" t="n">
        <v>160</v>
      </c>
      <c r="I397" s="18" t="n">
        <v>0.1</v>
      </c>
      <c r="J397" s="4" t="s">
        <v>81</v>
      </c>
      <c r="K397" s="4" t="s">
        <v>71</v>
      </c>
    </row>
    <row r="398" customFormat="false" ht="15" hidden="false" customHeight="false" outlineLevel="0" collapsed="false">
      <c r="A398" s="4" t="s">
        <v>575</v>
      </c>
      <c r="B398" s="17" t="n">
        <v>45743</v>
      </c>
      <c r="C398" s="4" t="n">
        <v>18</v>
      </c>
      <c r="D398" s="4" t="s">
        <v>64</v>
      </c>
      <c r="E398" s="4" t="s">
        <v>84</v>
      </c>
      <c r="F398" s="4" t="s">
        <v>85</v>
      </c>
      <c r="G398" s="4" t="n">
        <v>1</v>
      </c>
      <c r="H398" s="4" t="n">
        <v>150</v>
      </c>
      <c r="I398" s="18" t="n">
        <v>0</v>
      </c>
      <c r="J398" s="4" t="s">
        <v>81</v>
      </c>
      <c r="K398" s="4" t="s">
        <v>68</v>
      </c>
    </row>
    <row r="399" customFormat="false" ht="15" hidden="false" customHeight="false" outlineLevel="0" collapsed="false">
      <c r="A399" s="4" t="s">
        <v>576</v>
      </c>
      <c r="B399" s="17" t="n">
        <v>45744</v>
      </c>
      <c r="C399" s="4" t="n">
        <v>8</v>
      </c>
      <c r="D399" s="4" t="s">
        <v>98</v>
      </c>
      <c r="E399" s="4" t="s">
        <v>65</v>
      </c>
      <c r="F399" s="4" t="s">
        <v>66</v>
      </c>
      <c r="G399" s="4" t="n">
        <v>1</v>
      </c>
      <c r="H399" s="4" t="n">
        <v>120</v>
      </c>
      <c r="I399" s="18" t="n">
        <v>0.2</v>
      </c>
      <c r="J399" s="4" t="s">
        <v>81</v>
      </c>
      <c r="K399" s="4" t="s">
        <v>71</v>
      </c>
    </row>
    <row r="400" customFormat="false" ht="15" hidden="false" customHeight="false" outlineLevel="0" collapsed="false">
      <c r="A400" s="4" t="s">
        <v>577</v>
      </c>
      <c r="B400" s="17" t="n">
        <v>45744</v>
      </c>
      <c r="C400" s="4" t="n">
        <v>17</v>
      </c>
      <c r="D400" s="4" t="s">
        <v>70</v>
      </c>
      <c r="E400" s="4" t="s">
        <v>74</v>
      </c>
      <c r="F400" s="4" t="s">
        <v>75</v>
      </c>
      <c r="G400" s="4" t="n">
        <v>1</v>
      </c>
      <c r="H400" s="4" t="n">
        <v>220</v>
      </c>
      <c r="I400" s="18" t="n">
        <v>0.05</v>
      </c>
      <c r="J400" s="4" t="s">
        <v>67</v>
      </c>
      <c r="K400" s="4" t="s">
        <v>82</v>
      </c>
    </row>
    <row r="401" customFormat="false" ht="15" hidden="false" customHeight="false" outlineLevel="0" collapsed="false">
      <c r="A401" s="4" t="s">
        <v>578</v>
      </c>
      <c r="B401" s="17" t="n">
        <v>45744</v>
      </c>
      <c r="C401" s="4" t="n">
        <v>20</v>
      </c>
      <c r="D401" s="4" t="s">
        <v>64</v>
      </c>
      <c r="E401" s="4" t="s">
        <v>84</v>
      </c>
      <c r="F401" s="4" t="s">
        <v>579</v>
      </c>
      <c r="G401" s="4" t="n">
        <v>1</v>
      </c>
      <c r="H401" s="4" t="n">
        <v>95</v>
      </c>
      <c r="I401" s="18" t="n">
        <v>0.05</v>
      </c>
      <c r="J401" s="4" t="s">
        <v>81</v>
      </c>
      <c r="K401" s="4" t="s">
        <v>82</v>
      </c>
    </row>
    <row r="402" customFormat="false" ht="15" hidden="false" customHeight="false" outlineLevel="0" collapsed="false">
      <c r="A402" s="4" t="s">
        <v>580</v>
      </c>
      <c r="B402" s="17" t="n">
        <v>45745</v>
      </c>
      <c r="C402" s="4" t="n">
        <v>9</v>
      </c>
      <c r="D402" s="4" t="s">
        <v>73</v>
      </c>
      <c r="E402" s="4" t="s">
        <v>65</v>
      </c>
      <c r="F402" s="4" t="s">
        <v>66</v>
      </c>
      <c r="G402" s="4" t="n">
        <v>2</v>
      </c>
      <c r="H402" s="4" t="n">
        <v>120</v>
      </c>
      <c r="I402" s="18" t="n">
        <v>0.1</v>
      </c>
      <c r="J402" s="4" t="s">
        <v>81</v>
      </c>
      <c r="K402" s="4" t="s">
        <v>82</v>
      </c>
    </row>
    <row r="403" customFormat="false" ht="15" hidden="false" customHeight="false" outlineLevel="0" collapsed="false">
      <c r="A403" s="4" t="s">
        <v>581</v>
      </c>
      <c r="B403" s="17" t="n">
        <v>45745</v>
      </c>
      <c r="C403" s="4" t="n">
        <v>10</v>
      </c>
      <c r="D403" s="4" t="s">
        <v>98</v>
      </c>
      <c r="E403" s="4" t="s">
        <v>99</v>
      </c>
      <c r="F403" s="4" t="s">
        <v>100</v>
      </c>
      <c r="G403" s="4" t="n">
        <v>1</v>
      </c>
      <c r="H403" s="4" t="n">
        <v>110</v>
      </c>
      <c r="I403" s="18" t="n">
        <v>0</v>
      </c>
      <c r="J403" s="4" t="s">
        <v>81</v>
      </c>
      <c r="K403" s="4" t="s">
        <v>68</v>
      </c>
    </row>
    <row r="404" customFormat="false" ht="15" hidden="false" customHeight="false" outlineLevel="0" collapsed="false">
      <c r="A404" s="4" t="s">
        <v>582</v>
      </c>
      <c r="B404" s="17" t="n">
        <v>45745</v>
      </c>
      <c r="C404" s="4" t="n">
        <v>13</v>
      </c>
      <c r="D404" s="4" t="s">
        <v>73</v>
      </c>
      <c r="E404" s="4" t="s">
        <v>65</v>
      </c>
      <c r="F404" s="4" t="s">
        <v>87</v>
      </c>
      <c r="G404" s="4" t="n">
        <v>1</v>
      </c>
      <c r="H404" s="4" t="n">
        <v>160</v>
      </c>
      <c r="I404" s="18" t="n">
        <v>0</v>
      </c>
      <c r="J404" s="4" t="s">
        <v>112</v>
      </c>
      <c r="K404" s="4" t="s">
        <v>77</v>
      </c>
    </row>
    <row r="405" customFormat="false" ht="15" hidden="false" customHeight="false" outlineLevel="0" collapsed="false">
      <c r="A405" s="4" t="s">
        <v>583</v>
      </c>
      <c r="B405" s="17" t="n">
        <v>45745</v>
      </c>
      <c r="C405" s="4" t="n">
        <v>17</v>
      </c>
      <c r="D405" s="4" t="s">
        <v>98</v>
      </c>
      <c r="E405" s="4" t="s">
        <v>99</v>
      </c>
      <c r="F405" s="4" t="s">
        <v>109</v>
      </c>
      <c r="G405" s="4" t="n">
        <v>1</v>
      </c>
      <c r="H405" s="4" t="n">
        <v>130</v>
      </c>
      <c r="I405" s="18" t="n">
        <v>0.15</v>
      </c>
      <c r="J405" s="4" t="s">
        <v>67</v>
      </c>
      <c r="K405" s="4" t="s">
        <v>68</v>
      </c>
    </row>
    <row r="406" customFormat="false" ht="15" hidden="false" customHeight="false" outlineLevel="0" collapsed="false">
      <c r="A406" s="4" t="s">
        <v>584</v>
      </c>
      <c r="B406" s="4" t="s">
        <v>585</v>
      </c>
      <c r="C406" s="4" t="n">
        <v>19</v>
      </c>
      <c r="D406" s="4" t="s">
        <v>70</v>
      </c>
      <c r="E406" s="4" t="s">
        <v>65</v>
      </c>
      <c r="F406" s="4" t="s">
        <v>94</v>
      </c>
      <c r="G406" s="4" t="n">
        <v>1</v>
      </c>
      <c r="H406" s="4" t="n">
        <v>150</v>
      </c>
      <c r="I406" s="18" t="n">
        <v>0</v>
      </c>
      <c r="J406" s="4" t="s">
        <v>67</v>
      </c>
      <c r="K406" s="4" t="s">
        <v>77</v>
      </c>
    </row>
    <row r="407" customFormat="false" ht="15" hidden="false" customHeight="false" outlineLevel="0" collapsed="false">
      <c r="A407" s="4" t="s">
        <v>586</v>
      </c>
      <c r="B407" s="17" t="n">
        <v>45746</v>
      </c>
      <c r="C407" s="4" t="n">
        <v>7</v>
      </c>
      <c r="D407" s="4" t="s">
        <v>64</v>
      </c>
      <c r="E407" s="4" t="s">
        <v>99</v>
      </c>
      <c r="F407" s="4" t="s">
        <v>100</v>
      </c>
      <c r="G407" s="4" t="n">
        <v>1</v>
      </c>
      <c r="H407" s="4" t="n">
        <v>110</v>
      </c>
      <c r="I407" s="18" t="n">
        <v>0</v>
      </c>
      <c r="J407" s="4" t="s">
        <v>76</v>
      </c>
      <c r="K407" s="4" t="s">
        <v>77</v>
      </c>
    </row>
    <row r="408" customFormat="false" ht="15" hidden="false" customHeight="false" outlineLevel="0" collapsed="false">
      <c r="A408" s="4" t="s">
        <v>587</v>
      </c>
      <c r="B408" s="17" t="n">
        <v>45746</v>
      </c>
      <c r="C408" s="4" t="n">
        <v>9</v>
      </c>
      <c r="D408" s="4" t="s">
        <v>70</v>
      </c>
      <c r="E408" s="4" t="s">
        <v>65</v>
      </c>
      <c r="F408" s="4" t="s">
        <v>94</v>
      </c>
      <c r="G408" s="4" t="n">
        <v>2</v>
      </c>
      <c r="H408" s="4" t="n">
        <v>150</v>
      </c>
      <c r="I408" s="18" t="n">
        <v>0</v>
      </c>
      <c r="J408" s="4" t="s">
        <v>81</v>
      </c>
      <c r="K408" s="4" t="s">
        <v>77</v>
      </c>
    </row>
    <row r="409" customFormat="false" ht="15" hidden="false" customHeight="false" outlineLevel="0" collapsed="false">
      <c r="A409" s="4" t="s">
        <v>588</v>
      </c>
      <c r="B409" s="17" t="n">
        <v>45746</v>
      </c>
      <c r="C409" s="4" t="n">
        <v>9</v>
      </c>
      <c r="D409" s="4" t="s">
        <v>70</v>
      </c>
      <c r="E409" s="4" t="s">
        <v>504</v>
      </c>
      <c r="F409" s="4" t="s">
        <v>114</v>
      </c>
      <c r="G409" s="4" t="n">
        <v>1</v>
      </c>
      <c r="H409" s="4" t="n">
        <v>85</v>
      </c>
      <c r="I409" s="18" t="n">
        <v>0.15</v>
      </c>
      <c r="J409" s="4" t="s">
        <v>81</v>
      </c>
      <c r="K409" s="4" t="s">
        <v>82</v>
      </c>
    </row>
    <row r="410" customFormat="false" ht="15" hidden="false" customHeight="false" outlineLevel="0" collapsed="false">
      <c r="A410" s="4" t="s">
        <v>589</v>
      </c>
      <c r="B410" s="17" t="n">
        <v>45747</v>
      </c>
      <c r="C410" s="4" t="n">
        <v>10</v>
      </c>
      <c r="D410" s="4" t="s">
        <v>73</v>
      </c>
      <c r="E410" s="4" t="s">
        <v>79</v>
      </c>
      <c r="F410" s="4" t="s">
        <v>135</v>
      </c>
      <c r="G410" s="4" t="n">
        <v>3</v>
      </c>
      <c r="H410" s="4" t="n">
        <v>130</v>
      </c>
      <c r="I410" s="18" t="n">
        <v>0.05</v>
      </c>
      <c r="J410" s="4" t="s">
        <v>76</v>
      </c>
      <c r="K410" s="4" t="s">
        <v>82</v>
      </c>
    </row>
    <row r="411" customFormat="false" ht="15" hidden="false" customHeight="false" outlineLevel="0" collapsed="false">
      <c r="A411" s="4" t="s">
        <v>590</v>
      </c>
      <c r="B411" s="17" t="n">
        <v>45747</v>
      </c>
      <c r="C411" s="4" t="n">
        <v>15</v>
      </c>
      <c r="D411" s="4" t="s">
        <v>70</v>
      </c>
      <c r="E411" s="4" t="s">
        <v>74</v>
      </c>
      <c r="F411" s="4" t="s">
        <v>139</v>
      </c>
      <c r="G411" s="4" t="n">
        <v>1</v>
      </c>
      <c r="H411" s="4" t="n">
        <v>260</v>
      </c>
      <c r="I411" s="18" t="n">
        <v>0</v>
      </c>
      <c r="J411" s="4" t="s">
        <v>67</v>
      </c>
      <c r="K411" s="4" t="s">
        <v>68</v>
      </c>
    </row>
    <row r="412" customFormat="false" ht="15" hidden="false" customHeight="false" outlineLevel="0" collapsed="false">
      <c r="A412" s="4" t="s">
        <v>591</v>
      </c>
      <c r="B412" s="17" t="n">
        <v>45748</v>
      </c>
      <c r="C412" s="4" t="n">
        <v>8</v>
      </c>
      <c r="D412" s="4" t="s">
        <v>70</v>
      </c>
      <c r="E412" s="4" t="s">
        <v>65</v>
      </c>
      <c r="F412" s="4" t="s">
        <v>121</v>
      </c>
      <c r="G412" s="4" t="n">
        <v>2</v>
      </c>
      <c r="H412" s="4" t="n">
        <v>170</v>
      </c>
      <c r="I412" s="18" t="n">
        <v>0</v>
      </c>
      <c r="J412" s="4" t="s">
        <v>81</v>
      </c>
      <c r="K412" s="4" t="s">
        <v>68</v>
      </c>
    </row>
    <row r="413" customFormat="false" ht="15" hidden="false" customHeight="false" outlineLevel="0" collapsed="false">
      <c r="A413" s="4" t="s">
        <v>592</v>
      </c>
      <c r="B413" s="4" t="s">
        <v>593</v>
      </c>
      <c r="C413" s="4" t="n">
        <v>8</v>
      </c>
      <c r="D413" s="4" t="s">
        <v>64</v>
      </c>
      <c r="E413" s="4" t="s">
        <v>65</v>
      </c>
      <c r="F413" s="4" t="s">
        <v>121</v>
      </c>
      <c r="G413" s="4" t="n">
        <v>3</v>
      </c>
      <c r="H413" s="4" t="n">
        <v>170</v>
      </c>
      <c r="I413" s="18" t="n">
        <v>0</v>
      </c>
      <c r="J413" s="4" t="s">
        <v>88</v>
      </c>
      <c r="K413" s="4" t="s">
        <v>68</v>
      </c>
    </row>
    <row r="414" customFormat="false" ht="15" hidden="false" customHeight="false" outlineLevel="0" collapsed="false">
      <c r="A414" s="4" t="s">
        <v>594</v>
      </c>
      <c r="B414" s="17" t="n">
        <v>45748</v>
      </c>
      <c r="C414" s="4" t="n">
        <v>14</v>
      </c>
      <c r="D414" s="4" t="s">
        <v>70</v>
      </c>
      <c r="E414" s="4" t="s">
        <v>99</v>
      </c>
      <c r="F414" s="4" t="s">
        <v>133</v>
      </c>
      <c r="G414" s="4" t="n">
        <v>1</v>
      </c>
      <c r="H414" s="4" t="n">
        <v>90</v>
      </c>
      <c r="I414" s="18" t="n">
        <v>0.05</v>
      </c>
      <c r="J414" s="4" t="s">
        <v>67</v>
      </c>
      <c r="K414" s="4" t="s">
        <v>82</v>
      </c>
    </row>
    <row r="415" customFormat="false" ht="15" hidden="false" customHeight="false" outlineLevel="0" collapsed="false">
      <c r="A415" s="4" t="s">
        <v>595</v>
      </c>
      <c r="B415" s="17" t="n">
        <v>45748</v>
      </c>
      <c r="C415" s="4" t="n">
        <v>14</v>
      </c>
      <c r="D415" s="4" t="s">
        <v>70</v>
      </c>
      <c r="E415" s="4" t="s">
        <v>84</v>
      </c>
      <c r="F415" s="4" t="s">
        <v>85</v>
      </c>
      <c r="G415" s="4" t="n">
        <v>1</v>
      </c>
      <c r="H415" s="4" t="n">
        <v>150</v>
      </c>
      <c r="I415" s="18" t="n">
        <v>0.1</v>
      </c>
      <c r="J415" s="4" t="s">
        <v>81</v>
      </c>
      <c r="K415" s="4" t="s">
        <v>71</v>
      </c>
    </row>
    <row r="416" customFormat="false" ht="15" hidden="false" customHeight="false" outlineLevel="0" collapsed="false">
      <c r="A416" s="4" t="s">
        <v>596</v>
      </c>
      <c r="B416" s="17" t="n">
        <v>45748</v>
      </c>
      <c r="C416" s="4" t="n">
        <v>15</v>
      </c>
      <c r="D416" s="4" t="s">
        <v>70</v>
      </c>
      <c r="E416" s="4" t="s">
        <v>65</v>
      </c>
      <c r="F416" s="4" t="s">
        <v>121</v>
      </c>
      <c r="G416" s="4" t="n">
        <v>3</v>
      </c>
      <c r="H416" s="4" t="n">
        <v>170</v>
      </c>
      <c r="I416" s="18" t="n">
        <v>0.05</v>
      </c>
      <c r="J416" s="4" t="s">
        <v>76</v>
      </c>
      <c r="K416" s="4" t="s">
        <v>82</v>
      </c>
    </row>
    <row r="417" customFormat="false" ht="15" hidden="false" customHeight="false" outlineLevel="0" collapsed="false">
      <c r="A417" s="4" t="s">
        <v>597</v>
      </c>
      <c r="B417" s="17" t="n">
        <v>45748</v>
      </c>
      <c r="C417" s="4" t="n">
        <v>17</v>
      </c>
      <c r="D417" s="4" t="s">
        <v>64</v>
      </c>
      <c r="E417" s="4" t="s">
        <v>65</v>
      </c>
      <c r="F417" s="4" t="s">
        <v>66</v>
      </c>
      <c r="G417" s="4" t="n">
        <v>1</v>
      </c>
      <c r="H417" s="4" t="n">
        <v>120</v>
      </c>
      <c r="I417" s="18" t="n">
        <v>0.1</v>
      </c>
      <c r="J417" s="4" t="s">
        <v>81</v>
      </c>
      <c r="K417" s="4" t="s">
        <v>71</v>
      </c>
    </row>
    <row r="418" customFormat="false" ht="15" hidden="false" customHeight="false" outlineLevel="0" collapsed="false">
      <c r="A418" s="4" t="s">
        <v>598</v>
      </c>
      <c r="B418" s="17" t="n">
        <v>45748</v>
      </c>
      <c r="C418" s="4" t="n">
        <v>19</v>
      </c>
      <c r="D418" s="4" t="s">
        <v>98</v>
      </c>
      <c r="E418" s="4" t="s">
        <v>99</v>
      </c>
      <c r="F418" s="4" t="s">
        <v>102</v>
      </c>
      <c r="G418" s="4" t="n">
        <v>1</v>
      </c>
      <c r="H418" s="4" t="n">
        <v>140</v>
      </c>
      <c r="I418" s="18" t="n">
        <v>0</v>
      </c>
      <c r="J418" s="4" t="s">
        <v>81</v>
      </c>
      <c r="K418" s="4" t="s">
        <v>77</v>
      </c>
    </row>
    <row r="419" customFormat="false" ht="15" hidden="false" customHeight="false" outlineLevel="0" collapsed="false">
      <c r="A419" s="4" t="s">
        <v>599</v>
      </c>
      <c r="B419" s="17" t="n">
        <v>45749</v>
      </c>
      <c r="C419" s="4" t="n">
        <v>8</v>
      </c>
      <c r="D419" s="4" t="s">
        <v>64</v>
      </c>
      <c r="E419" s="4" t="s">
        <v>79</v>
      </c>
      <c r="F419" s="4" t="s">
        <v>80</v>
      </c>
      <c r="G419" s="4" t="n">
        <v>1</v>
      </c>
      <c r="H419" s="4" t="n">
        <v>160</v>
      </c>
      <c r="I419" s="18" t="n">
        <v>0.1</v>
      </c>
      <c r="J419" s="4" t="s">
        <v>81</v>
      </c>
      <c r="K419" s="4" t="s">
        <v>71</v>
      </c>
    </row>
    <row r="420" customFormat="false" ht="15" hidden="false" customHeight="false" outlineLevel="0" collapsed="false">
      <c r="A420" s="4" t="s">
        <v>600</v>
      </c>
      <c r="B420" s="17" t="n">
        <v>45749</v>
      </c>
      <c r="C420" s="4" t="n">
        <v>10</v>
      </c>
      <c r="D420" s="4" t="s">
        <v>172</v>
      </c>
      <c r="E420" s="4" t="s">
        <v>65</v>
      </c>
      <c r="F420" s="4" t="s">
        <v>87</v>
      </c>
      <c r="G420" s="4" t="n">
        <v>1</v>
      </c>
      <c r="H420" s="4" t="n">
        <v>160</v>
      </c>
      <c r="I420" s="18" t="n">
        <v>0.1</v>
      </c>
      <c r="J420" s="4" t="s">
        <v>81</v>
      </c>
      <c r="K420" s="4" t="s">
        <v>71</v>
      </c>
    </row>
    <row r="421" customFormat="false" ht="15" hidden="false" customHeight="false" outlineLevel="0" collapsed="false">
      <c r="A421" s="4" t="s">
        <v>601</v>
      </c>
      <c r="B421" s="17" t="n">
        <v>45749</v>
      </c>
      <c r="C421" s="4" t="n">
        <v>12</v>
      </c>
      <c r="D421" s="4" t="s">
        <v>98</v>
      </c>
      <c r="E421" s="4" t="s">
        <v>79</v>
      </c>
      <c r="F421" s="4" t="s">
        <v>219</v>
      </c>
      <c r="G421" s="4" t="n">
        <v>1</v>
      </c>
      <c r="H421" s="4" t="n">
        <v>120</v>
      </c>
      <c r="I421" s="18" t="n">
        <v>0</v>
      </c>
      <c r="J421" s="4" t="s">
        <v>76</v>
      </c>
      <c r="K421" s="4" t="s">
        <v>68</v>
      </c>
    </row>
    <row r="422" customFormat="false" ht="15" hidden="false" customHeight="false" outlineLevel="0" collapsed="false">
      <c r="A422" s="4" t="s">
        <v>602</v>
      </c>
      <c r="B422" s="17" t="n">
        <v>45749</v>
      </c>
      <c r="C422" s="4" t="n">
        <v>18</v>
      </c>
      <c r="D422" s="4" t="s">
        <v>225</v>
      </c>
      <c r="E422" s="4" t="s">
        <v>65</v>
      </c>
      <c r="F422" s="4" t="s">
        <v>87</v>
      </c>
      <c r="G422" s="4" t="n">
        <v>1</v>
      </c>
      <c r="H422" s="4" t="n">
        <v>160</v>
      </c>
      <c r="I422" s="18" t="n">
        <v>0.1</v>
      </c>
      <c r="J422" s="4" t="s">
        <v>266</v>
      </c>
      <c r="K422" s="4" t="s">
        <v>71</v>
      </c>
    </row>
    <row r="423" customFormat="false" ht="15" hidden="false" customHeight="false" outlineLevel="0" collapsed="false">
      <c r="A423" s="4" t="s">
        <v>603</v>
      </c>
      <c r="B423" s="17" t="n">
        <v>45749</v>
      </c>
      <c r="C423" s="4" t="n">
        <v>19</v>
      </c>
      <c r="D423" s="4" t="s">
        <v>166</v>
      </c>
      <c r="E423" s="4" t="s">
        <v>65</v>
      </c>
      <c r="F423" s="4" t="s">
        <v>94</v>
      </c>
      <c r="G423" s="4" t="n">
        <v>3</v>
      </c>
      <c r="H423" s="4" t="n">
        <v>150</v>
      </c>
      <c r="I423" s="18" t="n">
        <v>0</v>
      </c>
      <c r="J423" s="4" t="s">
        <v>76</v>
      </c>
      <c r="K423" s="4" t="s">
        <v>68</v>
      </c>
    </row>
    <row r="424" customFormat="false" ht="15" hidden="false" customHeight="false" outlineLevel="0" collapsed="false">
      <c r="A424" s="4" t="s">
        <v>604</v>
      </c>
      <c r="B424" s="17" t="n">
        <v>45750</v>
      </c>
      <c r="C424" s="4" t="n">
        <v>7</v>
      </c>
      <c r="D424" s="4" t="s">
        <v>70</v>
      </c>
      <c r="E424" s="4" t="s">
        <v>65</v>
      </c>
      <c r="F424" s="4" t="s">
        <v>94</v>
      </c>
      <c r="G424" s="4" t="n">
        <v>2</v>
      </c>
      <c r="H424" s="4" t="n">
        <v>150</v>
      </c>
      <c r="I424" s="18" t="n">
        <v>0</v>
      </c>
      <c r="J424" s="4" t="s">
        <v>81</v>
      </c>
      <c r="K424" s="4" t="s">
        <v>77</v>
      </c>
    </row>
    <row r="425" customFormat="false" ht="15" hidden="false" customHeight="false" outlineLevel="0" collapsed="false">
      <c r="A425" s="4" t="s">
        <v>605</v>
      </c>
      <c r="B425" s="17" t="n">
        <v>45750</v>
      </c>
      <c r="C425" s="4" t="n">
        <v>8</v>
      </c>
      <c r="D425" s="4" t="s">
        <v>70</v>
      </c>
      <c r="E425" s="4" t="s">
        <v>84</v>
      </c>
      <c r="F425" s="4" t="s">
        <v>85</v>
      </c>
      <c r="G425" s="4" t="n">
        <v>3</v>
      </c>
      <c r="H425" s="4" t="n">
        <v>150</v>
      </c>
      <c r="I425" s="18" t="n">
        <v>0</v>
      </c>
      <c r="J425" s="4" t="s">
        <v>67</v>
      </c>
      <c r="K425" s="4" t="s">
        <v>68</v>
      </c>
    </row>
    <row r="426" customFormat="false" ht="15" hidden="false" customHeight="false" outlineLevel="0" collapsed="false">
      <c r="A426" s="4" t="s">
        <v>606</v>
      </c>
      <c r="B426" s="17" t="n">
        <v>45750</v>
      </c>
      <c r="C426" s="4" t="n">
        <v>14</v>
      </c>
      <c r="D426" s="4" t="s">
        <v>98</v>
      </c>
      <c r="E426" s="4" t="s">
        <v>74</v>
      </c>
      <c r="F426" s="4" t="s">
        <v>91</v>
      </c>
      <c r="G426" s="4" t="n">
        <v>1</v>
      </c>
      <c r="H426" s="4" t="n">
        <v>200</v>
      </c>
      <c r="I426" s="18" t="n">
        <v>0.05</v>
      </c>
      <c r="J426" s="4" t="s">
        <v>81</v>
      </c>
      <c r="K426" s="4" t="s">
        <v>82</v>
      </c>
    </row>
    <row r="427" customFormat="false" ht="15" hidden="false" customHeight="false" outlineLevel="0" collapsed="false">
      <c r="A427" s="4" t="s">
        <v>607</v>
      </c>
      <c r="B427" s="17" t="n">
        <v>45750</v>
      </c>
      <c r="C427" s="4" t="n">
        <v>15</v>
      </c>
      <c r="D427" s="4" t="s">
        <v>73</v>
      </c>
      <c r="E427" s="4" t="s">
        <v>74</v>
      </c>
      <c r="F427" s="4" t="s">
        <v>91</v>
      </c>
      <c r="G427" s="4" t="n">
        <v>1</v>
      </c>
      <c r="H427" s="4" t="n">
        <v>200</v>
      </c>
      <c r="I427" s="18" t="n">
        <v>0.05</v>
      </c>
      <c r="J427" s="4" t="s">
        <v>76</v>
      </c>
      <c r="K427" s="4" t="s">
        <v>82</v>
      </c>
    </row>
    <row r="428" customFormat="false" ht="15" hidden="false" customHeight="false" outlineLevel="0" collapsed="false">
      <c r="A428" s="4" t="s">
        <v>608</v>
      </c>
      <c r="B428" s="17" t="n">
        <v>45750</v>
      </c>
      <c r="C428" s="4" t="n">
        <v>15</v>
      </c>
      <c r="D428" s="4" t="s">
        <v>98</v>
      </c>
      <c r="E428" s="4" t="s">
        <v>65</v>
      </c>
      <c r="F428" s="4" t="s">
        <v>66</v>
      </c>
      <c r="G428" s="4" t="n">
        <v>1</v>
      </c>
      <c r="H428" s="4" t="n">
        <v>120</v>
      </c>
      <c r="I428" s="18" t="n">
        <v>0.05</v>
      </c>
      <c r="J428" s="4" t="s">
        <v>103</v>
      </c>
      <c r="K428" s="4" t="s">
        <v>82</v>
      </c>
    </row>
    <row r="429" customFormat="false" ht="15" hidden="false" customHeight="false" outlineLevel="0" collapsed="false">
      <c r="A429" s="4" t="s">
        <v>609</v>
      </c>
      <c r="B429" s="17" t="n">
        <v>45751</v>
      </c>
      <c r="C429" s="4" t="n">
        <v>7</v>
      </c>
      <c r="D429" s="4" t="s">
        <v>64</v>
      </c>
      <c r="E429" s="4" t="s">
        <v>99</v>
      </c>
      <c r="F429" s="4" t="s">
        <v>109</v>
      </c>
      <c r="G429" s="4" t="n">
        <v>1</v>
      </c>
      <c r="H429" s="4" t="n">
        <v>130</v>
      </c>
      <c r="I429" s="18" t="n">
        <v>0</v>
      </c>
      <c r="J429" s="4" t="s">
        <v>67</v>
      </c>
      <c r="K429" s="4" t="s">
        <v>77</v>
      </c>
    </row>
    <row r="430" customFormat="false" ht="15" hidden="false" customHeight="false" outlineLevel="0" collapsed="false">
      <c r="A430" s="4" t="s">
        <v>610</v>
      </c>
      <c r="B430" s="17" t="n">
        <v>45751</v>
      </c>
      <c r="C430" s="4" t="n">
        <v>7</v>
      </c>
      <c r="D430" s="4" t="s">
        <v>98</v>
      </c>
      <c r="E430" s="4" t="s">
        <v>99</v>
      </c>
      <c r="F430" s="4" t="s">
        <v>100</v>
      </c>
      <c r="G430" s="4" t="n">
        <v>1</v>
      </c>
      <c r="H430" s="4" t="n">
        <v>110</v>
      </c>
      <c r="I430" s="18" t="n">
        <v>0</v>
      </c>
      <c r="J430" s="4" t="s">
        <v>88</v>
      </c>
      <c r="K430" s="4" t="s">
        <v>68</v>
      </c>
    </row>
    <row r="431" customFormat="false" ht="15" hidden="false" customHeight="false" outlineLevel="0" collapsed="false">
      <c r="A431" s="4" t="s">
        <v>611</v>
      </c>
      <c r="B431" s="17" t="n">
        <v>45751</v>
      </c>
      <c r="C431" s="4" t="n">
        <v>14</v>
      </c>
      <c r="D431" s="4" t="s">
        <v>73</v>
      </c>
      <c r="E431" s="4" t="s">
        <v>99</v>
      </c>
      <c r="F431" s="4" t="s">
        <v>109</v>
      </c>
      <c r="G431" s="4" t="n">
        <v>1</v>
      </c>
      <c r="H431" s="4" t="n">
        <v>130</v>
      </c>
      <c r="I431" s="18" t="n">
        <v>0.05</v>
      </c>
      <c r="J431" s="4" t="s">
        <v>67</v>
      </c>
      <c r="K431" s="4" t="s">
        <v>82</v>
      </c>
    </row>
    <row r="432" customFormat="false" ht="15" hidden="false" customHeight="false" outlineLevel="0" collapsed="false">
      <c r="A432" s="4" t="s">
        <v>612</v>
      </c>
      <c r="B432" s="4" t="s">
        <v>613</v>
      </c>
      <c r="C432" s="4" t="n">
        <v>9</v>
      </c>
      <c r="D432" s="4" t="s">
        <v>64</v>
      </c>
      <c r="E432" s="4" t="s">
        <v>84</v>
      </c>
      <c r="F432" s="4" t="s">
        <v>117</v>
      </c>
      <c r="G432" s="4" t="n">
        <v>2</v>
      </c>
      <c r="H432" s="4" t="n">
        <v>95</v>
      </c>
      <c r="I432" s="18" t="n">
        <v>0</v>
      </c>
      <c r="J432" s="4" t="s">
        <v>88</v>
      </c>
      <c r="K432" s="4" t="s">
        <v>68</v>
      </c>
    </row>
    <row r="433" customFormat="false" ht="15" hidden="false" customHeight="false" outlineLevel="0" collapsed="false">
      <c r="A433" s="4" t="s">
        <v>614</v>
      </c>
      <c r="B433" s="17" t="n">
        <v>45752</v>
      </c>
      <c r="C433" s="4" t="n">
        <v>12</v>
      </c>
      <c r="D433" s="4" t="s">
        <v>64</v>
      </c>
      <c r="E433" s="4" t="s">
        <v>65</v>
      </c>
      <c r="F433" s="4" t="s">
        <v>94</v>
      </c>
      <c r="G433" s="4" t="n">
        <v>1</v>
      </c>
      <c r="H433" s="4" t="n">
        <v>150</v>
      </c>
      <c r="I433" s="18" t="n">
        <v>0</v>
      </c>
      <c r="J433" s="4" t="s">
        <v>76</v>
      </c>
      <c r="K433" s="4" t="s">
        <v>68</v>
      </c>
    </row>
    <row r="434" customFormat="false" ht="15" hidden="false" customHeight="false" outlineLevel="0" collapsed="false">
      <c r="A434" s="4" t="s">
        <v>615</v>
      </c>
      <c r="B434" s="17" t="n">
        <v>45752</v>
      </c>
      <c r="C434" s="4" t="n">
        <v>13</v>
      </c>
      <c r="D434" s="4" t="s">
        <v>424</v>
      </c>
      <c r="E434" s="4" t="s">
        <v>74</v>
      </c>
      <c r="F434" s="4" t="s">
        <v>91</v>
      </c>
      <c r="G434" s="4" t="n">
        <v>4</v>
      </c>
      <c r="H434" s="4" t="n">
        <v>200</v>
      </c>
      <c r="I434" s="18" t="n">
        <v>0</v>
      </c>
      <c r="J434" s="4" t="s">
        <v>76</v>
      </c>
      <c r="K434" s="4" t="s">
        <v>77</v>
      </c>
    </row>
    <row r="435" customFormat="false" ht="15" hidden="false" customHeight="false" outlineLevel="0" collapsed="false">
      <c r="A435" s="4" t="s">
        <v>616</v>
      </c>
      <c r="B435" s="17" t="n">
        <v>45752</v>
      </c>
      <c r="C435" s="4" t="n">
        <v>15</v>
      </c>
      <c r="D435" s="4" t="s">
        <v>70</v>
      </c>
      <c r="E435" s="4" t="s">
        <v>350</v>
      </c>
      <c r="F435" s="4" t="s">
        <v>617</v>
      </c>
      <c r="G435" s="4" t="n">
        <v>1</v>
      </c>
      <c r="H435" s="4" t="n">
        <v>200</v>
      </c>
      <c r="I435" s="18" t="n">
        <v>0.05</v>
      </c>
      <c r="J435" s="4" t="s">
        <v>81</v>
      </c>
      <c r="K435" s="4" t="s">
        <v>82</v>
      </c>
    </row>
    <row r="436" customFormat="false" ht="15" hidden="false" customHeight="false" outlineLevel="0" collapsed="false">
      <c r="A436" s="4" t="s">
        <v>616</v>
      </c>
      <c r="B436" s="17" t="n">
        <v>45752</v>
      </c>
      <c r="C436" s="4" t="n">
        <v>15</v>
      </c>
      <c r="D436" s="4" t="s">
        <v>70</v>
      </c>
      <c r="E436" s="4" t="s">
        <v>350</v>
      </c>
      <c r="F436" s="4" t="s">
        <v>617</v>
      </c>
      <c r="G436" s="4" t="n">
        <v>1</v>
      </c>
      <c r="H436" s="4" t="n">
        <v>200</v>
      </c>
      <c r="I436" s="18" t="n">
        <v>0.05</v>
      </c>
      <c r="J436" s="4" t="s">
        <v>81</v>
      </c>
      <c r="K436" s="4" t="s">
        <v>82</v>
      </c>
    </row>
    <row r="437" customFormat="false" ht="15" hidden="false" customHeight="false" outlineLevel="0" collapsed="false">
      <c r="A437" s="4" t="s">
        <v>618</v>
      </c>
      <c r="B437" s="17" t="n">
        <v>45753</v>
      </c>
      <c r="C437" s="4" t="n">
        <v>7</v>
      </c>
      <c r="D437" s="4" t="s">
        <v>64</v>
      </c>
      <c r="E437" s="4" t="s">
        <v>84</v>
      </c>
      <c r="F437" s="4" t="s">
        <v>106</v>
      </c>
      <c r="G437" s="4" t="n">
        <v>1</v>
      </c>
      <c r="I437" s="18" t="n">
        <v>0.1</v>
      </c>
      <c r="J437" s="4" t="s">
        <v>81</v>
      </c>
      <c r="K437" s="4" t="s">
        <v>82</v>
      </c>
    </row>
    <row r="438" customFormat="false" ht="15" hidden="false" customHeight="false" outlineLevel="0" collapsed="false">
      <c r="A438" s="4" t="s">
        <v>619</v>
      </c>
      <c r="B438" s="17" t="n">
        <v>45753</v>
      </c>
      <c r="C438" s="4" t="n">
        <v>8</v>
      </c>
      <c r="D438" s="4" t="s">
        <v>70</v>
      </c>
      <c r="E438" s="4" t="s">
        <v>65</v>
      </c>
      <c r="F438" s="4" t="s">
        <v>121</v>
      </c>
      <c r="G438" s="4" t="n">
        <v>1</v>
      </c>
      <c r="H438" s="4" t="n">
        <v>170</v>
      </c>
      <c r="I438" s="18" t="n">
        <v>0.05</v>
      </c>
      <c r="J438" s="4" t="s">
        <v>81</v>
      </c>
      <c r="K438" s="4" t="s">
        <v>82</v>
      </c>
    </row>
    <row r="439" customFormat="false" ht="15" hidden="false" customHeight="false" outlineLevel="0" collapsed="false">
      <c r="A439" s="4" t="s">
        <v>620</v>
      </c>
      <c r="B439" s="17" t="n">
        <v>45753</v>
      </c>
      <c r="C439" s="4" t="n">
        <v>8</v>
      </c>
      <c r="D439" s="4" t="s">
        <v>70</v>
      </c>
      <c r="E439" s="4" t="s">
        <v>84</v>
      </c>
      <c r="F439" s="4" t="s">
        <v>117</v>
      </c>
      <c r="G439" s="4" t="n">
        <v>3</v>
      </c>
      <c r="H439" s="4" t="n">
        <v>95</v>
      </c>
      <c r="I439" s="18" t="n">
        <v>0</v>
      </c>
      <c r="J439" s="4" t="s">
        <v>81</v>
      </c>
      <c r="K439" s="4" t="s">
        <v>77</v>
      </c>
    </row>
    <row r="440" customFormat="false" ht="15" hidden="false" customHeight="false" outlineLevel="0" collapsed="false">
      <c r="A440" s="4" t="s">
        <v>621</v>
      </c>
      <c r="B440" s="17" t="n">
        <v>45753</v>
      </c>
      <c r="C440" s="4" t="n">
        <v>8</v>
      </c>
      <c r="D440" s="4" t="s">
        <v>64</v>
      </c>
      <c r="E440" s="4" t="s">
        <v>84</v>
      </c>
      <c r="F440" s="4" t="s">
        <v>579</v>
      </c>
      <c r="G440" s="4" t="n">
        <v>2</v>
      </c>
      <c r="H440" s="4" t="n">
        <v>95</v>
      </c>
      <c r="I440" s="18" t="n">
        <v>0.15</v>
      </c>
      <c r="J440" s="4" t="s">
        <v>81</v>
      </c>
      <c r="K440" s="4" t="s">
        <v>77</v>
      </c>
    </row>
    <row r="441" customFormat="false" ht="15" hidden="false" customHeight="false" outlineLevel="0" collapsed="false">
      <c r="A441" s="4" t="s">
        <v>622</v>
      </c>
      <c r="B441" s="17" t="n">
        <v>45753</v>
      </c>
      <c r="C441" s="4" t="n">
        <v>12</v>
      </c>
      <c r="D441" s="4" t="s">
        <v>98</v>
      </c>
      <c r="E441" s="4" t="s">
        <v>79</v>
      </c>
      <c r="F441" s="4" t="s">
        <v>135</v>
      </c>
      <c r="G441" s="4" t="n">
        <v>3</v>
      </c>
      <c r="H441" s="4" t="n">
        <v>130</v>
      </c>
      <c r="I441" s="18" t="n">
        <v>0.15</v>
      </c>
      <c r="J441" s="4" t="s">
        <v>88</v>
      </c>
      <c r="K441" s="4" t="s">
        <v>68</v>
      </c>
    </row>
    <row r="442" customFormat="false" ht="15" hidden="false" customHeight="false" outlineLevel="0" collapsed="false">
      <c r="A442" s="4" t="s">
        <v>623</v>
      </c>
      <c r="B442" s="17" t="n">
        <v>45753</v>
      </c>
      <c r="C442" s="4" t="n">
        <v>13</v>
      </c>
      <c r="D442" s="4" t="s">
        <v>108</v>
      </c>
      <c r="E442" s="4" t="s">
        <v>411</v>
      </c>
      <c r="F442" s="4" t="s">
        <v>139</v>
      </c>
      <c r="G442" s="4" t="n">
        <v>1</v>
      </c>
      <c r="H442" s="4" t="n">
        <v>260</v>
      </c>
      <c r="I442" s="18" t="n">
        <v>0</v>
      </c>
      <c r="J442" s="4" t="s">
        <v>76</v>
      </c>
      <c r="K442" s="4" t="s">
        <v>68</v>
      </c>
    </row>
    <row r="443" customFormat="false" ht="15" hidden="false" customHeight="false" outlineLevel="0" collapsed="false">
      <c r="A443" s="4" t="s">
        <v>624</v>
      </c>
      <c r="B443" s="17" t="n">
        <v>45753</v>
      </c>
      <c r="C443" s="4" t="n">
        <v>14</v>
      </c>
      <c r="D443" s="4" t="s">
        <v>73</v>
      </c>
      <c r="E443" s="4" t="s">
        <v>302</v>
      </c>
      <c r="F443" s="4" t="s">
        <v>102</v>
      </c>
      <c r="G443" s="4" t="n">
        <v>3</v>
      </c>
      <c r="H443" s="4" t="n">
        <v>140</v>
      </c>
      <c r="I443" s="18" t="n">
        <v>0.05</v>
      </c>
      <c r="J443" s="4" t="s">
        <v>81</v>
      </c>
      <c r="K443" s="4" t="s">
        <v>82</v>
      </c>
    </row>
    <row r="444" customFormat="false" ht="15" hidden="false" customHeight="false" outlineLevel="0" collapsed="false">
      <c r="A444" s="4" t="s">
        <v>625</v>
      </c>
      <c r="B444" s="17" t="n">
        <v>45753</v>
      </c>
      <c r="C444" s="4" t="n">
        <v>16</v>
      </c>
      <c r="D444" s="4" t="s">
        <v>98</v>
      </c>
      <c r="E444" s="4" t="s">
        <v>84</v>
      </c>
      <c r="F444" s="4" t="s">
        <v>114</v>
      </c>
      <c r="G444" s="4" t="n">
        <v>1</v>
      </c>
      <c r="H444" s="4" t="n">
        <v>85</v>
      </c>
      <c r="I444" s="18" t="n">
        <v>0</v>
      </c>
      <c r="J444" s="4" t="s">
        <v>81</v>
      </c>
      <c r="K444" s="4" t="s">
        <v>77</v>
      </c>
    </row>
    <row r="445" customFormat="false" ht="15" hidden="false" customHeight="false" outlineLevel="0" collapsed="false">
      <c r="A445" s="4" t="s">
        <v>626</v>
      </c>
      <c r="B445" s="17" t="n">
        <v>45754</v>
      </c>
      <c r="C445" s="4" t="n">
        <v>7</v>
      </c>
      <c r="D445" s="4" t="s">
        <v>73</v>
      </c>
      <c r="E445" s="4" t="s">
        <v>74</v>
      </c>
      <c r="F445" s="4" t="s">
        <v>91</v>
      </c>
      <c r="G445" s="4" t="n">
        <v>1</v>
      </c>
      <c r="H445" s="4" t="n">
        <v>200</v>
      </c>
      <c r="I445" s="18" t="n">
        <v>0</v>
      </c>
      <c r="J445" s="4" t="s">
        <v>112</v>
      </c>
      <c r="K445" s="4" t="s">
        <v>77</v>
      </c>
    </row>
    <row r="446" customFormat="false" ht="15" hidden="false" customHeight="false" outlineLevel="0" collapsed="false">
      <c r="A446" s="4" t="s">
        <v>627</v>
      </c>
      <c r="B446" s="17" t="n">
        <v>45754</v>
      </c>
      <c r="C446" s="4" t="n">
        <v>8</v>
      </c>
      <c r="D446" s="4" t="s">
        <v>64</v>
      </c>
      <c r="E446" s="4" t="s">
        <v>65</v>
      </c>
      <c r="F446" s="4" t="s">
        <v>87</v>
      </c>
      <c r="G446" s="4" t="n">
        <v>1</v>
      </c>
      <c r="H446" s="4" t="n">
        <v>160</v>
      </c>
      <c r="I446" s="18" t="n">
        <v>0.05</v>
      </c>
      <c r="J446" s="4" t="s">
        <v>67</v>
      </c>
      <c r="K446" s="4" t="s">
        <v>82</v>
      </c>
    </row>
    <row r="447" customFormat="false" ht="15" hidden="false" customHeight="false" outlineLevel="0" collapsed="false">
      <c r="A447" s="4" t="s">
        <v>628</v>
      </c>
      <c r="B447" s="17" t="n">
        <v>45754</v>
      </c>
      <c r="C447" s="4" t="n">
        <v>12</v>
      </c>
      <c r="D447" s="4" t="s">
        <v>64</v>
      </c>
      <c r="E447" s="4" t="s">
        <v>65</v>
      </c>
      <c r="F447" s="4" t="s">
        <v>121</v>
      </c>
      <c r="G447" s="4" t="n">
        <v>1</v>
      </c>
      <c r="H447" s="4" t="n">
        <v>170</v>
      </c>
      <c r="I447" s="18" t="n">
        <v>0</v>
      </c>
      <c r="J447" s="4" t="s">
        <v>67</v>
      </c>
      <c r="K447" s="4" t="s">
        <v>68</v>
      </c>
    </row>
    <row r="448" customFormat="false" ht="15" hidden="false" customHeight="false" outlineLevel="0" collapsed="false">
      <c r="A448" s="4" t="s">
        <v>629</v>
      </c>
      <c r="B448" s="17" t="n">
        <v>45754</v>
      </c>
      <c r="C448" s="4" t="n">
        <v>12</v>
      </c>
      <c r="D448" s="4" t="s">
        <v>64</v>
      </c>
      <c r="E448" s="4" t="s">
        <v>350</v>
      </c>
      <c r="F448" s="4" t="s">
        <v>75</v>
      </c>
      <c r="G448" s="4" t="n">
        <v>1</v>
      </c>
      <c r="H448" s="4" t="n">
        <v>220</v>
      </c>
      <c r="I448" s="18" t="n">
        <v>0.05</v>
      </c>
      <c r="J448" s="4" t="s">
        <v>112</v>
      </c>
      <c r="K448" s="4" t="s">
        <v>82</v>
      </c>
    </row>
    <row r="449" customFormat="false" ht="15" hidden="false" customHeight="false" outlineLevel="0" collapsed="false">
      <c r="A449" s="4" t="s">
        <v>630</v>
      </c>
      <c r="B449" s="4" t="s">
        <v>631</v>
      </c>
      <c r="C449" s="4" t="n">
        <v>13</v>
      </c>
      <c r="D449" s="4" t="s">
        <v>98</v>
      </c>
      <c r="E449" s="4" t="s">
        <v>99</v>
      </c>
      <c r="F449" s="4" t="s">
        <v>102</v>
      </c>
      <c r="G449" s="4" t="n">
        <v>1</v>
      </c>
      <c r="H449" s="4" t="n">
        <v>140</v>
      </c>
      <c r="I449" s="18" t="n">
        <v>0.1</v>
      </c>
      <c r="J449" s="4" t="s">
        <v>81</v>
      </c>
      <c r="K449" s="4" t="s">
        <v>71</v>
      </c>
    </row>
    <row r="450" customFormat="false" ht="15" hidden="false" customHeight="false" outlineLevel="0" collapsed="false">
      <c r="A450" s="4" t="s">
        <v>632</v>
      </c>
      <c r="B450" s="17" t="n">
        <v>45754</v>
      </c>
      <c r="C450" s="4" t="n">
        <v>16</v>
      </c>
      <c r="D450" s="4" t="s">
        <v>70</v>
      </c>
      <c r="E450" s="4" t="s">
        <v>235</v>
      </c>
      <c r="F450" s="4" t="s">
        <v>94</v>
      </c>
      <c r="G450" s="4" t="n">
        <v>1</v>
      </c>
      <c r="H450" s="4" t="n">
        <v>150</v>
      </c>
      <c r="I450" s="18" t="n">
        <v>0</v>
      </c>
      <c r="J450" s="4" t="s">
        <v>76</v>
      </c>
      <c r="K450" s="4" t="s">
        <v>77</v>
      </c>
    </row>
    <row r="451" customFormat="false" ht="15" hidden="false" customHeight="false" outlineLevel="0" collapsed="false">
      <c r="A451" s="4" t="s">
        <v>633</v>
      </c>
      <c r="B451" s="17" t="n">
        <v>45754</v>
      </c>
      <c r="C451" s="4" t="n">
        <v>17</v>
      </c>
      <c r="D451" s="4" t="s">
        <v>341</v>
      </c>
      <c r="E451" s="4" t="s">
        <v>99</v>
      </c>
      <c r="F451" s="4" t="s">
        <v>109</v>
      </c>
      <c r="G451" s="4" t="n">
        <v>1</v>
      </c>
      <c r="H451" s="4" t="n">
        <v>130</v>
      </c>
      <c r="I451" s="18" t="n">
        <v>0</v>
      </c>
      <c r="J451" s="4" t="s">
        <v>81</v>
      </c>
      <c r="K451" s="4" t="s">
        <v>68</v>
      </c>
    </row>
    <row r="452" customFormat="false" ht="15" hidden="false" customHeight="false" outlineLevel="0" collapsed="false">
      <c r="A452" s="4" t="s">
        <v>634</v>
      </c>
      <c r="B452" s="17" t="n">
        <v>45755</v>
      </c>
      <c r="C452" s="4" t="n">
        <v>7</v>
      </c>
      <c r="D452" s="4" t="s">
        <v>98</v>
      </c>
      <c r="E452" s="4" t="s">
        <v>79</v>
      </c>
      <c r="F452" s="4" t="s">
        <v>135</v>
      </c>
      <c r="G452" s="4" t="n">
        <v>2</v>
      </c>
      <c r="H452" s="4" t="n">
        <v>130</v>
      </c>
      <c r="I452" s="18" t="n">
        <v>0</v>
      </c>
      <c r="J452" s="4" t="s">
        <v>76</v>
      </c>
      <c r="K452" s="4" t="s">
        <v>68</v>
      </c>
    </row>
    <row r="453" customFormat="false" ht="15" hidden="false" customHeight="false" outlineLevel="0" collapsed="false">
      <c r="A453" s="4" t="s">
        <v>635</v>
      </c>
      <c r="B453" s="17" t="n">
        <v>45755</v>
      </c>
      <c r="C453" s="4" t="n">
        <v>11</v>
      </c>
      <c r="D453" s="4" t="s">
        <v>73</v>
      </c>
      <c r="E453" s="4" t="s">
        <v>636</v>
      </c>
      <c r="F453" s="4" t="s">
        <v>94</v>
      </c>
      <c r="G453" s="4" t="n">
        <v>1</v>
      </c>
      <c r="H453" s="4" t="n">
        <v>150</v>
      </c>
      <c r="I453" s="18" t="n">
        <v>0.15</v>
      </c>
      <c r="J453" s="4" t="s">
        <v>76</v>
      </c>
      <c r="K453" s="4" t="s">
        <v>82</v>
      </c>
    </row>
    <row r="454" customFormat="false" ht="15" hidden="false" customHeight="false" outlineLevel="0" collapsed="false">
      <c r="A454" s="4" t="s">
        <v>637</v>
      </c>
      <c r="B454" s="17" t="n">
        <v>45755</v>
      </c>
      <c r="C454" s="4" t="n">
        <v>13</v>
      </c>
      <c r="D454" s="4" t="s">
        <v>64</v>
      </c>
      <c r="E454" s="4" t="s">
        <v>74</v>
      </c>
      <c r="F454" s="4" t="s">
        <v>91</v>
      </c>
      <c r="G454" s="4" t="n">
        <v>1</v>
      </c>
      <c r="H454" s="4" t="n">
        <v>200</v>
      </c>
      <c r="I454" s="18" t="n">
        <v>0</v>
      </c>
      <c r="J454" s="4" t="s">
        <v>67</v>
      </c>
      <c r="K454" s="4" t="s">
        <v>77</v>
      </c>
    </row>
    <row r="455" customFormat="false" ht="15" hidden="false" customHeight="false" outlineLevel="0" collapsed="false">
      <c r="A455" s="4" t="s">
        <v>638</v>
      </c>
      <c r="B455" s="4" t="s">
        <v>639</v>
      </c>
      <c r="C455" s="4" t="n">
        <v>13</v>
      </c>
      <c r="D455" s="4" t="s">
        <v>73</v>
      </c>
      <c r="E455" s="4" t="s">
        <v>74</v>
      </c>
      <c r="F455" s="4" t="s">
        <v>91</v>
      </c>
      <c r="G455" s="4" t="n">
        <v>2</v>
      </c>
      <c r="H455" s="4" t="n">
        <v>200</v>
      </c>
      <c r="I455" s="18" t="n">
        <v>0</v>
      </c>
      <c r="K455" s="4" t="s">
        <v>77</v>
      </c>
    </row>
    <row r="456" customFormat="false" ht="15" hidden="false" customHeight="false" outlineLevel="0" collapsed="false">
      <c r="A456" s="4" t="s">
        <v>640</v>
      </c>
      <c r="B456" s="17" t="n">
        <v>45755</v>
      </c>
      <c r="C456" s="4" t="n">
        <v>18</v>
      </c>
      <c r="D456" s="4" t="s">
        <v>70</v>
      </c>
      <c r="E456" s="4" t="s">
        <v>65</v>
      </c>
      <c r="F456" s="4" t="s">
        <v>121</v>
      </c>
      <c r="G456" s="4" t="n">
        <v>2</v>
      </c>
      <c r="H456" s="4" t="n">
        <v>170</v>
      </c>
      <c r="I456" s="18" t="n">
        <v>0</v>
      </c>
      <c r="J456" s="4" t="s">
        <v>81</v>
      </c>
      <c r="K456" s="4" t="s">
        <v>68</v>
      </c>
    </row>
    <row r="457" customFormat="false" ht="15" hidden="false" customHeight="false" outlineLevel="0" collapsed="false">
      <c r="A457" s="4" t="s">
        <v>641</v>
      </c>
      <c r="B457" s="17" t="n">
        <v>45756</v>
      </c>
      <c r="C457" s="4" t="n">
        <v>7</v>
      </c>
      <c r="D457" s="4" t="s">
        <v>98</v>
      </c>
      <c r="E457" s="4" t="s">
        <v>65</v>
      </c>
      <c r="F457" s="4" t="s">
        <v>94</v>
      </c>
      <c r="G457" s="4" t="n">
        <v>2</v>
      </c>
      <c r="H457" s="4" t="n">
        <v>150</v>
      </c>
      <c r="I457" s="18" t="n">
        <v>0</v>
      </c>
      <c r="K457" s="4" t="s">
        <v>68</v>
      </c>
    </row>
    <row r="458" customFormat="false" ht="15" hidden="false" customHeight="false" outlineLevel="0" collapsed="false">
      <c r="A458" s="4" t="s">
        <v>642</v>
      </c>
      <c r="B458" s="4" t="s">
        <v>643</v>
      </c>
      <c r="C458" s="4" t="n">
        <v>11</v>
      </c>
      <c r="D458" s="4" t="s">
        <v>70</v>
      </c>
      <c r="E458" s="4" t="s">
        <v>84</v>
      </c>
      <c r="F458" s="4" t="s">
        <v>106</v>
      </c>
      <c r="G458" s="4" t="n">
        <v>2</v>
      </c>
      <c r="H458" s="4" t="n">
        <v>60</v>
      </c>
      <c r="I458" s="18" t="n">
        <v>0</v>
      </c>
      <c r="J458" s="4" t="s">
        <v>81</v>
      </c>
      <c r="K458" s="4" t="s">
        <v>68</v>
      </c>
    </row>
    <row r="459" customFormat="false" ht="15" hidden="false" customHeight="false" outlineLevel="0" collapsed="false">
      <c r="A459" s="4" t="s">
        <v>644</v>
      </c>
      <c r="B459" s="4" t="s">
        <v>645</v>
      </c>
      <c r="C459" s="4" t="n">
        <v>12</v>
      </c>
      <c r="D459" s="4" t="s">
        <v>189</v>
      </c>
      <c r="E459" s="4" t="s">
        <v>164</v>
      </c>
      <c r="F459" s="4" t="s">
        <v>102</v>
      </c>
      <c r="G459" s="4" t="n">
        <v>3</v>
      </c>
      <c r="H459" s="4" t="n">
        <v>140</v>
      </c>
      <c r="I459" s="18" t="n">
        <v>0.2</v>
      </c>
      <c r="J459" s="4" t="s">
        <v>76</v>
      </c>
      <c r="K459" s="4" t="s">
        <v>82</v>
      </c>
    </row>
    <row r="460" customFormat="false" ht="15" hidden="false" customHeight="false" outlineLevel="0" collapsed="false">
      <c r="A460" s="4" t="s">
        <v>646</v>
      </c>
      <c r="B460" s="4" t="s">
        <v>643</v>
      </c>
      <c r="C460" s="4" t="n">
        <v>12</v>
      </c>
      <c r="D460" s="4" t="s">
        <v>98</v>
      </c>
      <c r="E460" s="4" t="s">
        <v>65</v>
      </c>
      <c r="F460" s="4" t="s">
        <v>66</v>
      </c>
      <c r="G460" s="4" t="n">
        <v>1</v>
      </c>
      <c r="H460" s="4" t="n">
        <v>120</v>
      </c>
      <c r="I460" s="18" t="n">
        <v>0.1</v>
      </c>
      <c r="J460" s="4" t="s">
        <v>67</v>
      </c>
      <c r="K460" s="4" t="s">
        <v>71</v>
      </c>
    </row>
    <row r="461" customFormat="false" ht="15" hidden="false" customHeight="false" outlineLevel="0" collapsed="false">
      <c r="A461" s="4" t="s">
        <v>647</v>
      </c>
      <c r="B461" s="17" t="n">
        <v>45757</v>
      </c>
      <c r="C461" s="4" t="n">
        <v>16</v>
      </c>
      <c r="D461" s="4" t="s">
        <v>172</v>
      </c>
      <c r="E461" s="4" t="s">
        <v>74</v>
      </c>
      <c r="F461" s="4" t="s">
        <v>139</v>
      </c>
      <c r="G461" s="4" t="n">
        <v>2</v>
      </c>
      <c r="H461" s="4" t="n">
        <v>260</v>
      </c>
      <c r="I461" s="18" t="n">
        <v>0.05</v>
      </c>
      <c r="J461" s="4" t="s">
        <v>81</v>
      </c>
      <c r="K461" s="4" t="s">
        <v>82</v>
      </c>
    </row>
    <row r="462" customFormat="false" ht="15" hidden="false" customHeight="false" outlineLevel="0" collapsed="false">
      <c r="A462" s="4" t="s">
        <v>648</v>
      </c>
      <c r="B462" s="17" t="n">
        <v>45757</v>
      </c>
      <c r="C462" s="4" t="n">
        <v>16</v>
      </c>
      <c r="D462" s="4" t="s">
        <v>70</v>
      </c>
      <c r="E462" s="4" t="s">
        <v>65</v>
      </c>
      <c r="F462" s="4" t="s">
        <v>121</v>
      </c>
      <c r="G462" s="4" t="n">
        <v>1</v>
      </c>
      <c r="H462" s="4" t="n">
        <v>170</v>
      </c>
      <c r="I462" s="18" t="n">
        <v>0</v>
      </c>
      <c r="J462" s="4" t="s">
        <v>76</v>
      </c>
      <c r="K462" s="4" t="s">
        <v>77</v>
      </c>
    </row>
    <row r="463" customFormat="false" ht="15" hidden="false" customHeight="false" outlineLevel="0" collapsed="false">
      <c r="A463" s="4" t="s">
        <v>649</v>
      </c>
      <c r="B463" s="17" t="n">
        <v>45757</v>
      </c>
      <c r="C463" s="4" t="n">
        <v>17</v>
      </c>
      <c r="D463" s="4" t="s">
        <v>98</v>
      </c>
      <c r="E463" s="4" t="s">
        <v>65</v>
      </c>
      <c r="F463" s="4" t="s">
        <v>650</v>
      </c>
      <c r="G463" s="4" t="n">
        <v>1</v>
      </c>
      <c r="H463" s="4" t="n">
        <v>160</v>
      </c>
      <c r="I463" s="18" t="n">
        <v>0.05</v>
      </c>
      <c r="J463" s="4" t="s">
        <v>76</v>
      </c>
      <c r="K463" s="4" t="s">
        <v>82</v>
      </c>
    </row>
    <row r="464" customFormat="false" ht="15" hidden="false" customHeight="false" outlineLevel="0" collapsed="false">
      <c r="A464" s="4" t="s">
        <v>651</v>
      </c>
      <c r="B464" s="17" t="n">
        <v>45758</v>
      </c>
      <c r="C464" s="4" t="n">
        <v>13</v>
      </c>
      <c r="D464" s="4" t="s">
        <v>64</v>
      </c>
      <c r="E464" s="4" t="s">
        <v>65</v>
      </c>
      <c r="F464" s="4" t="s">
        <v>650</v>
      </c>
      <c r="G464" s="4" t="n">
        <v>1</v>
      </c>
      <c r="H464" s="4" t="n">
        <v>160</v>
      </c>
      <c r="I464" s="18" t="n">
        <v>0</v>
      </c>
      <c r="J464" s="4" t="s">
        <v>81</v>
      </c>
      <c r="K464" s="4" t="s">
        <v>77</v>
      </c>
    </row>
    <row r="465" customFormat="false" ht="15" hidden="false" customHeight="false" outlineLevel="0" collapsed="false">
      <c r="A465" s="4" t="s">
        <v>652</v>
      </c>
      <c r="B465" s="17" t="n">
        <v>45758</v>
      </c>
      <c r="C465" s="4" t="n">
        <v>14</v>
      </c>
      <c r="D465" s="4" t="s">
        <v>70</v>
      </c>
      <c r="E465" s="4" t="s">
        <v>636</v>
      </c>
      <c r="F465" s="4" t="s">
        <v>94</v>
      </c>
      <c r="G465" s="4" t="n">
        <v>2</v>
      </c>
      <c r="H465" s="4" t="n">
        <v>150</v>
      </c>
      <c r="I465" s="18" t="n">
        <v>0.05</v>
      </c>
      <c r="J465" s="4" t="s">
        <v>76</v>
      </c>
      <c r="K465" s="4" t="s">
        <v>82</v>
      </c>
    </row>
    <row r="466" customFormat="false" ht="15" hidden="false" customHeight="false" outlineLevel="0" collapsed="false">
      <c r="A466" s="4" t="s">
        <v>653</v>
      </c>
      <c r="B466" s="17" t="n">
        <v>45758</v>
      </c>
      <c r="C466" s="4" t="n">
        <v>15</v>
      </c>
      <c r="D466" s="4" t="s">
        <v>64</v>
      </c>
      <c r="E466" s="4" t="s">
        <v>84</v>
      </c>
      <c r="F466" s="4" t="s">
        <v>117</v>
      </c>
      <c r="G466" s="4" t="n">
        <v>1</v>
      </c>
      <c r="H466" s="4" t="n">
        <v>95</v>
      </c>
      <c r="I466" s="18" t="n">
        <v>0.1</v>
      </c>
      <c r="J466" s="4" t="s">
        <v>76</v>
      </c>
      <c r="K466" s="4" t="s">
        <v>82</v>
      </c>
    </row>
    <row r="467" customFormat="false" ht="15" hidden="false" customHeight="false" outlineLevel="0" collapsed="false">
      <c r="A467" s="4" t="s">
        <v>654</v>
      </c>
      <c r="B467" s="17" t="n">
        <v>45758</v>
      </c>
      <c r="C467" s="4" t="n">
        <v>18</v>
      </c>
      <c r="D467" s="4" t="s">
        <v>64</v>
      </c>
      <c r="E467" s="4" t="s">
        <v>79</v>
      </c>
      <c r="F467" s="4" t="s">
        <v>80</v>
      </c>
      <c r="G467" s="4" t="n">
        <v>1</v>
      </c>
      <c r="H467" s="4" t="n">
        <v>160</v>
      </c>
      <c r="I467" s="18" t="n">
        <v>0</v>
      </c>
      <c r="J467" s="4" t="s">
        <v>88</v>
      </c>
      <c r="K467" s="4" t="s">
        <v>68</v>
      </c>
    </row>
    <row r="468" customFormat="false" ht="15" hidden="false" customHeight="false" outlineLevel="0" collapsed="false">
      <c r="A468" s="4" t="s">
        <v>655</v>
      </c>
      <c r="B468" s="17" t="n">
        <v>45759</v>
      </c>
      <c r="C468" s="4" t="n">
        <v>12</v>
      </c>
      <c r="D468" s="4" t="s">
        <v>108</v>
      </c>
      <c r="E468" s="4" t="s">
        <v>65</v>
      </c>
      <c r="F468" s="4" t="s">
        <v>87</v>
      </c>
      <c r="G468" s="4" t="n">
        <v>4</v>
      </c>
      <c r="H468" s="4" t="n">
        <v>160</v>
      </c>
      <c r="I468" s="18" t="n">
        <v>0.1</v>
      </c>
      <c r="J468" s="4" t="s">
        <v>81</v>
      </c>
      <c r="K468" s="4" t="s">
        <v>77</v>
      </c>
    </row>
    <row r="469" customFormat="false" ht="15" hidden="false" customHeight="false" outlineLevel="0" collapsed="false">
      <c r="A469" s="4" t="s">
        <v>656</v>
      </c>
      <c r="B469" s="17" t="n">
        <v>45759</v>
      </c>
      <c r="C469" s="4" t="n">
        <v>16</v>
      </c>
      <c r="D469" s="4" t="s">
        <v>64</v>
      </c>
      <c r="E469" s="4" t="s">
        <v>99</v>
      </c>
      <c r="F469" s="4" t="s">
        <v>102</v>
      </c>
      <c r="G469" s="4" t="n">
        <v>1</v>
      </c>
      <c r="H469" s="4" t="n">
        <v>140</v>
      </c>
      <c r="I469" s="18" t="n">
        <v>0</v>
      </c>
      <c r="J469" s="4" t="s">
        <v>67</v>
      </c>
      <c r="K469" s="4" t="s">
        <v>68</v>
      </c>
    </row>
    <row r="470" customFormat="false" ht="15" hidden="false" customHeight="false" outlineLevel="0" collapsed="false">
      <c r="A470" s="4" t="s">
        <v>657</v>
      </c>
      <c r="B470" s="17" t="n">
        <v>45760</v>
      </c>
      <c r="C470" s="4" t="n">
        <v>9</v>
      </c>
      <c r="D470" s="4" t="s">
        <v>70</v>
      </c>
      <c r="E470" s="4" t="s">
        <v>65</v>
      </c>
      <c r="F470" s="4" t="s">
        <v>94</v>
      </c>
      <c r="G470" s="4" t="n">
        <v>1</v>
      </c>
      <c r="H470" s="4" t="n">
        <v>150</v>
      </c>
      <c r="I470" s="18" t="n">
        <v>0.05</v>
      </c>
      <c r="J470" s="4" t="s">
        <v>81</v>
      </c>
      <c r="K470" s="4" t="s">
        <v>82</v>
      </c>
    </row>
    <row r="471" customFormat="false" ht="15" hidden="false" customHeight="false" outlineLevel="0" collapsed="false">
      <c r="A471" s="4" t="s">
        <v>658</v>
      </c>
      <c r="B471" s="17" t="n">
        <v>45760</v>
      </c>
      <c r="C471" s="4" t="n">
        <v>15</v>
      </c>
      <c r="D471" s="4" t="s">
        <v>73</v>
      </c>
      <c r="E471" s="4" t="s">
        <v>65</v>
      </c>
      <c r="F471" s="4" t="s">
        <v>121</v>
      </c>
      <c r="G471" s="4" t="n">
        <v>1</v>
      </c>
      <c r="H471" s="4" t="n">
        <v>170</v>
      </c>
      <c r="I471" s="18" t="n">
        <v>0</v>
      </c>
      <c r="J471" s="4" t="s">
        <v>81</v>
      </c>
      <c r="K471" s="4" t="s">
        <v>68</v>
      </c>
    </row>
    <row r="472" customFormat="false" ht="15" hidden="false" customHeight="false" outlineLevel="0" collapsed="false">
      <c r="A472" s="4" t="s">
        <v>659</v>
      </c>
      <c r="B472" s="17" t="n">
        <v>45760</v>
      </c>
      <c r="C472" s="4" t="n">
        <v>16</v>
      </c>
      <c r="D472" s="4" t="s">
        <v>73</v>
      </c>
      <c r="E472" s="4" t="s">
        <v>84</v>
      </c>
      <c r="F472" s="4" t="s">
        <v>117</v>
      </c>
      <c r="G472" s="4" t="n">
        <v>4</v>
      </c>
      <c r="H472" s="4" t="n">
        <v>95</v>
      </c>
      <c r="I472" s="18" t="n">
        <v>0</v>
      </c>
      <c r="J472" s="4" t="s">
        <v>76</v>
      </c>
      <c r="K472" s="4" t="s">
        <v>77</v>
      </c>
    </row>
    <row r="473" customFormat="false" ht="15" hidden="false" customHeight="false" outlineLevel="0" collapsed="false">
      <c r="A473" s="4" t="s">
        <v>660</v>
      </c>
      <c r="B473" s="17" t="n">
        <v>45761</v>
      </c>
      <c r="C473" s="4" t="n">
        <v>9</v>
      </c>
      <c r="D473" s="4" t="s">
        <v>70</v>
      </c>
      <c r="E473" s="4" t="s">
        <v>65</v>
      </c>
      <c r="F473" s="4" t="s">
        <v>270</v>
      </c>
      <c r="G473" s="4" t="n">
        <v>2</v>
      </c>
      <c r="H473" s="4" t="n">
        <v>150</v>
      </c>
      <c r="I473" s="18" t="n">
        <v>0</v>
      </c>
      <c r="J473" s="4" t="s">
        <v>67</v>
      </c>
      <c r="K473" s="4" t="s">
        <v>68</v>
      </c>
    </row>
    <row r="474" customFormat="false" ht="15" hidden="false" customHeight="false" outlineLevel="0" collapsed="false">
      <c r="A474" s="4" t="s">
        <v>661</v>
      </c>
      <c r="B474" s="17" t="n">
        <v>45761</v>
      </c>
      <c r="C474" s="4" t="n">
        <v>13</v>
      </c>
      <c r="D474" s="4" t="s">
        <v>64</v>
      </c>
      <c r="E474" s="4" t="s">
        <v>373</v>
      </c>
      <c r="F474" s="4" t="s">
        <v>102</v>
      </c>
      <c r="G474" s="4" t="n">
        <v>2</v>
      </c>
      <c r="H474" s="4" t="n">
        <v>140</v>
      </c>
      <c r="I474" s="18" t="n">
        <v>0.1</v>
      </c>
      <c r="J474" s="4" t="s">
        <v>112</v>
      </c>
      <c r="K474" s="4" t="s">
        <v>71</v>
      </c>
    </row>
    <row r="475" customFormat="false" ht="15" hidden="false" customHeight="false" outlineLevel="0" collapsed="false">
      <c r="A475" s="4" t="s">
        <v>662</v>
      </c>
      <c r="B475" s="17" t="n">
        <v>45761</v>
      </c>
      <c r="C475" s="4" t="n">
        <v>14</v>
      </c>
      <c r="D475" s="4" t="s">
        <v>98</v>
      </c>
      <c r="E475" s="4" t="s">
        <v>65</v>
      </c>
      <c r="F475" s="4" t="s">
        <v>94</v>
      </c>
      <c r="G475" s="4" t="n">
        <v>2</v>
      </c>
      <c r="H475" s="4" t="n">
        <v>150</v>
      </c>
      <c r="I475" s="18" t="n">
        <v>0.1</v>
      </c>
      <c r="J475" s="4" t="s">
        <v>81</v>
      </c>
      <c r="K475" s="4" t="s">
        <v>71</v>
      </c>
    </row>
    <row r="476" customFormat="false" ht="15" hidden="false" customHeight="false" outlineLevel="0" collapsed="false">
      <c r="A476" s="4" t="s">
        <v>663</v>
      </c>
      <c r="B476" s="17" t="n">
        <v>45761</v>
      </c>
      <c r="C476" s="4" t="n">
        <v>15</v>
      </c>
      <c r="D476" s="4" t="s">
        <v>98</v>
      </c>
      <c r="E476" s="4" t="s">
        <v>65</v>
      </c>
      <c r="F476" s="4" t="s">
        <v>66</v>
      </c>
      <c r="G476" s="4" t="n">
        <v>1</v>
      </c>
      <c r="H476" s="4" t="n">
        <v>120</v>
      </c>
      <c r="I476" s="18" t="n">
        <v>0.1</v>
      </c>
      <c r="J476" s="4" t="s">
        <v>76</v>
      </c>
      <c r="K476" s="4" t="s">
        <v>71</v>
      </c>
    </row>
    <row r="477" customFormat="false" ht="15" hidden="false" customHeight="false" outlineLevel="0" collapsed="false">
      <c r="A477" s="4" t="s">
        <v>664</v>
      </c>
      <c r="B477" s="17" t="n">
        <v>45761</v>
      </c>
      <c r="C477" s="4" t="n">
        <v>16</v>
      </c>
      <c r="D477" s="4" t="s">
        <v>70</v>
      </c>
      <c r="E477" s="4" t="s">
        <v>65</v>
      </c>
      <c r="F477" s="4" t="s">
        <v>87</v>
      </c>
      <c r="G477" s="4" t="n">
        <v>3</v>
      </c>
      <c r="H477" s="4" t="n">
        <v>160</v>
      </c>
      <c r="I477" s="18" t="n">
        <v>0.05</v>
      </c>
      <c r="J477" s="4" t="s">
        <v>665</v>
      </c>
      <c r="K477" s="4" t="s">
        <v>82</v>
      </c>
    </row>
    <row r="478" customFormat="false" ht="15" hidden="false" customHeight="false" outlineLevel="0" collapsed="false">
      <c r="A478" s="4" t="s">
        <v>666</v>
      </c>
      <c r="B478" s="17" t="n">
        <v>45762</v>
      </c>
      <c r="C478" s="4" t="n">
        <v>8</v>
      </c>
      <c r="D478" s="4" t="s">
        <v>73</v>
      </c>
      <c r="E478" s="4" t="s">
        <v>65</v>
      </c>
      <c r="F478" s="4" t="s">
        <v>94</v>
      </c>
      <c r="G478" s="4" t="n">
        <v>1</v>
      </c>
      <c r="H478" s="4" t="n">
        <v>150</v>
      </c>
      <c r="I478" s="18" t="n">
        <v>0.2</v>
      </c>
      <c r="J478" s="4" t="s">
        <v>76</v>
      </c>
      <c r="K478" s="4" t="s">
        <v>68</v>
      </c>
    </row>
    <row r="479" customFormat="false" ht="15" hidden="false" customHeight="false" outlineLevel="0" collapsed="false">
      <c r="A479" s="4" t="s">
        <v>667</v>
      </c>
      <c r="B479" s="17" t="n">
        <v>45762</v>
      </c>
      <c r="C479" s="4" t="n">
        <v>11</v>
      </c>
      <c r="D479" s="4" t="s">
        <v>73</v>
      </c>
      <c r="E479" s="4" t="s">
        <v>65</v>
      </c>
      <c r="F479" s="4" t="s">
        <v>94</v>
      </c>
      <c r="G479" s="4" t="n">
        <v>1</v>
      </c>
      <c r="H479" s="4" t="n">
        <v>150</v>
      </c>
      <c r="I479" s="18" t="n">
        <v>0</v>
      </c>
      <c r="J479" s="4" t="s">
        <v>273</v>
      </c>
      <c r="K479" s="4" t="s">
        <v>68</v>
      </c>
    </row>
    <row r="480" customFormat="false" ht="15" hidden="false" customHeight="false" outlineLevel="0" collapsed="false">
      <c r="A480" s="4" t="s">
        <v>668</v>
      </c>
      <c r="B480" s="17" t="n">
        <v>45762</v>
      </c>
      <c r="C480" s="4" t="n">
        <v>12</v>
      </c>
      <c r="D480" s="4" t="s">
        <v>73</v>
      </c>
      <c r="E480" s="4" t="s">
        <v>99</v>
      </c>
      <c r="F480" s="4" t="s">
        <v>102</v>
      </c>
      <c r="G480" s="4" t="n">
        <v>1</v>
      </c>
      <c r="H480" s="4" t="n">
        <v>140</v>
      </c>
      <c r="I480" s="18" t="n">
        <v>0.1</v>
      </c>
      <c r="K480" s="4" t="s">
        <v>71</v>
      </c>
    </row>
    <row r="481" customFormat="false" ht="15" hidden="false" customHeight="false" outlineLevel="0" collapsed="false">
      <c r="A481" s="4" t="s">
        <v>668</v>
      </c>
      <c r="B481" s="17" t="n">
        <v>45762</v>
      </c>
      <c r="C481" s="4" t="n">
        <v>12</v>
      </c>
      <c r="D481" s="4" t="s">
        <v>73</v>
      </c>
      <c r="E481" s="4" t="s">
        <v>99</v>
      </c>
      <c r="F481" s="4" t="s">
        <v>102</v>
      </c>
      <c r="G481" s="4" t="n">
        <v>1</v>
      </c>
      <c r="H481" s="4" t="n">
        <v>140</v>
      </c>
      <c r="I481" s="18" t="n">
        <v>0.1</v>
      </c>
      <c r="K481" s="4" t="s">
        <v>71</v>
      </c>
    </row>
    <row r="482" customFormat="false" ht="15" hidden="false" customHeight="false" outlineLevel="0" collapsed="false">
      <c r="A482" s="4" t="s">
        <v>669</v>
      </c>
      <c r="B482" s="17" t="n">
        <v>45762</v>
      </c>
      <c r="C482" s="4" t="n">
        <v>13</v>
      </c>
      <c r="D482" s="4" t="s">
        <v>98</v>
      </c>
      <c r="E482" s="4" t="s">
        <v>79</v>
      </c>
      <c r="F482" s="4" t="s">
        <v>135</v>
      </c>
      <c r="G482" s="4" t="n">
        <v>1</v>
      </c>
      <c r="H482" s="4" t="n">
        <v>130</v>
      </c>
      <c r="I482" s="18" t="n">
        <v>0.1</v>
      </c>
      <c r="J482" s="4" t="s">
        <v>81</v>
      </c>
      <c r="K482" s="4" t="s">
        <v>71</v>
      </c>
    </row>
    <row r="483" customFormat="false" ht="15" hidden="false" customHeight="false" outlineLevel="0" collapsed="false">
      <c r="A483" s="4" t="s">
        <v>670</v>
      </c>
      <c r="B483" s="17" t="n">
        <v>45762</v>
      </c>
      <c r="C483" s="4" t="n">
        <v>13</v>
      </c>
      <c r="D483" s="4" t="s">
        <v>98</v>
      </c>
      <c r="E483" s="4" t="s">
        <v>65</v>
      </c>
      <c r="F483" s="4" t="s">
        <v>66</v>
      </c>
      <c r="G483" s="4" t="n">
        <v>2</v>
      </c>
      <c r="I483" s="18" t="n">
        <v>0</v>
      </c>
      <c r="J483" s="4" t="s">
        <v>81</v>
      </c>
      <c r="K483" s="4" t="s">
        <v>68</v>
      </c>
    </row>
    <row r="484" customFormat="false" ht="15" hidden="false" customHeight="false" outlineLevel="0" collapsed="false">
      <c r="A484" s="4" t="s">
        <v>671</v>
      </c>
      <c r="B484" s="17" t="n">
        <v>45762</v>
      </c>
      <c r="C484" s="4" t="n">
        <v>14</v>
      </c>
      <c r="D484" s="4" t="s">
        <v>70</v>
      </c>
      <c r="E484" s="4" t="s">
        <v>403</v>
      </c>
      <c r="F484" s="4" t="s">
        <v>275</v>
      </c>
      <c r="G484" s="4" t="n">
        <v>2</v>
      </c>
      <c r="H484" s="4" t="n">
        <v>140</v>
      </c>
      <c r="I484" s="18" t="n">
        <v>0</v>
      </c>
      <c r="J484" s="4" t="s">
        <v>76</v>
      </c>
      <c r="K484" s="4" t="s">
        <v>68</v>
      </c>
    </row>
    <row r="485" customFormat="false" ht="15" hidden="false" customHeight="false" outlineLevel="0" collapsed="false">
      <c r="A485" s="4" t="s">
        <v>672</v>
      </c>
      <c r="B485" s="17" t="n">
        <v>45762</v>
      </c>
      <c r="C485" s="4" t="n">
        <v>14</v>
      </c>
      <c r="D485" s="4" t="s">
        <v>70</v>
      </c>
      <c r="E485" s="4" t="s">
        <v>65</v>
      </c>
      <c r="F485" s="4" t="s">
        <v>94</v>
      </c>
      <c r="G485" s="4" t="n">
        <v>1</v>
      </c>
      <c r="H485" s="4" t="n">
        <v>150</v>
      </c>
      <c r="I485" s="18" t="n">
        <v>0</v>
      </c>
      <c r="J485" s="4" t="s">
        <v>123</v>
      </c>
      <c r="K485" s="4" t="s">
        <v>68</v>
      </c>
    </row>
    <row r="486" customFormat="false" ht="15" hidden="false" customHeight="false" outlineLevel="0" collapsed="false">
      <c r="A486" s="4" t="s">
        <v>673</v>
      </c>
      <c r="B486" s="17" t="n">
        <v>45762</v>
      </c>
      <c r="C486" s="4" t="n">
        <v>16</v>
      </c>
      <c r="D486" s="4" t="s">
        <v>73</v>
      </c>
      <c r="E486" s="4" t="s">
        <v>65</v>
      </c>
      <c r="F486" s="4" t="s">
        <v>486</v>
      </c>
      <c r="G486" s="4" t="n">
        <v>3</v>
      </c>
      <c r="H486" s="4" t="n">
        <v>150</v>
      </c>
      <c r="I486" s="18" t="n">
        <v>0.1</v>
      </c>
      <c r="J486" s="4" t="s">
        <v>67</v>
      </c>
      <c r="K486" s="4" t="s">
        <v>71</v>
      </c>
    </row>
    <row r="487" customFormat="false" ht="15" hidden="false" customHeight="false" outlineLevel="0" collapsed="false">
      <c r="A487" s="4" t="s">
        <v>674</v>
      </c>
      <c r="B487" s="17" t="n">
        <v>45762</v>
      </c>
      <c r="C487" s="4" t="n">
        <v>19</v>
      </c>
      <c r="D487" s="4" t="s">
        <v>64</v>
      </c>
      <c r="E487" s="4" t="s">
        <v>79</v>
      </c>
      <c r="F487" s="4" t="s">
        <v>80</v>
      </c>
      <c r="G487" s="4" t="n">
        <v>1</v>
      </c>
      <c r="H487" s="4" t="n">
        <v>160</v>
      </c>
      <c r="I487" s="18" t="n">
        <v>0</v>
      </c>
      <c r="J487" s="4" t="s">
        <v>81</v>
      </c>
      <c r="K487" s="4" t="s">
        <v>68</v>
      </c>
    </row>
    <row r="488" customFormat="false" ht="15" hidden="false" customHeight="false" outlineLevel="0" collapsed="false">
      <c r="A488" s="4" t="s">
        <v>675</v>
      </c>
      <c r="B488" s="17" t="n">
        <v>45763</v>
      </c>
      <c r="C488" s="4" t="n">
        <v>8</v>
      </c>
      <c r="D488" s="4" t="s">
        <v>64</v>
      </c>
      <c r="E488" s="4" t="s">
        <v>65</v>
      </c>
      <c r="F488" s="4" t="s">
        <v>94</v>
      </c>
      <c r="G488" s="4" t="n">
        <v>1</v>
      </c>
      <c r="H488" s="4" t="n">
        <v>150</v>
      </c>
      <c r="I488" s="18" t="n">
        <v>0</v>
      </c>
      <c r="J488" s="4" t="s">
        <v>76</v>
      </c>
      <c r="K488" s="4" t="s">
        <v>77</v>
      </c>
    </row>
    <row r="489" customFormat="false" ht="15" hidden="false" customHeight="false" outlineLevel="0" collapsed="false">
      <c r="A489" s="4" t="s">
        <v>676</v>
      </c>
      <c r="B489" s="17" t="n">
        <v>45763</v>
      </c>
      <c r="C489" s="4" t="n">
        <v>13</v>
      </c>
      <c r="D489" s="4" t="s">
        <v>64</v>
      </c>
      <c r="E489" s="4" t="s">
        <v>74</v>
      </c>
      <c r="F489" s="4" t="s">
        <v>91</v>
      </c>
      <c r="G489" s="4" t="n">
        <v>2</v>
      </c>
      <c r="H489" s="4" t="n">
        <v>200</v>
      </c>
      <c r="I489" s="18" t="n">
        <v>0.05</v>
      </c>
      <c r="J489" s="4" t="s">
        <v>76</v>
      </c>
      <c r="K489" s="4" t="s">
        <v>82</v>
      </c>
    </row>
    <row r="490" customFormat="false" ht="15" hidden="false" customHeight="false" outlineLevel="0" collapsed="false">
      <c r="A490" s="4" t="s">
        <v>677</v>
      </c>
      <c r="B490" s="17" t="n">
        <v>45763</v>
      </c>
      <c r="C490" s="4" t="n">
        <v>13</v>
      </c>
      <c r="D490" s="4" t="s">
        <v>73</v>
      </c>
      <c r="E490" s="4" t="s">
        <v>74</v>
      </c>
      <c r="F490" s="4" t="s">
        <v>75</v>
      </c>
      <c r="G490" s="4" t="n">
        <v>3</v>
      </c>
      <c r="H490" s="4" t="n">
        <v>220</v>
      </c>
      <c r="I490" s="18" t="n">
        <v>0</v>
      </c>
      <c r="J490" s="4" t="s">
        <v>112</v>
      </c>
      <c r="K490" s="4" t="s">
        <v>68</v>
      </c>
    </row>
    <row r="491" customFormat="false" ht="15" hidden="false" customHeight="false" outlineLevel="0" collapsed="false">
      <c r="A491" s="4" t="s">
        <v>678</v>
      </c>
      <c r="B491" s="4" t="s">
        <v>679</v>
      </c>
      <c r="C491" s="4" t="n">
        <v>15</v>
      </c>
      <c r="D491" s="4" t="s">
        <v>70</v>
      </c>
      <c r="E491" s="4" t="s">
        <v>65</v>
      </c>
      <c r="F491" s="4" t="s">
        <v>94</v>
      </c>
      <c r="G491" s="4" t="n">
        <v>1</v>
      </c>
      <c r="H491" s="4" t="n">
        <v>150</v>
      </c>
      <c r="I491" s="18" t="n">
        <v>0</v>
      </c>
      <c r="K491" s="4" t="s">
        <v>68</v>
      </c>
    </row>
    <row r="492" customFormat="false" ht="15" hidden="false" customHeight="false" outlineLevel="0" collapsed="false">
      <c r="A492" s="4" t="s">
        <v>680</v>
      </c>
      <c r="B492" s="17" t="n">
        <v>45763</v>
      </c>
      <c r="C492" s="4" t="n">
        <v>17</v>
      </c>
      <c r="D492" s="4" t="s">
        <v>70</v>
      </c>
      <c r="E492" s="4" t="s">
        <v>79</v>
      </c>
      <c r="F492" s="4" t="s">
        <v>80</v>
      </c>
      <c r="G492" s="4" t="n">
        <v>1</v>
      </c>
      <c r="H492" s="4" t="n">
        <v>160</v>
      </c>
      <c r="I492" s="18" t="n">
        <v>0</v>
      </c>
      <c r="J492" s="4" t="s">
        <v>67</v>
      </c>
      <c r="K492" s="4" t="s">
        <v>77</v>
      </c>
    </row>
    <row r="493" customFormat="false" ht="15" hidden="false" customHeight="false" outlineLevel="0" collapsed="false">
      <c r="A493" s="4" t="s">
        <v>681</v>
      </c>
      <c r="B493" s="17" t="n">
        <v>45764</v>
      </c>
      <c r="C493" s="4" t="n">
        <v>8</v>
      </c>
      <c r="D493" s="4" t="s">
        <v>119</v>
      </c>
      <c r="E493" s="4" t="s">
        <v>79</v>
      </c>
      <c r="F493" s="4" t="s">
        <v>148</v>
      </c>
      <c r="G493" s="4" t="n">
        <v>2</v>
      </c>
      <c r="H493" s="4" t="n">
        <v>120</v>
      </c>
      <c r="I493" s="18" t="n">
        <v>0.15</v>
      </c>
      <c r="J493" s="4" t="s">
        <v>76</v>
      </c>
      <c r="K493" s="4" t="s">
        <v>68</v>
      </c>
    </row>
    <row r="494" customFormat="false" ht="15" hidden="false" customHeight="false" outlineLevel="0" collapsed="false">
      <c r="A494" s="4" t="s">
        <v>682</v>
      </c>
      <c r="B494" s="17" t="n">
        <v>45764</v>
      </c>
      <c r="C494" s="4" t="n">
        <v>12</v>
      </c>
      <c r="D494" s="4" t="s">
        <v>64</v>
      </c>
      <c r="E494" s="4" t="s">
        <v>74</v>
      </c>
      <c r="F494" s="4" t="s">
        <v>139</v>
      </c>
      <c r="G494" s="4" t="n">
        <v>2</v>
      </c>
      <c r="H494" s="4" t="n">
        <v>260</v>
      </c>
      <c r="I494" s="18" t="n">
        <v>0</v>
      </c>
      <c r="J494" s="4" t="s">
        <v>67</v>
      </c>
      <c r="K494" s="4" t="s">
        <v>68</v>
      </c>
    </row>
    <row r="495" customFormat="false" ht="15" hidden="false" customHeight="false" outlineLevel="0" collapsed="false">
      <c r="A495" s="4" t="s">
        <v>683</v>
      </c>
      <c r="B495" s="17" t="n">
        <v>45764</v>
      </c>
      <c r="C495" s="4" t="n">
        <v>12</v>
      </c>
      <c r="D495" s="4" t="s">
        <v>70</v>
      </c>
      <c r="E495" s="4" t="s">
        <v>99</v>
      </c>
      <c r="F495" s="4" t="s">
        <v>102</v>
      </c>
      <c r="G495" s="4" t="n">
        <v>2</v>
      </c>
      <c r="H495" s="4" t="n">
        <v>140</v>
      </c>
      <c r="I495" s="18" t="n">
        <v>0.1</v>
      </c>
      <c r="J495" s="4" t="s">
        <v>76</v>
      </c>
      <c r="K495" s="4" t="s">
        <v>71</v>
      </c>
    </row>
    <row r="496" customFormat="false" ht="15" hidden="false" customHeight="false" outlineLevel="0" collapsed="false">
      <c r="A496" s="4" t="s">
        <v>684</v>
      </c>
      <c r="B496" s="17" t="n">
        <v>45764</v>
      </c>
      <c r="C496" s="4" t="n">
        <v>18</v>
      </c>
      <c r="D496" s="4" t="s">
        <v>64</v>
      </c>
      <c r="E496" s="4" t="s">
        <v>99</v>
      </c>
      <c r="F496" s="4" t="s">
        <v>109</v>
      </c>
      <c r="G496" s="4" t="n">
        <v>2</v>
      </c>
      <c r="H496" s="4" t="n">
        <v>130</v>
      </c>
      <c r="I496" s="18" t="n">
        <v>0</v>
      </c>
      <c r="J496" s="4" t="s">
        <v>76</v>
      </c>
      <c r="K496" s="4" t="s">
        <v>68</v>
      </c>
    </row>
    <row r="497" customFormat="false" ht="15" hidden="false" customHeight="false" outlineLevel="0" collapsed="false">
      <c r="A497" s="4" t="s">
        <v>685</v>
      </c>
      <c r="B497" s="17" t="n">
        <v>45765</v>
      </c>
      <c r="C497" s="4" t="n">
        <v>8</v>
      </c>
      <c r="D497" s="4" t="s">
        <v>98</v>
      </c>
      <c r="E497" s="4" t="s">
        <v>84</v>
      </c>
      <c r="F497" s="4" t="s">
        <v>85</v>
      </c>
      <c r="G497" s="4" t="n">
        <v>1</v>
      </c>
      <c r="H497" s="4" t="n">
        <v>150</v>
      </c>
      <c r="I497" s="18" t="n">
        <v>0</v>
      </c>
      <c r="J497" s="4" t="s">
        <v>67</v>
      </c>
      <c r="K497" s="4" t="s">
        <v>77</v>
      </c>
    </row>
    <row r="498" customFormat="false" ht="15" hidden="false" customHeight="false" outlineLevel="0" collapsed="false">
      <c r="A498" s="4" t="s">
        <v>686</v>
      </c>
      <c r="B498" s="17" t="n">
        <v>45765</v>
      </c>
      <c r="C498" s="4" t="n">
        <v>12</v>
      </c>
      <c r="D498" s="4" t="s">
        <v>70</v>
      </c>
      <c r="E498" s="4" t="s">
        <v>79</v>
      </c>
      <c r="F498" s="4" t="s">
        <v>80</v>
      </c>
      <c r="G498" s="4" t="n">
        <v>2</v>
      </c>
      <c r="H498" s="4" t="n">
        <v>160</v>
      </c>
      <c r="I498" s="18" t="n">
        <v>0</v>
      </c>
      <c r="J498" s="4" t="s">
        <v>81</v>
      </c>
      <c r="K498" s="4" t="s">
        <v>68</v>
      </c>
    </row>
    <row r="499" customFormat="false" ht="15" hidden="false" customHeight="false" outlineLevel="0" collapsed="false">
      <c r="A499" s="4" t="s">
        <v>687</v>
      </c>
      <c r="B499" s="17" t="n">
        <v>45765</v>
      </c>
      <c r="C499" s="4" t="n">
        <v>15</v>
      </c>
      <c r="D499" s="4" t="s">
        <v>64</v>
      </c>
      <c r="E499" s="4" t="s">
        <v>99</v>
      </c>
      <c r="F499" s="4" t="s">
        <v>100</v>
      </c>
      <c r="G499" s="4" t="n">
        <v>1</v>
      </c>
      <c r="H499" s="4" t="n">
        <v>110</v>
      </c>
      <c r="I499" s="18" t="n">
        <v>0.05</v>
      </c>
      <c r="J499" s="4" t="s">
        <v>112</v>
      </c>
      <c r="K499" s="4" t="s">
        <v>82</v>
      </c>
    </row>
    <row r="500" customFormat="false" ht="15" hidden="false" customHeight="false" outlineLevel="0" collapsed="false">
      <c r="A500" s="4" t="s">
        <v>688</v>
      </c>
      <c r="B500" s="17" t="n">
        <v>45766</v>
      </c>
      <c r="C500" s="4" t="n">
        <v>7</v>
      </c>
      <c r="D500" s="4" t="s">
        <v>70</v>
      </c>
      <c r="E500" s="4" t="s">
        <v>65</v>
      </c>
      <c r="F500" s="4" t="s">
        <v>87</v>
      </c>
      <c r="G500" s="4" t="n">
        <v>1</v>
      </c>
      <c r="H500" s="4" t="n">
        <v>160</v>
      </c>
      <c r="I500" s="18" t="n">
        <v>0</v>
      </c>
      <c r="J500" s="4" t="s">
        <v>67</v>
      </c>
      <c r="K500" s="4" t="s">
        <v>77</v>
      </c>
    </row>
    <row r="501" customFormat="false" ht="15" hidden="false" customHeight="false" outlineLevel="0" collapsed="false">
      <c r="A501" s="4" t="s">
        <v>689</v>
      </c>
      <c r="B501" s="17" t="n">
        <v>45766</v>
      </c>
      <c r="C501" s="4" t="n">
        <v>8</v>
      </c>
      <c r="D501" s="4" t="s">
        <v>90</v>
      </c>
      <c r="E501" s="4" t="s">
        <v>79</v>
      </c>
      <c r="F501" s="4" t="s">
        <v>80</v>
      </c>
      <c r="G501" s="4" t="n">
        <v>4</v>
      </c>
      <c r="H501" s="4" t="n">
        <v>160</v>
      </c>
      <c r="I501" s="18" t="n">
        <v>0</v>
      </c>
      <c r="J501" s="4" t="s">
        <v>112</v>
      </c>
      <c r="K501" s="4" t="s">
        <v>68</v>
      </c>
    </row>
    <row r="502" customFormat="false" ht="15" hidden="false" customHeight="false" outlineLevel="0" collapsed="false">
      <c r="A502" s="4" t="s">
        <v>690</v>
      </c>
      <c r="B502" s="17" t="n">
        <v>45766</v>
      </c>
      <c r="C502" s="4" t="n">
        <v>10</v>
      </c>
      <c r="D502" s="4" t="s">
        <v>98</v>
      </c>
      <c r="E502" s="4" t="s">
        <v>84</v>
      </c>
      <c r="F502" s="4" t="s">
        <v>114</v>
      </c>
      <c r="G502" s="4" t="n">
        <v>2</v>
      </c>
      <c r="H502" s="4" t="n">
        <v>85</v>
      </c>
      <c r="I502" s="18" t="n">
        <v>0.15</v>
      </c>
      <c r="J502" s="4" t="s">
        <v>81</v>
      </c>
      <c r="K502" s="4" t="s">
        <v>82</v>
      </c>
    </row>
    <row r="503" customFormat="false" ht="15" hidden="false" customHeight="false" outlineLevel="0" collapsed="false">
      <c r="A503" s="4" t="s">
        <v>691</v>
      </c>
      <c r="B503" s="17" t="n">
        <v>45766</v>
      </c>
      <c r="C503" s="4" t="n">
        <v>13</v>
      </c>
      <c r="D503" s="4" t="s">
        <v>98</v>
      </c>
      <c r="E503" s="4" t="s">
        <v>84</v>
      </c>
      <c r="F503" s="4" t="s">
        <v>106</v>
      </c>
      <c r="G503" s="4" t="n">
        <v>2</v>
      </c>
      <c r="H503" s="4" t="n">
        <v>60</v>
      </c>
      <c r="I503" s="18" t="n">
        <v>0</v>
      </c>
      <c r="J503" s="4" t="s">
        <v>76</v>
      </c>
      <c r="K503" s="4" t="s">
        <v>68</v>
      </c>
    </row>
    <row r="504" customFormat="false" ht="15" hidden="false" customHeight="false" outlineLevel="0" collapsed="false">
      <c r="A504" s="4" t="s">
        <v>692</v>
      </c>
      <c r="B504" s="17" t="n">
        <v>45766</v>
      </c>
      <c r="C504" s="4" t="n">
        <v>13</v>
      </c>
      <c r="D504" s="4" t="s">
        <v>183</v>
      </c>
      <c r="E504" s="4" t="s">
        <v>65</v>
      </c>
      <c r="F504" s="4" t="s">
        <v>94</v>
      </c>
      <c r="G504" s="4" t="n">
        <v>2</v>
      </c>
      <c r="H504" s="4" t="n">
        <v>150</v>
      </c>
      <c r="I504" s="18" t="n">
        <v>0.1</v>
      </c>
      <c r="J504" s="4" t="s">
        <v>67</v>
      </c>
      <c r="K504" s="4" t="s">
        <v>71</v>
      </c>
    </row>
    <row r="505" customFormat="false" ht="15" hidden="false" customHeight="false" outlineLevel="0" collapsed="false">
      <c r="A505" s="4" t="s">
        <v>693</v>
      </c>
      <c r="B505" s="17" t="n">
        <v>45766</v>
      </c>
      <c r="C505" s="4" t="n">
        <v>15</v>
      </c>
      <c r="D505" s="4" t="s">
        <v>73</v>
      </c>
      <c r="E505" s="4" t="s">
        <v>74</v>
      </c>
      <c r="F505" s="4" t="s">
        <v>139</v>
      </c>
      <c r="G505" s="4" t="n">
        <v>1</v>
      </c>
      <c r="H505" s="4" t="n">
        <v>260</v>
      </c>
      <c r="I505" s="18" t="n">
        <v>0.05</v>
      </c>
      <c r="J505" s="4" t="s">
        <v>81</v>
      </c>
      <c r="K505" s="4" t="s">
        <v>82</v>
      </c>
    </row>
    <row r="506" customFormat="false" ht="15" hidden="false" customHeight="false" outlineLevel="0" collapsed="false">
      <c r="A506" s="4" t="s">
        <v>694</v>
      </c>
      <c r="B506" s="17" t="n">
        <v>45767</v>
      </c>
      <c r="C506" s="4" t="n">
        <v>10</v>
      </c>
      <c r="D506" s="4" t="s">
        <v>98</v>
      </c>
      <c r="E506" s="4" t="s">
        <v>65</v>
      </c>
      <c r="F506" s="4" t="s">
        <v>121</v>
      </c>
      <c r="G506" s="4" t="n">
        <v>2</v>
      </c>
      <c r="H506" s="4" t="n">
        <v>170</v>
      </c>
      <c r="I506" s="18" t="n">
        <v>0.15</v>
      </c>
      <c r="J506" s="4" t="s">
        <v>67</v>
      </c>
      <c r="K506" s="4" t="s">
        <v>77</v>
      </c>
    </row>
    <row r="507" customFormat="false" ht="15" hidden="false" customHeight="false" outlineLevel="0" collapsed="false">
      <c r="A507" s="4" t="s">
        <v>695</v>
      </c>
      <c r="B507" s="17" t="n">
        <v>45767</v>
      </c>
      <c r="C507" s="4" t="n">
        <v>13</v>
      </c>
      <c r="D507" s="4" t="s">
        <v>64</v>
      </c>
      <c r="E507" s="4" t="s">
        <v>65</v>
      </c>
      <c r="F507" s="4" t="s">
        <v>66</v>
      </c>
      <c r="G507" s="4" t="n">
        <v>1</v>
      </c>
      <c r="H507" s="4" t="n">
        <v>120</v>
      </c>
      <c r="I507" s="18" t="n">
        <v>0.05</v>
      </c>
      <c r="J507" s="4" t="s">
        <v>81</v>
      </c>
      <c r="K507" s="4" t="s">
        <v>82</v>
      </c>
    </row>
    <row r="508" customFormat="false" ht="15" hidden="false" customHeight="false" outlineLevel="0" collapsed="false">
      <c r="A508" s="4" t="s">
        <v>696</v>
      </c>
      <c r="B508" s="17" t="n">
        <v>45767</v>
      </c>
      <c r="C508" s="4" t="n">
        <v>14</v>
      </c>
      <c r="D508" s="4" t="s">
        <v>64</v>
      </c>
      <c r="E508" s="4" t="s">
        <v>79</v>
      </c>
      <c r="F508" s="4" t="s">
        <v>80</v>
      </c>
      <c r="G508" s="4" t="n">
        <v>1</v>
      </c>
      <c r="H508" s="4" t="n">
        <v>160</v>
      </c>
      <c r="I508" s="18" t="n">
        <v>0</v>
      </c>
      <c r="J508" s="4" t="s">
        <v>76</v>
      </c>
      <c r="K508" s="4" t="s">
        <v>77</v>
      </c>
    </row>
    <row r="509" customFormat="false" ht="15" hidden="false" customHeight="false" outlineLevel="0" collapsed="false">
      <c r="A509" s="4" t="s">
        <v>697</v>
      </c>
      <c r="B509" s="17" t="n">
        <v>45768</v>
      </c>
      <c r="C509" s="4" t="n">
        <v>7</v>
      </c>
      <c r="D509" s="4" t="s">
        <v>70</v>
      </c>
      <c r="E509" s="4" t="s">
        <v>79</v>
      </c>
      <c r="F509" s="4" t="s">
        <v>135</v>
      </c>
      <c r="G509" s="4" t="n">
        <v>1</v>
      </c>
      <c r="H509" s="4" t="n">
        <v>130</v>
      </c>
      <c r="I509" s="18" t="n">
        <v>0.2</v>
      </c>
      <c r="J509" s="4" t="s">
        <v>81</v>
      </c>
      <c r="K509" s="4" t="s">
        <v>68</v>
      </c>
    </row>
    <row r="510" customFormat="false" ht="15" hidden="false" customHeight="false" outlineLevel="0" collapsed="false">
      <c r="A510" s="4" t="s">
        <v>698</v>
      </c>
      <c r="B510" s="17" t="n">
        <v>45768</v>
      </c>
      <c r="C510" s="4" t="n">
        <v>7</v>
      </c>
      <c r="D510" s="4" t="s">
        <v>98</v>
      </c>
      <c r="E510" s="4" t="s">
        <v>65</v>
      </c>
      <c r="F510" s="4" t="s">
        <v>94</v>
      </c>
      <c r="G510" s="4" t="n">
        <v>2</v>
      </c>
      <c r="H510" s="4" t="n">
        <v>150</v>
      </c>
      <c r="I510" s="18" t="n">
        <v>0.1</v>
      </c>
      <c r="J510" s="4" t="s">
        <v>67</v>
      </c>
      <c r="K510" s="4" t="s">
        <v>71</v>
      </c>
    </row>
    <row r="511" customFormat="false" ht="15" hidden="false" customHeight="false" outlineLevel="0" collapsed="false">
      <c r="A511" s="4" t="s">
        <v>699</v>
      </c>
      <c r="B511" s="17" t="n">
        <v>45768</v>
      </c>
      <c r="C511" s="4" t="n">
        <v>15</v>
      </c>
      <c r="D511" s="4" t="s">
        <v>64</v>
      </c>
      <c r="E511" s="4" t="s">
        <v>84</v>
      </c>
      <c r="F511" s="4" t="s">
        <v>114</v>
      </c>
      <c r="G511" s="4" t="n">
        <v>3</v>
      </c>
      <c r="H511" s="4" t="n">
        <v>85</v>
      </c>
      <c r="I511" s="18" t="n">
        <v>0.05</v>
      </c>
      <c r="J511" s="4" t="s">
        <v>76</v>
      </c>
      <c r="K511" s="4" t="s">
        <v>82</v>
      </c>
    </row>
    <row r="512" customFormat="false" ht="15" hidden="false" customHeight="false" outlineLevel="0" collapsed="false">
      <c r="A512" s="4" t="s">
        <v>700</v>
      </c>
      <c r="B512" s="4" t="s">
        <v>701</v>
      </c>
      <c r="C512" s="4" t="n">
        <v>16</v>
      </c>
      <c r="D512" s="4" t="s">
        <v>64</v>
      </c>
      <c r="E512" s="4" t="s">
        <v>65</v>
      </c>
      <c r="F512" s="4" t="s">
        <v>121</v>
      </c>
      <c r="G512" s="4" t="n">
        <v>4</v>
      </c>
      <c r="H512" s="4" t="n">
        <v>170</v>
      </c>
      <c r="I512" s="18" t="n">
        <v>0.05</v>
      </c>
      <c r="J512" s="4" t="s">
        <v>67</v>
      </c>
      <c r="K512" s="4" t="s">
        <v>82</v>
      </c>
    </row>
    <row r="513" customFormat="false" ht="15" hidden="false" customHeight="false" outlineLevel="0" collapsed="false">
      <c r="A513" s="4" t="s">
        <v>702</v>
      </c>
      <c r="B513" s="17" t="n">
        <v>45768</v>
      </c>
      <c r="C513" s="4" t="n">
        <v>16</v>
      </c>
      <c r="D513" s="4" t="s">
        <v>98</v>
      </c>
      <c r="E513" s="4" t="s">
        <v>65</v>
      </c>
      <c r="F513" s="4" t="s">
        <v>87</v>
      </c>
      <c r="G513" s="4" t="n">
        <v>1</v>
      </c>
      <c r="H513" s="4" t="n">
        <v>160</v>
      </c>
      <c r="J513" s="4" t="s">
        <v>76</v>
      </c>
      <c r="K513" s="4" t="s">
        <v>71</v>
      </c>
    </row>
    <row r="514" customFormat="false" ht="15" hidden="false" customHeight="false" outlineLevel="0" collapsed="false">
      <c r="A514" s="4" t="s">
        <v>703</v>
      </c>
      <c r="B514" s="17" t="n">
        <v>45769</v>
      </c>
      <c r="C514" s="4" t="n">
        <v>7</v>
      </c>
      <c r="D514" s="4" t="s">
        <v>70</v>
      </c>
      <c r="E514" s="4" t="s">
        <v>84</v>
      </c>
      <c r="F514" s="4" t="s">
        <v>114</v>
      </c>
      <c r="G514" s="4" t="n">
        <v>1</v>
      </c>
      <c r="H514" s="4" t="n">
        <v>85</v>
      </c>
      <c r="I514" s="18" t="n">
        <v>0</v>
      </c>
      <c r="J514" s="4" t="s">
        <v>67</v>
      </c>
      <c r="K514" s="4" t="s">
        <v>77</v>
      </c>
    </row>
    <row r="515" customFormat="false" ht="15" hidden="false" customHeight="false" outlineLevel="0" collapsed="false">
      <c r="A515" s="4" t="s">
        <v>704</v>
      </c>
      <c r="B515" s="17" t="n">
        <v>45769</v>
      </c>
      <c r="C515" s="4" t="n">
        <v>8</v>
      </c>
      <c r="D515" s="4" t="s">
        <v>64</v>
      </c>
      <c r="E515" s="4" t="s">
        <v>235</v>
      </c>
      <c r="F515" s="4" t="s">
        <v>705</v>
      </c>
      <c r="G515" s="4" t="n">
        <v>1</v>
      </c>
      <c r="H515" s="4" t="n">
        <v>170</v>
      </c>
      <c r="I515" s="18" t="n">
        <v>0</v>
      </c>
      <c r="J515" s="4" t="s">
        <v>67</v>
      </c>
      <c r="K515" s="4" t="s">
        <v>77</v>
      </c>
    </row>
    <row r="516" customFormat="false" ht="15" hidden="false" customHeight="false" outlineLevel="0" collapsed="false">
      <c r="A516" s="4" t="s">
        <v>706</v>
      </c>
      <c r="B516" s="17" t="n">
        <v>45769</v>
      </c>
      <c r="C516" s="4" t="n">
        <v>8</v>
      </c>
      <c r="D516" s="4" t="s">
        <v>98</v>
      </c>
      <c r="E516" s="4" t="s">
        <v>84</v>
      </c>
      <c r="F516" s="4" t="s">
        <v>85</v>
      </c>
      <c r="G516" s="4" t="n">
        <v>2</v>
      </c>
      <c r="H516" s="4" t="n">
        <v>150</v>
      </c>
      <c r="I516" s="18" t="n">
        <v>0</v>
      </c>
      <c r="J516" s="4" t="s">
        <v>67</v>
      </c>
      <c r="K516" s="4" t="s">
        <v>68</v>
      </c>
    </row>
    <row r="517" customFormat="false" ht="15" hidden="false" customHeight="false" outlineLevel="0" collapsed="false">
      <c r="A517" s="4" t="s">
        <v>707</v>
      </c>
      <c r="B517" s="17" t="n">
        <v>45769</v>
      </c>
      <c r="C517" s="4" t="n">
        <v>9</v>
      </c>
      <c r="D517" s="4" t="s">
        <v>73</v>
      </c>
      <c r="E517" s="4" t="s">
        <v>74</v>
      </c>
      <c r="F517" s="4" t="s">
        <v>91</v>
      </c>
      <c r="G517" s="4" t="n">
        <v>1</v>
      </c>
      <c r="H517" s="4" t="n">
        <v>200</v>
      </c>
      <c r="I517" s="18" t="n">
        <v>0.1</v>
      </c>
      <c r="J517" s="4" t="s">
        <v>67</v>
      </c>
      <c r="K517" s="4" t="s">
        <v>71</v>
      </c>
    </row>
    <row r="518" customFormat="false" ht="15" hidden="false" customHeight="false" outlineLevel="0" collapsed="false">
      <c r="A518" s="4" t="s">
        <v>708</v>
      </c>
      <c r="B518" s="17" t="n">
        <v>45769</v>
      </c>
      <c r="C518" s="4" t="n">
        <v>12</v>
      </c>
      <c r="D518" s="4" t="s">
        <v>73</v>
      </c>
      <c r="E518" s="4" t="s">
        <v>84</v>
      </c>
      <c r="F518" s="4" t="s">
        <v>85</v>
      </c>
      <c r="G518" s="4" t="n">
        <v>60</v>
      </c>
      <c r="H518" s="4" t="n">
        <v>150</v>
      </c>
      <c r="I518" s="18" t="n">
        <v>0.05</v>
      </c>
      <c r="J518" s="4" t="s">
        <v>76</v>
      </c>
      <c r="K518" s="4" t="s">
        <v>82</v>
      </c>
    </row>
    <row r="519" customFormat="false" ht="15" hidden="false" customHeight="false" outlineLevel="0" collapsed="false">
      <c r="A519" s="4" t="s">
        <v>709</v>
      </c>
      <c r="B519" s="17" t="n">
        <v>45769</v>
      </c>
      <c r="C519" s="4" t="n">
        <v>13</v>
      </c>
      <c r="D519" s="4" t="s">
        <v>70</v>
      </c>
      <c r="E519" s="4" t="s">
        <v>302</v>
      </c>
      <c r="F519" s="4" t="s">
        <v>133</v>
      </c>
      <c r="G519" s="4" t="n">
        <v>1</v>
      </c>
      <c r="H519" s="4" t="n">
        <v>90</v>
      </c>
      <c r="I519" s="18" t="n">
        <v>0.05</v>
      </c>
      <c r="J519" s="4" t="s">
        <v>112</v>
      </c>
      <c r="K519" s="4" t="s">
        <v>82</v>
      </c>
    </row>
    <row r="520" customFormat="false" ht="15" hidden="false" customHeight="false" outlineLevel="0" collapsed="false">
      <c r="A520" s="4" t="s">
        <v>710</v>
      </c>
      <c r="B520" s="4" t="s">
        <v>711</v>
      </c>
      <c r="C520" s="4" t="n">
        <v>13</v>
      </c>
      <c r="D520" s="4" t="s">
        <v>73</v>
      </c>
      <c r="E520" s="4" t="s">
        <v>99</v>
      </c>
      <c r="F520" s="4" t="s">
        <v>133</v>
      </c>
      <c r="G520" s="4" t="n">
        <v>1</v>
      </c>
      <c r="H520" s="4" t="n">
        <v>90</v>
      </c>
      <c r="I520" s="18" t="n">
        <v>0.15</v>
      </c>
      <c r="J520" s="4" t="s">
        <v>67</v>
      </c>
      <c r="K520" s="4" t="s">
        <v>68</v>
      </c>
    </row>
    <row r="521" customFormat="false" ht="15" hidden="false" customHeight="false" outlineLevel="0" collapsed="false">
      <c r="A521" s="4" t="s">
        <v>712</v>
      </c>
      <c r="B521" s="4" t="s">
        <v>711</v>
      </c>
      <c r="C521" s="4" t="n">
        <v>15</v>
      </c>
      <c r="D521" s="4" t="s">
        <v>70</v>
      </c>
      <c r="E521" s="4" t="s">
        <v>65</v>
      </c>
      <c r="F521" s="4" t="s">
        <v>453</v>
      </c>
      <c r="G521" s="4" t="n">
        <v>1</v>
      </c>
      <c r="H521" s="4" t="n">
        <v>160</v>
      </c>
      <c r="I521" s="18" t="n">
        <v>0.1</v>
      </c>
      <c r="J521" s="4" t="s">
        <v>112</v>
      </c>
      <c r="K521" s="4" t="s">
        <v>71</v>
      </c>
    </row>
    <row r="522" customFormat="false" ht="15" hidden="false" customHeight="false" outlineLevel="0" collapsed="false">
      <c r="A522" s="4" t="s">
        <v>713</v>
      </c>
      <c r="B522" s="17" t="n">
        <v>45769</v>
      </c>
      <c r="C522" s="4" t="n">
        <v>18</v>
      </c>
      <c r="D522" s="4" t="s">
        <v>73</v>
      </c>
      <c r="E522" s="4" t="s">
        <v>65</v>
      </c>
      <c r="F522" s="4" t="s">
        <v>714</v>
      </c>
      <c r="G522" s="4" t="n">
        <v>1</v>
      </c>
      <c r="H522" s="4" t="s">
        <v>715</v>
      </c>
      <c r="I522" s="18" t="n">
        <v>0.1</v>
      </c>
      <c r="J522" s="4" t="s">
        <v>88</v>
      </c>
      <c r="K522" s="4" t="s">
        <v>82</v>
      </c>
    </row>
    <row r="523" customFormat="false" ht="15" hidden="false" customHeight="false" outlineLevel="0" collapsed="false">
      <c r="A523" s="4" t="s">
        <v>716</v>
      </c>
      <c r="B523" s="17" t="n">
        <v>45770</v>
      </c>
      <c r="C523" s="4" t="n">
        <v>7</v>
      </c>
      <c r="D523" s="4" t="s">
        <v>73</v>
      </c>
      <c r="E523" s="4" t="s">
        <v>79</v>
      </c>
      <c r="F523" s="4" t="s">
        <v>148</v>
      </c>
      <c r="G523" s="4" t="n">
        <v>2</v>
      </c>
      <c r="H523" s="4" t="n">
        <v>120</v>
      </c>
      <c r="I523" s="18" t="n">
        <v>0.05</v>
      </c>
      <c r="J523" s="4" t="s">
        <v>103</v>
      </c>
      <c r="K523" s="4" t="s">
        <v>82</v>
      </c>
    </row>
    <row r="524" customFormat="false" ht="15" hidden="false" customHeight="false" outlineLevel="0" collapsed="false">
      <c r="A524" s="4" t="s">
        <v>717</v>
      </c>
      <c r="B524" s="4" t="s">
        <v>718</v>
      </c>
      <c r="C524" s="4" t="n">
        <v>8</v>
      </c>
      <c r="D524" s="4" t="s">
        <v>64</v>
      </c>
      <c r="E524" s="4" t="s">
        <v>79</v>
      </c>
      <c r="F524" s="4" t="s">
        <v>148</v>
      </c>
      <c r="G524" s="4" t="n">
        <v>2</v>
      </c>
      <c r="H524" s="4" t="n">
        <v>120</v>
      </c>
      <c r="I524" s="18" t="n">
        <v>0.2</v>
      </c>
      <c r="J524" s="4" t="s">
        <v>76</v>
      </c>
      <c r="K524" s="4" t="s">
        <v>68</v>
      </c>
    </row>
    <row r="525" customFormat="false" ht="15" hidden="false" customHeight="false" outlineLevel="0" collapsed="false">
      <c r="A525" s="4" t="s">
        <v>719</v>
      </c>
      <c r="B525" s="17" t="n">
        <v>45770</v>
      </c>
      <c r="C525" s="4" t="n">
        <v>8</v>
      </c>
      <c r="D525" s="4" t="s">
        <v>73</v>
      </c>
      <c r="E525" s="4" t="s">
        <v>65</v>
      </c>
      <c r="F525" s="4" t="s">
        <v>121</v>
      </c>
      <c r="G525" s="4" t="n">
        <v>1</v>
      </c>
      <c r="H525" s="4" t="s">
        <v>720</v>
      </c>
      <c r="I525" s="18" t="n">
        <v>0.1</v>
      </c>
      <c r="J525" s="4" t="s">
        <v>88</v>
      </c>
      <c r="K525" s="4" t="s">
        <v>71</v>
      </c>
    </row>
    <row r="526" customFormat="false" ht="15" hidden="false" customHeight="false" outlineLevel="0" collapsed="false">
      <c r="A526" s="4" t="s">
        <v>721</v>
      </c>
      <c r="B526" s="17" t="n">
        <v>45770</v>
      </c>
      <c r="C526" s="4" t="n">
        <v>12</v>
      </c>
      <c r="D526" s="4" t="s">
        <v>73</v>
      </c>
      <c r="E526" s="4" t="s">
        <v>84</v>
      </c>
      <c r="F526" s="4" t="s">
        <v>106</v>
      </c>
      <c r="H526" s="4" t="n">
        <v>60</v>
      </c>
      <c r="I526" s="18" t="n">
        <v>0.05</v>
      </c>
      <c r="J526" s="4" t="s">
        <v>88</v>
      </c>
      <c r="K526" s="4" t="s">
        <v>82</v>
      </c>
    </row>
    <row r="527" customFormat="false" ht="15" hidden="false" customHeight="false" outlineLevel="0" collapsed="false">
      <c r="A527" s="4" t="s">
        <v>722</v>
      </c>
      <c r="B527" s="17" t="n">
        <v>45770</v>
      </c>
      <c r="C527" s="4" t="n">
        <v>13</v>
      </c>
      <c r="D527" s="4" t="s">
        <v>73</v>
      </c>
      <c r="E527" s="4" t="s">
        <v>65</v>
      </c>
      <c r="F527" s="4" t="s">
        <v>121</v>
      </c>
      <c r="G527" s="4" t="n">
        <v>2</v>
      </c>
      <c r="H527" s="4" t="n">
        <v>170</v>
      </c>
      <c r="I527" s="18" t="n">
        <v>0</v>
      </c>
      <c r="J527" s="4" t="s">
        <v>76</v>
      </c>
      <c r="K527" s="4" t="s">
        <v>68</v>
      </c>
    </row>
    <row r="528" customFormat="false" ht="15" hidden="false" customHeight="false" outlineLevel="0" collapsed="false">
      <c r="A528" s="4" t="s">
        <v>723</v>
      </c>
      <c r="B528" s="17" t="n">
        <v>45770</v>
      </c>
      <c r="C528" s="4" t="n">
        <v>14</v>
      </c>
      <c r="D528" s="4" t="s">
        <v>64</v>
      </c>
      <c r="E528" s="4" t="s">
        <v>65</v>
      </c>
      <c r="F528" s="4" t="s">
        <v>66</v>
      </c>
      <c r="G528" s="4" t="n">
        <v>1</v>
      </c>
      <c r="H528" s="4" t="n">
        <v>120</v>
      </c>
      <c r="I528" s="18" t="n">
        <v>0</v>
      </c>
      <c r="J528" s="4" t="s">
        <v>67</v>
      </c>
      <c r="K528" s="4" t="s">
        <v>68</v>
      </c>
    </row>
    <row r="529" customFormat="false" ht="15" hidden="false" customHeight="false" outlineLevel="0" collapsed="false">
      <c r="A529" s="4" t="s">
        <v>724</v>
      </c>
      <c r="B529" s="4" t="s">
        <v>718</v>
      </c>
      <c r="C529" s="4" t="n">
        <v>20</v>
      </c>
      <c r="D529" s="4" t="s">
        <v>64</v>
      </c>
      <c r="E529" s="4" t="s">
        <v>79</v>
      </c>
      <c r="F529" s="4" t="s">
        <v>148</v>
      </c>
      <c r="G529" s="4" t="n">
        <v>1</v>
      </c>
      <c r="H529" s="4" t="n">
        <v>120</v>
      </c>
      <c r="I529" s="18" t="n">
        <v>0</v>
      </c>
      <c r="J529" s="4" t="s">
        <v>67</v>
      </c>
      <c r="K529" s="4" t="s">
        <v>77</v>
      </c>
    </row>
    <row r="530" customFormat="false" ht="15" hidden="false" customHeight="false" outlineLevel="0" collapsed="false">
      <c r="A530" s="4" t="s">
        <v>725</v>
      </c>
      <c r="B530" s="17" t="n">
        <v>45771</v>
      </c>
      <c r="C530" s="4" t="n">
        <v>7</v>
      </c>
      <c r="D530" s="4" t="s">
        <v>64</v>
      </c>
      <c r="E530" s="4" t="s">
        <v>99</v>
      </c>
      <c r="F530" s="4" t="s">
        <v>133</v>
      </c>
      <c r="G530" s="4" t="n">
        <v>1</v>
      </c>
      <c r="H530" s="4" t="n">
        <v>90</v>
      </c>
      <c r="I530" s="18" t="n">
        <v>0.1</v>
      </c>
      <c r="J530" s="4" t="s">
        <v>67</v>
      </c>
      <c r="K530" s="4" t="s">
        <v>82</v>
      </c>
    </row>
    <row r="531" customFormat="false" ht="15" hidden="false" customHeight="false" outlineLevel="0" collapsed="false">
      <c r="A531" s="4" t="s">
        <v>726</v>
      </c>
      <c r="B531" s="17" t="n">
        <v>45771</v>
      </c>
      <c r="C531" s="4" t="n">
        <v>8</v>
      </c>
      <c r="D531" s="4" t="s">
        <v>98</v>
      </c>
      <c r="E531" s="4" t="s">
        <v>99</v>
      </c>
      <c r="F531" s="4" t="s">
        <v>409</v>
      </c>
      <c r="G531" s="4" t="n">
        <v>1</v>
      </c>
      <c r="H531" s="4" t="n">
        <v>110</v>
      </c>
      <c r="I531" s="18" t="n">
        <v>0</v>
      </c>
      <c r="K531" s="4" t="s">
        <v>68</v>
      </c>
    </row>
    <row r="532" customFormat="false" ht="15" hidden="false" customHeight="false" outlineLevel="0" collapsed="false">
      <c r="A532" s="4" t="s">
        <v>727</v>
      </c>
      <c r="B532" s="17" t="n">
        <v>45771</v>
      </c>
      <c r="C532" s="4" t="n">
        <v>9</v>
      </c>
      <c r="D532" s="4" t="s">
        <v>73</v>
      </c>
      <c r="E532" s="4" t="s">
        <v>74</v>
      </c>
      <c r="F532" s="4" t="s">
        <v>139</v>
      </c>
      <c r="G532" s="4" t="n">
        <v>3</v>
      </c>
      <c r="H532" s="4" t="n">
        <v>260</v>
      </c>
      <c r="I532" s="18" t="n">
        <v>0.05</v>
      </c>
      <c r="J532" s="4" t="s">
        <v>76</v>
      </c>
      <c r="K532" s="4" t="s">
        <v>82</v>
      </c>
    </row>
    <row r="533" customFormat="false" ht="15" hidden="false" customHeight="false" outlineLevel="0" collapsed="false">
      <c r="A533" s="4" t="s">
        <v>728</v>
      </c>
      <c r="B533" s="17" t="n">
        <v>45771</v>
      </c>
      <c r="C533" s="4" t="n">
        <v>10</v>
      </c>
      <c r="D533" s="4" t="s">
        <v>119</v>
      </c>
      <c r="E533" s="4" t="s">
        <v>65</v>
      </c>
      <c r="F533" s="4" t="s">
        <v>66</v>
      </c>
      <c r="H533" s="4" t="n">
        <v>120</v>
      </c>
      <c r="I533" s="18" t="n">
        <v>0.05</v>
      </c>
      <c r="J533" s="4" t="s">
        <v>81</v>
      </c>
      <c r="K533" s="4" t="s">
        <v>82</v>
      </c>
    </row>
    <row r="534" customFormat="false" ht="15" hidden="false" customHeight="false" outlineLevel="0" collapsed="false">
      <c r="A534" s="4" t="s">
        <v>729</v>
      </c>
      <c r="B534" s="4" t="s">
        <v>730</v>
      </c>
      <c r="C534" s="4" t="n">
        <v>12</v>
      </c>
      <c r="D534" s="4" t="s">
        <v>73</v>
      </c>
      <c r="E534" s="4" t="s">
        <v>99</v>
      </c>
      <c r="F534" s="4" t="s">
        <v>102</v>
      </c>
      <c r="G534" s="4" t="n">
        <v>1</v>
      </c>
      <c r="H534" s="4" t="n">
        <v>140</v>
      </c>
      <c r="I534" s="18" t="n">
        <v>0.15</v>
      </c>
      <c r="J534" s="4" t="s">
        <v>76</v>
      </c>
      <c r="K534" s="4" t="s">
        <v>68</v>
      </c>
    </row>
    <row r="535" customFormat="false" ht="15" hidden="false" customHeight="false" outlineLevel="0" collapsed="false">
      <c r="A535" s="4" t="s">
        <v>731</v>
      </c>
      <c r="B535" s="17" t="n">
        <v>45771</v>
      </c>
      <c r="C535" s="4" t="n">
        <v>14</v>
      </c>
      <c r="D535" s="4" t="s">
        <v>73</v>
      </c>
      <c r="E535" s="4" t="s">
        <v>65</v>
      </c>
      <c r="F535" s="4" t="s">
        <v>94</v>
      </c>
      <c r="G535" s="4" t="n">
        <v>1</v>
      </c>
      <c r="I535" s="18" t="n">
        <v>0.1</v>
      </c>
      <c r="J535" s="4" t="s">
        <v>665</v>
      </c>
      <c r="K535" s="4" t="s">
        <v>71</v>
      </c>
    </row>
    <row r="536" customFormat="false" ht="15" hidden="false" customHeight="false" outlineLevel="0" collapsed="false">
      <c r="A536" s="4" t="s">
        <v>732</v>
      </c>
      <c r="B536" s="4" t="s">
        <v>733</v>
      </c>
      <c r="C536" s="4" t="n">
        <v>16</v>
      </c>
      <c r="D536" s="4" t="s">
        <v>98</v>
      </c>
      <c r="E536" s="4" t="s">
        <v>65</v>
      </c>
      <c r="F536" s="4" t="s">
        <v>121</v>
      </c>
      <c r="G536" s="4" t="n">
        <v>3</v>
      </c>
      <c r="H536" s="4" t="n">
        <v>170</v>
      </c>
      <c r="I536" s="18" t="n">
        <v>0.1</v>
      </c>
      <c r="J536" s="4" t="s">
        <v>76</v>
      </c>
      <c r="K536" s="4" t="s">
        <v>71</v>
      </c>
    </row>
    <row r="537" customFormat="false" ht="15" hidden="false" customHeight="false" outlineLevel="0" collapsed="false">
      <c r="A537" s="4" t="s">
        <v>734</v>
      </c>
      <c r="B537" s="17" t="n">
        <v>45772</v>
      </c>
      <c r="C537" s="4" t="n">
        <v>7</v>
      </c>
      <c r="D537" s="4" t="s">
        <v>64</v>
      </c>
      <c r="E537" s="4" t="s">
        <v>84</v>
      </c>
      <c r="F537" s="4" t="s">
        <v>106</v>
      </c>
      <c r="G537" s="4" t="n">
        <v>2</v>
      </c>
      <c r="H537" s="4" t="n">
        <v>60</v>
      </c>
      <c r="I537" s="18" t="n">
        <v>0</v>
      </c>
      <c r="J537" s="4" t="s">
        <v>67</v>
      </c>
      <c r="K537" s="4" t="s">
        <v>77</v>
      </c>
    </row>
    <row r="538" customFormat="false" ht="15" hidden="false" customHeight="false" outlineLevel="0" collapsed="false">
      <c r="A538" s="4" t="s">
        <v>735</v>
      </c>
      <c r="B538" s="17" t="n">
        <v>45772</v>
      </c>
      <c r="C538" s="4" t="n">
        <v>9</v>
      </c>
      <c r="D538" s="4" t="s">
        <v>64</v>
      </c>
      <c r="E538" s="4" t="s">
        <v>84</v>
      </c>
      <c r="F538" s="4" t="s">
        <v>106</v>
      </c>
      <c r="G538" s="4" t="n">
        <v>2</v>
      </c>
      <c r="H538" s="4" t="n">
        <v>60</v>
      </c>
      <c r="I538" s="18" t="n">
        <v>0.05</v>
      </c>
      <c r="J538" s="4" t="s">
        <v>67</v>
      </c>
      <c r="K538" s="4" t="s">
        <v>82</v>
      </c>
    </row>
    <row r="539" customFormat="false" ht="15" hidden="false" customHeight="false" outlineLevel="0" collapsed="false">
      <c r="A539" s="4" t="s">
        <v>736</v>
      </c>
      <c r="B539" s="17" t="n">
        <v>45772</v>
      </c>
      <c r="C539" s="4" t="n">
        <v>12</v>
      </c>
      <c r="D539" s="4" t="s">
        <v>73</v>
      </c>
      <c r="E539" s="4" t="s">
        <v>84</v>
      </c>
      <c r="F539" s="4" t="s">
        <v>117</v>
      </c>
      <c r="G539" s="4" t="n">
        <v>4</v>
      </c>
      <c r="H539" s="4" t="n">
        <v>95</v>
      </c>
      <c r="I539" s="18" t="n">
        <v>0</v>
      </c>
      <c r="J539" s="4" t="s">
        <v>76</v>
      </c>
      <c r="K539" s="4" t="s">
        <v>68</v>
      </c>
    </row>
    <row r="540" customFormat="false" ht="15" hidden="false" customHeight="false" outlineLevel="0" collapsed="false">
      <c r="A540" s="4" t="s">
        <v>737</v>
      </c>
      <c r="B540" s="4" t="s">
        <v>738</v>
      </c>
      <c r="C540" s="4" t="n">
        <v>15</v>
      </c>
      <c r="D540" s="4" t="s">
        <v>70</v>
      </c>
      <c r="E540" s="4" t="s">
        <v>74</v>
      </c>
      <c r="F540" s="4" t="s">
        <v>91</v>
      </c>
      <c r="G540" s="4" t="n">
        <v>1</v>
      </c>
      <c r="H540" s="4" t="n">
        <v>200</v>
      </c>
      <c r="I540" s="18" t="n">
        <v>0</v>
      </c>
      <c r="J540" s="4" t="s">
        <v>81</v>
      </c>
      <c r="K540" s="4" t="s">
        <v>68</v>
      </c>
    </row>
    <row r="541" customFormat="false" ht="15" hidden="false" customHeight="false" outlineLevel="0" collapsed="false">
      <c r="A541" s="4" t="s">
        <v>739</v>
      </c>
      <c r="B541" s="17" t="n">
        <v>45772</v>
      </c>
      <c r="C541" s="4" t="n">
        <v>16</v>
      </c>
      <c r="D541" s="4" t="s">
        <v>73</v>
      </c>
      <c r="E541" s="4" t="s">
        <v>84</v>
      </c>
      <c r="F541" s="4" t="s">
        <v>106</v>
      </c>
      <c r="G541" s="4" t="n">
        <v>1</v>
      </c>
      <c r="H541" s="4" t="n">
        <v>60</v>
      </c>
      <c r="I541" s="18" t="n">
        <v>0</v>
      </c>
      <c r="J541" s="4" t="s">
        <v>67</v>
      </c>
      <c r="K541" s="4" t="s">
        <v>68</v>
      </c>
    </row>
    <row r="542" customFormat="false" ht="15" hidden="false" customHeight="false" outlineLevel="0" collapsed="false">
      <c r="A542" s="4" t="s">
        <v>740</v>
      </c>
      <c r="B542" s="17" t="n">
        <v>45772</v>
      </c>
      <c r="C542" s="4" t="n">
        <v>16</v>
      </c>
      <c r="D542" s="4" t="s">
        <v>70</v>
      </c>
      <c r="E542" s="4" t="s">
        <v>84</v>
      </c>
      <c r="F542" s="4" t="s">
        <v>106</v>
      </c>
      <c r="G542" s="4" t="n">
        <v>3</v>
      </c>
      <c r="H542" s="4" t="n">
        <v>60</v>
      </c>
      <c r="I542" s="18" t="n">
        <v>0</v>
      </c>
      <c r="J542" s="4" t="s">
        <v>112</v>
      </c>
      <c r="K542" s="4" t="s">
        <v>77</v>
      </c>
    </row>
    <row r="543" customFormat="false" ht="15" hidden="false" customHeight="false" outlineLevel="0" collapsed="false">
      <c r="A543" s="4" t="s">
        <v>741</v>
      </c>
      <c r="B543" s="17" t="n">
        <v>45773</v>
      </c>
      <c r="C543" s="4" t="n">
        <v>7</v>
      </c>
      <c r="D543" s="4" t="s">
        <v>98</v>
      </c>
      <c r="E543" s="4" t="s">
        <v>84</v>
      </c>
      <c r="F543" s="4" t="s">
        <v>106</v>
      </c>
      <c r="G543" s="4" t="n">
        <v>2</v>
      </c>
      <c r="H543" s="4" t="n">
        <v>60</v>
      </c>
      <c r="I543" s="18" t="n">
        <v>0.05</v>
      </c>
      <c r="J543" s="4" t="s">
        <v>81</v>
      </c>
      <c r="K543" s="4" t="s">
        <v>82</v>
      </c>
    </row>
    <row r="544" customFormat="false" ht="15" hidden="false" customHeight="false" outlineLevel="0" collapsed="false">
      <c r="A544" s="4" t="s">
        <v>742</v>
      </c>
      <c r="B544" s="17" t="n">
        <v>45773</v>
      </c>
      <c r="C544" s="4" t="n">
        <v>8</v>
      </c>
      <c r="D544" s="4" t="s">
        <v>70</v>
      </c>
      <c r="E544" s="4" t="s">
        <v>84</v>
      </c>
      <c r="F544" s="4" t="s">
        <v>743</v>
      </c>
      <c r="G544" s="4" t="n">
        <v>1</v>
      </c>
      <c r="H544" s="4" t="n">
        <v>85</v>
      </c>
      <c r="I544" s="18" t="n">
        <v>0.05</v>
      </c>
      <c r="J544" s="4" t="s">
        <v>67</v>
      </c>
      <c r="K544" s="4" t="s">
        <v>82</v>
      </c>
    </row>
    <row r="545" customFormat="false" ht="15" hidden="false" customHeight="false" outlineLevel="0" collapsed="false">
      <c r="A545" s="4" t="s">
        <v>744</v>
      </c>
      <c r="B545" s="4" t="s">
        <v>745</v>
      </c>
      <c r="C545" s="4" t="n">
        <v>9</v>
      </c>
      <c r="D545" s="4" t="s">
        <v>98</v>
      </c>
      <c r="E545" s="4" t="s">
        <v>84</v>
      </c>
      <c r="F545" s="4" t="s">
        <v>106</v>
      </c>
      <c r="G545" s="4" t="n">
        <v>4</v>
      </c>
      <c r="H545" s="4" t="n">
        <v>60</v>
      </c>
      <c r="I545" s="18" t="n">
        <v>0.1</v>
      </c>
      <c r="J545" s="4" t="s">
        <v>81</v>
      </c>
      <c r="K545" s="4" t="s">
        <v>71</v>
      </c>
    </row>
    <row r="546" customFormat="false" ht="15" hidden="false" customHeight="false" outlineLevel="0" collapsed="false">
      <c r="A546" s="4" t="s">
        <v>746</v>
      </c>
      <c r="B546" s="17" t="n">
        <v>45773</v>
      </c>
      <c r="C546" s="4" t="n">
        <v>10</v>
      </c>
      <c r="D546" s="4" t="s">
        <v>70</v>
      </c>
      <c r="E546" s="4" t="s">
        <v>65</v>
      </c>
      <c r="F546" s="4" t="s">
        <v>121</v>
      </c>
      <c r="G546" s="4" t="n">
        <v>1</v>
      </c>
      <c r="H546" s="4" t="n">
        <v>170</v>
      </c>
      <c r="I546" s="18" t="n">
        <v>0.1</v>
      </c>
      <c r="J546" s="4" t="s">
        <v>67</v>
      </c>
      <c r="K546" s="4" t="s">
        <v>71</v>
      </c>
    </row>
    <row r="547" customFormat="false" ht="15" hidden="false" customHeight="false" outlineLevel="0" collapsed="false">
      <c r="A547" s="4" t="s">
        <v>747</v>
      </c>
      <c r="B547" s="17" t="n">
        <v>45773</v>
      </c>
      <c r="C547" s="4" t="n">
        <v>12</v>
      </c>
      <c r="D547" s="4" t="s">
        <v>73</v>
      </c>
      <c r="E547" s="4" t="s">
        <v>74</v>
      </c>
      <c r="F547" s="4" t="s">
        <v>139</v>
      </c>
      <c r="G547" s="4" t="n">
        <v>99</v>
      </c>
      <c r="H547" s="4" t="n">
        <v>260</v>
      </c>
      <c r="I547" s="18" t="n">
        <v>0.1</v>
      </c>
      <c r="J547" s="4" t="s">
        <v>67</v>
      </c>
      <c r="K547" s="4" t="s">
        <v>71</v>
      </c>
    </row>
    <row r="548" customFormat="false" ht="15" hidden="false" customHeight="false" outlineLevel="0" collapsed="false">
      <c r="A548" s="4" t="s">
        <v>748</v>
      </c>
      <c r="B548" s="17" t="n">
        <v>45773</v>
      </c>
      <c r="C548" s="4" t="n">
        <v>15</v>
      </c>
      <c r="D548" s="4" t="s">
        <v>70</v>
      </c>
      <c r="E548" s="4" t="s">
        <v>65</v>
      </c>
      <c r="F548" s="4" t="s">
        <v>121</v>
      </c>
      <c r="G548" s="4" t="n">
        <v>1</v>
      </c>
      <c r="H548" s="4" t="n">
        <v>170</v>
      </c>
      <c r="I548" s="18" t="n">
        <v>0.05</v>
      </c>
      <c r="J548" s="4" t="s">
        <v>67</v>
      </c>
      <c r="K548" s="4" t="s">
        <v>82</v>
      </c>
    </row>
    <row r="549" customFormat="false" ht="15" hidden="false" customHeight="false" outlineLevel="0" collapsed="false">
      <c r="A549" s="4" t="s">
        <v>749</v>
      </c>
      <c r="B549" s="17" t="n">
        <v>45774</v>
      </c>
      <c r="C549" s="4" t="n">
        <v>8</v>
      </c>
      <c r="D549" s="4" t="s">
        <v>70</v>
      </c>
      <c r="E549" s="4" t="s">
        <v>84</v>
      </c>
      <c r="F549" s="4" t="s">
        <v>114</v>
      </c>
      <c r="G549" s="4" t="n">
        <v>1</v>
      </c>
      <c r="H549" s="4" t="n">
        <v>85</v>
      </c>
      <c r="I549" s="18" t="n">
        <v>0</v>
      </c>
      <c r="J549" s="4" t="s">
        <v>81</v>
      </c>
      <c r="K549" s="4" t="s">
        <v>68</v>
      </c>
    </row>
    <row r="550" customFormat="false" ht="15" hidden="false" customHeight="false" outlineLevel="0" collapsed="false">
      <c r="A550" s="4" t="s">
        <v>750</v>
      </c>
      <c r="B550" s="17" t="n">
        <v>45774</v>
      </c>
      <c r="C550" s="4" t="n">
        <v>9</v>
      </c>
      <c r="D550" s="4" t="s">
        <v>70</v>
      </c>
      <c r="E550" s="4" t="s">
        <v>65</v>
      </c>
      <c r="F550" s="4" t="s">
        <v>121</v>
      </c>
      <c r="G550" s="4" t="n">
        <v>3</v>
      </c>
      <c r="H550" s="4" t="n">
        <v>170</v>
      </c>
      <c r="I550" s="18" t="n">
        <v>0.1</v>
      </c>
      <c r="J550" s="4" t="s">
        <v>81</v>
      </c>
      <c r="K550" s="4" t="s">
        <v>82</v>
      </c>
    </row>
    <row r="551" customFormat="false" ht="15" hidden="false" customHeight="false" outlineLevel="0" collapsed="false">
      <c r="A551" s="4" t="s">
        <v>751</v>
      </c>
      <c r="B551" s="17" t="n">
        <v>45774</v>
      </c>
      <c r="C551" s="4" t="n">
        <v>9</v>
      </c>
      <c r="D551" s="4" t="s">
        <v>70</v>
      </c>
      <c r="E551" s="4" t="s">
        <v>79</v>
      </c>
      <c r="F551" s="4" t="s">
        <v>148</v>
      </c>
      <c r="G551" s="4" t="n">
        <v>3</v>
      </c>
      <c r="H551" s="4" t="n">
        <v>120</v>
      </c>
      <c r="I551" s="18" t="n">
        <v>0.1</v>
      </c>
      <c r="J551" s="4" t="s">
        <v>67</v>
      </c>
      <c r="K551" s="4" t="s">
        <v>68</v>
      </c>
    </row>
    <row r="552" customFormat="false" ht="15" hidden="false" customHeight="false" outlineLevel="0" collapsed="false">
      <c r="A552" s="4" t="s">
        <v>752</v>
      </c>
      <c r="B552" s="4" t="s">
        <v>753</v>
      </c>
      <c r="C552" s="4" t="n">
        <v>16</v>
      </c>
      <c r="D552" s="4" t="s">
        <v>98</v>
      </c>
      <c r="E552" s="4" t="s">
        <v>74</v>
      </c>
      <c r="F552" s="4" t="s">
        <v>754</v>
      </c>
      <c r="G552" s="4" t="n">
        <v>1</v>
      </c>
      <c r="H552" s="4" t="n">
        <v>260</v>
      </c>
      <c r="I552" s="18" t="n">
        <v>0</v>
      </c>
      <c r="J552" s="4" t="s">
        <v>112</v>
      </c>
      <c r="K552" s="4" t="s">
        <v>68</v>
      </c>
    </row>
    <row r="553" customFormat="false" ht="15" hidden="false" customHeight="false" outlineLevel="0" collapsed="false">
      <c r="A553" s="4" t="s">
        <v>755</v>
      </c>
      <c r="B553" s="17" t="n">
        <v>45775</v>
      </c>
      <c r="C553" s="4" t="n">
        <v>9</v>
      </c>
      <c r="D553" s="4" t="s">
        <v>73</v>
      </c>
      <c r="E553" s="4" t="s">
        <v>65</v>
      </c>
      <c r="F553" s="4" t="s">
        <v>87</v>
      </c>
      <c r="G553" s="4" t="n">
        <v>2</v>
      </c>
      <c r="H553" s="4" t="n">
        <v>160</v>
      </c>
      <c r="I553" s="18" t="n">
        <v>0.1</v>
      </c>
      <c r="J553" s="4" t="s">
        <v>76</v>
      </c>
      <c r="K553" s="4" t="s">
        <v>71</v>
      </c>
    </row>
    <row r="554" customFormat="false" ht="15" hidden="false" customHeight="false" outlineLevel="0" collapsed="false">
      <c r="A554" s="4" t="s">
        <v>756</v>
      </c>
      <c r="B554" s="17" t="n">
        <v>45775</v>
      </c>
      <c r="C554" s="4" t="n">
        <v>9</v>
      </c>
      <c r="D554" s="4" t="s">
        <v>70</v>
      </c>
      <c r="E554" s="4" t="s">
        <v>430</v>
      </c>
      <c r="F554" s="4" t="s">
        <v>121</v>
      </c>
      <c r="G554" s="4" t="n">
        <v>2</v>
      </c>
      <c r="H554" s="4" t="s">
        <v>720</v>
      </c>
      <c r="I554" s="18" t="n">
        <v>0.15</v>
      </c>
      <c r="J554" s="4" t="s">
        <v>76</v>
      </c>
      <c r="K554" s="4" t="s">
        <v>82</v>
      </c>
    </row>
    <row r="555" customFormat="false" ht="15" hidden="false" customHeight="false" outlineLevel="0" collapsed="false">
      <c r="A555" s="4" t="s">
        <v>757</v>
      </c>
      <c r="B555" s="17" t="n">
        <v>45775</v>
      </c>
      <c r="C555" s="4" t="n">
        <v>11</v>
      </c>
      <c r="D555" s="4" t="s">
        <v>73</v>
      </c>
      <c r="E555" s="4" t="s">
        <v>74</v>
      </c>
      <c r="F555" s="4" t="s">
        <v>91</v>
      </c>
      <c r="G555" s="4" t="n">
        <v>2</v>
      </c>
      <c r="H555" s="4" t="n">
        <v>200</v>
      </c>
      <c r="I555" s="18" t="n">
        <v>0.1</v>
      </c>
      <c r="J555" s="4" t="s">
        <v>67</v>
      </c>
      <c r="K555" s="4" t="s">
        <v>71</v>
      </c>
    </row>
    <row r="556" customFormat="false" ht="15" hidden="false" customHeight="false" outlineLevel="0" collapsed="false">
      <c r="A556" s="4" t="s">
        <v>758</v>
      </c>
      <c r="B556" s="17" t="n">
        <v>45775</v>
      </c>
      <c r="C556" s="4" t="n">
        <v>13</v>
      </c>
      <c r="D556" s="4" t="s">
        <v>70</v>
      </c>
      <c r="E556" s="4" t="s">
        <v>636</v>
      </c>
      <c r="F556" s="4" t="s">
        <v>94</v>
      </c>
      <c r="G556" s="4" t="n">
        <v>2</v>
      </c>
      <c r="H556" s="4" t="n">
        <v>150</v>
      </c>
      <c r="J556" s="4" t="s">
        <v>112</v>
      </c>
      <c r="K556" s="4" t="s">
        <v>71</v>
      </c>
    </row>
    <row r="557" customFormat="false" ht="15" hidden="false" customHeight="false" outlineLevel="0" collapsed="false">
      <c r="A557" s="4" t="s">
        <v>759</v>
      </c>
      <c r="B557" s="17" t="n">
        <v>45775</v>
      </c>
      <c r="C557" s="4" t="n">
        <v>17</v>
      </c>
      <c r="D557" s="4" t="s">
        <v>98</v>
      </c>
      <c r="E557" s="4" t="s">
        <v>65</v>
      </c>
      <c r="F557" s="4" t="s">
        <v>121</v>
      </c>
      <c r="G557" s="4" t="n">
        <v>2</v>
      </c>
      <c r="H557" s="4" t="n">
        <v>170</v>
      </c>
      <c r="I557" s="18" t="n">
        <v>0</v>
      </c>
      <c r="J557" s="4" t="s">
        <v>76</v>
      </c>
      <c r="K557" s="4" t="s">
        <v>68</v>
      </c>
    </row>
    <row r="558" customFormat="false" ht="15" hidden="false" customHeight="false" outlineLevel="0" collapsed="false">
      <c r="A558" s="4" t="s">
        <v>760</v>
      </c>
      <c r="B558" s="4" t="s">
        <v>761</v>
      </c>
      <c r="C558" s="4" t="n">
        <v>7</v>
      </c>
      <c r="D558" s="4" t="s">
        <v>64</v>
      </c>
      <c r="E558" s="4" t="s">
        <v>99</v>
      </c>
      <c r="F558" s="4" t="s">
        <v>252</v>
      </c>
      <c r="G558" s="4" t="n">
        <v>1</v>
      </c>
      <c r="H558" s="4" t="s">
        <v>762</v>
      </c>
      <c r="J558" s="4" t="s">
        <v>81</v>
      </c>
      <c r="K558" s="4" t="s">
        <v>68</v>
      </c>
    </row>
    <row r="559" customFormat="false" ht="15" hidden="false" customHeight="false" outlineLevel="0" collapsed="false">
      <c r="A559" s="4" t="s">
        <v>763</v>
      </c>
      <c r="B559" s="17" t="n">
        <v>45776</v>
      </c>
      <c r="C559" s="4" t="n">
        <v>10</v>
      </c>
      <c r="D559" s="4" t="s">
        <v>70</v>
      </c>
      <c r="E559" s="4" t="s">
        <v>84</v>
      </c>
      <c r="F559" s="4" t="s">
        <v>117</v>
      </c>
      <c r="G559" s="4" t="n">
        <v>1</v>
      </c>
      <c r="H559" s="4" t="n">
        <v>95</v>
      </c>
      <c r="I559" s="18" t="n">
        <v>0</v>
      </c>
      <c r="J559" s="4" t="s">
        <v>88</v>
      </c>
      <c r="K559" s="4" t="s">
        <v>77</v>
      </c>
    </row>
    <row r="560" customFormat="false" ht="15" hidden="false" customHeight="false" outlineLevel="0" collapsed="false">
      <c r="A560" s="4" t="s">
        <v>764</v>
      </c>
      <c r="B560" s="17" t="n">
        <v>45776</v>
      </c>
      <c r="C560" s="4" t="n">
        <v>12</v>
      </c>
      <c r="D560" s="4" t="s">
        <v>64</v>
      </c>
      <c r="E560" s="4" t="s">
        <v>65</v>
      </c>
      <c r="F560" s="4" t="s">
        <v>66</v>
      </c>
      <c r="G560" s="4" t="n">
        <v>1</v>
      </c>
      <c r="H560" s="4" t="n">
        <v>120</v>
      </c>
      <c r="I560" s="18" t="n">
        <v>0</v>
      </c>
      <c r="J560" s="4" t="s">
        <v>81</v>
      </c>
      <c r="K560" s="4" t="s">
        <v>68</v>
      </c>
    </row>
    <row r="561" customFormat="false" ht="15" hidden="false" customHeight="false" outlineLevel="0" collapsed="false">
      <c r="A561" s="4" t="s">
        <v>765</v>
      </c>
      <c r="B561" s="4" t="s">
        <v>766</v>
      </c>
      <c r="C561" s="4" t="n">
        <v>12</v>
      </c>
      <c r="D561" s="4" t="s">
        <v>73</v>
      </c>
      <c r="E561" s="4" t="s">
        <v>74</v>
      </c>
      <c r="F561" s="4" t="s">
        <v>75</v>
      </c>
      <c r="G561" s="4" t="n">
        <v>1</v>
      </c>
      <c r="H561" s="4" t="n">
        <v>220</v>
      </c>
      <c r="I561" s="18" t="n">
        <v>0.05</v>
      </c>
      <c r="J561" s="4" t="s">
        <v>88</v>
      </c>
      <c r="K561" s="4" t="s">
        <v>82</v>
      </c>
    </row>
    <row r="562" customFormat="false" ht="15" hidden="false" customHeight="false" outlineLevel="0" collapsed="false">
      <c r="A562" s="4" t="s">
        <v>767</v>
      </c>
      <c r="B562" s="17" t="n">
        <v>45776</v>
      </c>
      <c r="C562" s="4" t="n">
        <v>16</v>
      </c>
      <c r="D562" s="4" t="s">
        <v>108</v>
      </c>
      <c r="E562" s="4" t="s">
        <v>65</v>
      </c>
      <c r="F562" s="4" t="s">
        <v>121</v>
      </c>
      <c r="G562" s="4" t="n">
        <v>2</v>
      </c>
      <c r="H562" s="4" t="n">
        <v>170</v>
      </c>
      <c r="I562" s="18" t="n">
        <v>0.1</v>
      </c>
      <c r="J562" s="4" t="s">
        <v>88</v>
      </c>
      <c r="K562" s="4" t="s">
        <v>71</v>
      </c>
    </row>
    <row r="563" customFormat="false" ht="15" hidden="false" customHeight="false" outlineLevel="0" collapsed="false">
      <c r="A563" s="4" t="s">
        <v>768</v>
      </c>
      <c r="B563" s="17" t="n">
        <v>45777</v>
      </c>
      <c r="C563" s="4" t="n">
        <v>8</v>
      </c>
      <c r="D563" s="4" t="s">
        <v>70</v>
      </c>
      <c r="E563" s="4" t="s">
        <v>65</v>
      </c>
      <c r="F563" s="4" t="s">
        <v>94</v>
      </c>
      <c r="G563" s="4" t="n">
        <v>1</v>
      </c>
      <c r="H563" s="4" t="n">
        <v>150</v>
      </c>
      <c r="I563" s="18" t="n">
        <v>0</v>
      </c>
      <c r="J563" s="4" t="s">
        <v>81</v>
      </c>
      <c r="K563" s="4" t="s">
        <v>68</v>
      </c>
    </row>
    <row r="564" customFormat="false" ht="15" hidden="false" customHeight="false" outlineLevel="0" collapsed="false">
      <c r="A564" s="4" t="s">
        <v>769</v>
      </c>
      <c r="B564" s="17" t="n">
        <v>45777</v>
      </c>
      <c r="C564" s="4" t="n">
        <v>8</v>
      </c>
      <c r="D564" s="4" t="s">
        <v>187</v>
      </c>
      <c r="E564" s="4" t="s">
        <v>65</v>
      </c>
      <c r="F564" s="4" t="s">
        <v>87</v>
      </c>
      <c r="G564" s="4" t="n">
        <v>1</v>
      </c>
      <c r="H564" s="4" t="n">
        <v>160</v>
      </c>
      <c r="I564" s="18" t="n">
        <v>0</v>
      </c>
      <c r="J564" s="4" t="s">
        <v>76</v>
      </c>
      <c r="K564" s="4" t="s">
        <v>77</v>
      </c>
    </row>
    <row r="565" customFormat="false" ht="15" hidden="false" customHeight="false" outlineLevel="0" collapsed="false">
      <c r="A565" s="4" t="s">
        <v>770</v>
      </c>
      <c r="B565" s="17" t="n">
        <v>45777</v>
      </c>
      <c r="C565" s="4" t="n">
        <v>11</v>
      </c>
      <c r="D565" s="4" t="s">
        <v>98</v>
      </c>
      <c r="E565" s="4" t="s">
        <v>84</v>
      </c>
      <c r="F565" s="4" t="s">
        <v>117</v>
      </c>
      <c r="G565" s="4" t="n">
        <v>1</v>
      </c>
      <c r="H565" s="4" t="n">
        <v>95</v>
      </c>
      <c r="I565" s="18" t="n">
        <v>0.2</v>
      </c>
      <c r="J565" s="4" t="s">
        <v>112</v>
      </c>
      <c r="K565" s="4" t="s">
        <v>77</v>
      </c>
    </row>
    <row r="566" customFormat="false" ht="15" hidden="false" customHeight="false" outlineLevel="0" collapsed="false">
      <c r="A566" s="4" t="s">
        <v>771</v>
      </c>
      <c r="B566" s="17" t="n">
        <v>45777</v>
      </c>
      <c r="C566" s="4" t="n">
        <v>14</v>
      </c>
      <c r="D566" s="4" t="s">
        <v>98</v>
      </c>
      <c r="E566" s="4" t="s">
        <v>65</v>
      </c>
      <c r="F566" s="4" t="s">
        <v>121</v>
      </c>
      <c r="G566" s="4" t="n">
        <v>1</v>
      </c>
      <c r="H566" s="4" t="n">
        <v>170</v>
      </c>
      <c r="I566" s="18" t="n">
        <v>0</v>
      </c>
      <c r="J566" s="4" t="s">
        <v>112</v>
      </c>
      <c r="K566" s="4" t="s">
        <v>68</v>
      </c>
    </row>
    <row r="567" customFormat="false" ht="15" hidden="false" customHeight="false" outlineLevel="0" collapsed="false">
      <c r="A567" s="4" t="s">
        <v>772</v>
      </c>
      <c r="B567" s="17" t="n">
        <v>45777</v>
      </c>
      <c r="C567" s="4" t="n">
        <v>15</v>
      </c>
      <c r="D567" s="4" t="s">
        <v>70</v>
      </c>
      <c r="E567" s="4" t="s">
        <v>65</v>
      </c>
      <c r="F567" s="4" t="s">
        <v>66</v>
      </c>
      <c r="G567" s="4" t="n">
        <v>2</v>
      </c>
      <c r="H567" s="4" t="n">
        <v>120</v>
      </c>
      <c r="I567" s="18" t="n">
        <v>0</v>
      </c>
      <c r="J567" s="4" t="s">
        <v>76</v>
      </c>
      <c r="K567" s="4" t="s">
        <v>77</v>
      </c>
    </row>
    <row r="568" customFormat="false" ht="15" hidden="false" customHeight="false" outlineLevel="0" collapsed="false">
      <c r="A568" s="4" t="s">
        <v>773</v>
      </c>
      <c r="B568" s="4" t="s">
        <v>774</v>
      </c>
      <c r="C568" s="4" t="n">
        <v>17</v>
      </c>
      <c r="D568" s="4" t="s">
        <v>172</v>
      </c>
      <c r="E568" s="4" t="s">
        <v>99</v>
      </c>
      <c r="F568" s="4" t="s">
        <v>102</v>
      </c>
      <c r="G568" s="4" t="n">
        <v>4</v>
      </c>
      <c r="H568" s="4" t="n">
        <v>140</v>
      </c>
      <c r="I568" s="18" t="n">
        <v>0</v>
      </c>
      <c r="J568" s="4" t="s">
        <v>76</v>
      </c>
      <c r="K568" s="4" t="s">
        <v>68</v>
      </c>
    </row>
    <row r="569" customFormat="false" ht="15" hidden="false" customHeight="false" outlineLevel="0" collapsed="false">
      <c r="A569" s="4" t="s">
        <v>775</v>
      </c>
      <c r="B569" s="17" t="n">
        <v>45777</v>
      </c>
      <c r="C569" s="4" t="n">
        <v>17</v>
      </c>
      <c r="D569" s="4" t="s">
        <v>98</v>
      </c>
      <c r="E569" s="4" t="s">
        <v>79</v>
      </c>
      <c r="F569" s="4" t="s">
        <v>135</v>
      </c>
      <c r="G569" s="4" t="n">
        <v>1</v>
      </c>
      <c r="H569" s="4" t="n">
        <v>130</v>
      </c>
      <c r="I569" s="18" t="n">
        <v>0</v>
      </c>
      <c r="J569" s="4" t="s">
        <v>76</v>
      </c>
      <c r="K569" s="4" t="s">
        <v>68</v>
      </c>
    </row>
    <row r="570" customFormat="false" ht="15" hidden="false" customHeight="false" outlineLevel="0" collapsed="false">
      <c r="A570" s="4" t="s">
        <v>776</v>
      </c>
      <c r="B570" s="17" t="n">
        <v>45777</v>
      </c>
      <c r="C570" s="4" t="n">
        <v>19</v>
      </c>
      <c r="D570" s="4" t="s">
        <v>73</v>
      </c>
      <c r="E570" s="4" t="s">
        <v>99</v>
      </c>
      <c r="F570" s="4" t="s">
        <v>100</v>
      </c>
      <c r="G570" s="4" t="n">
        <v>1</v>
      </c>
      <c r="H570" s="4" t="n">
        <v>110</v>
      </c>
      <c r="J570" s="4" t="s">
        <v>67</v>
      </c>
      <c r="K570" s="4" t="s">
        <v>82</v>
      </c>
    </row>
    <row r="571" customFormat="false" ht="15" hidden="false" customHeight="false" outlineLevel="0" collapsed="false">
      <c r="A571" s="4" t="s">
        <v>777</v>
      </c>
      <c r="B571" s="17" t="n">
        <v>45777</v>
      </c>
      <c r="C571" s="4" t="n">
        <v>20</v>
      </c>
      <c r="D571" s="4" t="s">
        <v>64</v>
      </c>
      <c r="E571" s="4" t="s">
        <v>79</v>
      </c>
      <c r="F571" s="4" t="s">
        <v>80</v>
      </c>
      <c r="G571" s="4" t="n">
        <v>2</v>
      </c>
      <c r="H571" s="4" t="n">
        <v>160</v>
      </c>
      <c r="I571" s="18" t="n">
        <v>0.1</v>
      </c>
      <c r="J571" s="4" t="s">
        <v>67</v>
      </c>
      <c r="K571" s="4" t="s">
        <v>82</v>
      </c>
    </row>
    <row r="572" customFormat="false" ht="15" hidden="false" customHeight="false" outlineLevel="0" collapsed="false">
      <c r="A572" s="4" t="s">
        <v>778</v>
      </c>
      <c r="B572" s="4" t="s">
        <v>779</v>
      </c>
      <c r="C572" s="4" t="n">
        <v>8</v>
      </c>
      <c r="D572" s="4" t="s">
        <v>64</v>
      </c>
      <c r="E572" s="4" t="s">
        <v>99</v>
      </c>
      <c r="F572" s="4" t="s">
        <v>133</v>
      </c>
      <c r="G572" s="4" t="n">
        <v>1</v>
      </c>
      <c r="H572" s="4" t="n">
        <v>90</v>
      </c>
      <c r="I572" s="18" t="n">
        <v>0</v>
      </c>
      <c r="J572" s="4" t="s">
        <v>81</v>
      </c>
      <c r="K572" s="4" t="s">
        <v>68</v>
      </c>
    </row>
    <row r="573" customFormat="false" ht="15" hidden="false" customHeight="false" outlineLevel="0" collapsed="false">
      <c r="A573" s="4" t="s">
        <v>780</v>
      </c>
      <c r="B573" s="17" t="n">
        <v>45778</v>
      </c>
      <c r="C573" s="4" t="n">
        <v>10</v>
      </c>
      <c r="D573" s="4" t="s">
        <v>64</v>
      </c>
      <c r="E573" s="4" t="s">
        <v>65</v>
      </c>
      <c r="F573" s="4" t="s">
        <v>121</v>
      </c>
      <c r="G573" s="4" t="n">
        <v>1</v>
      </c>
      <c r="H573" s="4" t="n">
        <v>170</v>
      </c>
      <c r="I573" s="18" t="n">
        <v>0</v>
      </c>
      <c r="J573" s="4" t="s">
        <v>67</v>
      </c>
      <c r="K573" s="4" t="s">
        <v>77</v>
      </c>
    </row>
    <row r="574" customFormat="false" ht="15" hidden="false" customHeight="false" outlineLevel="0" collapsed="false">
      <c r="A574" s="4" t="s">
        <v>781</v>
      </c>
      <c r="B574" s="17" t="n">
        <v>45778</v>
      </c>
      <c r="C574" s="4" t="n">
        <v>11</v>
      </c>
      <c r="D574" s="4" t="s">
        <v>70</v>
      </c>
      <c r="E574" s="4" t="s">
        <v>84</v>
      </c>
      <c r="F574" s="4" t="s">
        <v>85</v>
      </c>
      <c r="G574" s="4" t="n">
        <v>2</v>
      </c>
      <c r="H574" s="4" t="n">
        <v>150</v>
      </c>
      <c r="I574" s="18" t="n">
        <v>0</v>
      </c>
      <c r="J574" s="4" t="s">
        <v>112</v>
      </c>
      <c r="K574" s="4" t="s">
        <v>68</v>
      </c>
    </row>
    <row r="575" customFormat="false" ht="15" hidden="false" customHeight="false" outlineLevel="0" collapsed="false">
      <c r="A575" s="4" t="s">
        <v>782</v>
      </c>
      <c r="B575" s="17" t="n">
        <v>45778</v>
      </c>
      <c r="C575" s="4" t="n">
        <v>12</v>
      </c>
      <c r="D575" s="4" t="s">
        <v>73</v>
      </c>
      <c r="E575" s="4" t="s">
        <v>74</v>
      </c>
      <c r="F575" s="4" t="s">
        <v>75</v>
      </c>
      <c r="G575" s="4" t="n">
        <v>1</v>
      </c>
      <c r="H575" s="4" t="n">
        <v>220</v>
      </c>
      <c r="I575" s="18" t="n">
        <v>0.1</v>
      </c>
      <c r="J575" s="4" t="s">
        <v>81</v>
      </c>
      <c r="K575" s="4" t="s">
        <v>71</v>
      </c>
    </row>
    <row r="576" customFormat="false" ht="15" hidden="false" customHeight="false" outlineLevel="0" collapsed="false">
      <c r="A576" s="4" t="s">
        <v>783</v>
      </c>
      <c r="B576" s="17" t="n">
        <v>45778</v>
      </c>
      <c r="C576" s="4" t="n">
        <v>14</v>
      </c>
      <c r="D576" s="4" t="s">
        <v>64</v>
      </c>
      <c r="E576" s="4" t="s">
        <v>79</v>
      </c>
      <c r="F576" s="4" t="s">
        <v>148</v>
      </c>
      <c r="G576" s="4" t="n">
        <v>2</v>
      </c>
      <c r="H576" s="4" t="n">
        <v>120</v>
      </c>
      <c r="I576" s="18" t="n">
        <v>0.15</v>
      </c>
      <c r="J576" s="4" t="s">
        <v>76</v>
      </c>
      <c r="K576" s="4" t="s">
        <v>82</v>
      </c>
    </row>
    <row r="577" customFormat="false" ht="15" hidden="false" customHeight="false" outlineLevel="0" collapsed="false">
      <c r="A577" s="4" t="s">
        <v>784</v>
      </c>
      <c r="B577" s="17" t="n">
        <v>45778</v>
      </c>
      <c r="C577" s="4" t="n">
        <v>20</v>
      </c>
      <c r="D577" s="4" t="s">
        <v>73</v>
      </c>
      <c r="E577" s="4" t="s">
        <v>74</v>
      </c>
      <c r="F577" s="4" t="s">
        <v>91</v>
      </c>
      <c r="G577" s="4" t="n">
        <v>1</v>
      </c>
      <c r="H577" s="4" t="n">
        <v>200</v>
      </c>
      <c r="I577" s="18" t="n">
        <v>0</v>
      </c>
      <c r="J577" s="4" t="s">
        <v>67</v>
      </c>
      <c r="K577" s="4" t="s">
        <v>68</v>
      </c>
    </row>
    <row r="578" customFormat="false" ht="15" hidden="false" customHeight="false" outlineLevel="0" collapsed="false">
      <c r="A578" s="4" t="s">
        <v>785</v>
      </c>
      <c r="B578" s="17" t="n">
        <v>45779</v>
      </c>
      <c r="C578" s="4" t="n">
        <v>7</v>
      </c>
      <c r="D578" s="4" t="s">
        <v>73</v>
      </c>
      <c r="E578" s="4" t="s">
        <v>99</v>
      </c>
      <c r="F578" s="4" t="s">
        <v>109</v>
      </c>
      <c r="G578" s="4" t="n">
        <v>1</v>
      </c>
      <c r="H578" s="4" t="n">
        <v>130</v>
      </c>
      <c r="I578" s="18" t="n">
        <v>0.05</v>
      </c>
      <c r="J578" s="4" t="s">
        <v>76</v>
      </c>
      <c r="K578" s="4" t="s">
        <v>82</v>
      </c>
    </row>
    <row r="579" customFormat="false" ht="15" hidden="false" customHeight="false" outlineLevel="0" collapsed="false">
      <c r="A579" s="4" t="s">
        <v>786</v>
      </c>
      <c r="B579" s="17" t="n">
        <v>45779</v>
      </c>
      <c r="C579" s="4" t="n">
        <v>12</v>
      </c>
      <c r="D579" s="4" t="s">
        <v>73</v>
      </c>
      <c r="E579" s="4" t="s">
        <v>65</v>
      </c>
      <c r="F579" s="4" t="s">
        <v>87</v>
      </c>
      <c r="G579" s="4" t="n">
        <v>1</v>
      </c>
      <c r="H579" s="4" t="n">
        <v>160</v>
      </c>
      <c r="I579" s="18" t="n">
        <v>0</v>
      </c>
      <c r="J579" s="4" t="s">
        <v>81</v>
      </c>
    </row>
    <row r="580" customFormat="false" ht="15" hidden="false" customHeight="false" outlineLevel="0" collapsed="false">
      <c r="A580" s="4" t="s">
        <v>787</v>
      </c>
      <c r="B580" s="17" t="n">
        <v>45779</v>
      </c>
      <c r="C580" s="4" t="n">
        <v>13</v>
      </c>
      <c r="D580" s="4" t="s">
        <v>98</v>
      </c>
      <c r="E580" s="4" t="s">
        <v>79</v>
      </c>
      <c r="F580" s="4" t="s">
        <v>80</v>
      </c>
      <c r="G580" s="4" t="n">
        <v>3</v>
      </c>
      <c r="H580" s="4" t="n">
        <v>160</v>
      </c>
      <c r="I580" s="18" t="n">
        <v>0</v>
      </c>
      <c r="J580" s="4" t="s">
        <v>273</v>
      </c>
      <c r="K580" s="4" t="s">
        <v>77</v>
      </c>
    </row>
    <row r="581" customFormat="false" ht="15" hidden="false" customHeight="false" outlineLevel="0" collapsed="false">
      <c r="A581" s="4" t="s">
        <v>788</v>
      </c>
      <c r="B581" s="17" t="n">
        <v>45779</v>
      </c>
      <c r="C581" s="4" t="n">
        <v>16</v>
      </c>
      <c r="D581" s="4" t="s">
        <v>70</v>
      </c>
      <c r="E581" s="4" t="s">
        <v>65</v>
      </c>
      <c r="F581" s="4" t="s">
        <v>94</v>
      </c>
      <c r="G581" s="4" t="n">
        <v>2</v>
      </c>
      <c r="H581" s="4" t="n">
        <v>150</v>
      </c>
      <c r="I581" s="18" t="n">
        <v>0</v>
      </c>
      <c r="J581" s="4" t="s">
        <v>81</v>
      </c>
      <c r="K581" s="4" t="s">
        <v>68</v>
      </c>
    </row>
    <row r="582" customFormat="false" ht="15" hidden="false" customHeight="false" outlineLevel="0" collapsed="false">
      <c r="A582" s="4" t="s">
        <v>789</v>
      </c>
      <c r="B582" s="17" t="n">
        <v>45780</v>
      </c>
      <c r="C582" s="4" t="n">
        <v>7</v>
      </c>
      <c r="D582" s="4" t="s">
        <v>70</v>
      </c>
      <c r="E582" s="4" t="s">
        <v>65</v>
      </c>
      <c r="F582" s="4" t="s">
        <v>94</v>
      </c>
      <c r="G582" s="4" t="n">
        <v>1</v>
      </c>
      <c r="H582" s="4" t="n">
        <v>150</v>
      </c>
      <c r="I582" s="18" t="n">
        <v>0</v>
      </c>
      <c r="J582" s="4" t="s">
        <v>88</v>
      </c>
    </row>
    <row r="583" customFormat="false" ht="15" hidden="false" customHeight="false" outlineLevel="0" collapsed="false">
      <c r="A583" s="4" t="s">
        <v>790</v>
      </c>
      <c r="B583" s="17" t="n">
        <v>45780</v>
      </c>
      <c r="C583" s="4" t="n">
        <v>7</v>
      </c>
      <c r="D583" s="4" t="s">
        <v>70</v>
      </c>
      <c r="E583" s="4" t="s">
        <v>84</v>
      </c>
      <c r="F583" s="4" t="s">
        <v>85</v>
      </c>
      <c r="G583" s="4" t="n">
        <v>1</v>
      </c>
      <c r="H583" s="4" t="n">
        <v>150</v>
      </c>
      <c r="I583" s="18" t="n">
        <v>0.1</v>
      </c>
      <c r="J583" s="4" t="s">
        <v>67</v>
      </c>
      <c r="K583" s="4" t="s">
        <v>71</v>
      </c>
    </row>
    <row r="584" customFormat="false" ht="15" hidden="false" customHeight="false" outlineLevel="0" collapsed="false">
      <c r="A584" s="4" t="s">
        <v>791</v>
      </c>
      <c r="B584" s="17" t="n">
        <v>45780</v>
      </c>
      <c r="C584" s="4" t="n">
        <v>10</v>
      </c>
      <c r="D584" s="4" t="s">
        <v>64</v>
      </c>
      <c r="E584" s="4" t="s">
        <v>84</v>
      </c>
      <c r="F584" s="4" t="s">
        <v>511</v>
      </c>
      <c r="G584" s="4" t="n">
        <v>2</v>
      </c>
      <c r="H584" s="4" t="n">
        <v>85</v>
      </c>
      <c r="I584" s="18" t="n">
        <v>0</v>
      </c>
      <c r="J584" s="4" t="s">
        <v>67</v>
      </c>
      <c r="K584" s="4" t="s">
        <v>68</v>
      </c>
    </row>
    <row r="585" customFormat="false" ht="15" hidden="false" customHeight="false" outlineLevel="0" collapsed="false">
      <c r="A585" s="4" t="s">
        <v>792</v>
      </c>
      <c r="B585" s="17" t="n">
        <v>45780</v>
      </c>
      <c r="C585" s="4" t="n">
        <v>12</v>
      </c>
      <c r="D585" s="4" t="s">
        <v>70</v>
      </c>
      <c r="E585" s="4" t="s">
        <v>65</v>
      </c>
      <c r="F585" s="4" t="s">
        <v>87</v>
      </c>
      <c r="G585" s="4" t="n">
        <v>2</v>
      </c>
      <c r="H585" s="4" t="n">
        <v>160</v>
      </c>
      <c r="I585" s="18" t="n">
        <v>0</v>
      </c>
      <c r="J585" s="4" t="s">
        <v>81</v>
      </c>
      <c r="K585" s="4" t="s">
        <v>77</v>
      </c>
    </row>
    <row r="586" customFormat="false" ht="15" hidden="false" customHeight="false" outlineLevel="0" collapsed="false">
      <c r="A586" s="4" t="s">
        <v>793</v>
      </c>
      <c r="B586" s="17" t="n">
        <v>45780</v>
      </c>
      <c r="C586" s="4" t="n">
        <v>14</v>
      </c>
      <c r="D586" s="4" t="s">
        <v>90</v>
      </c>
      <c r="E586" s="4" t="s">
        <v>79</v>
      </c>
      <c r="F586" s="4" t="s">
        <v>148</v>
      </c>
      <c r="G586" s="4" t="n">
        <v>1</v>
      </c>
      <c r="H586" s="4" t="n">
        <v>120</v>
      </c>
      <c r="I586" s="18" t="n">
        <v>0</v>
      </c>
      <c r="J586" s="4" t="s">
        <v>81</v>
      </c>
      <c r="K586" s="4" t="s">
        <v>68</v>
      </c>
    </row>
    <row r="587" customFormat="false" ht="15" hidden="false" customHeight="false" outlineLevel="0" collapsed="false">
      <c r="A587" s="4" t="s">
        <v>794</v>
      </c>
      <c r="B587" s="17" t="n">
        <v>45781</v>
      </c>
      <c r="C587" s="4" t="n">
        <v>10</v>
      </c>
      <c r="D587" s="4" t="s">
        <v>73</v>
      </c>
      <c r="E587" s="4" t="s">
        <v>636</v>
      </c>
      <c r="F587" s="4" t="s">
        <v>87</v>
      </c>
      <c r="G587" s="4" t="n">
        <v>1</v>
      </c>
      <c r="H587" s="4" t="n">
        <v>160</v>
      </c>
      <c r="I587" s="18" t="n">
        <v>0</v>
      </c>
      <c r="J587" s="4" t="s">
        <v>81</v>
      </c>
      <c r="K587" s="4" t="s">
        <v>68</v>
      </c>
    </row>
    <row r="588" customFormat="false" ht="15" hidden="false" customHeight="false" outlineLevel="0" collapsed="false">
      <c r="A588" s="4" t="s">
        <v>794</v>
      </c>
      <c r="B588" s="17" t="n">
        <v>45781</v>
      </c>
      <c r="C588" s="4" t="n">
        <v>10</v>
      </c>
      <c r="D588" s="4" t="s">
        <v>73</v>
      </c>
      <c r="E588" s="4" t="s">
        <v>636</v>
      </c>
      <c r="F588" s="4" t="s">
        <v>87</v>
      </c>
      <c r="G588" s="4" t="n">
        <v>1</v>
      </c>
      <c r="H588" s="4" t="n">
        <v>160</v>
      </c>
      <c r="I588" s="18" t="n">
        <v>0</v>
      </c>
      <c r="J588" s="4" t="s">
        <v>81</v>
      </c>
      <c r="K588" s="4" t="s">
        <v>68</v>
      </c>
    </row>
    <row r="589" customFormat="false" ht="15" hidden="false" customHeight="false" outlineLevel="0" collapsed="false">
      <c r="A589" s="4" t="s">
        <v>795</v>
      </c>
      <c r="B589" s="17" t="n">
        <v>45781</v>
      </c>
      <c r="C589" s="4" t="n">
        <v>16</v>
      </c>
      <c r="D589" s="4" t="s">
        <v>73</v>
      </c>
      <c r="E589" s="4" t="s">
        <v>99</v>
      </c>
      <c r="F589" s="4" t="s">
        <v>102</v>
      </c>
      <c r="G589" s="4" t="n">
        <v>1</v>
      </c>
      <c r="H589" s="4" t="n">
        <v>140</v>
      </c>
      <c r="I589" s="18" t="n">
        <v>0.05</v>
      </c>
      <c r="J589" s="4" t="s">
        <v>81</v>
      </c>
      <c r="K589" s="4" t="s">
        <v>82</v>
      </c>
    </row>
    <row r="590" customFormat="false" ht="15" hidden="false" customHeight="false" outlineLevel="0" collapsed="false">
      <c r="A590" s="4" t="s">
        <v>796</v>
      </c>
      <c r="B590" s="17" t="n">
        <v>45781</v>
      </c>
      <c r="C590" s="4" t="n">
        <v>19</v>
      </c>
      <c r="D590" s="4" t="s">
        <v>98</v>
      </c>
      <c r="E590" s="4" t="s">
        <v>65</v>
      </c>
      <c r="F590" s="4" t="s">
        <v>121</v>
      </c>
      <c r="G590" s="4" t="n">
        <v>2</v>
      </c>
      <c r="H590" s="4" t="n">
        <v>170</v>
      </c>
      <c r="I590" s="18" t="n">
        <v>0</v>
      </c>
      <c r="J590" s="4" t="s">
        <v>112</v>
      </c>
      <c r="K590" s="4" t="s">
        <v>68</v>
      </c>
    </row>
    <row r="591" customFormat="false" ht="15" hidden="false" customHeight="false" outlineLevel="0" collapsed="false">
      <c r="A591" s="4" t="s">
        <v>797</v>
      </c>
      <c r="B591" s="17" t="n">
        <v>45782</v>
      </c>
      <c r="C591" s="4" t="n">
        <v>8</v>
      </c>
      <c r="D591" s="4" t="s">
        <v>73</v>
      </c>
      <c r="E591" s="4" t="s">
        <v>65</v>
      </c>
      <c r="F591" s="4" t="s">
        <v>94</v>
      </c>
      <c r="G591" s="4" t="n">
        <v>1</v>
      </c>
      <c r="H591" s="4" t="n">
        <v>150</v>
      </c>
      <c r="I591" s="18" t="n">
        <v>0</v>
      </c>
      <c r="J591" s="4" t="s">
        <v>76</v>
      </c>
    </row>
    <row r="592" customFormat="false" ht="15" hidden="false" customHeight="false" outlineLevel="0" collapsed="false">
      <c r="A592" s="4" t="s">
        <v>798</v>
      </c>
      <c r="B592" s="4" t="s">
        <v>799</v>
      </c>
      <c r="C592" s="4" t="n">
        <v>12</v>
      </c>
      <c r="D592" s="4" t="s">
        <v>70</v>
      </c>
      <c r="E592" s="4" t="s">
        <v>65</v>
      </c>
      <c r="F592" s="4" t="s">
        <v>121</v>
      </c>
      <c r="G592" s="4" t="n">
        <v>4</v>
      </c>
      <c r="H592" s="4" t="n">
        <v>170</v>
      </c>
      <c r="I592" s="18" t="n">
        <v>0.1</v>
      </c>
      <c r="J592" s="4" t="s">
        <v>112</v>
      </c>
      <c r="K592" s="4" t="s">
        <v>82</v>
      </c>
    </row>
    <row r="593" customFormat="false" ht="15" hidden="false" customHeight="false" outlineLevel="0" collapsed="false">
      <c r="A593" s="4" t="s">
        <v>800</v>
      </c>
      <c r="B593" s="17" t="n">
        <v>45782</v>
      </c>
      <c r="C593" s="4" t="n">
        <v>19</v>
      </c>
      <c r="D593" s="4" t="s">
        <v>64</v>
      </c>
      <c r="E593" s="4" t="s">
        <v>99</v>
      </c>
      <c r="F593" s="4" t="s">
        <v>102</v>
      </c>
      <c r="G593" s="4" t="n">
        <v>3</v>
      </c>
      <c r="H593" s="4" t="n">
        <v>140</v>
      </c>
      <c r="I593" s="18" t="n">
        <v>0.05</v>
      </c>
      <c r="J593" s="4" t="s">
        <v>67</v>
      </c>
      <c r="K593" s="4" t="s">
        <v>82</v>
      </c>
    </row>
    <row r="594" customFormat="false" ht="15" hidden="false" customHeight="false" outlineLevel="0" collapsed="false">
      <c r="A594" s="4" t="s">
        <v>801</v>
      </c>
      <c r="B594" s="17" t="n">
        <v>45783</v>
      </c>
      <c r="C594" s="4" t="n">
        <v>7</v>
      </c>
      <c r="D594" s="4" t="s">
        <v>73</v>
      </c>
      <c r="E594" s="4" t="s">
        <v>65</v>
      </c>
      <c r="F594" s="4" t="s">
        <v>66</v>
      </c>
      <c r="G594" s="4" t="n">
        <v>4</v>
      </c>
      <c r="H594" s="4" t="n">
        <v>120</v>
      </c>
      <c r="I594" s="18" t="n">
        <v>0.1</v>
      </c>
      <c r="J594" s="4" t="s">
        <v>103</v>
      </c>
      <c r="K594" s="4" t="s">
        <v>68</v>
      </c>
    </row>
    <row r="595" customFormat="false" ht="15" hidden="false" customHeight="false" outlineLevel="0" collapsed="false">
      <c r="A595" s="4" t="s">
        <v>802</v>
      </c>
      <c r="B595" s="17" t="n">
        <v>45783</v>
      </c>
      <c r="C595" s="4" t="n">
        <v>11</v>
      </c>
      <c r="D595" s="4" t="s">
        <v>73</v>
      </c>
      <c r="E595" s="4" t="s">
        <v>74</v>
      </c>
      <c r="F595" s="4" t="s">
        <v>91</v>
      </c>
      <c r="G595" s="4" t="n">
        <v>2</v>
      </c>
      <c r="H595" s="4" t="n">
        <v>200</v>
      </c>
      <c r="I595" s="18" t="n">
        <v>0</v>
      </c>
      <c r="J595" s="4" t="s">
        <v>76</v>
      </c>
      <c r="K595" s="4" t="s">
        <v>68</v>
      </c>
    </row>
    <row r="596" customFormat="false" ht="15" hidden="false" customHeight="false" outlineLevel="0" collapsed="false">
      <c r="A596" s="4" t="s">
        <v>803</v>
      </c>
      <c r="B596" s="17" t="n">
        <v>45783</v>
      </c>
      <c r="C596" s="4" t="n">
        <v>17</v>
      </c>
      <c r="D596" s="4" t="s">
        <v>73</v>
      </c>
      <c r="E596" s="4" t="s">
        <v>99</v>
      </c>
      <c r="F596" s="4" t="s">
        <v>100</v>
      </c>
      <c r="G596" s="4" t="n">
        <v>1</v>
      </c>
      <c r="H596" s="4" t="n">
        <v>110</v>
      </c>
      <c r="I596" s="18" t="n">
        <v>0</v>
      </c>
      <c r="J596" s="4" t="s">
        <v>81</v>
      </c>
      <c r="K596" s="4" t="s">
        <v>77</v>
      </c>
    </row>
    <row r="597" customFormat="false" ht="15" hidden="false" customHeight="false" outlineLevel="0" collapsed="false">
      <c r="A597" s="4" t="s">
        <v>804</v>
      </c>
      <c r="B597" s="17" t="n">
        <v>45783</v>
      </c>
      <c r="C597" s="4" t="n">
        <v>19</v>
      </c>
      <c r="D597" s="4" t="s">
        <v>70</v>
      </c>
      <c r="E597" s="4" t="s">
        <v>65</v>
      </c>
      <c r="F597" s="4" t="s">
        <v>121</v>
      </c>
      <c r="G597" s="4" t="n">
        <v>1</v>
      </c>
      <c r="H597" s="4" t="n">
        <v>170</v>
      </c>
      <c r="I597" s="18" t="n">
        <v>0.05</v>
      </c>
      <c r="J597" s="4" t="s">
        <v>67</v>
      </c>
      <c r="K597" s="4" t="s">
        <v>82</v>
      </c>
    </row>
    <row r="598" customFormat="false" ht="15" hidden="false" customHeight="false" outlineLevel="0" collapsed="false">
      <c r="A598" s="4" t="s">
        <v>805</v>
      </c>
      <c r="B598" s="17" t="n">
        <v>45784</v>
      </c>
      <c r="C598" s="4" t="n">
        <v>8</v>
      </c>
      <c r="D598" s="4" t="s">
        <v>98</v>
      </c>
      <c r="E598" s="4" t="s">
        <v>84</v>
      </c>
      <c r="F598" s="4" t="s">
        <v>106</v>
      </c>
      <c r="G598" s="4" t="n">
        <v>1</v>
      </c>
      <c r="H598" s="4" t="n">
        <v>60</v>
      </c>
      <c r="I598" s="18" t="n">
        <v>0.1</v>
      </c>
      <c r="J598" s="4" t="s">
        <v>88</v>
      </c>
      <c r="K598" s="4" t="s">
        <v>68</v>
      </c>
    </row>
    <row r="599" customFormat="false" ht="15" hidden="false" customHeight="false" outlineLevel="0" collapsed="false">
      <c r="A599" s="4" t="s">
        <v>806</v>
      </c>
      <c r="B599" s="4" t="s">
        <v>807</v>
      </c>
      <c r="C599" s="4" t="n">
        <v>8</v>
      </c>
      <c r="D599" s="4" t="s">
        <v>64</v>
      </c>
      <c r="E599" s="4" t="s">
        <v>65</v>
      </c>
      <c r="F599" s="4" t="s">
        <v>121</v>
      </c>
      <c r="G599" s="4" t="n">
        <v>1</v>
      </c>
      <c r="H599" s="4" t="n">
        <v>170</v>
      </c>
      <c r="I599" s="18" t="n">
        <v>0</v>
      </c>
      <c r="J599" s="4" t="s">
        <v>67</v>
      </c>
      <c r="K599" s="4" t="s">
        <v>77</v>
      </c>
    </row>
    <row r="600" customFormat="false" ht="15" hidden="false" customHeight="false" outlineLevel="0" collapsed="false">
      <c r="A600" s="4" t="s">
        <v>808</v>
      </c>
      <c r="B600" s="17" t="n">
        <v>45784</v>
      </c>
      <c r="C600" s="4" t="n">
        <v>13</v>
      </c>
      <c r="D600" s="4" t="s">
        <v>70</v>
      </c>
      <c r="E600" s="4" t="s">
        <v>74</v>
      </c>
      <c r="F600" s="4" t="s">
        <v>75</v>
      </c>
      <c r="G600" s="4" t="n">
        <v>1</v>
      </c>
      <c r="H600" s="4" t="n">
        <v>220</v>
      </c>
      <c r="I600" s="18" t="n">
        <v>0.1</v>
      </c>
      <c r="J600" s="4" t="s">
        <v>112</v>
      </c>
      <c r="K600" s="4" t="s">
        <v>71</v>
      </c>
    </row>
    <row r="601" customFormat="false" ht="15" hidden="false" customHeight="false" outlineLevel="0" collapsed="false">
      <c r="A601" s="4" t="s">
        <v>809</v>
      </c>
      <c r="B601" s="17" t="n">
        <v>45784</v>
      </c>
      <c r="C601" s="4" t="n">
        <v>15</v>
      </c>
      <c r="D601" s="4" t="s">
        <v>73</v>
      </c>
      <c r="E601" s="4" t="s">
        <v>65</v>
      </c>
      <c r="F601" s="4" t="s">
        <v>121</v>
      </c>
      <c r="G601" s="4" t="n">
        <v>1</v>
      </c>
      <c r="H601" s="4" t="n">
        <v>170</v>
      </c>
      <c r="I601" s="18" t="n">
        <v>0</v>
      </c>
      <c r="J601" s="4" t="s">
        <v>76</v>
      </c>
      <c r="K601" s="4" t="s">
        <v>77</v>
      </c>
    </row>
    <row r="602" customFormat="false" ht="15" hidden="false" customHeight="false" outlineLevel="0" collapsed="false">
      <c r="A602" s="4" t="s">
        <v>810</v>
      </c>
      <c r="B602" s="4" t="s">
        <v>811</v>
      </c>
      <c r="C602" s="4" t="n">
        <v>16</v>
      </c>
      <c r="D602" s="4" t="s">
        <v>70</v>
      </c>
      <c r="E602" s="4" t="s">
        <v>65</v>
      </c>
      <c r="F602" s="4" t="s">
        <v>94</v>
      </c>
      <c r="G602" s="4" t="n">
        <v>1</v>
      </c>
      <c r="H602" s="4" t="n">
        <v>150</v>
      </c>
      <c r="I602" s="18" t="n">
        <v>0.05</v>
      </c>
      <c r="J602" s="4" t="s">
        <v>67</v>
      </c>
      <c r="K602" s="4" t="s">
        <v>82</v>
      </c>
    </row>
    <row r="603" customFormat="false" ht="15" hidden="false" customHeight="false" outlineLevel="0" collapsed="false">
      <c r="A603" s="4" t="s">
        <v>812</v>
      </c>
      <c r="B603" s="17" t="n">
        <v>45784</v>
      </c>
      <c r="C603" s="4" t="n">
        <v>16</v>
      </c>
      <c r="D603" s="4" t="s">
        <v>70</v>
      </c>
      <c r="E603" s="4" t="s">
        <v>79</v>
      </c>
      <c r="F603" s="4" t="s">
        <v>135</v>
      </c>
      <c r="G603" s="4" t="n">
        <v>1</v>
      </c>
      <c r="H603" s="4" t="n">
        <v>130</v>
      </c>
      <c r="I603" s="18" t="n">
        <v>0</v>
      </c>
      <c r="J603" s="4" t="s">
        <v>76</v>
      </c>
      <c r="K603" s="4" t="s">
        <v>68</v>
      </c>
    </row>
    <row r="604" customFormat="false" ht="15" hidden="false" customHeight="false" outlineLevel="0" collapsed="false">
      <c r="A604" s="4" t="s">
        <v>813</v>
      </c>
      <c r="B604" s="17" t="n">
        <v>45784</v>
      </c>
      <c r="C604" s="4" t="n">
        <v>16</v>
      </c>
      <c r="D604" s="4" t="s">
        <v>73</v>
      </c>
      <c r="E604" s="4" t="s">
        <v>99</v>
      </c>
      <c r="F604" s="4" t="s">
        <v>109</v>
      </c>
      <c r="G604" s="4" t="n">
        <v>1</v>
      </c>
      <c r="H604" s="4" t="n">
        <v>130</v>
      </c>
      <c r="I604" s="18" t="n">
        <v>0.05</v>
      </c>
      <c r="J604" s="4" t="s">
        <v>88</v>
      </c>
      <c r="K604" s="4" t="s">
        <v>82</v>
      </c>
    </row>
    <row r="605" customFormat="false" ht="15" hidden="false" customHeight="false" outlineLevel="0" collapsed="false">
      <c r="A605" s="4" t="s">
        <v>814</v>
      </c>
      <c r="B605" s="17" t="n">
        <v>45784</v>
      </c>
      <c r="C605" s="4" t="n">
        <v>17</v>
      </c>
      <c r="D605" s="4" t="s">
        <v>64</v>
      </c>
      <c r="E605" s="4" t="s">
        <v>65</v>
      </c>
      <c r="F605" s="4" t="s">
        <v>121</v>
      </c>
      <c r="G605" s="4" t="n">
        <v>1</v>
      </c>
      <c r="H605" s="4" t="n">
        <v>170</v>
      </c>
      <c r="J605" s="4" t="s">
        <v>88</v>
      </c>
      <c r="K605" s="4" t="s">
        <v>68</v>
      </c>
    </row>
    <row r="606" customFormat="false" ht="15" hidden="false" customHeight="false" outlineLevel="0" collapsed="false">
      <c r="A606" s="4" t="s">
        <v>815</v>
      </c>
      <c r="B606" s="17" t="n">
        <v>45784</v>
      </c>
      <c r="C606" s="4" t="n">
        <v>17</v>
      </c>
      <c r="D606" s="4" t="s">
        <v>70</v>
      </c>
      <c r="E606" s="4" t="s">
        <v>74</v>
      </c>
      <c r="F606" s="4" t="s">
        <v>75</v>
      </c>
      <c r="G606" s="4" t="n">
        <v>2</v>
      </c>
      <c r="H606" s="4" t="n">
        <v>220</v>
      </c>
      <c r="I606" s="18" t="n">
        <v>0.2</v>
      </c>
      <c r="J606" s="4" t="s">
        <v>76</v>
      </c>
      <c r="K606" s="4" t="s">
        <v>68</v>
      </c>
    </row>
    <row r="607" customFormat="false" ht="15" hidden="false" customHeight="false" outlineLevel="0" collapsed="false">
      <c r="A607" s="4" t="s">
        <v>816</v>
      </c>
      <c r="B607" s="17" t="n">
        <v>45785</v>
      </c>
      <c r="C607" s="4" t="n">
        <v>8</v>
      </c>
      <c r="D607" s="4" t="s">
        <v>73</v>
      </c>
      <c r="E607" s="4" t="s">
        <v>65</v>
      </c>
      <c r="F607" s="4" t="s">
        <v>121</v>
      </c>
      <c r="G607" s="4" t="n">
        <v>2</v>
      </c>
      <c r="H607" s="4" t="n">
        <v>170</v>
      </c>
      <c r="I607" s="18" t="n">
        <v>0.1</v>
      </c>
      <c r="J607" s="4" t="s">
        <v>76</v>
      </c>
      <c r="K607" s="4" t="s">
        <v>71</v>
      </c>
    </row>
    <row r="608" customFormat="false" ht="15" hidden="false" customHeight="false" outlineLevel="0" collapsed="false">
      <c r="A608" s="4" t="s">
        <v>817</v>
      </c>
      <c r="B608" s="17" t="n">
        <v>45785</v>
      </c>
      <c r="C608" s="4" t="n">
        <v>9</v>
      </c>
      <c r="D608" s="4" t="s">
        <v>64</v>
      </c>
      <c r="E608" s="4" t="s">
        <v>79</v>
      </c>
      <c r="F608" s="4" t="s">
        <v>80</v>
      </c>
      <c r="G608" s="4" t="n">
        <v>2</v>
      </c>
      <c r="H608" s="4" t="n">
        <v>160</v>
      </c>
      <c r="I608" s="18" t="n">
        <v>0</v>
      </c>
      <c r="J608" s="4" t="s">
        <v>112</v>
      </c>
      <c r="K608" s="4" t="s">
        <v>77</v>
      </c>
    </row>
    <row r="609" customFormat="false" ht="15" hidden="false" customHeight="false" outlineLevel="0" collapsed="false">
      <c r="A609" s="4" t="s">
        <v>818</v>
      </c>
      <c r="B609" s="17" t="n">
        <v>45785</v>
      </c>
      <c r="C609" s="4" t="n">
        <v>11</v>
      </c>
      <c r="D609" s="4" t="s">
        <v>98</v>
      </c>
      <c r="E609" s="4" t="s">
        <v>65</v>
      </c>
      <c r="F609" s="4" t="s">
        <v>66</v>
      </c>
      <c r="G609" s="4" t="n">
        <v>2</v>
      </c>
      <c r="H609" s="4" t="n">
        <v>120</v>
      </c>
      <c r="I609" s="18" t="n">
        <v>0.1</v>
      </c>
      <c r="J609" s="4" t="s">
        <v>81</v>
      </c>
      <c r="K609" s="4" t="s">
        <v>71</v>
      </c>
    </row>
    <row r="610" customFormat="false" ht="15" hidden="false" customHeight="false" outlineLevel="0" collapsed="false">
      <c r="A610" s="4" t="s">
        <v>819</v>
      </c>
      <c r="B610" s="17" t="n">
        <v>45785</v>
      </c>
      <c r="C610" s="4" t="n">
        <v>12</v>
      </c>
      <c r="D610" s="4" t="s">
        <v>64</v>
      </c>
      <c r="E610" s="4" t="s">
        <v>84</v>
      </c>
      <c r="F610" s="4" t="s">
        <v>114</v>
      </c>
      <c r="G610" s="4" t="n">
        <v>3</v>
      </c>
      <c r="H610" s="4" t="n">
        <v>85</v>
      </c>
      <c r="I610" s="18" t="n">
        <v>0.1</v>
      </c>
      <c r="J610" s="4" t="s">
        <v>76</v>
      </c>
      <c r="K610" s="4" t="s">
        <v>71</v>
      </c>
    </row>
    <row r="611" customFormat="false" ht="15" hidden="false" customHeight="false" outlineLevel="0" collapsed="false">
      <c r="A611" s="4" t="s">
        <v>820</v>
      </c>
      <c r="B611" s="17" t="n">
        <v>45785</v>
      </c>
      <c r="C611" s="4" t="n">
        <v>12</v>
      </c>
      <c r="D611" s="4" t="s">
        <v>73</v>
      </c>
      <c r="E611" s="4" t="s">
        <v>84</v>
      </c>
      <c r="F611" s="4" t="s">
        <v>114</v>
      </c>
      <c r="G611" s="4" t="n">
        <v>2</v>
      </c>
      <c r="H611" s="4" t="n">
        <v>85</v>
      </c>
      <c r="I611" s="18" t="n">
        <v>0.05</v>
      </c>
      <c r="J611" s="4" t="s">
        <v>81</v>
      </c>
      <c r="K611" s="4" t="s">
        <v>82</v>
      </c>
    </row>
    <row r="612" customFormat="false" ht="15" hidden="false" customHeight="false" outlineLevel="0" collapsed="false">
      <c r="A612" s="4" t="s">
        <v>821</v>
      </c>
      <c r="B612" s="17" t="n">
        <v>45786</v>
      </c>
      <c r="C612" s="4" t="n">
        <v>9</v>
      </c>
      <c r="D612" s="4" t="s">
        <v>98</v>
      </c>
      <c r="E612" s="4" t="s">
        <v>84</v>
      </c>
      <c r="F612" s="4" t="s">
        <v>106</v>
      </c>
      <c r="G612" s="4" t="n">
        <v>1</v>
      </c>
      <c r="H612" s="4" t="n">
        <v>60</v>
      </c>
      <c r="I612" s="18" t="n">
        <v>0</v>
      </c>
      <c r="J612" s="4" t="s">
        <v>81</v>
      </c>
      <c r="K612" s="4" t="s">
        <v>77</v>
      </c>
    </row>
    <row r="613" customFormat="false" ht="15" hidden="false" customHeight="false" outlineLevel="0" collapsed="false">
      <c r="A613" s="4" t="s">
        <v>822</v>
      </c>
      <c r="B613" s="17" t="n">
        <v>45786</v>
      </c>
      <c r="C613" s="4" t="n">
        <v>10</v>
      </c>
      <c r="D613" s="4" t="s">
        <v>70</v>
      </c>
      <c r="E613" s="4" t="s">
        <v>65</v>
      </c>
      <c r="F613" s="4" t="s">
        <v>87</v>
      </c>
      <c r="G613" s="4" t="n">
        <v>3</v>
      </c>
      <c r="H613" s="4" t="n">
        <v>160</v>
      </c>
      <c r="I613" s="18" t="n">
        <v>0.1</v>
      </c>
      <c r="J613" s="4" t="s">
        <v>76</v>
      </c>
      <c r="K613" s="4" t="s">
        <v>71</v>
      </c>
    </row>
    <row r="614" customFormat="false" ht="15" hidden="false" customHeight="false" outlineLevel="0" collapsed="false">
      <c r="A614" s="4" t="s">
        <v>823</v>
      </c>
      <c r="B614" s="17" t="n">
        <v>45786</v>
      </c>
      <c r="C614" s="4" t="n">
        <v>13</v>
      </c>
      <c r="D614" s="4" t="s">
        <v>73</v>
      </c>
      <c r="E614" s="4" t="s">
        <v>65</v>
      </c>
      <c r="F614" s="4" t="s">
        <v>66</v>
      </c>
      <c r="G614" s="4" t="n">
        <v>4</v>
      </c>
      <c r="H614" s="4" t="n">
        <v>120</v>
      </c>
      <c r="I614" s="18" t="n">
        <v>0.05</v>
      </c>
      <c r="J614" s="4" t="s">
        <v>67</v>
      </c>
      <c r="K614" s="4" t="s">
        <v>82</v>
      </c>
    </row>
    <row r="615" customFormat="false" ht="15" hidden="false" customHeight="false" outlineLevel="0" collapsed="false">
      <c r="A615" s="4" t="s">
        <v>824</v>
      </c>
      <c r="B615" s="4" t="s">
        <v>825</v>
      </c>
      <c r="C615" s="4" t="n">
        <v>16</v>
      </c>
      <c r="D615" s="4" t="s">
        <v>64</v>
      </c>
      <c r="E615" s="4" t="s">
        <v>65</v>
      </c>
      <c r="F615" s="4" t="s">
        <v>94</v>
      </c>
      <c r="G615" s="4" t="n">
        <v>4</v>
      </c>
      <c r="H615" s="4" t="n">
        <v>150</v>
      </c>
      <c r="I615" s="18" t="n">
        <v>0.1</v>
      </c>
      <c r="J615" s="4" t="s">
        <v>88</v>
      </c>
      <c r="K615" s="4" t="s">
        <v>82</v>
      </c>
    </row>
    <row r="616" customFormat="false" ht="15" hidden="false" customHeight="false" outlineLevel="0" collapsed="false">
      <c r="A616" s="4" t="s">
        <v>826</v>
      </c>
      <c r="B616" s="17" t="n">
        <v>45786</v>
      </c>
      <c r="C616" s="4" t="n">
        <v>17</v>
      </c>
      <c r="D616" s="4" t="s">
        <v>64</v>
      </c>
      <c r="E616" s="4" t="s">
        <v>79</v>
      </c>
      <c r="F616" s="4" t="s">
        <v>80</v>
      </c>
      <c r="G616" s="4" t="n">
        <v>1</v>
      </c>
      <c r="H616" s="4" t="n">
        <v>160</v>
      </c>
      <c r="I616" s="18" t="n">
        <v>0.05</v>
      </c>
      <c r="J616" s="4" t="s">
        <v>88</v>
      </c>
      <c r="K616" s="4" t="s">
        <v>82</v>
      </c>
    </row>
    <row r="617" customFormat="false" ht="15" hidden="false" customHeight="false" outlineLevel="0" collapsed="false">
      <c r="A617" s="4" t="s">
        <v>827</v>
      </c>
      <c r="B617" s="17" t="n">
        <v>45787</v>
      </c>
      <c r="C617" s="4" t="n">
        <v>11</v>
      </c>
      <c r="D617" s="4" t="s">
        <v>98</v>
      </c>
      <c r="E617" s="4" t="s">
        <v>84</v>
      </c>
      <c r="F617" s="4" t="s">
        <v>117</v>
      </c>
      <c r="G617" s="4" t="n">
        <v>1</v>
      </c>
      <c r="H617" s="4" t="n">
        <v>95</v>
      </c>
      <c r="I617" s="18" t="n">
        <v>0</v>
      </c>
      <c r="J617" s="4" t="s">
        <v>67</v>
      </c>
      <c r="K617" s="4" t="s">
        <v>68</v>
      </c>
    </row>
    <row r="618" customFormat="false" ht="15" hidden="false" customHeight="false" outlineLevel="0" collapsed="false">
      <c r="A618" s="4" t="s">
        <v>828</v>
      </c>
      <c r="B618" s="17" t="n">
        <v>45787</v>
      </c>
      <c r="C618" s="4" t="n">
        <v>16</v>
      </c>
      <c r="D618" s="4" t="s">
        <v>70</v>
      </c>
      <c r="E618" s="4" t="s">
        <v>74</v>
      </c>
      <c r="F618" s="4" t="s">
        <v>75</v>
      </c>
      <c r="G618" s="4" t="n">
        <v>1</v>
      </c>
      <c r="H618" s="4" t="n">
        <v>220</v>
      </c>
      <c r="I618" s="18" t="n">
        <v>0</v>
      </c>
      <c r="J618" s="4" t="s">
        <v>67</v>
      </c>
      <c r="K618" s="4" t="s">
        <v>68</v>
      </c>
    </row>
    <row r="619" customFormat="false" ht="15" hidden="false" customHeight="false" outlineLevel="0" collapsed="false">
      <c r="A619" s="4" t="s">
        <v>829</v>
      </c>
      <c r="B619" s="17" t="n">
        <v>45787</v>
      </c>
      <c r="C619" s="4" t="n">
        <v>17</v>
      </c>
      <c r="D619" s="4" t="s">
        <v>98</v>
      </c>
      <c r="E619" s="4" t="s">
        <v>65</v>
      </c>
      <c r="F619" s="4" t="s">
        <v>94</v>
      </c>
      <c r="G619" s="4" t="n">
        <v>2</v>
      </c>
      <c r="H619" s="4" t="n">
        <v>150</v>
      </c>
      <c r="I619" s="18" t="n">
        <v>0.1</v>
      </c>
      <c r="J619" s="4" t="s">
        <v>67</v>
      </c>
      <c r="K619" s="4" t="s">
        <v>71</v>
      </c>
    </row>
    <row r="620" customFormat="false" ht="15" hidden="false" customHeight="false" outlineLevel="0" collapsed="false">
      <c r="A620" s="4" t="s">
        <v>830</v>
      </c>
      <c r="B620" s="17" t="n">
        <v>45788</v>
      </c>
      <c r="C620" s="4" t="n">
        <v>7</v>
      </c>
      <c r="D620" s="4" t="s">
        <v>64</v>
      </c>
      <c r="E620" s="4" t="s">
        <v>65</v>
      </c>
      <c r="F620" s="4" t="s">
        <v>121</v>
      </c>
      <c r="G620" s="4" t="n">
        <v>2</v>
      </c>
      <c r="H620" s="4" t="n">
        <v>170</v>
      </c>
      <c r="I620" s="18" t="n">
        <v>0.05</v>
      </c>
      <c r="J620" s="4" t="s">
        <v>81</v>
      </c>
      <c r="K620" s="4" t="s">
        <v>82</v>
      </c>
    </row>
    <row r="621" customFormat="false" ht="15" hidden="false" customHeight="false" outlineLevel="0" collapsed="false">
      <c r="A621" s="4" t="s">
        <v>831</v>
      </c>
      <c r="B621" s="17" t="n">
        <v>45788</v>
      </c>
      <c r="C621" s="4" t="n">
        <v>7</v>
      </c>
      <c r="D621" s="4" t="s">
        <v>98</v>
      </c>
      <c r="E621" s="4" t="s">
        <v>65</v>
      </c>
      <c r="F621" s="4" t="s">
        <v>121</v>
      </c>
      <c r="G621" s="4" t="n">
        <v>1</v>
      </c>
      <c r="H621" s="4" t="n">
        <v>170</v>
      </c>
      <c r="I621" s="18" t="n">
        <v>0.1</v>
      </c>
      <c r="J621" s="4" t="s">
        <v>67</v>
      </c>
      <c r="K621" s="4" t="s">
        <v>71</v>
      </c>
    </row>
    <row r="622" customFormat="false" ht="15" hidden="false" customHeight="false" outlineLevel="0" collapsed="false">
      <c r="A622" s="4" t="s">
        <v>832</v>
      </c>
      <c r="B622" s="17" t="n">
        <v>45788</v>
      </c>
      <c r="C622" s="4" t="n">
        <v>9</v>
      </c>
      <c r="D622" s="4" t="s">
        <v>70</v>
      </c>
      <c r="E622" s="4" t="s">
        <v>169</v>
      </c>
      <c r="F622" s="4" t="s">
        <v>833</v>
      </c>
      <c r="G622" s="4" t="n">
        <v>1</v>
      </c>
      <c r="H622" s="4" t="n">
        <v>150</v>
      </c>
      <c r="I622" s="18" t="n">
        <v>0.05</v>
      </c>
      <c r="J622" s="4" t="s">
        <v>260</v>
      </c>
      <c r="K622" s="4" t="s">
        <v>82</v>
      </c>
    </row>
    <row r="623" customFormat="false" ht="15" hidden="false" customHeight="false" outlineLevel="0" collapsed="false">
      <c r="A623" s="4" t="s">
        <v>834</v>
      </c>
      <c r="B623" s="17" t="n">
        <v>45788</v>
      </c>
      <c r="C623" s="4" t="n">
        <v>9</v>
      </c>
      <c r="D623" s="4" t="s">
        <v>64</v>
      </c>
      <c r="E623" s="4" t="s">
        <v>65</v>
      </c>
      <c r="F623" s="4" t="s">
        <v>121</v>
      </c>
      <c r="G623" s="4" t="n">
        <v>1</v>
      </c>
      <c r="H623" s="4" t="n">
        <v>170</v>
      </c>
      <c r="I623" s="18" t="n">
        <v>0</v>
      </c>
      <c r="J623" s="4" t="s">
        <v>112</v>
      </c>
      <c r="K623" s="4" t="s">
        <v>68</v>
      </c>
    </row>
    <row r="624" customFormat="false" ht="15" hidden="false" customHeight="false" outlineLevel="0" collapsed="false">
      <c r="A624" s="4" t="s">
        <v>835</v>
      </c>
      <c r="B624" s="4" t="s">
        <v>836</v>
      </c>
      <c r="C624" s="4" t="n">
        <v>16</v>
      </c>
      <c r="D624" s="4" t="s">
        <v>73</v>
      </c>
      <c r="E624" s="4" t="s">
        <v>84</v>
      </c>
      <c r="F624" s="4" t="s">
        <v>85</v>
      </c>
      <c r="G624" s="4" t="n">
        <v>1</v>
      </c>
      <c r="H624" s="4" t="n">
        <v>150</v>
      </c>
      <c r="I624" s="18" t="n">
        <v>0.1</v>
      </c>
      <c r="J624" s="4" t="s">
        <v>112</v>
      </c>
      <c r="K624" s="4" t="s">
        <v>71</v>
      </c>
    </row>
    <row r="625" customFormat="false" ht="15" hidden="false" customHeight="false" outlineLevel="0" collapsed="false">
      <c r="A625" s="4" t="s">
        <v>837</v>
      </c>
      <c r="B625" s="17" t="n">
        <v>45789</v>
      </c>
      <c r="C625" s="4" t="n">
        <v>7</v>
      </c>
      <c r="D625" s="4" t="s">
        <v>153</v>
      </c>
      <c r="E625" s="4" t="s">
        <v>79</v>
      </c>
      <c r="F625" s="4" t="s">
        <v>80</v>
      </c>
      <c r="G625" s="4" t="n">
        <v>75</v>
      </c>
      <c r="H625" s="4" t="n">
        <v>160</v>
      </c>
      <c r="I625" s="18" t="n">
        <v>0</v>
      </c>
      <c r="J625" s="4" t="s">
        <v>112</v>
      </c>
      <c r="K625" s="4" t="s">
        <v>77</v>
      </c>
    </row>
    <row r="626" customFormat="false" ht="15" hidden="false" customHeight="false" outlineLevel="0" collapsed="false">
      <c r="A626" s="4" t="s">
        <v>838</v>
      </c>
      <c r="B626" s="17" t="n">
        <v>45789</v>
      </c>
      <c r="C626" s="4" t="n">
        <v>8</v>
      </c>
      <c r="D626" s="4" t="s">
        <v>73</v>
      </c>
      <c r="E626" s="4" t="s">
        <v>221</v>
      </c>
      <c r="F626" s="4" t="s">
        <v>80</v>
      </c>
      <c r="G626" s="4" t="n">
        <v>2</v>
      </c>
      <c r="H626" s="4" t="n">
        <v>160</v>
      </c>
      <c r="I626" s="18" t="n">
        <v>0.05</v>
      </c>
      <c r="J626" s="4" t="s">
        <v>76</v>
      </c>
      <c r="K626" s="4" t="s">
        <v>82</v>
      </c>
    </row>
    <row r="627" customFormat="false" ht="15" hidden="false" customHeight="false" outlineLevel="0" collapsed="false">
      <c r="A627" s="4" t="s">
        <v>839</v>
      </c>
      <c r="B627" s="17" t="n">
        <v>45789</v>
      </c>
      <c r="C627" s="4" t="n">
        <v>11</v>
      </c>
      <c r="D627" s="4" t="s">
        <v>73</v>
      </c>
      <c r="E627" s="4" t="s">
        <v>84</v>
      </c>
      <c r="F627" s="4" t="s">
        <v>85</v>
      </c>
      <c r="G627" s="4" t="n">
        <v>1</v>
      </c>
      <c r="H627" s="4" t="n">
        <v>150</v>
      </c>
      <c r="I627" s="18" t="n">
        <v>0.05</v>
      </c>
      <c r="J627" s="4" t="s">
        <v>76</v>
      </c>
      <c r="K627" s="4" t="s">
        <v>82</v>
      </c>
    </row>
    <row r="628" customFormat="false" ht="15" hidden="false" customHeight="false" outlineLevel="0" collapsed="false">
      <c r="A628" s="4" t="s">
        <v>840</v>
      </c>
      <c r="B628" s="17" t="n">
        <v>45789</v>
      </c>
      <c r="C628" s="4" t="n">
        <v>11</v>
      </c>
      <c r="D628" s="4" t="s">
        <v>335</v>
      </c>
      <c r="E628" s="4" t="s">
        <v>84</v>
      </c>
      <c r="F628" s="4" t="s">
        <v>106</v>
      </c>
      <c r="G628" s="4" t="n">
        <v>2</v>
      </c>
      <c r="H628" s="4" t="n">
        <v>60</v>
      </c>
      <c r="I628" s="18" t="n">
        <v>0.05</v>
      </c>
      <c r="J628" s="4" t="s">
        <v>76</v>
      </c>
      <c r="K628" s="4" t="s">
        <v>82</v>
      </c>
    </row>
    <row r="629" customFormat="false" ht="15" hidden="false" customHeight="false" outlineLevel="0" collapsed="false">
      <c r="A629" s="4" t="s">
        <v>841</v>
      </c>
      <c r="B629" s="17" t="n">
        <v>45789</v>
      </c>
      <c r="C629" s="4" t="n">
        <v>12</v>
      </c>
      <c r="D629" s="4" t="s">
        <v>98</v>
      </c>
      <c r="E629" s="4" t="s">
        <v>65</v>
      </c>
      <c r="F629" s="4" t="s">
        <v>94</v>
      </c>
      <c r="G629" s="4" t="n">
        <v>1</v>
      </c>
      <c r="H629" s="4" t="n">
        <v>150</v>
      </c>
      <c r="I629" s="18" t="n">
        <v>0</v>
      </c>
      <c r="J629" s="4" t="s">
        <v>67</v>
      </c>
      <c r="K629" s="4" t="s">
        <v>68</v>
      </c>
    </row>
    <row r="630" customFormat="false" ht="15" hidden="false" customHeight="false" outlineLevel="0" collapsed="false">
      <c r="A630" s="4" t="s">
        <v>842</v>
      </c>
      <c r="B630" s="17" t="n">
        <v>45789</v>
      </c>
      <c r="C630" s="4" t="n">
        <v>12</v>
      </c>
      <c r="D630" s="4" t="s">
        <v>90</v>
      </c>
      <c r="E630" s="4" t="s">
        <v>74</v>
      </c>
      <c r="F630" s="4" t="s">
        <v>843</v>
      </c>
      <c r="G630" s="4" t="n">
        <v>1</v>
      </c>
      <c r="H630" s="4" t="n">
        <v>220</v>
      </c>
      <c r="I630" s="18" t="n">
        <v>0.1</v>
      </c>
      <c r="J630" s="4" t="s">
        <v>268</v>
      </c>
      <c r="K630" s="4" t="s">
        <v>68</v>
      </c>
    </row>
    <row r="631" customFormat="false" ht="15" hidden="false" customHeight="false" outlineLevel="0" collapsed="false">
      <c r="A631" s="4" t="s">
        <v>844</v>
      </c>
      <c r="B631" s="17" t="n">
        <v>45789</v>
      </c>
      <c r="C631" s="4" t="n">
        <v>12</v>
      </c>
      <c r="D631" s="4" t="s">
        <v>98</v>
      </c>
      <c r="E631" s="4" t="s">
        <v>74</v>
      </c>
      <c r="F631" s="4" t="s">
        <v>75</v>
      </c>
      <c r="G631" s="4" t="n">
        <v>1</v>
      </c>
      <c r="H631" s="4" t="n">
        <v>220</v>
      </c>
      <c r="I631" s="18" t="n">
        <v>0.15</v>
      </c>
      <c r="J631" s="4" t="s">
        <v>81</v>
      </c>
      <c r="K631" s="4" t="s">
        <v>68</v>
      </c>
    </row>
    <row r="632" customFormat="false" ht="15" hidden="false" customHeight="false" outlineLevel="0" collapsed="false">
      <c r="A632" s="4" t="s">
        <v>845</v>
      </c>
      <c r="B632" s="4" t="s">
        <v>846</v>
      </c>
      <c r="C632" s="4" t="n">
        <v>14</v>
      </c>
      <c r="D632" s="4" t="s">
        <v>73</v>
      </c>
      <c r="E632" s="4" t="s">
        <v>74</v>
      </c>
      <c r="F632" s="4" t="s">
        <v>139</v>
      </c>
      <c r="G632" s="4" t="n">
        <v>1</v>
      </c>
      <c r="H632" s="4" t="n">
        <v>260</v>
      </c>
      <c r="I632" s="18" t="n">
        <v>0</v>
      </c>
      <c r="J632" s="4" t="s">
        <v>67</v>
      </c>
      <c r="K632" s="4" t="s">
        <v>68</v>
      </c>
    </row>
    <row r="633" customFormat="false" ht="15" hidden="false" customHeight="false" outlineLevel="0" collapsed="false">
      <c r="A633" s="4" t="s">
        <v>847</v>
      </c>
      <c r="B633" s="17" t="n">
        <v>45789</v>
      </c>
      <c r="C633" s="4" t="n">
        <v>14</v>
      </c>
      <c r="D633" s="4" t="s">
        <v>64</v>
      </c>
      <c r="E633" s="4" t="s">
        <v>65</v>
      </c>
      <c r="F633" s="4" t="s">
        <v>121</v>
      </c>
      <c r="G633" s="4" t="n">
        <v>3</v>
      </c>
      <c r="H633" s="4" t="n">
        <v>170</v>
      </c>
      <c r="I633" s="18" t="n">
        <v>0.05</v>
      </c>
      <c r="J633" s="4" t="s">
        <v>81</v>
      </c>
      <c r="K633" s="4" t="s">
        <v>82</v>
      </c>
    </row>
    <row r="634" customFormat="false" ht="15" hidden="false" customHeight="false" outlineLevel="0" collapsed="false">
      <c r="A634" s="4" t="s">
        <v>848</v>
      </c>
      <c r="B634" s="17" t="n">
        <v>45789</v>
      </c>
      <c r="C634" s="4" t="n">
        <v>16</v>
      </c>
      <c r="D634" s="4" t="s">
        <v>64</v>
      </c>
      <c r="E634" s="4" t="s">
        <v>65</v>
      </c>
      <c r="F634" s="4" t="s">
        <v>121</v>
      </c>
      <c r="G634" s="4" t="n">
        <v>2</v>
      </c>
      <c r="H634" s="4" t="n">
        <v>170</v>
      </c>
      <c r="I634" s="18" t="n">
        <v>0.05</v>
      </c>
      <c r="J634" s="4" t="s">
        <v>76</v>
      </c>
      <c r="K634" s="4" t="s">
        <v>82</v>
      </c>
    </row>
    <row r="635" customFormat="false" ht="15" hidden="false" customHeight="false" outlineLevel="0" collapsed="false">
      <c r="A635" s="4" t="s">
        <v>849</v>
      </c>
      <c r="B635" s="17" t="n">
        <v>45789</v>
      </c>
      <c r="C635" s="4" t="n">
        <v>16</v>
      </c>
      <c r="D635" s="4" t="s">
        <v>64</v>
      </c>
      <c r="E635" s="4" t="s">
        <v>79</v>
      </c>
      <c r="F635" s="4" t="s">
        <v>148</v>
      </c>
      <c r="G635" s="4" t="n">
        <v>1</v>
      </c>
      <c r="H635" s="4" t="n">
        <v>120</v>
      </c>
      <c r="I635" s="18" t="n">
        <v>0.15</v>
      </c>
      <c r="J635" s="4" t="s">
        <v>76</v>
      </c>
      <c r="K635" s="4" t="s">
        <v>82</v>
      </c>
    </row>
    <row r="636" customFormat="false" ht="15" hidden="false" customHeight="false" outlineLevel="0" collapsed="false">
      <c r="A636" s="4" t="s">
        <v>850</v>
      </c>
      <c r="B636" s="17" t="n">
        <v>45789</v>
      </c>
      <c r="C636" s="4" t="n">
        <v>16</v>
      </c>
      <c r="D636" s="4" t="s">
        <v>70</v>
      </c>
      <c r="E636" s="4" t="s">
        <v>99</v>
      </c>
      <c r="F636" s="4" t="s">
        <v>109</v>
      </c>
      <c r="G636" s="4" t="n">
        <v>3</v>
      </c>
      <c r="H636" s="4" t="n">
        <v>130</v>
      </c>
      <c r="I636" s="18" t="n">
        <v>0</v>
      </c>
      <c r="J636" s="4" t="s">
        <v>81</v>
      </c>
      <c r="K636" s="4" t="s">
        <v>68</v>
      </c>
    </row>
    <row r="637" customFormat="false" ht="15" hidden="false" customHeight="false" outlineLevel="0" collapsed="false">
      <c r="A637" s="4" t="s">
        <v>851</v>
      </c>
      <c r="B637" s="17" t="n">
        <v>45790</v>
      </c>
      <c r="C637" s="4" t="n">
        <v>7</v>
      </c>
      <c r="D637" s="4" t="s">
        <v>64</v>
      </c>
      <c r="E637" s="4" t="s">
        <v>79</v>
      </c>
      <c r="F637" s="4" t="s">
        <v>148</v>
      </c>
      <c r="G637" s="4" t="n">
        <v>1</v>
      </c>
      <c r="H637" s="4" t="n">
        <v>120</v>
      </c>
      <c r="I637" s="18" t="n">
        <v>0.05</v>
      </c>
      <c r="J637" s="4" t="s">
        <v>88</v>
      </c>
      <c r="K637" s="4" t="s">
        <v>82</v>
      </c>
    </row>
    <row r="638" customFormat="false" ht="15" hidden="false" customHeight="false" outlineLevel="0" collapsed="false">
      <c r="A638" s="4" t="s">
        <v>852</v>
      </c>
      <c r="B638" s="17" t="n">
        <v>45790</v>
      </c>
      <c r="C638" s="4" t="n">
        <v>8</v>
      </c>
      <c r="D638" s="4" t="s">
        <v>98</v>
      </c>
      <c r="E638" s="4" t="s">
        <v>84</v>
      </c>
      <c r="F638" s="4" t="s">
        <v>117</v>
      </c>
      <c r="G638" s="4" t="n">
        <v>4</v>
      </c>
      <c r="H638" s="4" t="n">
        <v>95</v>
      </c>
      <c r="I638" s="18" t="n">
        <v>0.1</v>
      </c>
      <c r="J638" s="4" t="s">
        <v>81</v>
      </c>
      <c r="K638" s="4" t="s">
        <v>71</v>
      </c>
    </row>
    <row r="639" customFormat="false" ht="15" hidden="false" customHeight="false" outlineLevel="0" collapsed="false">
      <c r="A639" s="4" t="s">
        <v>853</v>
      </c>
      <c r="B639" s="4" t="s">
        <v>854</v>
      </c>
      <c r="C639" s="4" t="n">
        <v>9</v>
      </c>
      <c r="D639" s="4" t="s">
        <v>64</v>
      </c>
      <c r="E639" s="4" t="s">
        <v>99</v>
      </c>
      <c r="F639" s="4" t="s">
        <v>100</v>
      </c>
      <c r="G639" s="4" t="n">
        <v>1</v>
      </c>
      <c r="H639" s="4" t="n">
        <v>110</v>
      </c>
      <c r="I639" s="18" t="n">
        <v>0.1</v>
      </c>
      <c r="J639" s="4" t="s">
        <v>67</v>
      </c>
      <c r="K639" s="4" t="s">
        <v>71</v>
      </c>
    </row>
    <row r="640" customFormat="false" ht="15" hidden="false" customHeight="false" outlineLevel="0" collapsed="false">
      <c r="A640" s="4" t="s">
        <v>855</v>
      </c>
      <c r="B640" s="17" t="n">
        <v>45790</v>
      </c>
      <c r="C640" s="4" t="n">
        <v>11</v>
      </c>
      <c r="D640" s="4" t="s">
        <v>70</v>
      </c>
      <c r="E640" s="4" t="s">
        <v>79</v>
      </c>
      <c r="F640" s="4" t="s">
        <v>148</v>
      </c>
      <c r="G640" s="4" t="n">
        <v>1</v>
      </c>
      <c r="H640" s="4" t="n">
        <v>120</v>
      </c>
      <c r="I640" s="18" t="n">
        <v>0</v>
      </c>
      <c r="J640" s="4" t="s">
        <v>112</v>
      </c>
      <c r="K640" s="4" t="s">
        <v>68</v>
      </c>
    </row>
    <row r="641" customFormat="false" ht="15" hidden="false" customHeight="false" outlineLevel="0" collapsed="false">
      <c r="A641" s="4" t="s">
        <v>856</v>
      </c>
      <c r="B641" s="17" t="n">
        <v>45790</v>
      </c>
      <c r="C641" s="4" t="n">
        <v>12</v>
      </c>
      <c r="D641" s="4" t="s">
        <v>183</v>
      </c>
      <c r="E641" s="4" t="s">
        <v>79</v>
      </c>
      <c r="F641" s="4" t="s">
        <v>80</v>
      </c>
      <c r="G641" s="4" t="n">
        <v>2</v>
      </c>
      <c r="H641" s="4" t="n">
        <v>160</v>
      </c>
      <c r="I641" s="18" t="n">
        <v>0.05</v>
      </c>
      <c r="J641" s="4" t="s">
        <v>67</v>
      </c>
      <c r="K641" s="4" t="s">
        <v>82</v>
      </c>
    </row>
    <row r="642" customFormat="false" ht="15" hidden="false" customHeight="false" outlineLevel="0" collapsed="false">
      <c r="A642" s="4" t="s">
        <v>857</v>
      </c>
      <c r="B642" s="17" t="n">
        <v>45790</v>
      </c>
      <c r="C642" s="4" t="n">
        <v>13</v>
      </c>
      <c r="D642" s="4" t="s">
        <v>70</v>
      </c>
      <c r="E642" s="4" t="s">
        <v>74</v>
      </c>
      <c r="F642" s="4" t="s">
        <v>91</v>
      </c>
      <c r="G642" s="4" t="n">
        <v>4</v>
      </c>
      <c r="H642" s="4" t="n">
        <v>200</v>
      </c>
      <c r="I642" s="18" t="n">
        <v>0.15</v>
      </c>
      <c r="J642" s="4" t="s">
        <v>76</v>
      </c>
      <c r="K642" s="4" t="s">
        <v>68</v>
      </c>
    </row>
    <row r="643" customFormat="false" ht="15" hidden="false" customHeight="false" outlineLevel="0" collapsed="false">
      <c r="A643" s="4" t="s">
        <v>858</v>
      </c>
      <c r="B643" s="4" t="s">
        <v>859</v>
      </c>
      <c r="C643" s="4" t="n">
        <v>16</v>
      </c>
      <c r="D643" s="4" t="s">
        <v>64</v>
      </c>
      <c r="E643" s="4" t="s">
        <v>84</v>
      </c>
      <c r="F643" s="4" t="s">
        <v>117</v>
      </c>
      <c r="G643" s="4" t="n">
        <v>3</v>
      </c>
      <c r="H643" s="4" t="n">
        <v>95</v>
      </c>
      <c r="I643" s="18" t="n">
        <v>0.15</v>
      </c>
      <c r="J643" s="4" t="s">
        <v>67</v>
      </c>
      <c r="K643" s="4" t="s">
        <v>82</v>
      </c>
    </row>
    <row r="644" customFormat="false" ht="15" hidden="false" customHeight="false" outlineLevel="0" collapsed="false">
      <c r="A644" s="4" t="s">
        <v>860</v>
      </c>
      <c r="B644" s="17" t="n">
        <v>45790</v>
      </c>
      <c r="C644" s="4" t="n">
        <v>18</v>
      </c>
      <c r="D644" s="4" t="s">
        <v>64</v>
      </c>
      <c r="E644" s="4" t="s">
        <v>99</v>
      </c>
      <c r="F644" s="4" t="s">
        <v>100</v>
      </c>
      <c r="G644" s="4" t="n">
        <v>2</v>
      </c>
      <c r="H644" s="4" t="n">
        <v>110</v>
      </c>
      <c r="I644" s="18" t="n">
        <v>0</v>
      </c>
      <c r="J644" s="4" t="s">
        <v>81</v>
      </c>
      <c r="K644" s="4" t="s">
        <v>68</v>
      </c>
    </row>
    <row r="645" customFormat="false" ht="15" hidden="false" customHeight="false" outlineLevel="0" collapsed="false">
      <c r="A645" s="4" t="s">
        <v>861</v>
      </c>
      <c r="B645" s="17" t="n">
        <v>45791</v>
      </c>
      <c r="C645" s="4" t="n">
        <v>7</v>
      </c>
      <c r="D645" s="4" t="s">
        <v>98</v>
      </c>
      <c r="E645" s="4" t="s">
        <v>65</v>
      </c>
      <c r="F645" s="4" t="s">
        <v>270</v>
      </c>
      <c r="G645" s="4" t="n">
        <v>4</v>
      </c>
      <c r="H645" s="4" t="n">
        <v>150</v>
      </c>
      <c r="I645" s="18" t="n">
        <v>0.1</v>
      </c>
      <c r="J645" s="4" t="s">
        <v>67</v>
      </c>
      <c r="K645" s="4" t="s">
        <v>71</v>
      </c>
    </row>
    <row r="646" customFormat="false" ht="15" hidden="false" customHeight="false" outlineLevel="0" collapsed="false">
      <c r="A646" s="4" t="s">
        <v>862</v>
      </c>
      <c r="B646" s="17" t="n">
        <v>45791</v>
      </c>
      <c r="C646" s="4" t="n">
        <v>12</v>
      </c>
      <c r="D646" s="4" t="s">
        <v>73</v>
      </c>
      <c r="E646" s="4" t="s">
        <v>74</v>
      </c>
      <c r="F646" s="4" t="s">
        <v>75</v>
      </c>
      <c r="G646" s="4" t="n">
        <v>2</v>
      </c>
      <c r="H646" s="4" t="n">
        <v>220</v>
      </c>
      <c r="I646" s="18" t="n">
        <v>0.1</v>
      </c>
      <c r="J646" s="4" t="s">
        <v>67</v>
      </c>
      <c r="K646" s="4" t="s">
        <v>71</v>
      </c>
    </row>
    <row r="647" customFormat="false" ht="15" hidden="false" customHeight="false" outlineLevel="0" collapsed="false">
      <c r="A647" s="4" t="s">
        <v>863</v>
      </c>
      <c r="B647" s="17" t="n">
        <v>45791</v>
      </c>
      <c r="C647" s="4" t="n">
        <v>12</v>
      </c>
      <c r="D647" s="4" t="s">
        <v>64</v>
      </c>
      <c r="E647" s="4" t="s">
        <v>84</v>
      </c>
      <c r="F647" s="4" t="s">
        <v>106</v>
      </c>
      <c r="G647" s="4" t="n">
        <v>4</v>
      </c>
      <c r="H647" s="4" t="n">
        <v>60</v>
      </c>
      <c r="I647" s="18" t="n">
        <v>0</v>
      </c>
      <c r="J647" s="4" t="s">
        <v>67</v>
      </c>
      <c r="K647" s="4" t="s">
        <v>68</v>
      </c>
    </row>
    <row r="648" customFormat="false" ht="15" hidden="false" customHeight="false" outlineLevel="0" collapsed="false">
      <c r="A648" s="4" t="s">
        <v>864</v>
      </c>
      <c r="B648" s="4" t="s">
        <v>865</v>
      </c>
      <c r="C648" s="4" t="n">
        <v>12</v>
      </c>
      <c r="D648" s="4" t="s">
        <v>98</v>
      </c>
      <c r="E648" s="4" t="s">
        <v>79</v>
      </c>
      <c r="F648" s="4" t="s">
        <v>148</v>
      </c>
      <c r="G648" s="4" t="n">
        <v>1</v>
      </c>
      <c r="H648" s="4" t="n">
        <v>120</v>
      </c>
      <c r="I648" s="18" t="n">
        <v>0.1</v>
      </c>
      <c r="J648" s="4" t="s">
        <v>76</v>
      </c>
      <c r="K648" s="4" t="s">
        <v>71</v>
      </c>
    </row>
    <row r="649" customFormat="false" ht="15" hidden="false" customHeight="false" outlineLevel="0" collapsed="false">
      <c r="A649" s="4" t="s">
        <v>866</v>
      </c>
      <c r="B649" s="17" t="n">
        <v>45791</v>
      </c>
      <c r="C649" s="4" t="n">
        <v>15</v>
      </c>
      <c r="D649" s="4" t="s">
        <v>70</v>
      </c>
      <c r="E649" s="4" t="s">
        <v>84</v>
      </c>
      <c r="F649" s="4" t="s">
        <v>114</v>
      </c>
      <c r="G649" s="4" t="n">
        <v>2</v>
      </c>
      <c r="H649" s="4" t="n">
        <v>85</v>
      </c>
      <c r="I649" s="18" t="n">
        <v>0.1</v>
      </c>
      <c r="J649" s="4" t="s">
        <v>67</v>
      </c>
      <c r="K649" s="4" t="s">
        <v>71</v>
      </c>
    </row>
    <row r="650" customFormat="false" ht="15" hidden="false" customHeight="false" outlineLevel="0" collapsed="false">
      <c r="A650" s="4" t="s">
        <v>867</v>
      </c>
      <c r="B650" s="17" t="n">
        <v>45792</v>
      </c>
      <c r="C650" s="4" t="n">
        <v>7</v>
      </c>
      <c r="D650" s="4" t="s">
        <v>70</v>
      </c>
      <c r="E650" s="4" t="s">
        <v>430</v>
      </c>
      <c r="F650" s="4" t="s">
        <v>94</v>
      </c>
      <c r="G650" s="4" t="n">
        <v>1</v>
      </c>
      <c r="H650" s="4" t="n">
        <v>150</v>
      </c>
      <c r="I650" s="18" t="n">
        <v>0</v>
      </c>
      <c r="J650" s="4" t="s">
        <v>88</v>
      </c>
      <c r="K650" s="4" t="s">
        <v>68</v>
      </c>
    </row>
    <row r="651" customFormat="false" ht="15" hidden="false" customHeight="false" outlineLevel="0" collapsed="false">
      <c r="A651" s="4" t="s">
        <v>868</v>
      </c>
      <c r="B651" s="17" t="n">
        <v>45792</v>
      </c>
      <c r="C651" s="4" t="n">
        <v>8</v>
      </c>
      <c r="D651" s="4" t="s">
        <v>73</v>
      </c>
      <c r="E651" s="4" t="s">
        <v>74</v>
      </c>
      <c r="F651" s="4" t="s">
        <v>75</v>
      </c>
      <c r="G651" s="4" t="n">
        <v>2</v>
      </c>
      <c r="H651" s="4" t="n">
        <v>220</v>
      </c>
      <c r="I651" s="18" t="n">
        <v>0</v>
      </c>
      <c r="J651" s="4" t="s">
        <v>112</v>
      </c>
      <c r="K651" s="4" t="s">
        <v>68</v>
      </c>
    </row>
    <row r="652" customFormat="false" ht="15" hidden="false" customHeight="false" outlineLevel="0" collapsed="false">
      <c r="A652" s="4" t="s">
        <v>869</v>
      </c>
      <c r="B652" s="17" t="n">
        <v>45792</v>
      </c>
      <c r="C652" s="4" t="n">
        <v>11</v>
      </c>
      <c r="D652" s="4" t="s">
        <v>73</v>
      </c>
      <c r="E652" s="4" t="s">
        <v>65</v>
      </c>
      <c r="F652" s="4" t="s">
        <v>121</v>
      </c>
      <c r="G652" s="4" t="n">
        <v>4</v>
      </c>
      <c r="H652" s="4" t="n">
        <v>170</v>
      </c>
      <c r="I652" s="18" t="n">
        <v>0.05</v>
      </c>
      <c r="J652" s="4" t="s">
        <v>76</v>
      </c>
      <c r="K652" s="4" t="s">
        <v>82</v>
      </c>
    </row>
    <row r="653" customFormat="false" ht="15" hidden="false" customHeight="false" outlineLevel="0" collapsed="false">
      <c r="A653" s="4" t="s">
        <v>870</v>
      </c>
      <c r="B653" s="17" t="n">
        <v>45792</v>
      </c>
      <c r="C653" s="4" t="n">
        <v>12</v>
      </c>
      <c r="D653" s="4" t="s">
        <v>70</v>
      </c>
      <c r="E653" s="4" t="s">
        <v>74</v>
      </c>
      <c r="F653" s="4" t="s">
        <v>75</v>
      </c>
      <c r="G653" s="4" t="n">
        <v>2</v>
      </c>
      <c r="H653" s="4" t="n">
        <v>220</v>
      </c>
      <c r="I653" s="18" t="n">
        <v>0.15</v>
      </c>
      <c r="J653" s="4" t="s">
        <v>112</v>
      </c>
      <c r="K653" s="4" t="s">
        <v>68</v>
      </c>
    </row>
    <row r="654" customFormat="false" ht="15" hidden="false" customHeight="false" outlineLevel="0" collapsed="false">
      <c r="A654" s="4" t="s">
        <v>871</v>
      </c>
      <c r="B654" s="17" t="n">
        <v>45792</v>
      </c>
      <c r="C654" s="4" t="n">
        <v>15</v>
      </c>
      <c r="D654" s="4" t="s">
        <v>73</v>
      </c>
      <c r="E654" s="4" t="s">
        <v>79</v>
      </c>
      <c r="F654" s="4" t="s">
        <v>872</v>
      </c>
      <c r="G654" s="4" t="n">
        <v>1</v>
      </c>
      <c r="H654" s="4" t="n">
        <v>160</v>
      </c>
      <c r="I654" s="18" t="n">
        <v>0</v>
      </c>
      <c r="J654" s="4" t="s">
        <v>112</v>
      </c>
      <c r="K654" s="4" t="s">
        <v>77</v>
      </c>
    </row>
    <row r="655" customFormat="false" ht="15" hidden="false" customHeight="false" outlineLevel="0" collapsed="false">
      <c r="A655" s="4" t="s">
        <v>873</v>
      </c>
      <c r="B655" s="4" t="s">
        <v>874</v>
      </c>
      <c r="C655" s="4" t="n">
        <v>18</v>
      </c>
      <c r="D655" s="4" t="s">
        <v>98</v>
      </c>
      <c r="E655" s="4" t="s">
        <v>235</v>
      </c>
      <c r="F655" s="4" t="s">
        <v>87</v>
      </c>
      <c r="G655" s="4" t="n">
        <v>1</v>
      </c>
      <c r="H655" s="4" t="n">
        <v>160</v>
      </c>
      <c r="I655" s="18" t="n">
        <v>0.1</v>
      </c>
      <c r="J655" s="4" t="s">
        <v>81</v>
      </c>
      <c r="K655" s="4" t="s">
        <v>71</v>
      </c>
    </row>
    <row r="656" customFormat="false" ht="15" hidden="false" customHeight="false" outlineLevel="0" collapsed="false">
      <c r="A656" s="4" t="s">
        <v>875</v>
      </c>
      <c r="B656" s="17" t="n">
        <v>45793</v>
      </c>
      <c r="C656" s="4" t="n">
        <v>8</v>
      </c>
      <c r="D656" s="4" t="s">
        <v>64</v>
      </c>
      <c r="E656" s="4" t="s">
        <v>65</v>
      </c>
      <c r="F656" s="4" t="s">
        <v>94</v>
      </c>
      <c r="G656" s="4" t="n">
        <v>1</v>
      </c>
      <c r="H656" s="4" t="n">
        <v>150</v>
      </c>
      <c r="I656" s="18" t="n">
        <v>0.05</v>
      </c>
      <c r="J656" s="4" t="s">
        <v>67</v>
      </c>
      <c r="K656" s="4" t="s">
        <v>82</v>
      </c>
    </row>
    <row r="657" customFormat="false" ht="15" hidden="false" customHeight="false" outlineLevel="0" collapsed="false">
      <c r="A657" s="4" t="s">
        <v>876</v>
      </c>
      <c r="B657" s="17" t="n">
        <v>45793</v>
      </c>
      <c r="C657" s="4" t="n">
        <v>13</v>
      </c>
      <c r="D657" s="4" t="s">
        <v>98</v>
      </c>
      <c r="E657" s="4" t="s">
        <v>65</v>
      </c>
      <c r="F657" s="4" t="s">
        <v>94</v>
      </c>
      <c r="G657" s="4" t="n">
        <v>2</v>
      </c>
      <c r="H657" s="4" t="n">
        <v>150</v>
      </c>
      <c r="I657" s="18" t="n">
        <v>0</v>
      </c>
      <c r="J657" s="4" t="s">
        <v>112</v>
      </c>
      <c r="K657" s="4" t="s">
        <v>68</v>
      </c>
    </row>
    <row r="658" customFormat="false" ht="15" hidden="false" customHeight="false" outlineLevel="0" collapsed="false">
      <c r="A658" s="4" t="s">
        <v>877</v>
      </c>
      <c r="B658" s="17" t="n">
        <v>45793</v>
      </c>
      <c r="C658" s="4" t="n">
        <v>17</v>
      </c>
      <c r="D658" s="4" t="s">
        <v>70</v>
      </c>
      <c r="E658" s="4" t="s">
        <v>65</v>
      </c>
      <c r="F658" s="4" t="s">
        <v>87</v>
      </c>
      <c r="G658" s="4" t="n">
        <v>2</v>
      </c>
      <c r="H658" s="4" t="n">
        <v>160</v>
      </c>
      <c r="I658" s="18" t="n">
        <v>0.05</v>
      </c>
      <c r="J658" s="4" t="s">
        <v>67</v>
      </c>
      <c r="K658" s="4" t="s">
        <v>82</v>
      </c>
    </row>
    <row r="659" customFormat="false" ht="15" hidden="false" customHeight="false" outlineLevel="0" collapsed="false">
      <c r="A659" s="4" t="s">
        <v>878</v>
      </c>
      <c r="B659" s="17" t="n">
        <v>45794</v>
      </c>
      <c r="C659" s="4" t="n">
        <v>7</v>
      </c>
      <c r="D659" s="4" t="s">
        <v>64</v>
      </c>
      <c r="E659" s="4" t="s">
        <v>79</v>
      </c>
      <c r="F659" s="4" t="s">
        <v>148</v>
      </c>
      <c r="H659" s="4" t="n">
        <v>120</v>
      </c>
      <c r="I659" s="18" t="n">
        <v>0</v>
      </c>
      <c r="J659" s="4" t="s">
        <v>112</v>
      </c>
      <c r="K659" s="4" t="s">
        <v>77</v>
      </c>
    </row>
    <row r="660" customFormat="false" ht="15" hidden="false" customHeight="false" outlineLevel="0" collapsed="false">
      <c r="A660" s="4" t="s">
        <v>879</v>
      </c>
      <c r="B660" s="4" t="s">
        <v>880</v>
      </c>
      <c r="C660" s="4" t="n">
        <v>8</v>
      </c>
      <c r="D660" s="4" t="s">
        <v>98</v>
      </c>
      <c r="E660" s="4" t="s">
        <v>99</v>
      </c>
      <c r="F660" s="4" t="s">
        <v>133</v>
      </c>
      <c r="G660" s="4" t="n">
        <v>2</v>
      </c>
      <c r="H660" s="4" t="n">
        <v>90</v>
      </c>
      <c r="I660" s="18" t="n">
        <v>0</v>
      </c>
      <c r="J660" s="4" t="s">
        <v>81</v>
      </c>
      <c r="K660" s="4" t="s">
        <v>68</v>
      </c>
    </row>
    <row r="661" customFormat="false" ht="15" hidden="false" customHeight="false" outlineLevel="0" collapsed="false">
      <c r="A661" s="4" t="s">
        <v>881</v>
      </c>
      <c r="B661" s="17" t="n">
        <v>45794</v>
      </c>
      <c r="C661" s="4" t="n">
        <v>9</v>
      </c>
      <c r="D661" s="4" t="s">
        <v>119</v>
      </c>
      <c r="E661" s="4" t="s">
        <v>65</v>
      </c>
      <c r="F661" s="4" t="s">
        <v>121</v>
      </c>
      <c r="G661" s="4" t="n">
        <v>3</v>
      </c>
      <c r="H661" s="4" t="n">
        <v>170</v>
      </c>
      <c r="I661" s="18" t="n">
        <v>0</v>
      </c>
      <c r="J661" s="4" t="s">
        <v>112</v>
      </c>
      <c r="K661" s="4" t="s">
        <v>68</v>
      </c>
    </row>
    <row r="662" customFormat="false" ht="15" hidden="false" customHeight="false" outlineLevel="0" collapsed="false">
      <c r="A662" s="4" t="s">
        <v>882</v>
      </c>
      <c r="B662" s="17" t="n">
        <v>45794</v>
      </c>
      <c r="C662" s="4" t="n">
        <v>14</v>
      </c>
      <c r="D662" s="4" t="s">
        <v>70</v>
      </c>
      <c r="E662" s="4" t="s">
        <v>65</v>
      </c>
      <c r="F662" s="4" t="s">
        <v>66</v>
      </c>
      <c r="G662" s="4" t="n">
        <v>1</v>
      </c>
      <c r="H662" s="4" t="n">
        <v>120</v>
      </c>
      <c r="I662" s="18" t="n">
        <v>0.05</v>
      </c>
      <c r="J662" s="4" t="s">
        <v>112</v>
      </c>
      <c r="K662" s="4" t="s">
        <v>82</v>
      </c>
    </row>
    <row r="663" customFormat="false" ht="15" hidden="false" customHeight="false" outlineLevel="0" collapsed="false">
      <c r="A663" s="4" t="s">
        <v>883</v>
      </c>
      <c r="B663" s="17" t="n">
        <v>45794</v>
      </c>
      <c r="C663" s="4" t="n">
        <v>14</v>
      </c>
      <c r="D663" s="4" t="s">
        <v>183</v>
      </c>
      <c r="E663" s="4" t="s">
        <v>99</v>
      </c>
      <c r="F663" s="4" t="s">
        <v>102</v>
      </c>
      <c r="G663" s="4" t="n">
        <v>1</v>
      </c>
      <c r="H663" s="4" t="n">
        <v>140</v>
      </c>
      <c r="I663" s="18" t="n">
        <v>0</v>
      </c>
      <c r="J663" s="4" t="s">
        <v>103</v>
      </c>
      <c r="K663" s="4" t="s">
        <v>68</v>
      </c>
    </row>
    <row r="664" customFormat="false" ht="15" hidden="false" customHeight="false" outlineLevel="0" collapsed="false">
      <c r="A664" s="4" t="s">
        <v>884</v>
      </c>
      <c r="B664" s="17" t="n">
        <v>45794</v>
      </c>
      <c r="C664" s="4" t="n">
        <v>18</v>
      </c>
      <c r="D664" s="4" t="s">
        <v>98</v>
      </c>
      <c r="E664" s="4" t="s">
        <v>84</v>
      </c>
      <c r="F664" s="4" t="s">
        <v>85</v>
      </c>
      <c r="G664" s="4" t="n">
        <v>2</v>
      </c>
      <c r="H664" s="4" t="n">
        <v>150</v>
      </c>
      <c r="I664" s="18" t="n">
        <v>0.05</v>
      </c>
      <c r="J664" s="4" t="s">
        <v>81</v>
      </c>
      <c r="K664" s="4" t="s">
        <v>82</v>
      </c>
    </row>
    <row r="665" customFormat="false" ht="15" hidden="false" customHeight="false" outlineLevel="0" collapsed="false">
      <c r="A665" s="4" t="s">
        <v>885</v>
      </c>
      <c r="B665" s="17" t="n">
        <v>45795</v>
      </c>
      <c r="C665" s="4" t="n">
        <v>12</v>
      </c>
      <c r="D665" s="4" t="s">
        <v>70</v>
      </c>
      <c r="E665" s="4" t="s">
        <v>65</v>
      </c>
      <c r="F665" s="4" t="s">
        <v>66</v>
      </c>
      <c r="G665" s="4" t="n">
        <v>1</v>
      </c>
      <c r="H665" s="4" t="n">
        <v>120</v>
      </c>
      <c r="I665" s="18" t="n">
        <v>0</v>
      </c>
      <c r="J665" s="4" t="s">
        <v>76</v>
      </c>
      <c r="K665" s="4" t="s">
        <v>68</v>
      </c>
    </row>
    <row r="666" customFormat="false" ht="15" hidden="false" customHeight="false" outlineLevel="0" collapsed="false">
      <c r="A666" s="4" t="s">
        <v>886</v>
      </c>
      <c r="B666" s="17" t="n">
        <v>45796</v>
      </c>
      <c r="C666" s="4" t="n">
        <v>7</v>
      </c>
      <c r="D666" s="4" t="s">
        <v>70</v>
      </c>
      <c r="E666" s="4" t="s">
        <v>65</v>
      </c>
      <c r="F666" s="4" t="s">
        <v>121</v>
      </c>
      <c r="G666" s="4" t="n">
        <v>1</v>
      </c>
      <c r="H666" s="4" t="n">
        <v>170</v>
      </c>
      <c r="I666" s="18" t="n">
        <v>0</v>
      </c>
      <c r="J666" s="4" t="s">
        <v>81</v>
      </c>
      <c r="K666" s="4" t="s">
        <v>68</v>
      </c>
    </row>
    <row r="667" customFormat="false" ht="15" hidden="false" customHeight="false" outlineLevel="0" collapsed="false">
      <c r="A667" s="4" t="s">
        <v>887</v>
      </c>
      <c r="B667" s="17" t="n">
        <v>45796</v>
      </c>
      <c r="C667" s="4" t="n">
        <v>9</v>
      </c>
      <c r="D667" s="4" t="s">
        <v>98</v>
      </c>
      <c r="E667" s="4" t="s">
        <v>411</v>
      </c>
      <c r="F667" s="4" t="s">
        <v>75</v>
      </c>
      <c r="G667" s="4" t="n">
        <v>1</v>
      </c>
      <c r="H667" s="4" t="n">
        <v>220</v>
      </c>
      <c r="I667" s="18" t="n">
        <v>0</v>
      </c>
      <c r="J667" s="4" t="s">
        <v>67</v>
      </c>
      <c r="K667" s="4" t="s">
        <v>68</v>
      </c>
    </row>
    <row r="668" customFormat="false" ht="15" hidden="false" customHeight="false" outlineLevel="0" collapsed="false">
      <c r="A668" s="4" t="s">
        <v>888</v>
      </c>
      <c r="B668" s="17" t="n">
        <v>45796</v>
      </c>
      <c r="C668" s="4" t="n">
        <v>11</v>
      </c>
      <c r="D668" s="4" t="s">
        <v>73</v>
      </c>
      <c r="E668" s="4" t="s">
        <v>65</v>
      </c>
      <c r="F668" s="4" t="s">
        <v>66</v>
      </c>
      <c r="G668" s="4" t="n">
        <v>2</v>
      </c>
      <c r="H668" s="4" t="n">
        <v>120</v>
      </c>
      <c r="I668" s="18" t="n">
        <v>0</v>
      </c>
      <c r="J668" s="4" t="s">
        <v>112</v>
      </c>
      <c r="K668" s="4" t="s">
        <v>68</v>
      </c>
    </row>
    <row r="669" customFormat="false" ht="15" hidden="false" customHeight="false" outlineLevel="0" collapsed="false">
      <c r="A669" s="4" t="s">
        <v>889</v>
      </c>
      <c r="B669" s="17" t="n">
        <v>45796</v>
      </c>
      <c r="C669" s="4" t="n">
        <v>12</v>
      </c>
      <c r="D669" s="4" t="s">
        <v>73</v>
      </c>
      <c r="E669" s="4" t="s">
        <v>65</v>
      </c>
      <c r="F669" s="4" t="s">
        <v>121</v>
      </c>
      <c r="G669" s="4" t="n">
        <v>1</v>
      </c>
      <c r="H669" s="4" t="n">
        <v>170</v>
      </c>
      <c r="I669" s="18" t="n">
        <v>0.05</v>
      </c>
      <c r="J669" s="4" t="s">
        <v>67</v>
      </c>
      <c r="K669" s="4" t="s">
        <v>82</v>
      </c>
    </row>
    <row r="670" customFormat="false" ht="15" hidden="false" customHeight="false" outlineLevel="0" collapsed="false">
      <c r="A670" s="4" t="s">
        <v>890</v>
      </c>
      <c r="B670" s="17" t="n">
        <v>45796</v>
      </c>
      <c r="C670" s="4" t="n">
        <v>12</v>
      </c>
      <c r="D670" s="4" t="s">
        <v>98</v>
      </c>
      <c r="E670" s="4" t="s">
        <v>74</v>
      </c>
      <c r="F670" s="4" t="s">
        <v>891</v>
      </c>
      <c r="G670" s="4" t="n">
        <v>1</v>
      </c>
      <c r="H670" s="4" t="n">
        <v>200</v>
      </c>
      <c r="I670" s="18" t="n">
        <v>0.1</v>
      </c>
      <c r="J670" s="4" t="s">
        <v>76</v>
      </c>
      <c r="K670" s="4" t="s">
        <v>71</v>
      </c>
    </row>
    <row r="671" customFormat="false" ht="15" hidden="false" customHeight="false" outlineLevel="0" collapsed="false">
      <c r="A671" s="4" t="s">
        <v>892</v>
      </c>
      <c r="B671" s="4" t="s">
        <v>893</v>
      </c>
      <c r="C671" s="4" t="n">
        <v>9</v>
      </c>
      <c r="D671" s="4" t="s">
        <v>64</v>
      </c>
      <c r="E671" s="4" t="s">
        <v>65</v>
      </c>
      <c r="F671" s="4" t="s">
        <v>87</v>
      </c>
      <c r="G671" s="4" t="n">
        <v>4</v>
      </c>
      <c r="H671" s="4" t="n">
        <v>160</v>
      </c>
      <c r="I671" s="18" t="n">
        <v>0.05</v>
      </c>
      <c r="J671" s="4" t="s">
        <v>67</v>
      </c>
      <c r="K671" s="4" t="s">
        <v>82</v>
      </c>
    </row>
    <row r="672" customFormat="false" ht="15" hidden="false" customHeight="false" outlineLevel="0" collapsed="false">
      <c r="A672" s="4" t="s">
        <v>894</v>
      </c>
      <c r="B672" s="17" t="n">
        <v>45797</v>
      </c>
      <c r="C672" s="4" t="n">
        <v>9</v>
      </c>
      <c r="D672" s="4" t="s">
        <v>424</v>
      </c>
      <c r="E672" s="4" t="s">
        <v>99</v>
      </c>
      <c r="F672" s="4" t="s">
        <v>100</v>
      </c>
      <c r="G672" s="4" t="n">
        <v>1</v>
      </c>
      <c r="H672" s="4" t="n">
        <v>110</v>
      </c>
      <c r="K672" s="4" t="s">
        <v>82</v>
      </c>
    </row>
    <row r="673" customFormat="false" ht="15" hidden="false" customHeight="false" outlineLevel="0" collapsed="false">
      <c r="A673" s="4" t="s">
        <v>895</v>
      </c>
      <c r="B673" s="17" t="n">
        <v>45797</v>
      </c>
      <c r="C673" s="4" t="n">
        <v>12</v>
      </c>
      <c r="D673" s="4" t="s">
        <v>98</v>
      </c>
      <c r="E673" s="4" t="s">
        <v>65</v>
      </c>
      <c r="F673" s="4" t="s">
        <v>66</v>
      </c>
      <c r="G673" s="4" t="n">
        <v>1</v>
      </c>
      <c r="H673" s="4" t="n">
        <v>120</v>
      </c>
      <c r="I673" s="18" t="n">
        <v>0</v>
      </c>
      <c r="J673" s="4" t="s">
        <v>81</v>
      </c>
      <c r="K673" s="4" t="s">
        <v>68</v>
      </c>
    </row>
    <row r="674" customFormat="false" ht="15" hidden="false" customHeight="false" outlineLevel="0" collapsed="false">
      <c r="A674" s="4" t="s">
        <v>896</v>
      </c>
      <c r="B674" s="17" t="n">
        <v>45797</v>
      </c>
      <c r="C674" s="4" t="n">
        <v>14</v>
      </c>
      <c r="D674" s="4" t="s">
        <v>64</v>
      </c>
      <c r="E674" s="4" t="s">
        <v>99</v>
      </c>
      <c r="F674" s="4" t="s">
        <v>109</v>
      </c>
      <c r="G674" s="4" t="n">
        <v>2</v>
      </c>
      <c r="H674" s="4" t="n">
        <v>130</v>
      </c>
      <c r="I674" s="18" t="n">
        <v>0</v>
      </c>
      <c r="J674" s="4" t="s">
        <v>67</v>
      </c>
      <c r="K674" s="4" t="s">
        <v>68</v>
      </c>
    </row>
    <row r="675" customFormat="false" ht="15" hidden="false" customHeight="false" outlineLevel="0" collapsed="false">
      <c r="A675" s="4" t="s">
        <v>897</v>
      </c>
      <c r="B675" s="17" t="n">
        <v>45797</v>
      </c>
      <c r="C675" s="4" t="n">
        <v>14</v>
      </c>
      <c r="D675" s="4" t="s">
        <v>64</v>
      </c>
      <c r="E675" s="4" t="s">
        <v>65</v>
      </c>
      <c r="F675" s="4" t="s">
        <v>121</v>
      </c>
      <c r="G675" s="4" t="n">
        <v>1</v>
      </c>
      <c r="H675" s="4" t="n">
        <v>170</v>
      </c>
      <c r="I675" s="18" t="n">
        <v>0.05</v>
      </c>
      <c r="J675" s="4" t="s">
        <v>67</v>
      </c>
      <c r="K675" s="4" t="s">
        <v>82</v>
      </c>
    </row>
    <row r="676" customFormat="false" ht="15" hidden="false" customHeight="false" outlineLevel="0" collapsed="false">
      <c r="A676" s="4" t="s">
        <v>898</v>
      </c>
      <c r="B676" s="17" t="n">
        <v>45797</v>
      </c>
      <c r="C676" s="4" t="n">
        <v>16</v>
      </c>
      <c r="D676" s="4" t="s">
        <v>98</v>
      </c>
      <c r="E676" s="4" t="s">
        <v>84</v>
      </c>
      <c r="F676" s="4" t="s">
        <v>85</v>
      </c>
      <c r="G676" s="4" t="n">
        <v>3</v>
      </c>
      <c r="H676" s="4" t="n">
        <v>150</v>
      </c>
      <c r="I676" s="18" t="n">
        <v>0</v>
      </c>
      <c r="J676" s="4" t="s">
        <v>81</v>
      </c>
      <c r="K676" s="4" t="s">
        <v>77</v>
      </c>
    </row>
    <row r="677" customFormat="false" ht="15" hidden="false" customHeight="false" outlineLevel="0" collapsed="false">
      <c r="A677" s="4" t="s">
        <v>899</v>
      </c>
      <c r="B677" s="17" t="n">
        <v>45798</v>
      </c>
      <c r="C677" s="4" t="n">
        <v>9</v>
      </c>
      <c r="D677" s="4" t="s">
        <v>183</v>
      </c>
      <c r="E677" s="4" t="s">
        <v>84</v>
      </c>
      <c r="F677" s="4" t="s">
        <v>85</v>
      </c>
      <c r="G677" s="4" t="n">
        <v>1</v>
      </c>
      <c r="H677" s="4" t="n">
        <v>150</v>
      </c>
      <c r="I677" s="18" t="n">
        <v>0.1</v>
      </c>
      <c r="J677" s="4" t="s">
        <v>81</v>
      </c>
      <c r="K677" s="4" t="s">
        <v>71</v>
      </c>
    </row>
    <row r="678" customFormat="false" ht="15" hidden="false" customHeight="false" outlineLevel="0" collapsed="false">
      <c r="A678" s="4" t="s">
        <v>900</v>
      </c>
      <c r="B678" s="17" t="n">
        <v>45798</v>
      </c>
      <c r="C678" s="4" t="n">
        <v>10</v>
      </c>
      <c r="D678" s="4" t="s">
        <v>335</v>
      </c>
      <c r="E678" s="4" t="s">
        <v>99</v>
      </c>
      <c r="F678" s="4" t="s">
        <v>133</v>
      </c>
      <c r="G678" s="4" t="n">
        <v>2</v>
      </c>
      <c r="H678" s="4" t="n">
        <v>90</v>
      </c>
      <c r="I678" s="18" t="n">
        <v>0.2</v>
      </c>
      <c r="J678" s="4" t="s">
        <v>67</v>
      </c>
      <c r="K678" s="4" t="s">
        <v>77</v>
      </c>
    </row>
    <row r="679" customFormat="false" ht="15" hidden="false" customHeight="false" outlineLevel="0" collapsed="false">
      <c r="A679" s="4" t="s">
        <v>901</v>
      </c>
      <c r="B679" s="17" t="n">
        <v>45798</v>
      </c>
      <c r="C679" s="4" t="n">
        <v>10</v>
      </c>
      <c r="D679" s="4" t="s">
        <v>73</v>
      </c>
      <c r="E679" s="4" t="s">
        <v>65</v>
      </c>
      <c r="F679" s="4" t="s">
        <v>94</v>
      </c>
      <c r="G679" s="4" t="n">
        <v>1</v>
      </c>
      <c r="H679" s="4" t="n">
        <v>150</v>
      </c>
      <c r="I679" s="18" t="n">
        <v>0</v>
      </c>
      <c r="J679" s="4" t="s">
        <v>112</v>
      </c>
      <c r="K679" s="4" t="s">
        <v>77</v>
      </c>
    </row>
    <row r="680" customFormat="false" ht="15" hidden="false" customHeight="false" outlineLevel="0" collapsed="false">
      <c r="A680" s="4" t="s">
        <v>902</v>
      </c>
      <c r="B680" s="17" t="n">
        <v>45798</v>
      </c>
      <c r="C680" s="4" t="n">
        <v>14</v>
      </c>
      <c r="D680" s="4" t="s">
        <v>70</v>
      </c>
      <c r="E680" s="4" t="s">
        <v>65</v>
      </c>
      <c r="F680" s="4" t="s">
        <v>705</v>
      </c>
      <c r="G680" s="4" t="n">
        <v>1</v>
      </c>
      <c r="H680" s="4" t="n">
        <v>170</v>
      </c>
      <c r="I680" s="18" t="n">
        <v>0</v>
      </c>
      <c r="J680" s="4" t="s">
        <v>67</v>
      </c>
      <c r="K680" s="4" t="s">
        <v>77</v>
      </c>
    </row>
    <row r="681" customFormat="false" ht="15" hidden="false" customHeight="false" outlineLevel="0" collapsed="false">
      <c r="A681" s="4" t="s">
        <v>903</v>
      </c>
      <c r="B681" s="17" t="n">
        <v>45799</v>
      </c>
      <c r="C681" s="4" t="n">
        <v>8</v>
      </c>
      <c r="D681" s="4" t="s">
        <v>98</v>
      </c>
      <c r="E681" s="4" t="s">
        <v>65</v>
      </c>
      <c r="F681" s="4" t="s">
        <v>121</v>
      </c>
      <c r="G681" s="4" t="n">
        <v>1</v>
      </c>
      <c r="H681" s="4" t="n">
        <v>170</v>
      </c>
      <c r="I681" s="18" t="n">
        <v>0.05</v>
      </c>
      <c r="J681" s="4" t="s">
        <v>67</v>
      </c>
      <c r="K681" s="4" t="s">
        <v>82</v>
      </c>
    </row>
    <row r="682" customFormat="false" ht="15" hidden="false" customHeight="false" outlineLevel="0" collapsed="false">
      <c r="A682" s="4" t="s">
        <v>903</v>
      </c>
      <c r="B682" s="17" t="n">
        <v>45799</v>
      </c>
      <c r="C682" s="4" t="n">
        <v>8</v>
      </c>
      <c r="D682" s="4" t="s">
        <v>98</v>
      </c>
      <c r="E682" s="4" t="s">
        <v>65</v>
      </c>
      <c r="F682" s="4" t="s">
        <v>121</v>
      </c>
      <c r="G682" s="4" t="n">
        <v>1</v>
      </c>
      <c r="H682" s="4" t="n">
        <v>170</v>
      </c>
      <c r="I682" s="18" t="n">
        <v>0.05</v>
      </c>
      <c r="J682" s="4" t="s">
        <v>67</v>
      </c>
      <c r="K682" s="4" t="s">
        <v>82</v>
      </c>
    </row>
    <row r="683" customFormat="false" ht="15" hidden="false" customHeight="false" outlineLevel="0" collapsed="false">
      <c r="A683" s="4" t="s">
        <v>904</v>
      </c>
      <c r="B683" s="17" t="n">
        <v>45799</v>
      </c>
      <c r="C683" s="4" t="n">
        <v>8</v>
      </c>
      <c r="D683" s="4" t="s">
        <v>64</v>
      </c>
      <c r="E683" s="4" t="s">
        <v>65</v>
      </c>
      <c r="F683" s="4" t="s">
        <v>121</v>
      </c>
      <c r="G683" s="4" t="n">
        <v>2</v>
      </c>
      <c r="H683" s="4" t="n">
        <v>170</v>
      </c>
      <c r="I683" s="18" t="n">
        <v>0.1</v>
      </c>
      <c r="J683" s="4" t="s">
        <v>81</v>
      </c>
      <c r="K683" s="4" t="s">
        <v>68</v>
      </c>
    </row>
    <row r="684" customFormat="false" ht="15" hidden="false" customHeight="false" outlineLevel="0" collapsed="false">
      <c r="A684" s="4" t="s">
        <v>905</v>
      </c>
      <c r="B684" s="17" t="n">
        <v>45799</v>
      </c>
      <c r="C684" s="4" t="n">
        <v>8</v>
      </c>
      <c r="D684" s="4" t="s">
        <v>73</v>
      </c>
      <c r="E684" s="4" t="s">
        <v>65</v>
      </c>
      <c r="F684" s="4" t="s">
        <v>94</v>
      </c>
      <c r="G684" s="4" t="n">
        <v>2</v>
      </c>
      <c r="H684" s="4" t="n">
        <v>150</v>
      </c>
      <c r="I684" s="18" t="n">
        <v>0.1</v>
      </c>
      <c r="J684" s="4" t="s">
        <v>67</v>
      </c>
      <c r="K684" s="4" t="s">
        <v>71</v>
      </c>
    </row>
    <row r="685" customFormat="false" ht="15" hidden="false" customHeight="false" outlineLevel="0" collapsed="false">
      <c r="A685" s="4" t="s">
        <v>906</v>
      </c>
      <c r="B685" s="17" t="n">
        <v>45799</v>
      </c>
      <c r="C685" s="4" t="n">
        <v>18</v>
      </c>
      <c r="D685" s="4" t="s">
        <v>96</v>
      </c>
      <c r="E685" s="4" t="s">
        <v>99</v>
      </c>
      <c r="F685" s="4" t="s">
        <v>102</v>
      </c>
      <c r="G685" s="4" t="n">
        <v>1</v>
      </c>
      <c r="H685" s="4" t="n">
        <v>140</v>
      </c>
      <c r="I685" s="18" t="n">
        <v>0</v>
      </c>
      <c r="J685" s="4" t="s">
        <v>88</v>
      </c>
      <c r="K685" s="4" t="s">
        <v>68</v>
      </c>
    </row>
    <row r="686" customFormat="false" ht="15" hidden="false" customHeight="false" outlineLevel="0" collapsed="false">
      <c r="A686" s="4" t="s">
        <v>907</v>
      </c>
      <c r="B686" s="17" t="n">
        <v>45800</v>
      </c>
      <c r="C686" s="4" t="n">
        <v>11</v>
      </c>
      <c r="D686" s="4" t="s">
        <v>73</v>
      </c>
      <c r="E686" s="4" t="s">
        <v>79</v>
      </c>
      <c r="F686" s="4" t="s">
        <v>80</v>
      </c>
      <c r="G686" s="4" t="n">
        <v>1</v>
      </c>
      <c r="H686" s="4" t="n">
        <v>160</v>
      </c>
      <c r="I686" s="18" t="n">
        <v>0.05</v>
      </c>
      <c r="J686" s="4" t="s">
        <v>67</v>
      </c>
      <c r="K686" s="4" t="s">
        <v>82</v>
      </c>
    </row>
    <row r="687" customFormat="false" ht="15" hidden="false" customHeight="false" outlineLevel="0" collapsed="false">
      <c r="A687" s="4" t="s">
        <v>908</v>
      </c>
      <c r="B687" s="17" t="n">
        <v>45800</v>
      </c>
      <c r="C687" s="4" t="n">
        <v>11</v>
      </c>
      <c r="D687" s="4" t="s">
        <v>70</v>
      </c>
      <c r="E687" s="4" t="s">
        <v>65</v>
      </c>
      <c r="F687" s="4" t="s">
        <v>121</v>
      </c>
      <c r="G687" s="4" t="n">
        <v>4</v>
      </c>
      <c r="H687" s="4" t="n">
        <v>170</v>
      </c>
      <c r="I687" s="18" t="n">
        <v>0</v>
      </c>
      <c r="J687" s="4" t="s">
        <v>81</v>
      </c>
      <c r="K687" s="4" t="s">
        <v>77</v>
      </c>
    </row>
    <row r="688" customFormat="false" ht="15" hidden="false" customHeight="false" outlineLevel="0" collapsed="false">
      <c r="A688" s="4" t="s">
        <v>909</v>
      </c>
      <c r="B688" s="17" t="n">
        <v>45800</v>
      </c>
      <c r="C688" s="4" t="n">
        <v>12</v>
      </c>
      <c r="D688" s="4" t="s">
        <v>64</v>
      </c>
      <c r="E688" s="4" t="s">
        <v>65</v>
      </c>
      <c r="F688" s="4" t="s">
        <v>910</v>
      </c>
      <c r="G688" s="4" t="n">
        <v>2</v>
      </c>
      <c r="H688" s="4" t="n">
        <v>170</v>
      </c>
      <c r="I688" s="18" t="n">
        <v>0.1</v>
      </c>
      <c r="J688" s="4" t="s">
        <v>112</v>
      </c>
      <c r="K688" s="4" t="s">
        <v>71</v>
      </c>
    </row>
    <row r="689" customFormat="false" ht="15" hidden="false" customHeight="false" outlineLevel="0" collapsed="false">
      <c r="A689" s="4" t="s">
        <v>911</v>
      </c>
      <c r="B689" s="17" t="n">
        <v>45800</v>
      </c>
      <c r="C689" s="4" t="n">
        <v>12</v>
      </c>
      <c r="D689" s="4" t="s">
        <v>64</v>
      </c>
      <c r="E689" s="4" t="s">
        <v>79</v>
      </c>
      <c r="F689" s="4" t="s">
        <v>135</v>
      </c>
      <c r="G689" s="4" t="n">
        <v>2</v>
      </c>
      <c r="H689" s="4" t="n">
        <v>130</v>
      </c>
      <c r="I689" s="18" t="n">
        <v>0</v>
      </c>
      <c r="J689" s="4" t="s">
        <v>81</v>
      </c>
      <c r="K689" s="4" t="s">
        <v>68</v>
      </c>
    </row>
    <row r="690" customFormat="false" ht="15" hidden="false" customHeight="false" outlineLevel="0" collapsed="false">
      <c r="A690" s="4" t="s">
        <v>912</v>
      </c>
      <c r="B690" s="4" t="s">
        <v>913</v>
      </c>
      <c r="C690" s="4" t="n">
        <v>16</v>
      </c>
      <c r="D690" s="4" t="s">
        <v>64</v>
      </c>
      <c r="E690" s="4" t="s">
        <v>462</v>
      </c>
      <c r="F690" s="4" t="s">
        <v>66</v>
      </c>
      <c r="G690" s="4" t="n">
        <v>1</v>
      </c>
      <c r="H690" s="4" t="n">
        <v>120</v>
      </c>
      <c r="I690" s="18" t="n">
        <v>0.2</v>
      </c>
      <c r="J690" s="4" t="s">
        <v>268</v>
      </c>
      <c r="K690" s="4" t="s">
        <v>71</v>
      </c>
    </row>
    <row r="691" customFormat="false" ht="15" hidden="false" customHeight="false" outlineLevel="0" collapsed="false">
      <c r="A691" s="4" t="s">
        <v>914</v>
      </c>
      <c r="B691" s="17" t="n">
        <v>45801</v>
      </c>
      <c r="C691" s="4" t="n">
        <v>7</v>
      </c>
      <c r="D691" s="4" t="s">
        <v>73</v>
      </c>
      <c r="E691" s="4" t="s">
        <v>84</v>
      </c>
      <c r="F691" s="4" t="s">
        <v>85</v>
      </c>
      <c r="G691" s="4" t="n">
        <v>2</v>
      </c>
      <c r="H691" s="4" t="n">
        <v>150</v>
      </c>
      <c r="I691" s="18" t="n">
        <v>0</v>
      </c>
      <c r="J691" s="4" t="s">
        <v>88</v>
      </c>
      <c r="K691" s="4" t="s">
        <v>68</v>
      </c>
    </row>
    <row r="692" customFormat="false" ht="15" hidden="false" customHeight="false" outlineLevel="0" collapsed="false">
      <c r="A692" s="4" t="s">
        <v>915</v>
      </c>
      <c r="B692" s="17" t="n">
        <v>45801</v>
      </c>
      <c r="C692" s="4" t="n">
        <v>11</v>
      </c>
      <c r="D692" s="4" t="s">
        <v>98</v>
      </c>
      <c r="E692" s="4" t="s">
        <v>65</v>
      </c>
      <c r="F692" s="4" t="s">
        <v>121</v>
      </c>
      <c r="G692" s="4" t="n">
        <v>2</v>
      </c>
      <c r="H692" s="4" t="n">
        <v>170</v>
      </c>
      <c r="I692" s="18" t="n">
        <v>0.05</v>
      </c>
      <c r="J692" s="4" t="s">
        <v>67</v>
      </c>
      <c r="K692" s="4" t="s">
        <v>82</v>
      </c>
    </row>
    <row r="693" customFormat="false" ht="15" hidden="false" customHeight="false" outlineLevel="0" collapsed="false">
      <c r="A693" s="4" t="s">
        <v>916</v>
      </c>
      <c r="B693" s="4" t="s">
        <v>917</v>
      </c>
      <c r="C693" s="4" t="n">
        <v>12</v>
      </c>
      <c r="D693" s="4" t="s">
        <v>64</v>
      </c>
      <c r="E693" s="4" t="s">
        <v>84</v>
      </c>
      <c r="F693" s="4" t="s">
        <v>117</v>
      </c>
      <c r="G693" s="4" t="n">
        <v>2</v>
      </c>
      <c r="H693" s="4" t="n">
        <v>95</v>
      </c>
      <c r="I693" s="18" t="n">
        <v>0.1</v>
      </c>
      <c r="J693" s="4" t="s">
        <v>67</v>
      </c>
      <c r="K693" s="4" t="s">
        <v>71</v>
      </c>
    </row>
    <row r="694" customFormat="false" ht="15" hidden="false" customHeight="false" outlineLevel="0" collapsed="false">
      <c r="A694" s="4" t="s">
        <v>918</v>
      </c>
      <c r="B694" s="17" t="n">
        <v>45801</v>
      </c>
      <c r="C694" s="4" t="n">
        <v>12</v>
      </c>
      <c r="D694" s="4" t="s">
        <v>98</v>
      </c>
      <c r="E694" s="4" t="s">
        <v>79</v>
      </c>
      <c r="F694" s="4" t="s">
        <v>135</v>
      </c>
      <c r="G694" s="4" t="n">
        <v>2</v>
      </c>
      <c r="H694" s="4" t="n">
        <v>130</v>
      </c>
      <c r="I694" s="18" t="n">
        <v>0</v>
      </c>
      <c r="J694" s="4" t="s">
        <v>67</v>
      </c>
      <c r="K694" s="4" t="s">
        <v>68</v>
      </c>
    </row>
    <row r="695" customFormat="false" ht="15" hidden="false" customHeight="false" outlineLevel="0" collapsed="false">
      <c r="A695" s="4" t="s">
        <v>919</v>
      </c>
      <c r="B695" s="17" t="n">
        <v>45801</v>
      </c>
      <c r="C695" s="4" t="n">
        <v>13</v>
      </c>
      <c r="D695" s="4" t="s">
        <v>70</v>
      </c>
      <c r="E695" s="4" t="s">
        <v>79</v>
      </c>
      <c r="F695" s="4" t="s">
        <v>219</v>
      </c>
      <c r="G695" s="4" t="n">
        <v>4</v>
      </c>
      <c r="H695" s="4" t="n">
        <v>120</v>
      </c>
      <c r="I695" s="18" t="n">
        <v>0.1</v>
      </c>
      <c r="J695" s="4" t="s">
        <v>76</v>
      </c>
      <c r="K695" s="4" t="s">
        <v>68</v>
      </c>
    </row>
    <row r="696" customFormat="false" ht="15" hidden="false" customHeight="false" outlineLevel="0" collapsed="false">
      <c r="A696" s="4" t="s">
        <v>920</v>
      </c>
      <c r="B696" s="17" t="n">
        <v>45801</v>
      </c>
      <c r="C696" s="4" t="n">
        <v>18</v>
      </c>
      <c r="D696" s="4" t="s">
        <v>73</v>
      </c>
      <c r="E696" s="4" t="s">
        <v>65</v>
      </c>
      <c r="F696" s="4" t="s">
        <v>121</v>
      </c>
      <c r="G696" s="4" t="n">
        <v>2</v>
      </c>
      <c r="H696" s="4" t="n">
        <v>170</v>
      </c>
      <c r="I696" s="18" t="n">
        <v>0</v>
      </c>
      <c r="J696" s="4" t="s">
        <v>67</v>
      </c>
      <c r="K696" s="4" t="s">
        <v>68</v>
      </c>
    </row>
    <row r="697" customFormat="false" ht="15" hidden="false" customHeight="false" outlineLevel="0" collapsed="false">
      <c r="A697" s="4" t="s">
        <v>921</v>
      </c>
      <c r="B697" s="17" t="n">
        <v>45801</v>
      </c>
      <c r="C697" s="4" t="n">
        <v>20</v>
      </c>
      <c r="D697" s="4" t="s">
        <v>64</v>
      </c>
      <c r="E697" s="4" t="s">
        <v>74</v>
      </c>
      <c r="F697" s="4" t="s">
        <v>139</v>
      </c>
      <c r="G697" s="4" t="n">
        <v>1</v>
      </c>
      <c r="H697" s="4" t="n">
        <v>260</v>
      </c>
      <c r="I697" s="18" t="n">
        <v>0.05</v>
      </c>
      <c r="J697" s="4" t="s">
        <v>88</v>
      </c>
      <c r="K697" s="4" t="s">
        <v>82</v>
      </c>
    </row>
    <row r="698" customFormat="false" ht="15" hidden="false" customHeight="false" outlineLevel="0" collapsed="false">
      <c r="A698" s="4" t="s">
        <v>922</v>
      </c>
      <c r="B698" s="17" t="n">
        <v>45802</v>
      </c>
      <c r="C698" s="4" t="n">
        <v>8</v>
      </c>
      <c r="D698" s="4" t="s">
        <v>424</v>
      </c>
      <c r="E698" s="4" t="s">
        <v>84</v>
      </c>
      <c r="F698" s="4" t="s">
        <v>114</v>
      </c>
      <c r="G698" s="4" t="n">
        <v>1</v>
      </c>
      <c r="H698" s="4" t="n">
        <v>85</v>
      </c>
      <c r="I698" s="18" t="n">
        <v>0</v>
      </c>
      <c r="J698" s="4" t="s">
        <v>923</v>
      </c>
      <c r="K698" s="4" t="s">
        <v>68</v>
      </c>
    </row>
    <row r="699" customFormat="false" ht="15" hidden="false" customHeight="false" outlineLevel="0" collapsed="false">
      <c r="A699" s="4" t="s">
        <v>924</v>
      </c>
      <c r="B699" s="17" t="n">
        <v>45802</v>
      </c>
      <c r="C699" s="4" t="n">
        <v>9</v>
      </c>
      <c r="D699" s="4" t="s">
        <v>98</v>
      </c>
      <c r="E699" s="4" t="s">
        <v>65</v>
      </c>
      <c r="F699" s="4" t="s">
        <v>66</v>
      </c>
      <c r="G699" s="4" t="n">
        <v>2</v>
      </c>
      <c r="H699" s="4" t="n">
        <v>120</v>
      </c>
      <c r="I699" s="18" t="n">
        <v>0.1</v>
      </c>
      <c r="J699" s="4" t="s">
        <v>76</v>
      </c>
      <c r="K699" s="4" t="s">
        <v>71</v>
      </c>
    </row>
    <row r="700" customFormat="false" ht="15" hidden="false" customHeight="false" outlineLevel="0" collapsed="false">
      <c r="A700" s="4" t="s">
        <v>925</v>
      </c>
      <c r="B700" s="17" t="n">
        <v>45802</v>
      </c>
      <c r="C700" s="4" t="n">
        <v>10</v>
      </c>
      <c r="D700" s="4" t="s">
        <v>98</v>
      </c>
      <c r="E700" s="4" t="s">
        <v>926</v>
      </c>
      <c r="F700" s="4" t="s">
        <v>106</v>
      </c>
      <c r="G700" s="4" t="n">
        <v>2</v>
      </c>
      <c r="H700" s="4" t="n">
        <v>60</v>
      </c>
      <c r="I700" s="18" t="n">
        <v>0</v>
      </c>
      <c r="J700" s="4" t="s">
        <v>81</v>
      </c>
      <c r="K700" s="4" t="s">
        <v>77</v>
      </c>
    </row>
    <row r="701" customFormat="false" ht="15" hidden="false" customHeight="false" outlineLevel="0" collapsed="false">
      <c r="A701" s="4" t="s">
        <v>927</v>
      </c>
      <c r="B701" s="4" t="s">
        <v>928</v>
      </c>
      <c r="C701" s="4" t="n">
        <v>11</v>
      </c>
      <c r="D701" s="4" t="s">
        <v>70</v>
      </c>
      <c r="E701" s="4" t="s">
        <v>79</v>
      </c>
      <c r="F701" s="4" t="s">
        <v>135</v>
      </c>
      <c r="G701" s="4" t="n">
        <v>1</v>
      </c>
      <c r="H701" s="4" t="n">
        <v>130</v>
      </c>
      <c r="I701" s="18" t="n">
        <v>0</v>
      </c>
      <c r="J701" s="4" t="s">
        <v>67</v>
      </c>
      <c r="K701" s="4" t="s">
        <v>68</v>
      </c>
    </row>
    <row r="702" customFormat="false" ht="15" hidden="false" customHeight="false" outlineLevel="0" collapsed="false">
      <c r="A702" s="4" t="s">
        <v>929</v>
      </c>
      <c r="B702" s="4" t="s">
        <v>928</v>
      </c>
      <c r="C702" s="4" t="n">
        <v>16</v>
      </c>
      <c r="D702" s="4" t="s">
        <v>98</v>
      </c>
      <c r="E702" s="4" t="s">
        <v>99</v>
      </c>
      <c r="F702" s="4" t="s">
        <v>102</v>
      </c>
      <c r="G702" s="4" t="n">
        <v>2</v>
      </c>
      <c r="H702" s="4" t="n">
        <v>140</v>
      </c>
      <c r="I702" s="18" t="n">
        <v>0</v>
      </c>
      <c r="J702" s="4" t="s">
        <v>76</v>
      </c>
      <c r="K702" s="4" t="s">
        <v>77</v>
      </c>
    </row>
    <row r="703" customFormat="false" ht="15" hidden="false" customHeight="false" outlineLevel="0" collapsed="false">
      <c r="A703" s="4" t="s">
        <v>930</v>
      </c>
      <c r="B703" s="17" t="n">
        <v>45803</v>
      </c>
      <c r="C703" s="4" t="n">
        <v>7</v>
      </c>
      <c r="D703" s="4" t="s">
        <v>70</v>
      </c>
      <c r="E703" s="4" t="s">
        <v>84</v>
      </c>
      <c r="F703" s="4" t="s">
        <v>117</v>
      </c>
      <c r="G703" s="4" t="n">
        <v>2</v>
      </c>
      <c r="H703" s="4" t="n">
        <v>95</v>
      </c>
      <c r="I703" s="18" t="n">
        <v>0</v>
      </c>
      <c r="J703" s="4" t="s">
        <v>112</v>
      </c>
      <c r="K703" s="4" t="s">
        <v>68</v>
      </c>
    </row>
    <row r="704" customFormat="false" ht="15" hidden="false" customHeight="false" outlineLevel="0" collapsed="false">
      <c r="A704" s="4" t="s">
        <v>931</v>
      </c>
      <c r="B704" s="17" t="n">
        <v>45803</v>
      </c>
      <c r="C704" s="4" t="n">
        <v>9</v>
      </c>
      <c r="D704" s="4" t="s">
        <v>64</v>
      </c>
      <c r="E704" s="4" t="s">
        <v>65</v>
      </c>
      <c r="F704" s="4" t="s">
        <v>121</v>
      </c>
      <c r="G704" s="4" t="n">
        <v>1</v>
      </c>
      <c r="H704" s="4" t="n">
        <v>170</v>
      </c>
      <c r="I704" s="18" t="n">
        <v>0.05</v>
      </c>
      <c r="J704" s="4" t="s">
        <v>81</v>
      </c>
      <c r="K704" s="4" t="s">
        <v>82</v>
      </c>
    </row>
    <row r="705" customFormat="false" ht="15" hidden="false" customHeight="false" outlineLevel="0" collapsed="false">
      <c r="A705" s="4" t="s">
        <v>932</v>
      </c>
      <c r="B705" s="17" t="n">
        <v>45803</v>
      </c>
      <c r="C705" s="4" t="n">
        <v>13</v>
      </c>
      <c r="D705" s="4" t="s">
        <v>64</v>
      </c>
      <c r="E705" s="4" t="s">
        <v>235</v>
      </c>
      <c r="F705" s="4" t="s">
        <v>94</v>
      </c>
      <c r="G705" s="4" t="n">
        <v>4</v>
      </c>
      <c r="H705" s="4" t="n">
        <v>150</v>
      </c>
      <c r="I705" s="18" t="n">
        <v>0.05</v>
      </c>
      <c r="J705" s="4" t="s">
        <v>81</v>
      </c>
      <c r="K705" s="4" t="s">
        <v>82</v>
      </c>
    </row>
    <row r="706" customFormat="false" ht="15" hidden="false" customHeight="false" outlineLevel="0" collapsed="false">
      <c r="A706" s="4" t="s">
        <v>933</v>
      </c>
      <c r="B706" s="4" t="s">
        <v>934</v>
      </c>
      <c r="C706" s="4" t="n">
        <v>14</v>
      </c>
      <c r="D706" s="4" t="s">
        <v>70</v>
      </c>
      <c r="E706" s="4" t="s">
        <v>65</v>
      </c>
      <c r="F706" s="4" t="s">
        <v>87</v>
      </c>
      <c r="G706" s="4" t="n">
        <v>1</v>
      </c>
      <c r="H706" s="4" t="n">
        <v>160</v>
      </c>
      <c r="I706" s="18" t="n">
        <v>0.15</v>
      </c>
      <c r="J706" s="4" t="s">
        <v>112</v>
      </c>
      <c r="K706" s="4" t="s">
        <v>82</v>
      </c>
    </row>
    <row r="707" customFormat="false" ht="15" hidden="false" customHeight="false" outlineLevel="0" collapsed="false">
      <c r="A707" s="4" t="s">
        <v>935</v>
      </c>
      <c r="B707" s="17" t="n">
        <v>45803</v>
      </c>
      <c r="C707" s="4" t="n">
        <v>14</v>
      </c>
      <c r="D707" s="4" t="s">
        <v>70</v>
      </c>
      <c r="E707" s="4" t="s">
        <v>79</v>
      </c>
      <c r="F707" s="4" t="s">
        <v>148</v>
      </c>
      <c r="G707" s="4" t="n">
        <v>1</v>
      </c>
      <c r="H707" s="4" t="n">
        <v>120</v>
      </c>
      <c r="I707" s="18" t="n">
        <v>0</v>
      </c>
      <c r="J707" s="4" t="s">
        <v>81</v>
      </c>
      <c r="K707" s="4" t="s">
        <v>77</v>
      </c>
    </row>
    <row r="708" customFormat="false" ht="15" hidden="false" customHeight="false" outlineLevel="0" collapsed="false">
      <c r="A708" s="4" t="s">
        <v>936</v>
      </c>
      <c r="B708" s="4" t="s">
        <v>937</v>
      </c>
      <c r="C708" s="4" t="n">
        <v>17</v>
      </c>
      <c r="D708" s="4" t="s">
        <v>938</v>
      </c>
      <c r="E708" s="4" t="s">
        <v>74</v>
      </c>
      <c r="F708" s="4" t="s">
        <v>91</v>
      </c>
      <c r="G708" s="4" t="n">
        <v>1</v>
      </c>
      <c r="H708" s="4" t="n">
        <v>200</v>
      </c>
      <c r="I708" s="18" t="n">
        <v>0</v>
      </c>
      <c r="J708" s="4" t="s">
        <v>67</v>
      </c>
      <c r="K708" s="4" t="s">
        <v>68</v>
      </c>
    </row>
    <row r="709" customFormat="false" ht="15" hidden="false" customHeight="false" outlineLevel="0" collapsed="false">
      <c r="A709" s="4" t="s">
        <v>939</v>
      </c>
      <c r="B709" s="17" t="n">
        <v>45804</v>
      </c>
      <c r="C709" s="4" t="n">
        <v>13</v>
      </c>
      <c r="D709" s="4" t="s">
        <v>73</v>
      </c>
      <c r="E709" s="4" t="s">
        <v>65</v>
      </c>
      <c r="F709" s="4" t="s">
        <v>94</v>
      </c>
      <c r="G709" s="4" t="n">
        <v>2</v>
      </c>
      <c r="H709" s="4" t="n">
        <v>150</v>
      </c>
      <c r="I709" s="18" t="n">
        <v>0</v>
      </c>
      <c r="J709" s="4" t="s">
        <v>76</v>
      </c>
      <c r="K709" s="4" t="s">
        <v>68</v>
      </c>
    </row>
    <row r="710" customFormat="false" ht="15" hidden="false" customHeight="false" outlineLevel="0" collapsed="false">
      <c r="A710" s="4" t="s">
        <v>940</v>
      </c>
      <c r="B710" s="17" t="n">
        <v>45804</v>
      </c>
      <c r="C710" s="4" t="n">
        <v>13</v>
      </c>
      <c r="D710" s="4" t="s">
        <v>73</v>
      </c>
      <c r="E710" s="4" t="s">
        <v>65</v>
      </c>
      <c r="F710" s="4" t="s">
        <v>87</v>
      </c>
      <c r="G710" s="4" t="n">
        <v>3</v>
      </c>
      <c r="H710" s="4" t="n">
        <v>160</v>
      </c>
      <c r="I710" s="18" t="n">
        <v>0.1</v>
      </c>
      <c r="J710" s="4" t="s">
        <v>67</v>
      </c>
      <c r="K710" s="4" t="s">
        <v>71</v>
      </c>
    </row>
    <row r="711" customFormat="false" ht="15" hidden="false" customHeight="false" outlineLevel="0" collapsed="false">
      <c r="A711" s="4" t="s">
        <v>941</v>
      </c>
      <c r="B711" s="17" t="n">
        <v>45804</v>
      </c>
      <c r="C711" s="4" t="n">
        <v>16</v>
      </c>
      <c r="D711" s="4" t="s">
        <v>64</v>
      </c>
      <c r="E711" s="4" t="s">
        <v>84</v>
      </c>
      <c r="F711" s="4" t="s">
        <v>114</v>
      </c>
      <c r="G711" s="4" t="n">
        <v>3</v>
      </c>
      <c r="H711" s="4" t="n">
        <v>85</v>
      </c>
      <c r="I711" s="18" t="n">
        <v>0</v>
      </c>
      <c r="J711" s="4" t="s">
        <v>67</v>
      </c>
      <c r="K711" s="4" t="s">
        <v>68</v>
      </c>
    </row>
    <row r="712" customFormat="false" ht="15" hidden="false" customHeight="false" outlineLevel="0" collapsed="false">
      <c r="A712" s="4" t="s">
        <v>942</v>
      </c>
      <c r="B712" s="17" t="n">
        <v>45804</v>
      </c>
      <c r="C712" s="4" t="n">
        <v>18</v>
      </c>
      <c r="D712" s="4" t="s">
        <v>70</v>
      </c>
      <c r="E712" s="4" t="s">
        <v>65</v>
      </c>
      <c r="F712" s="4" t="s">
        <v>87</v>
      </c>
      <c r="G712" s="4" t="n">
        <v>1</v>
      </c>
      <c r="H712" s="4" t="n">
        <v>160</v>
      </c>
      <c r="I712" s="18" t="n">
        <v>0</v>
      </c>
      <c r="J712" s="4" t="s">
        <v>103</v>
      </c>
      <c r="K712" s="4" t="s">
        <v>77</v>
      </c>
    </row>
    <row r="713" customFormat="false" ht="15" hidden="false" customHeight="false" outlineLevel="0" collapsed="false">
      <c r="A713" s="4" t="s">
        <v>943</v>
      </c>
      <c r="B713" s="17" t="n">
        <v>45805</v>
      </c>
      <c r="C713" s="4" t="n">
        <v>7</v>
      </c>
      <c r="D713" s="4" t="s">
        <v>73</v>
      </c>
      <c r="E713" s="4" t="s">
        <v>84</v>
      </c>
      <c r="F713" s="4" t="s">
        <v>85</v>
      </c>
      <c r="G713" s="4" t="n">
        <v>4</v>
      </c>
      <c r="H713" s="4" t="n">
        <v>150</v>
      </c>
      <c r="I713" s="18" t="n">
        <v>0</v>
      </c>
      <c r="J713" s="4" t="s">
        <v>67</v>
      </c>
      <c r="K713" s="4" t="s">
        <v>68</v>
      </c>
    </row>
    <row r="714" customFormat="false" ht="15" hidden="false" customHeight="false" outlineLevel="0" collapsed="false">
      <c r="A714" s="4" t="s">
        <v>944</v>
      </c>
      <c r="B714" s="4" t="s">
        <v>945</v>
      </c>
      <c r="C714" s="4" t="n">
        <v>8</v>
      </c>
      <c r="D714" s="4" t="s">
        <v>70</v>
      </c>
      <c r="E714" s="4" t="s">
        <v>99</v>
      </c>
      <c r="F714" s="4" t="s">
        <v>946</v>
      </c>
      <c r="G714" s="4" t="n">
        <v>3</v>
      </c>
      <c r="H714" s="4" t="n">
        <v>90</v>
      </c>
      <c r="I714" s="18" t="n">
        <v>0.05</v>
      </c>
      <c r="J714" s="4" t="s">
        <v>81</v>
      </c>
      <c r="K714" s="4" t="s">
        <v>82</v>
      </c>
    </row>
    <row r="715" customFormat="false" ht="15" hidden="false" customHeight="false" outlineLevel="0" collapsed="false">
      <c r="A715" s="4" t="s">
        <v>947</v>
      </c>
      <c r="B715" s="17" t="n">
        <v>45805</v>
      </c>
      <c r="C715" s="4" t="n">
        <v>9</v>
      </c>
      <c r="D715" s="4" t="s">
        <v>70</v>
      </c>
      <c r="E715" s="4" t="s">
        <v>65</v>
      </c>
      <c r="F715" s="4" t="s">
        <v>94</v>
      </c>
      <c r="G715" s="4" t="n">
        <v>2</v>
      </c>
      <c r="H715" s="4" t="n">
        <v>150</v>
      </c>
      <c r="I715" s="18" t="n">
        <v>0</v>
      </c>
      <c r="J715" s="4" t="s">
        <v>67</v>
      </c>
      <c r="K715" s="4" t="s">
        <v>68</v>
      </c>
    </row>
    <row r="716" customFormat="false" ht="15" hidden="false" customHeight="false" outlineLevel="0" collapsed="false">
      <c r="A716" s="4" t="s">
        <v>948</v>
      </c>
      <c r="B716" s="17" t="n">
        <v>45805</v>
      </c>
      <c r="C716" s="4" t="n">
        <v>9</v>
      </c>
      <c r="D716" s="4" t="s">
        <v>189</v>
      </c>
      <c r="E716" s="4" t="s">
        <v>65</v>
      </c>
      <c r="F716" s="4" t="s">
        <v>94</v>
      </c>
      <c r="H716" s="4" t="n">
        <v>150</v>
      </c>
      <c r="I716" s="18" t="n">
        <v>0.05</v>
      </c>
      <c r="J716" s="4" t="s">
        <v>112</v>
      </c>
    </row>
    <row r="717" customFormat="false" ht="15" hidden="false" customHeight="false" outlineLevel="0" collapsed="false">
      <c r="A717" s="4" t="s">
        <v>949</v>
      </c>
      <c r="B717" s="4" t="s">
        <v>950</v>
      </c>
      <c r="C717" s="4" t="n">
        <v>9</v>
      </c>
      <c r="D717" s="4" t="s">
        <v>70</v>
      </c>
      <c r="E717" s="4" t="s">
        <v>84</v>
      </c>
      <c r="F717" s="4" t="s">
        <v>85</v>
      </c>
      <c r="G717" s="4" t="n">
        <v>1</v>
      </c>
      <c r="H717" s="4" t="n">
        <v>150</v>
      </c>
      <c r="I717" s="18" t="n">
        <v>0.05</v>
      </c>
      <c r="J717" s="4" t="s">
        <v>67</v>
      </c>
      <c r="K717" s="4" t="s">
        <v>82</v>
      </c>
    </row>
    <row r="718" customFormat="false" ht="15" hidden="false" customHeight="false" outlineLevel="0" collapsed="false">
      <c r="A718" s="4" t="s">
        <v>951</v>
      </c>
      <c r="B718" s="17" t="n">
        <v>45805</v>
      </c>
      <c r="C718" s="4" t="n">
        <v>11</v>
      </c>
      <c r="D718" s="4" t="s">
        <v>64</v>
      </c>
      <c r="E718" s="4" t="s">
        <v>65</v>
      </c>
      <c r="F718" s="4" t="s">
        <v>94</v>
      </c>
      <c r="G718" s="4" t="n">
        <v>1</v>
      </c>
      <c r="H718" s="4" t="n">
        <v>150</v>
      </c>
      <c r="I718" s="18" t="n">
        <v>0.05</v>
      </c>
      <c r="J718" s="4" t="s">
        <v>81</v>
      </c>
      <c r="K718" s="4" t="s">
        <v>82</v>
      </c>
    </row>
    <row r="719" customFormat="false" ht="15" hidden="false" customHeight="false" outlineLevel="0" collapsed="false">
      <c r="A719" s="4" t="s">
        <v>952</v>
      </c>
      <c r="B719" s="17" t="n">
        <v>45805</v>
      </c>
      <c r="C719" s="4" t="n">
        <v>12</v>
      </c>
      <c r="D719" s="4" t="s">
        <v>98</v>
      </c>
      <c r="E719" s="4" t="s">
        <v>65</v>
      </c>
      <c r="F719" s="4" t="s">
        <v>121</v>
      </c>
      <c r="G719" s="4" t="n">
        <v>1</v>
      </c>
      <c r="H719" s="4" t="n">
        <v>170</v>
      </c>
      <c r="I719" s="18" t="n">
        <v>0.1</v>
      </c>
      <c r="J719" s="4" t="s">
        <v>76</v>
      </c>
      <c r="K719" s="4" t="s">
        <v>71</v>
      </c>
    </row>
    <row r="720" customFormat="false" ht="15" hidden="false" customHeight="false" outlineLevel="0" collapsed="false">
      <c r="A720" s="4" t="s">
        <v>953</v>
      </c>
      <c r="B720" s="17" t="n">
        <v>45805</v>
      </c>
      <c r="C720" s="4" t="n">
        <v>13</v>
      </c>
      <c r="D720" s="4" t="s">
        <v>98</v>
      </c>
      <c r="E720" s="4" t="s">
        <v>79</v>
      </c>
      <c r="F720" s="4" t="s">
        <v>80</v>
      </c>
      <c r="G720" s="4" t="n">
        <v>2</v>
      </c>
      <c r="H720" s="4" t="n">
        <v>160</v>
      </c>
      <c r="I720" s="18" t="n">
        <v>0</v>
      </c>
      <c r="J720" s="4" t="s">
        <v>112</v>
      </c>
      <c r="K720" s="4" t="s">
        <v>68</v>
      </c>
    </row>
    <row r="721" customFormat="false" ht="15" hidden="false" customHeight="false" outlineLevel="0" collapsed="false">
      <c r="A721" s="4" t="s">
        <v>954</v>
      </c>
      <c r="B721" s="4" t="s">
        <v>945</v>
      </c>
      <c r="C721" s="4" t="n">
        <v>14</v>
      </c>
      <c r="D721" s="4" t="s">
        <v>64</v>
      </c>
      <c r="E721" s="4" t="s">
        <v>235</v>
      </c>
      <c r="F721" s="4" t="s">
        <v>121</v>
      </c>
      <c r="G721" s="4" t="n">
        <v>2</v>
      </c>
      <c r="H721" s="4" t="n">
        <v>170</v>
      </c>
      <c r="I721" s="18" t="n">
        <v>0.1</v>
      </c>
      <c r="J721" s="4" t="s">
        <v>67</v>
      </c>
      <c r="K721" s="4" t="s">
        <v>71</v>
      </c>
    </row>
    <row r="722" customFormat="false" ht="15" hidden="false" customHeight="false" outlineLevel="0" collapsed="false">
      <c r="A722" s="4" t="s">
        <v>955</v>
      </c>
      <c r="B722" s="17" t="n">
        <v>45806</v>
      </c>
      <c r="C722" s="4" t="n">
        <v>9</v>
      </c>
      <c r="D722" s="4" t="s">
        <v>70</v>
      </c>
      <c r="E722" s="4" t="s">
        <v>74</v>
      </c>
      <c r="F722" s="4" t="s">
        <v>75</v>
      </c>
      <c r="G722" s="4" t="n">
        <v>1</v>
      </c>
      <c r="H722" s="4" t="n">
        <v>220</v>
      </c>
      <c r="I722" s="18" t="n">
        <v>0.15</v>
      </c>
      <c r="J722" s="4" t="s">
        <v>67</v>
      </c>
      <c r="K722" s="4" t="s">
        <v>68</v>
      </c>
    </row>
    <row r="723" customFormat="false" ht="15" hidden="false" customHeight="false" outlineLevel="0" collapsed="false">
      <c r="A723" s="4" t="s">
        <v>956</v>
      </c>
      <c r="B723" s="4" t="s">
        <v>957</v>
      </c>
      <c r="C723" s="4" t="n">
        <v>9</v>
      </c>
      <c r="D723" s="4" t="s">
        <v>64</v>
      </c>
      <c r="E723" s="4" t="s">
        <v>74</v>
      </c>
      <c r="F723" s="4" t="s">
        <v>958</v>
      </c>
      <c r="G723" s="4" t="n">
        <v>1</v>
      </c>
      <c r="H723" s="4" t="n">
        <v>200</v>
      </c>
      <c r="I723" s="18" t="n">
        <v>0.15</v>
      </c>
      <c r="J723" s="4" t="s">
        <v>88</v>
      </c>
      <c r="K723" s="4" t="s">
        <v>77</v>
      </c>
    </row>
    <row r="724" customFormat="false" ht="15" hidden="false" customHeight="false" outlineLevel="0" collapsed="false">
      <c r="A724" s="4" t="s">
        <v>959</v>
      </c>
      <c r="B724" s="17" t="n">
        <v>45806</v>
      </c>
      <c r="C724" s="4" t="n">
        <v>12</v>
      </c>
      <c r="D724" s="4" t="s">
        <v>70</v>
      </c>
      <c r="E724" s="4" t="s">
        <v>65</v>
      </c>
      <c r="F724" s="4" t="s">
        <v>87</v>
      </c>
      <c r="G724" s="4" t="n">
        <v>1</v>
      </c>
      <c r="H724" s="4" t="n">
        <v>160</v>
      </c>
      <c r="I724" s="18" t="n">
        <v>0.05</v>
      </c>
      <c r="J724" s="4" t="s">
        <v>67</v>
      </c>
      <c r="K724" s="4" t="s">
        <v>82</v>
      </c>
    </row>
    <row r="725" customFormat="false" ht="15" hidden="false" customHeight="false" outlineLevel="0" collapsed="false">
      <c r="A725" s="4" t="s">
        <v>960</v>
      </c>
      <c r="B725" s="17" t="n">
        <v>45806</v>
      </c>
      <c r="C725" s="4" t="n">
        <v>15</v>
      </c>
      <c r="D725" s="4" t="s">
        <v>70</v>
      </c>
      <c r="E725" s="4" t="s">
        <v>84</v>
      </c>
      <c r="F725" s="4" t="s">
        <v>85</v>
      </c>
      <c r="G725" s="4" t="n">
        <v>1</v>
      </c>
      <c r="H725" s="4" t="n">
        <v>150</v>
      </c>
      <c r="I725" s="18" t="n">
        <v>0.15</v>
      </c>
      <c r="J725" s="4" t="s">
        <v>81</v>
      </c>
      <c r="K725" s="4" t="s">
        <v>82</v>
      </c>
    </row>
    <row r="726" customFormat="false" ht="15" hidden="false" customHeight="false" outlineLevel="0" collapsed="false">
      <c r="A726" s="4" t="s">
        <v>961</v>
      </c>
      <c r="B726" s="17" t="n">
        <v>45806</v>
      </c>
      <c r="C726" s="4" t="n">
        <v>17</v>
      </c>
      <c r="D726" s="4" t="s">
        <v>73</v>
      </c>
      <c r="E726" s="4" t="s">
        <v>84</v>
      </c>
      <c r="F726" s="4" t="s">
        <v>114</v>
      </c>
      <c r="G726" s="4" t="n">
        <v>1</v>
      </c>
      <c r="H726" s="4" t="n">
        <v>85</v>
      </c>
      <c r="I726" s="18" t="n">
        <v>0</v>
      </c>
      <c r="J726" s="4" t="s">
        <v>76</v>
      </c>
      <c r="K726" s="4" t="s">
        <v>77</v>
      </c>
    </row>
    <row r="727" customFormat="false" ht="15" hidden="false" customHeight="false" outlineLevel="0" collapsed="false">
      <c r="A727" s="4" t="s">
        <v>962</v>
      </c>
      <c r="B727" s="17" t="n">
        <v>45806</v>
      </c>
      <c r="C727" s="4" t="n">
        <v>19</v>
      </c>
      <c r="D727" s="4" t="s">
        <v>64</v>
      </c>
      <c r="E727" s="4" t="s">
        <v>65</v>
      </c>
      <c r="F727" s="4" t="s">
        <v>94</v>
      </c>
      <c r="G727" s="4" t="n">
        <v>1</v>
      </c>
      <c r="H727" s="4" t="n">
        <v>150</v>
      </c>
      <c r="I727" s="18" t="n">
        <v>0</v>
      </c>
      <c r="J727" s="4" t="s">
        <v>81</v>
      </c>
      <c r="K727" s="4" t="s">
        <v>77</v>
      </c>
    </row>
    <row r="728" customFormat="false" ht="15" hidden="false" customHeight="false" outlineLevel="0" collapsed="false">
      <c r="A728" s="4" t="s">
        <v>963</v>
      </c>
      <c r="B728" s="17" t="n">
        <v>45807</v>
      </c>
      <c r="C728" s="4" t="n">
        <v>7</v>
      </c>
      <c r="D728" s="4" t="s">
        <v>70</v>
      </c>
      <c r="E728" s="4" t="s">
        <v>74</v>
      </c>
      <c r="F728" s="4" t="s">
        <v>75</v>
      </c>
      <c r="G728" s="4" t="n">
        <v>1</v>
      </c>
      <c r="H728" s="4" t="n">
        <v>220</v>
      </c>
      <c r="I728" s="18" t="n">
        <v>0.1</v>
      </c>
      <c r="J728" s="4" t="s">
        <v>112</v>
      </c>
      <c r="K728" s="4" t="s">
        <v>71</v>
      </c>
    </row>
    <row r="729" customFormat="false" ht="15" hidden="false" customHeight="false" outlineLevel="0" collapsed="false">
      <c r="A729" s="4" t="s">
        <v>963</v>
      </c>
      <c r="B729" s="17" t="n">
        <v>45807</v>
      </c>
      <c r="C729" s="4" t="n">
        <v>7</v>
      </c>
      <c r="D729" s="4" t="s">
        <v>70</v>
      </c>
      <c r="E729" s="4" t="s">
        <v>74</v>
      </c>
      <c r="F729" s="4" t="s">
        <v>75</v>
      </c>
      <c r="G729" s="4" t="n">
        <v>1</v>
      </c>
      <c r="H729" s="4" t="n">
        <v>220</v>
      </c>
      <c r="I729" s="18" t="n">
        <v>0.1</v>
      </c>
      <c r="J729" s="4" t="s">
        <v>112</v>
      </c>
      <c r="K729" s="4" t="s">
        <v>71</v>
      </c>
    </row>
    <row r="730" customFormat="false" ht="15" hidden="false" customHeight="false" outlineLevel="0" collapsed="false">
      <c r="A730" s="4" t="s">
        <v>964</v>
      </c>
      <c r="B730" s="17" t="n">
        <v>45807</v>
      </c>
      <c r="C730" s="4" t="n">
        <v>7</v>
      </c>
      <c r="D730" s="4" t="s">
        <v>73</v>
      </c>
      <c r="E730" s="4" t="s">
        <v>65</v>
      </c>
      <c r="F730" s="4" t="s">
        <v>94</v>
      </c>
      <c r="G730" s="4" t="n">
        <v>1</v>
      </c>
      <c r="H730" s="4" t="n">
        <v>150</v>
      </c>
      <c r="I730" s="18" t="n">
        <v>0</v>
      </c>
      <c r="J730" s="4" t="s">
        <v>76</v>
      </c>
      <c r="K730" s="4" t="s">
        <v>77</v>
      </c>
    </row>
    <row r="731" customFormat="false" ht="15" hidden="false" customHeight="false" outlineLevel="0" collapsed="false">
      <c r="A731" s="4" t="s">
        <v>965</v>
      </c>
      <c r="B731" s="17" t="n">
        <v>45807</v>
      </c>
      <c r="C731" s="4" t="n">
        <v>7</v>
      </c>
      <c r="D731" s="4" t="s">
        <v>73</v>
      </c>
      <c r="E731" s="4" t="s">
        <v>84</v>
      </c>
      <c r="F731" s="4" t="s">
        <v>85</v>
      </c>
      <c r="G731" s="4" t="n">
        <v>1</v>
      </c>
      <c r="H731" s="4" t="n">
        <v>150</v>
      </c>
      <c r="I731" s="18" t="n">
        <v>0</v>
      </c>
      <c r="J731" s="4" t="s">
        <v>88</v>
      </c>
      <c r="K731" s="4" t="s">
        <v>68</v>
      </c>
    </row>
    <row r="732" customFormat="false" ht="15" hidden="false" customHeight="false" outlineLevel="0" collapsed="false">
      <c r="A732" s="4" t="s">
        <v>966</v>
      </c>
      <c r="B732" s="17" t="n">
        <v>45807</v>
      </c>
      <c r="C732" s="4" t="n">
        <v>10</v>
      </c>
      <c r="D732" s="4" t="s">
        <v>73</v>
      </c>
      <c r="E732" s="4" t="s">
        <v>65</v>
      </c>
      <c r="F732" s="4" t="s">
        <v>486</v>
      </c>
      <c r="G732" s="4" t="n">
        <v>1</v>
      </c>
      <c r="H732" s="4" t="n">
        <v>150</v>
      </c>
      <c r="I732" s="18" t="n">
        <v>0</v>
      </c>
      <c r="K732" s="4" t="s">
        <v>68</v>
      </c>
    </row>
    <row r="733" customFormat="false" ht="15" hidden="false" customHeight="false" outlineLevel="0" collapsed="false">
      <c r="A733" s="4" t="s">
        <v>967</v>
      </c>
      <c r="B733" s="17" t="n">
        <v>45807</v>
      </c>
      <c r="C733" s="4" t="n">
        <v>11</v>
      </c>
      <c r="D733" s="4" t="s">
        <v>70</v>
      </c>
      <c r="E733" s="4" t="s">
        <v>79</v>
      </c>
      <c r="F733" s="4" t="s">
        <v>148</v>
      </c>
      <c r="G733" s="4" t="n">
        <v>2</v>
      </c>
      <c r="H733" s="4" t="n">
        <v>120</v>
      </c>
      <c r="I733" s="18" t="n">
        <v>0</v>
      </c>
      <c r="J733" s="4" t="s">
        <v>81</v>
      </c>
      <c r="K733" s="4" t="s">
        <v>77</v>
      </c>
    </row>
    <row r="734" customFormat="false" ht="15" hidden="false" customHeight="false" outlineLevel="0" collapsed="false">
      <c r="A734" s="4" t="s">
        <v>968</v>
      </c>
      <c r="B734" s="4" t="s">
        <v>969</v>
      </c>
      <c r="C734" s="4" t="n">
        <v>12</v>
      </c>
      <c r="D734" s="4" t="s">
        <v>98</v>
      </c>
      <c r="E734" s="4" t="s">
        <v>65</v>
      </c>
      <c r="F734" s="4" t="s">
        <v>121</v>
      </c>
      <c r="G734" s="4" t="n">
        <v>1</v>
      </c>
      <c r="H734" s="4" t="n">
        <v>170</v>
      </c>
      <c r="I734" s="18" t="n">
        <v>0.05</v>
      </c>
      <c r="J734" s="4" t="s">
        <v>67</v>
      </c>
      <c r="K734" s="4" t="s">
        <v>82</v>
      </c>
    </row>
    <row r="735" customFormat="false" ht="15" hidden="false" customHeight="false" outlineLevel="0" collapsed="false">
      <c r="A735" s="4" t="s">
        <v>970</v>
      </c>
      <c r="B735" s="17" t="n">
        <v>45807</v>
      </c>
      <c r="C735" s="4" t="n">
        <v>15</v>
      </c>
      <c r="D735" s="4" t="s">
        <v>98</v>
      </c>
      <c r="E735" s="4" t="s">
        <v>65</v>
      </c>
      <c r="F735" s="4" t="s">
        <v>121</v>
      </c>
      <c r="G735" s="4" t="n">
        <v>2</v>
      </c>
      <c r="H735" s="4" t="n">
        <v>170</v>
      </c>
      <c r="I735" s="18" t="n">
        <v>0.05</v>
      </c>
      <c r="J735" s="4" t="s">
        <v>76</v>
      </c>
      <c r="K735" s="4" t="s">
        <v>82</v>
      </c>
    </row>
    <row r="736" customFormat="false" ht="15" hidden="false" customHeight="false" outlineLevel="0" collapsed="false">
      <c r="A736" s="4" t="s">
        <v>971</v>
      </c>
      <c r="B736" s="17" t="n">
        <v>45807</v>
      </c>
      <c r="C736" s="4" t="n">
        <v>16</v>
      </c>
      <c r="D736" s="4" t="s">
        <v>225</v>
      </c>
      <c r="E736" s="4" t="s">
        <v>74</v>
      </c>
      <c r="F736" s="4" t="s">
        <v>139</v>
      </c>
      <c r="G736" s="4" t="n">
        <v>1</v>
      </c>
      <c r="H736" s="4" t="n">
        <v>260</v>
      </c>
      <c r="I736" s="18" t="n">
        <v>0</v>
      </c>
      <c r="J736" s="4" t="s">
        <v>76</v>
      </c>
      <c r="K736" s="4" t="s">
        <v>68</v>
      </c>
    </row>
    <row r="737" customFormat="false" ht="15" hidden="false" customHeight="false" outlineLevel="0" collapsed="false">
      <c r="A737" s="4" t="s">
        <v>971</v>
      </c>
      <c r="B737" s="17" t="n">
        <v>45807</v>
      </c>
      <c r="C737" s="4" t="n">
        <v>16</v>
      </c>
      <c r="D737" s="4" t="s">
        <v>225</v>
      </c>
      <c r="E737" s="4" t="s">
        <v>74</v>
      </c>
      <c r="F737" s="4" t="s">
        <v>139</v>
      </c>
      <c r="G737" s="4" t="n">
        <v>1</v>
      </c>
      <c r="H737" s="4" t="n">
        <v>260</v>
      </c>
      <c r="I737" s="18" t="n">
        <v>0</v>
      </c>
      <c r="J737" s="4" t="s">
        <v>76</v>
      </c>
      <c r="K737" s="4" t="s">
        <v>68</v>
      </c>
    </row>
    <row r="738" customFormat="false" ht="15" hidden="false" customHeight="false" outlineLevel="0" collapsed="false">
      <c r="A738" s="4" t="s">
        <v>972</v>
      </c>
      <c r="B738" s="17" t="n">
        <v>45807</v>
      </c>
      <c r="C738" s="4" t="n">
        <v>16</v>
      </c>
      <c r="D738" s="4" t="s">
        <v>64</v>
      </c>
      <c r="E738" s="4" t="s">
        <v>65</v>
      </c>
      <c r="F738" s="4" t="s">
        <v>66</v>
      </c>
      <c r="G738" s="4" t="n">
        <v>1</v>
      </c>
      <c r="H738" s="4" t="n">
        <v>120</v>
      </c>
      <c r="I738" s="18" t="n">
        <v>0.15</v>
      </c>
      <c r="J738" s="4" t="s">
        <v>81</v>
      </c>
      <c r="K738" s="4" t="s">
        <v>68</v>
      </c>
    </row>
    <row r="739" customFormat="false" ht="15" hidden="false" customHeight="false" outlineLevel="0" collapsed="false">
      <c r="A739" s="4" t="s">
        <v>973</v>
      </c>
      <c r="B739" s="17" t="n">
        <v>45807</v>
      </c>
      <c r="C739" s="4" t="n">
        <v>17</v>
      </c>
      <c r="D739" s="4" t="s">
        <v>70</v>
      </c>
      <c r="E739" s="4" t="s">
        <v>65</v>
      </c>
      <c r="F739" s="4" t="s">
        <v>94</v>
      </c>
      <c r="G739" s="4" t="n">
        <v>1</v>
      </c>
      <c r="H739" s="4" t="n">
        <v>150</v>
      </c>
      <c r="I739" s="18" t="n">
        <v>0.05</v>
      </c>
      <c r="J739" s="4" t="s">
        <v>81</v>
      </c>
      <c r="K739" s="4" t="s">
        <v>82</v>
      </c>
    </row>
    <row r="740" customFormat="false" ht="15" hidden="false" customHeight="false" outlineLevel="0" collapsed="false">
      <c r="A740" s="4" t="s">
        <v>974</v>
      </c>
      <c r="B740" s="4" t="s">
        <v>975</v>
      </c>
      <c r="C740" s="4" t="n">
        <v>7</v>
      </c>
      <c r="D740" s="4" t="s">
        <v>73</v>
      </c>
      <c r="E740" s="4" t="s">
        <v>99</v>
      </c>
      <c r="F740" s="4" t="s">
        <v>102</v>
      </c>
      <c r="G740" s="4" t="n">
        <v>1</v>
      </c>
      <c r="H740" s="4" t="n">
        <v>140</v>
      </c>
      <c r="J740" s="4" t="s">
        <v>81</v>
      </c>
      <c r="K740" s="4" t="s">
        <v>71</v>
      </c>
    </row>
    <row r="741" customFormat="false" ht="15" hidden="false" customHeight="false" outlineLevel="0" collapsed="false">
      <c r="A741" s="4" t="s">
        <v>976</v>
      </c>
      <c r="B741" s="17" t="n">
        <v>45808</v>
      </c>
      <c r="C741" s="4" t="n">
        <v>7</v>
      </c>
      <c r="D741" s="4" t="s">
        <v>98</v>
      </c>
      <c r="E741" s="4" t="s">
        <v>65</v>
      </c>
      <c r="F741" s="4" t="s">
        <v>121</v>
      </c>
      <c r="G741" s="4" t="n">
        <v>1</v>
      </c>
      <c r="H741" s="4" t="n">
        <v>170</v>
      </c>
      <c r="I741" s="18" t="n">
        <v>0</v>
      </c>
      <c r="J741" s="4" t="s">
        <v>112</v>
      </c>
      <c r="K741" s="4" t="s">
        <v>68</v>
      </c>
    </row>
    <row r="742" customFormat="false" ht="15" hidden="false" customHeight="false" outlineLevel="0" collapsed="false">
      <c r="A742" s="4" t="s">
        <v>977</v>
      </c>
      <c r="B742" s="17" t="n">
        <v>45808</v>
      </c>
      <c r="C742" s="4" t="n">
        <v>7</v>
      </c>
      <c r="D742" s="4" t="s">
        <v>98</v>
      </c>
      <c r="E742" s="4" t="s">
        <v>79</v>
      </c>
      <c r="F742" s="4" t="s">
        <v>80</v>
      </c>
      <c r="G742" s="4" t="n">
        <v>2</v>
      </c>
      <c r="H742" s="4" t="n">
        <v>160</v>
      </c>
      <c r="I742" s="18" t="n">
        <v>0</v>
      </c>
      <c r="J742" s="4" t="s">
        <v>67</v>
      </c>
      <c r="K742" s="4" t="s">
        <v>77</v>
      </c>
    </row>
    <row r="743" customFormat="false" ht="15" hidden="false" customHeight="false" outlineLevel="0" collapsed="false">
      <c r="A743" s="4" t="s">
        <v>978</v>
      </c>
      <c r="B743" s="4" t="s">
        <v>975</v>
      </c>
      <c r="C743" s="4" t="n">
        <v>8</v>
      </c>
      <c r="D743" s="4" t="s">
        <v>341</v>
      </c>
      <c r="E743" s="4" t="s">
        <v>65</v>
      </c>
      <c r="F743" s="4" t="s">
        <v>94</v>
      </c>
      <c r="G743" s="4" t="n">
        <v>3</v>
      </c>
      <c r="H743" s="4" t="n">
        <v>150</v>
      </c>
      <c r="I743" s="18" t="n">
        <v>0.1</v>
      </c>
      <c r="J743" s="4" t="s">
        <v>76</v>
      </c>
      <c r="K743" s="4" t="s">
        <v>68</v>
      </c>
    </row>
    <row r="744" customFormat="false" ht="15" hidden="false" customHeight="false" outlineLevel="0" collapsed="false">
      <c r="A744" s="4" t="s">
        <v>979</v>
      </c>
      <c r="B744" s="17" t="n">
        <v>45808</v>
      </c>
      <c r="C744" s="4" t="n">
        <v>10</v>
      </c>
      <c r="D744" s="4" t="s">
        <v>166</v>
      </c>
      <c r="E744" s="4" t="s">
        <v>74</v>
      </c>
      <c r="F744" s="4" t="s">
        <v>75</v>
      </c>
      <c r="G744" s="4" t="n">
        <v>3</v>
      </c>
      <c r="H744" s="4" t="n">
        <v>220</v>
      </c>
      <c r="I744" s="18" t="n">
        <v>0</v>
      </c>
      <c r="J744" s="4" t="s">
        <v>67</v>
      </c>
      <c r="K744" s="4" t="s">
        <v>77</v>
      </c>
    </row>
    <row r="745" customFormat="false" ht="15" hidden="false" customHeight="false" outlineLevel="0" collapsed="false">
      <c r="A745" s="4" t="s">
        <v>980</v>
      </c>
      <c r="B745" s="17" t="n">
        <v>45808</v>
      </c>
      <c r="C745" s="4" t="n">
        <v>12</v>
      </c>
      <c r="D745" s="4" t="s">
        <v>187</v>
      </c>
      <c r="E745" s="4" t="s">
        <v>99</v>
      </c>
      <c r="F745" s="4" t="s">
        <v>133</v>
      </c>
      <c r="G745" s="4" t="n">
        <v>3</v>
      </c>
      <c r="H745" s="4" t="n">
        <v>90</v>
      </c>
      <c r="I745" s="18" t="n">
        <v>0.15</v>
      </c>
      <c r="J745" s="4" t="s">
        <v>67</v>
      </c>
      <c r="K745" s="4" t="s">
        <v>71</v>
      </c>
    </row>
    <row r="746" customFormat="false" ht="15" hidden="false" customHeight="false" outlineLevel="0" collapsed="false">
      <c r="A746" s="4" t="s">
        <v>981</v>
      </c>
      <c r="B746" s="17" t="n">
        <v>45808</v>
      </c>
      <c r="C746" s="4" t="n">
        <v>15</v>
      </c>
      <c r="D746" s="4" t="s">
        <v>64</v>
      </c>
      <c r="E746" s="4" t="s">
        <v>65</v>
      </c>
      <c r="F746" s="4" t="s">
        <v>94</v>
      </c>
      <c r="G746" s="4" t="n">
        <v>2</v>
      </c>
      <c r="H746" s="4" t="n">
        <v>150</v>
      </c>
      <c r="I746" s="18" t="n">
        <v>0</v>
      </c>
      <c r="J746" s="4" t="s">
        <v>67</v>
      </c>
      <c r="K746" s="4" t="s">
        <v>68</v>
      </c>
    </row>
    <row r="747" customFormat="false" ht="15" hidden="false" customHeight="false" outlineLevel="0" collapsed="false">
      <c r="A747" s="4" t="s">
        <v>982</v>
      </c>
      <c r="B747" s="17" t="n">
        <v>45808</v>
      </c>
      <c r="C747" s="4" t="n">
        <v>16</v>
      </c>
      <c r="D747" s="4" t="s">
        <v>70</v>
      </c>
      <c r="E747" s="4" t="s">
        <v>74</v>
      </c>
      <c r="F747" s="4" t="s">
        <v>75</v>
      </c>
      <c r="G747" s="4" t="n">
        <v>3</v>
      </c>
      <c r="H747" s="4" t="n">
        <v>220</v>
      </c>
      <c r="I747" s="18" t="n">
        <v>0</v>
      </c>
      <c r="J747" s="4" t="s">
        <v>81</v>
      </c>
      <c r="K747" s="4" t="s">
        <v>68</v>
      </c>
    </row>
    <row r="748" customFormat="false" ht="15" hidden="false" customHeight="false" outlineLevel="0" collapsed="false">
      <c r="A748" s="4" t="s">
        <v>983</v>
      </c>
      <c r="B748" s="17" t="n">
        <v>45808</v>
      </c>
      <c r="C748" s="4" t="n">
        <v>17</v>
      </c>
      <c r="D748" s="4" t="s">
        <v>73</v>
      </c>
      <c r="E748" s="4" t="s">
        <v>74</v>
      </c>
      <c r="F748" s="4" t="s">
        <v>139</v>
      </c>
      <c r="G748" s="4" t="n">
        <v>1</v>
      </c>
      <c r="H748" s="4" t="n">
        <v>260</v>
      </c>
      <c r="I748" s="18" t="n">
        <v>0</v>
      </c>
      <c r="J748" s="4" t="s">
        <v>67</v>
      </c>
      <c r="K748" s="4" t="s">
        <v>68</v>
      </c>
    </row>
    <row r="749" customFormat="false" ht="15" hidden="false" customHeight="false" outlineLevel="0" collapsed="false">
      <c r="A749" s="4" t="s">
        <v>984</v>
      </c>
      <c r="B749" s="17" t="n">
        <v>45808</v>
      </c>
      <c r="C749" s="4" t="n">
        <v>20</v>
      </c>
      <c r="D749" s="4" t="s">
        <v>73</v>
      </c>
      <c r="E749" s="4" t="s">
        <v>79</v>
      </c>
      <c r="F749" s="4" t="s">
        <v>80</v>
      </c>
      <c r="G749" s="4" t="n">
        <v>3</v>
      </c>
      <c r="H749" s="4" t="n">
        <v>160</v>
      </c>
      <c r="I749" s="18" t="n">
        <v>0.1</v>
      </c>
      <c r="J749" s="4" t="s">
        <v>67</v>
      </c>
      <c r="K749" s="4" t="s">
        <v>71</v>
      </c>
    </row>
    <row r="750" customFormat="false" ht="15" hidden="false" customHeight="false" outlineLevel="0" collapsed="false">
      <c r="A750" s="4" t="s">
        <v>985</v>
      </c>
      <c r="B750" s="17" t="n">
        <v>45809</v>
      </c>
      <c r="C750" s="4" t="n">
        <v>8</v>
      </c>
      <c r="D750" s="4" t="s">
        <v>70</v>
      </c>
      <c r="E750" s="4" t="s">
        <v>99</v>
      </c>
      <c r="F750" s="4" t="s">
        <v>102</v>
      </c>
      <c r="G750" s="4" t="n">
        <v>1</v>
      </c>
      <c r="H750" s="4" t="n">
        <v>140</v>
      </c>
      <c r="I750" s="18" t="n">
        <v>0.05</v>
      </c>
      <c r="J750" s="4" t="s">
        <v>76</v>
      </c>
      <c r="K750" s="4" t="s">
        <v>82</v>
      </c>
    </row>
    <row r="751" customFormat="false" ht="15" hidden="false" customHeight="false" outlineLevel="0" collapsed="false">
      <c r="A751" s="4" t="s">
        <v>986</v>
      </c>
      <c r="B751" s="17" t="n">
        <v>45809</v>
      </c>
      <c r="C751" s="4" t="n">
        <v>8</v>
      </c>
      <c r="D751" s="4" t="s">
        <v>64</v>
      </c>
      <c r="E751" s="4" t="s">
        <v>65</v>
      </c>
      <c r="F751" s="4" t="s">
        <v>87</v>
      </c>
      <c r="G751" s="4" t="n">
        <v>1</v>
      </c>
      <c r="H751" s="4" t="n">
        <v>160</v>
      </c>
      <c r="I751" s="18" t="n">
        <v>0.05</v>
      </c>
      <c r="J751" s="4" t="s">
        <v>81</v>
      </c>
      <c r="K751" s="4" t="s">
        <v>82</v>
      </c>
    </row>
    <row r="752" customFormat="false" ht="15" hidden="false" customHeight="false" outlineLevel="0" collapsed="false">
      <c r="A752" s="4" t="s">
        <v>987</v>
      </c>
      <c r="B752" s="17" t="n">
        <v>45809</v>
      </c>
      <c r="C752" s="4" t="n">
        <v>9</v>
      </c>
      <c r="D752" s="4" t="s">
        <v>98</v>
      </c>
      <c r="E752" s="4" t="s">
        <v>84</v>
      </c>
      <c r="F752" s="4" t="s">
        <v>85</v>
      </c>
      <c r="G752" s="4" t="n">
        <v>4</v>
      </c>
      <c r="H752" s="4" t="n">
        <v>150</v>
      </c>
      <c r="I752" s="18" t="n">
        <v>0</v>
      </c>
      <c r="J752" s="4" t="s">
        <v>67</v>
      </c>
      <c r="K752" s="4" t="s">
        <v>68</v>
      </c>
    </row>
    <row r="753" customFormat="false" ht="15" hidden="false" customHeight="false" outlineLevel="0" collapsed="false">
      <c r="A753" s="4" t="s">
        <v>988</v>
      </c>
      <c r="B753" s="17" t="n">
        <v>45809</v>
      </c>
      <c r="C753" s="4" t="n">
        <v>10</v>
      </c>
      <c r="D753" s="4" t="s">
        <v>98</v>
      </c>
      <c r="E753" s="4" t="s">
        <v>99</v>
      </c>
      <c r="F753" s="4" t="s">
        <v>109</v>
      </c>
      <c r="G753" s="4" t="n">
        <v>2</v>
      </c>
      <c r="H753" s="4" t="n">
        <v>130</v>
      </c>
      <c r="I753" s="18" t="n">
        <v>0.15</v>
      </c>
      <c r="J753" s="4" t="s">
        <v>67</v>
      </c>
      <c r="K753" s="4" t="s">
        <v>68</v>
      </c>
    </row>
    <row r="754" customFormat="false" ht="15" hidden="false" customHeight="false" outlineLevel="0" collapsed="false">
      <c r="A754" s="4" t="s">
        <v>989</v>
      </c>
      <c r="B754" s="4" t="s">
        <v>990</v>
      </c>
      <c r="C754" s="4" t="n">
        <v>11</v>
      </c>
      <c r="D754" s="4" t="s">
        <v>98</v>
      </c>
      <c r="E754" s="4" t="s">
        <v>65</v>
      </c>
      <c r="F754" s="4" t="s">
        <v>66</v>
      </c>
      <c r="G754" s="4" t="n">
        <v>1</v>
      </c>
      <c r="H754" s="4" t="n">
        <v>120</v>
      </c>
      <c r="I754" s="18" t="n">
        <v>0</v>
      </c>
      <c r="J754" s="4" t="s">
        <v>81</v>
      </c>
      <c r="K754" s="4" t="s">
        <v>68</v>
      </c>
    </row>
    <row r="755" customFormat="false" ht="15" hidden="false" customHeight="false" outlineLevel="0" collapsed="false">
      <c r="A755" s="4" t="s">
        <v>991</v>
      </c>
      <c r="B755" s="17" t="n">
        <v>45809</v>
      </c>
      <c r="C755" s="4" t="n">
        <v>12</v>
      </c>
      <c r="D755" s="4" t="s">
        <v>98</v>
      </c>
      <c r="E755" s="4" t="s">
        <v>79</v>
      </c>
      <c r="F755" s="4" t="s">
        <v>80</v>
      </c>
      <c r="G755" s="4" t="n">
        <v>3</v>
      </c>
      <c r="H755" s="4" t="n">
        <v>160</v>
      </c>
      <c r="I755" s="18" t="n">
        <v>0.1</v>
      </c>
      <c r="J755" s="4" t="s">
        <v>76</v>
      </c>
      <c r="K755" s="4" t="s">
        <v>71</v>
      </c>
    </row>
    <row r="756" customFormat="false" ht="15" hidden="false" customHeight="false" outlineLevel="0" collapsed="false">
      <c r="A756" s="4" t="s">
        <v>992</v>
      </c>
      <c r="B756" s="17" t="n">
        <v>45809</v>
      </c>
      <c r="C756" s="4" t="n">
        <v>12</v>
      </c>
      <c r="D756" s="4" t="s">
        <v>70</v>
      </c>
      <c r="E756" s="4" t="s">
        <v>99</v>
      </c>
      <c r="F756" s="4" t="s">
        <v>102</v>
      </c>
      <c r="G756" s="4" t="n">
        <v>3</v>
      </c>
      <c r="H756" s="4" t="n">
        <v>140</v>
      </c>
      <c r="J756" s="4" t="s">
        <v>81</v>
      </c>
      <c r="K756" s="4" t="s">
        <v>77</v>
      </c>
    </row>
    <row r="757" customFormat="false" ht="15" hidden="false" customHeight="false" outlineLevel="0" collapsed="false">
      <c r="A757" s="4" t="s">
        <v>993</v>
      </c>
      <c r="B757" s="17" t="n">
        <v>45809</v>
      </c>
      <c r="C757" s="4" t="n">
        <v>13</v>
      </c>
      <c r="D757" s="4" t="s">
        <v>98</v>
      </c>
      <c r="E757" s="4" t="s">
        <v>364</v>
      </c>
      <c r="F757" s="4" t="s">
        <v>85</v>
      </c>
      <c r="G757" s="4" t="n">
        <v>3</v>
      </c>
      <c r="H757" s="4" t="n">
        <v>150</v>
      </c>
      <c r="J757" s="4" t="s">
        <v>67</v>
      </c>
      <c r="K757" s="4" t="s">
        <v>71</v>
      </c>
    </row>
    <row r="758" customFormat="false" ht="15" hidden="false" customHeight="false" outlineLevel="0" collapsed="false">
      <c r="A758" s="4" t="s">
        <v>994</v>
      </c>
      <c r="B758" s="17" t="n">
        <v>45809</v>
      </c>
      <c r="C758" s="4" t="n">
        <v>19</v>
      </c>
      <c r="D758" s="4" t="s">
        <v>64</v>
      </c>
      <c r="E758" s="4" t="s">
        <v>65</v>
      </c>
      <c r="F758" s="4" t="s">
        <v>94</v>
      </c>
      <c r="G758" s="4" t="n">
        <v>3</v>
      </c>
      <c r="H758" s="4" t="n">
        <v>150</v>
      </c>
      <c r="I758" s="18" t="n">
        <v>0.2</v>
      </c>
      <c r="J758" s="4" t="s">
        <v>67</v>
      </c>
      <c r="K758" s="4" t="s">
        <v>82</v>
      </c>
    </row>
    <row r="759" customFormat="false" ht="15" hidden="false" customHeight="false" outlineLevel="0" collapsed="false">
      <c r="A759" s="4" t="s">
        <v>995</v>
      </c>
      <c r="B759" s="17" t="n">
        <v>45810</v>
      </c>
      <c r="C759" s="4" t="n">
        <v>7</v>
      </c>
      <c r="D759" s="4" t="s">
        <v>64</v>
      </c>
      <c r="E759" s="4" t="s">
        <v>99</v>
      </c>
      <c r="F759" s="4" t="s">
        <v>109</v>
      </c>
      <c r="G759" s="4" t="n">
        <v>1</v>
      </c>
      <c r="H759" s="4" t="n">
        <v>130</v>
      </c>
      <c r="I759" s="18" t="n">
        <v>0</v>
      </c>
      <c r="J759" s="4" t="s">
        <v>67</v>
      </c>
      <c r="K759" s="4" t="s">
        <v>77</v>
      </c>
    </row>
    <row r="760" customFormat="false" ht="15" hidden="false" customHeight="false" outlineLevel="0" collapsed="false">
      <c r="A760" s="4" t="s">
        <v>996</v>
      </c>
      <c r="B760" s="17" t="n">
        <v>45810</v>
      </c>
      <c r="C760" s="4" t="n">
        <v>9</v>
      </c>
      <c r="D760" s="4" t="s">
        <v>73</v>
      </c>
      <c r="E760" s="4" t="s">
        <v>79</v>
      </c>
      <c r="F760" s="4" t="s">
        <v>80</v>
      </c>
      <c r="G760" s="4" t="n">
        <v>1</v>
      </c>
      <c r="H760" s="4" t="n">
        <v>160</v>
      </c>
      <c r="I760" s="18" t="n">
        <v>0</v>
      </c>
      <c r="J760" s="4" t="s">
        <v>67</v>
      </c>
      <c r="K760" s="4" t="s">
        <v>68</v>
      </c>
    </row>
    <row r="761" customFormat="false" ht="15" hidden="false" customHeight="false" outlineLevel="0" collapsed="false">
      <c r="A761" s="4" t="s">
        <v>997</v>
      </c>
      <c r="B761" s="17" t="n">
        <v>45810</v>
      </c>
      <c r="C761" s="4" t="n">
        <v>13</v>
      </c>
      <c r="D761" s="4" t="s">
        <v>424</v>
      </c>
      <c r="E761" s="4" t="s">
        <v>84</v>
      </c>
      <c r="F761" s="4" t="s">
        <v>117</v>
      </c>
      <c r="G761" s="4" t="n">
        <v>1</v>
      </c>
      <c r="H761" s="4" t="n">
        <v>95</v>
      </c>
      <c r="I761" s="18" t="n">
        <v>0.1</v>
      </c>
      <c r="J761" s="4" t="s">
        <v>67</v>
      </c>
      <c r="K761" s="4" t="s">
        <v>71</v>
      </c>
    </row>
    <row r="762" customFormat="false" ht="15" hidden="false" customHeight="false" outlineLevel="0" collapsed="false">
      <c r="A762" s="4" t="s">
        <v>998</v>
      </c>
      <c r="B762" s="17" t="n">
        <v>45810</v>
      </c>
      <c r="C762" s="4" t="n">
        <v>15</v>
      </c>
      <c r="D762" s="4" t="s">
        <v>70</v>
      </c>
      <c r="E762" s="4" t="s">
        <v>84</v>
      </c>
      <c r="F762" s="4" t="s">
        <v>85</v>
      </c>
      <c r="G762" s="4" t="n">
        <v>1</v>
      </c>
      <c r="H762" s="4" t="n">
        <v>150</v>
      </c>
      <c r="I762" s="18" t="n">
        <v>0.1</v>
      </c>
      <c r="J762" s="4" t="s">
        <v>81</v>
      </c>
      <c r="K762" s="4" t="s">
        <v>71</v>
      </c>
    </row>
    <row r="763" customFormat="false" ht="15" hidden="false" customHeight="false" outlineLevel="0" collapsed="false">
      <c r="A763" s="4" t="s">
        <v>999</v>
      </c>
      <c r="B763" s="4" t="s">
        <v>1000</v>
      </c>
      <c r="C763" s="4" t="n">
        <v>8</v>
      </c>
      <c r="D763" s="4" t="s">
        <v>70</v>
      </c>
      <c r="E763" s="4" t="s">
        <v>430</v>
      </c>
      <c r="F763" s="4" t="s">
        <v>66</v>
      </c>
      <c r="G763" s="4" t="n">
        <v>2</v>
      </c>
      <c r="H763" s="4" t="n">
        <v>120</v>
      </c>
      <c r="I763" s="18" t="n">
        <v>0</v>
      </c>
      <c r="J763" s="4" t="s">
        <v>112</v>
      </c>
      <c r="K763" s="4" t="s">
        <v>77</v>
      </c>
    </row>
    <row r="764" customFormat="false" ht="15" hidden="false" customHeight="false" outlineLevel="0" collapsed="false">
      <c r="A764" s="4" t="s">
        <v>1001</v>
      </c>
      <c r="B764" s="17" t="n">
        <v>45811</v>
      </c>
      <c r="C764" s="4" t="n">
        <v>9</v>
      </c>
      <c r="D764" s="4" t="s">
        <v>73</v>
      </c>
      <c r="E764" s="4" t="s">
        <v>99</v>
      </c>
      <c r="F764" s="4" t="s">
        <v>1002</v>
      </c>
      <c r="G764" s="4" t="n">
        <v>4</v>
      </c>
      <c r="H764" s="4" t="n">
        <v>130</v>
      </c>
      <c r="I764" s="18" t="n">
        <v>0.1</v>
      </c>
      <c r="J764" s="4" t="s">
        <v>76</v>
      </c>
      <c r="K764" s="4" t="s">
        <v>71</v>
      </c>
    </row>
    <row r="765" customFormat="false" ht="15" hidden="false" customHeight="false" outlineLevel="0" collapsed="false">
      <c r="A765" s="4" t="s">
        <v>1003</v>
      </c>
      <c r="B765" s="17" t="n">
        <v>45811</v>
      </c>
      <c r="C765" s="4" t="n">
        <v>14</v>
      </c>
      <c r="D765" s="4" t="s">
        <v>73</v>
      </c>
      <c r="E765" s="4" t="s">
        <v>79</v>
      </c>
      <c r="F765" s="4" t="s">
        <v>80</v>
      </c>
      <c r="G765" s="4" t="n">
        <v>1</v>
      </c>
      <c r="H765" s="4" t="n">
        <v>160</v>
      </c>
      <c r="I765" s="18" t="n">
        <v>0</v>
      </c>
      <c r="J765" s="4" t="s">
        <v>88</v>
      </c>
      <c r="K765" s="4" t="s">
        <v>68</v>
      </c>
    </row>
    <row r="766" customFormat="false" ht="15" hidden="false" customHeight="false" outlineLevel="0" collapsed="false">
      <c r="A766" s="4" t="s">
        <v>1004</v>
      </c>
      <c r="B766" s="17" t="n">
        <v>45811</v>
      </c>
      <c r="C766" s="4" t="n">
        <v>15</v>
      </c>
      <c r="D766" s="4" t="s">
        <v>70</v>
      </c>
      <c r="E766" s="4" t="s">
        <v>65</v>
      </c>
      <c r="F766" s="4" t="s">
        <v>94</v>
      </c>
      <c r="G766" s="4" t="n">
        <v>1</v>
      </c>
      <c r="H766" s="4" t="n">
        <v>150</v>
      </c>
      <c r="I766" s="18" t="n">
        <v>0</v>
      </c>
      <c r="J766" s="4" t="s">
        <v>76</v>
      </c>
      <c r="K766" s="4" t="s">
        <v>77</v>
      </c>
    </row>
    <row r="767" customFormat="false" ht="15" hidden="false" customHeight="false" outlineLevel="0" collapsed="false">
      <c r="A767" s="4" t="s">
        <v>1005</v>
      </c>
      <c r="B767" s="17" t="n">
        <v>45811</v>
      </c>
      <c r="C767" s="4" t="n">
        <v>18</v>
      </c>
      <c r="D767" s="4" t="s">
        <v>70</v>
      </c>
      <c r="E767" s="4" t="s">
        <v>84</v>
      </c>
      <c r="F767" s="4" t="s">
        <v>85</v>
      </c>
      <c r="G767" s="4" t="n">
        <v>1</v>
      </c>
      <c r="H767" s="4" t="n">
        <v>150</v>
      </c>
      <c r="I767" s="18" t="n">
        <v>0</v>
      </c>
      <c r="J767" s="4" t="s">
        <v>88</v>
      </c>
      <c r="K767" s="4" t="s">
        <v>77</v>
      </c>
    </row>
    <row r="768" customFormat="false" ht="15" hidden="false" customHeight="false" outlineLevel="0" collapsed="false">
      <c r="A768" s="4" t="s">
        <v>1006</v>
      </c>
      <c r="B768" s="17" t="n">
        <v>45812</v>
      </c>
      <c r="C768" s="4" t="n">
        <v>10</v>
      </c>
      <c r="D768" s="4" t="s">
        <v>938</v>
      </c>
      <c r="E768" s="4" t="s">
        <v>99</v>
      </c>
      <c r="F768" s="4" t="s">
        <v>109</v>
      </c>
      <c r="G768" s="4" t="n">
        <v>1</v>
      </c>
      <c r="H768" s="4" t="n">
        <v>130</v>
      </c>
      <c r="I768" s="18" t="n">
        <v>0</v>
      </c>
      <c r="J768" s="4" t="s">
        <v>67</v>
      </c>
      <c r="K768" s="4" t="s">
        <v>68</v>
      </c>
    </row>
    <row r="769" customFormat="false" ht="15" hidden="false" customHeight="false" outlineLevel="0" collapsed="false">
      <c r="A769" s="4" t="s">
        <v>1007</v>
      </c>
      <c r="B769" s="17" t="n">
        <v>45812</v>
      </c>
      <c r="C769" s="4" t="n">
        <v>10</v>
      </c>
      <c r="D769" s="4" t="s">
        <v>98</v>
      </c>
      <c r="E769" s="4" t="s">
        <v>99</v>
      </c>
      <c r="F769" s="4" t="s">
        <v>102</v>
      </c>
      <c r="G769" s="4" t="n">
        <v>1</v>
      </c>
      <c r="H769" s="4" t="n">
        <v>140</v>
      </c>
      <c r="I769" s="18" t="n">
        <v>0.1</v>
      </c>
      <c r="J769" s="4" t="s">
        <v>67</v>
      </c>
      <c r="K769" s="4" t="s">
        <v>71</v>
      </c>
    </row>
    <row r="770" customFormat="false" ht="15" hidden="false" customHeight="false" outlineLevel="0" collapsed="false">
      <c r="A770" s="4" t="s">
        <v>1008</v>
      </c>
      <c r="B770" s="17" t="n">
        <v>45812</v>
      </c>
      <c r="C770" s="4" t="n">
        <v>11</v>
      </c>
      <c r="D770" s="4" t="s">
        <v>166</v>
      </c>
      <c r="E770" s="4" t="s">
        <v>65</v>
      </c>
      <c r="F770" s="4" t="s">
        <v>66</v>
      </c>
      <c r="G770" s="4" t="n">
        <v>2</v>
      </c>
      <c r="H770" s="4" t="n">
        <v>120</v>
      </c>
      <c r="I770" s="18" t="n">
        <v>0</v>
      </c>
      <c r="K770" s="4" t="s">
        <v>77</v>
      </c>
    </row>
    <row r="771" customFormat="false" ht="15" hidden="false" customHeight="false" outlineLevel="0" collapsed="false">
      <c r="A771" s="4" t="s">
        <v>1009</v>
      </c>
      <c r="B771" s="17" t="n">
        <v>45812</v>
      </c>
      <c r="C771" s="4" t="n">
        <v>13</v>
      </c>
      <c r="D771" s="4" t="s">
        <v>70</v>
      </c>
      <c r="E771" s="4" t="s">
        <v>79</v>
      </c>
      <c r="F771" s="4" t="s">
        <v>80</v>
      </c>
      <c r="G771" s="4" t="n">
        <v>1</v>
      </c>
      <c r="H771" s="4" t="n">
        <v>160</v>
      </c>
      <c r="I771" s="18" t="n">
        <v>0.2</v>
      </c>
      <c r="J771" s="4" t="s">
        <v>67</v>
      </c>
      <c r="K771" s="4" t="s">
        <v>71</v>
      </c>
    </row>
    <row r="772" customFormat="false" ht="15" hidden="false" customHeight="false" outlineLevel="0" collapsed="false">
      <c r="A772" s="4" t="s">
        <v>1010</v>
      </c>
      <c r="B772" s="17" t="n">
        <v>45812</v>
      </c>
      <c r="C772" s="4" t="n">
        <v>13</v>
      </c>
      <c r="D772" s="4" t="s">
        <v>70</v>
      </c>
      <c r="E772" s="4" t="s">
        <v>65</v>
      </c>
      <c r="F772" s="4" t="s">
        <v>94</v>
      </c>
      <c r="G772" s="4" t="n">
        <v>2</v>
      </c>
      <c r="H772" s="4" t="n">
        <v>150</v>
      </c>
      <c r="I772" s="18" t="n">
        <v>0</v>
      </c>
      <c r="J772" s="4" t="s">
        <v>67</v>
      </c>
      <c r="K772" s="4" t="s">
        <v>77</v>
      </c>
    </row>
    <row r="773" customFormat="false" ht="15" hidden="false" customHeight="false" outlineLevel="0" collapsed="false">
      <c r="A773" s="4" t="s">
        <v>1011</v>
      </c>
      <c r="B773" s="17" t="n">
        <v>45812</v>
      </c>
      <c r="C773" s="4" t="n">
        <v>15</v>
      </c>
      <c r="D773" s="4" t="s">
        <v>70</v>
      </c>
      <c r="E773" s="4" t="s">
        <v>65</v>
      </c>
      <c r="F773" s="4" t="s">
        <v>94</v>
      </c>
      <c r="G773" s="4" t="n">
        <v>4</v>
      </c>
      <c r="H773" s="4" t="n">
        <v>150</v>
      </c>
      <c r="I773" s="18" t="n">
        <v>0.1</v>
      </c>
      <c r="J773" s="4" t="s">
        <v>81</v>
      </c>
      <c r="K773" s="4" t="s">
        <v>71</v>
      </c>
    </row>
    <row r="774" customFormat="false" ht="15" hidden="false" customHeight="false" outlineLevel="0" collapsed="false">
      <c r="A774" s="4" t="s">
        <v>1012</v>
      </c>
      <c r="B774" s="4" t="s">
        <v>1013</v>
      </c>
      <c r="C774" s="4" t="n">
        <v>16</v>
      </c>
      <c r="D774" s="4" t="s">
        <v>153</v>
      </c>
      <c r="E774" s="4" t="s">
        <v>65</v>
      </c>
      <c r="F774" s="4" t="s">
        <v>66</v>
      </c>
      <c r="G774" s="4" t="n">
        <v>2</v>
      </c>
      <c r="H774" s="4" t="n">
        <v>120</v>
      </c>
      <c r="I774" s="18" t="n">
        <v>0</v>
      </c>
      <c r="J774" s="4" t="s">
        <v>67</v>
      </c>
      <c r="K774" s="4" t="s">
        <v>68</v>
      </c>
    </row>
    <row r="775" customFormat="false" ht="15" hidden="false" customHeight="false" outlineLevel="0" collapsed="false">
      <c r="A775" s="4" t="s">
        <v>1014</v>
      </c>
      <c r="B775" s="4" t="s">
        <v>1013</v>
      </c>
      <c r="C775" s="4" t="n">
        <v>16</v>
      </c>
      <c r="D775" s="4" t="s">
        <v>70</v>
      </c>
      <c r="E775" s="4" t="s">
        <v>65</v>
      </c>
      <c r="F775" s="4" t="s">
        <v>66</v>
      </c>
      <c r="G775" s="4" t="n">
        <v>1</v>
      </c>
      <c r="H775" s="4" t="n">
        <v>120</v>
      </c>
      <c r="I775" s="18" t="n">
        <v>0</v>
      </c>
      <c r="J775" s="4" t="s">
        <v>103</v>
      </c>
      <c r="K775" s="4" t="s">
        <v>68</v>
      </c>
    </row>
    <row r="776" customFormat="false" ht="15" hidden="false" customHeight="false" outlineLevel="0" collapsed="false">
      <c r="A776" s="4" t="s">
        <v>1015</v>
      </c>
      <c r="B776" s="17" t="n">
        <v>45814</v>
      </c>
      <c r="C776" s="4" t="n">
        <v>7</v>
      </c>
      <c r="D776" s="4" t="s">
        <v>73</v>
      </c>
      <c r="E776" s="4" t="s">
        <v>65</v>
      </c>
      <c r="F776" s="4" t="s">
        <v>87</v>
      </c>
      <c r="G776" s="4" t="n">
        <v>1</v>
      </c>
      <c r="H776" s="4" t="n">
        <v>160</v>
      </c>
      <c r="I776" s="18" t="n">
        <v>0.1</v>
      </c>
      <c r="J776" s="4" t="s">
        <v>81</v>
      </c>
      <c r="K776" s="4" t="s">
        <v>68</v>
      </c>
    </row>
    <row r="777" customFormat="false" ht="15" hidden="false" customHeight="false" outlineLevel="0" collapsed="false">
      <c r="A777" s="4" t="s">
        <v>1016</v>
      </c>
      <c r="B777" s="4" t="s">
        <v>1017</v>
      </c>
      <c r="C777" s="4" t="n">
        <v>8</v>
      </c>
      <c r="D777" s="4" t="s">
        <v>225</v>
      </c>
      <c r="E777" s="4" t="s">
        <v>65</v>
      </c>
      <c r="F777" s="4" t="s">
        <v>66</v>
      </c>
      <c r="G777" s="4" t="n">
        <v>2</v>
      </c>
      <c r="H777" s="4" t="n">
        <v>120</v>
      </c>
      <c r="I777" s="18" t="n">
        <v>0.1</v>
      </c>
      <c r="J777" s="4" t="s">
        <v>76</v>
      </c>
      <c r="K777" s="4" t="s">
        <v>71</v>
      </c>
    </row>
    <row r="778" customFormat="false" ht="15" hidden="false" customHeight="false" outlineLevel="0" collapsed="false">
      <c r="A778" s="4" t="s">
        <v>1018</v>
      </c>
      <c r="B778" s="4" t="s">
        <v>1017</v>
      </c>
      <c r="C778" s="4" t="n">
        <v>9</v>
      </c>
      <c r="D778" s="4" t="s">
        <v>70</v>
      </c>
      <c r="E778" s="4" t="s">
        <v>99</v>
      </c>
      <c r="F778" s="4" t="s">
        <v>100</v>
      </c>
      <c r="G778" s="4" t="n">
        <v>2</v>
      </c>
      <c r="H778" s="4" t="n">
        <v>110</v>
      </c>
      <c r="I778" s="18" t="n">
        <v>0.05</v>
      </c>
      <c r="J778" s="4" t="s">
        <v>112</v>
      </c>
      <c r="K778" s="4" t="s">
        <v>82</v>
      </c>
    </row>
    <row r="779" customFormat="false" ht="15" hidden="false" customHeight="false" outlineLevel="0" collapsed="false">
      <c r="A779" s="4" t="s">
        <v>1019</v>
      </c>
      <c r="B779" s="17" t="n">
        <v>45814</v>
      </c>
      <c r="C779" s="4" t="n">
        <v>9</v>
      </c>
      <c r="D779" s="4" t="s">
        <v>64</v>
      </c>
      <c r="E779" s="4" t="s">
        <v>99</v>
      </c>
      <c r="F779" s="4" t="s">
        <v>102</v>
      </c>
      <c r="G779" s="4" t="n">
        <v>2</v>
      </c>
      <c r="H779" s="4" t="n">
        <v>140</v>
      </c>
      <c r="I779" s="18" t="n">
        <v>0.1</v>
      </c>
      <c r="J779" s="4" t="s">
        <v>67</v>
      </c>
      <c r="K779" s="4" t="s">
        <v>71</v>
      </c>
    </row>
    <row r="780" customFormat="false" ht="15" hidden="false" customHeight="false" outlineLevel="0" collapsed="false">
      <c r="A780" s="4" t="s">
        <v>1020</v>
      </c>
      <c r="B780" s="17" t="n">
        <v>45814</v>
      </c>
      <c r="C780" s="4" t="n">
        <v>9</v>
      </c>
      <c r="D780" s="4" t="s">
        <v>172</v>
      </c>
      <c r="E780" s="4" t="s">
        <v>65</v>
      </c>
      <c r="F780" s="4" t="s">
        <v>87</v>
      </c>
      <c r="G780" s="4" t="n">
        <v>3</v>
      </c>
      <c r="H780" s="4" t="n">
        <v>160</v>
      </c>
      <c r="I780" s="18" t="n">
        <v>0.15</v>
      </c>
      <c r="J780" s="4" t="s">
        <v>112</v>
      </c>
      <c r="K780" s="4" t="s">
        <v>82</v>
      </c>
    </row>
    <row r="781" customFormat="false" ht="15" hidden="false" customHeight="false" outlineLevel="0" collapsed="false">
      <c r="A781" s="4" t="s">
        <v>1021</v>
      </c>
      <c r="B781" s="17" t="n">
        <v>45814</v>
      </c>
      <c r="C781" s="4" t="n">
        <v>9</v>
      </c>
      <c r="D781" s="4" t="s">
        <v>64</v>
      </c>
      <c r="E781" s="4" t="s">
        <v>99</v>
      </c>
      <c r="F781" s="4" t="s">
        <v>100</v>
      </c>
      <c r="G781" s="4" t="n">
        <v>2</v>
      </c>
      <c r="H781" s="4" t="n">
        <v>110</v>
      </c>
      <c r="I781" s="18" t="n">
        <v>0</v>
      </c>
      <c r="J781" s="4" t="s">
        <v>81</v>
      </c>
      <c r="K781" s="4" t="s">
        <v>77</v>
      </c>
    </row>
    <row r="782" customFormat="false" ht="15" hidden="false" customHeight="false" outlineLevel="0" collapsed="false">
      <c r="A782" s="4" t="s">
        <v>1022</v>
      </c>
      <c r="B782" s="17" t="n">
        <v>45814</v>
      </c>
      <c r="C782" s="4" t="n">
        <v>10</v>
      </c>
      <c r="D782" s="4" t="s">
        <v>64</v>
      </c>
      <c r="E782" s="4" t="s">
        <v>373</v>
      </c>
      <c r="F782" s="4" t="s">
        <v>109</v>
      </c>
      <c r="G782" s="4" t="n">
        <v>1</v>
      </c>
      <c r="H782" s="4" t="n">
        <v>130</v>
      </c>
      <c r="I782" s="18" t="n">
        <v>0.15</v>
      </c>
      <c r="J782" s="4" t="s">
        <v>112</v>
      </c>
      <c r="K782" s="4" t="s">
        <v>77</v>
      </c>
    </row>
    <row r="783" customFormat="false" ht="15" hidden="false" customHeight="false" outlineLevel="0" collapsed="false">
      <c r="A783" s="4" t="s">
        <v>1023</v>
      </c>
      <c r="B783" s="17" t="n">
        <v>45814</v>
      </c>
      <c r="C783" s="4" t="n">
        <v>10</v>
      </c>
      <c r="D783" s="4" t="s">
        <v>166</v>
      </c>
      <c r="E783" s="4" t="s">
        <v>65</v>
      </c>
      <c r="F783" s="4" t="s">
        <v>121</v>
      </c>
      <c r="G783" s="4" t="n">
        <v>4</v>
      </c>
      <c r="H783" s="4" t="n">
        <v>170</v>
      </c>
      <c r="I783" s="18" t="n">
        <v>0</v>
      </c>
    </row>
    <row r="784" customFormat="false" ht="15" hidden="false" customHeight="false" outlineLevel="0" collapsed="false">
      <c r="A784" s="4" t="s">
        <v>1024</v>
      </c>
      <c r="B784" s="17" t="n">
        <v>45814</v>
      </c>
      <c r="C784" s="4" t="n">
        <v>12</v>
      </c>
      <c r="D784" s="4" t="s">
        <v>70</v>
      </c>
      <c r="E784" s="4" t="s">
        <v>65</v>
      </c>
      <c r="F784" s="4" t="s">
        <v>94</v>
      </c>
      <c r="G784" s="4" t="n">
        <v>2</v>
      </c>
      <c r="H784" s="4" t="n">
        <v>150</v>
      </c>
      <c r="I784" s="18" t="n">
        <v>0</v>
      </c>
      <c r="J784" s="4" t="s">
        <v>81</v>
      </c>
      <c r="K784" s="4" t="s">
        <v>68</v>
      </c>
    </row>
    <row r="785" customFormat="false" ht="15" hidden="false" customHeight="false" outlineLevel="0" collapsed="false">
      <c r="A785" s="4" t="s">
        <v>1025</v>
      </c>
      <c r="B785" s="17" t="n">
        <v>45814</v>
      </c>
      <c r="C785" s="4" t="n">
        <v>13</v>
      </c>
      <c r="D785" s="4" t="s">
        <v>73</v>
      </c>
      <c r="E785" s="4" t="s">
        <v>84</v>
      </c>
      <c r="F785" s="4" t="s">
        <v>114</v>
      </c>
      <c r="G785" s="4" t="n">
        <v>1</v>
      </c>
      <c r="H785" s="4" t="n">
        <v>85</v>
      </c>
      <c r="I785" s="18" t="n">
        <v>0</v>
      </c>
      <c r="J785" s="4" t="s">
        <v>76</v>
      </c>
    </row>
    <row r="786" customFormat="false" ht="15" hidden="false" customHeight="false" outlineLevel="0" collapsed="false">
      <c r="A786" s="4" t="s">
        <v>1026</v>
      </c>
      <c r="B786" s="17" t="n">
        <v>45814</v>
      </c>
      <c r="C786" s="4" t="n">
        <v>13</v>
      </c>
      <c r="D786" s="4" t="s">
        <v>189</v>
      </c>
      <c r="E786" s="4" t="s">
        <v>65</v>
      </c>
      <c r="F786" s="4" t="s">
        <v>121</v>
      </c>
      <c r="G786" s="4" t="n">
        <v>1</v>
      </c>
      <c r="H786" s="4" t="n">
        <v>170</v>
      </c>
      <c r="I786" s="18" t="n">
        <v>0</v>
      </c>
      <c r="J786" s="4" t="s">
        <v>67</v>
      </c>
      <c r="K786" s="4" t="s">
        <v>77</v>
      </c>
    </row>
    <row r="787" customFormat="false" ht="15" hidden="false" customHeight="false" outlineLevel="0" collapsed="false">
      <c r="A787" s="4" t="s">
        <v>1027</v>
      </c>
      <c r="B787" s="17" t="n">
        <v>45814</v>
      </c>
      <c r="C787" s="4" t="n">
        <v>14</v>
      </c>
      <c r="D787" s="4" t="s">
        <v>64</v>
      </c>
      <c r="E787" s="4" t="s">
        <v>99</v>
      </c>
      <c r="F787" s="4" t="s">
        <v>100</v>
      </c>
      <c r="G787" s="4" t="n">
        <v>2</v>
      </c>
      <c r="H787" s="4" t="n">
        <v>110</v>
      </c>
      <c r="I787" s="18" t="n">
        <v>0</v>
      </c>
      <c r="J787" s="4" t="s">
        <v>76</v>
      </c>
      <c r="K787" s="4" t="s">
        <v>68</v>
      </c>
    </row>
    <row r="788" customFormat="false" ht="15" hidden="false" customHeight="false" outlineLevel="0" collapsed="false">
      <c r="A788" s="4" t="s">
        <v>1028</v>
      </c>
      <c r="B788" s="17" t="n">
        <v>45814</v>
      </c>
      <c r="C788" s="4" t="n">
        <v>16</v>
      </c>
      <c r="D788" s="4" t="s">
        <v>64</v>
      </c>
      <c r="E788" s="4" t="s">
        <v>99</v>
      </c>
      <c r="F788" s="4" t="s">
        <v>1029</v>
      </c>
      <c r="G788" s="4" t="n">
        <v>1</v>
      </c>
      <c r="H788" s="4" t="n">
        <v>110</v>
      </c>
      <c r="I788" s="18" t="n">
        <v>0</v>
      </c>
      <c r="J788" s="4" t="s">
        <v>81</v>
      </c>
      <c r="K788" s="4" t="s">
        <v>68</v>
      </c>
    </row>
    <row r="789" customFormat="false" ht="15" hidden="false" customHeight="false" outlineLevel="0" collapsed="false">
      <c r="A789" s="4" t="s">
        <v>1030</v>
      </c>
      <c r="B789" s="17" t="n">
        <v>45814</v>
      </c>
      <c r="C789" s="4" t="n">
        <v>17</v>
      </c>
      <c r="D789" s="4" t="s">
        <v>70</v>
      </c>
      <c r="E789" s="4" t="s">
        <v>99</v>
      </c>
      <c r="F789" s="4" t="s">
        <v>109</v>
      </c>
      <c r="G789" s="4" t="n">
        <v>1</v>
      </c>
      <c r="H789" s="4" t="n">
        <v>130</v>
      </c>
      <c r="I789" s="18" t="n">
        <v>0.1</v>
      </c>
      <c r="J789" s="4" t="s">
        <v>81</v>
      </c>
      <c r="K789" s="4" t="s">
        <v>82</v>
      </c>
    </row>
    <row r="790" customFormat="false" ht="15" hidden="false" customHeight="false" outlineLevel="0" collapsed="false">
      <c r="A790" s="4" t="s">
        <v>1031</v>
      </c>
      <c r="B790" s="17" t="n">
        <v>45815</v>
      </c>
      <c r="C790" s="4" t="n">
        <v>10</v>
      </c>
      <c r="D790" s="4" t="s">
        <v>70</v>
      </c>
      <c r="E790" s="4" t="s">
        <v>99</v>
      </c>
      <c r="F790" s="4" t="s">
        <v>102</v>
      </c>
      <c r="G790" s="4" t="n">
        <v>1</v>
      </c>
      <c r="H790" s="4" t="n">
        <v>140</v>
      </c>
      <c r="I790" s="18" t="n">
        <v>0</v>
      </c>
      <c r="J790" s="4" t="s">
        <v>67</v>
      </c>
      <c r="K790" s="4" t="s">
        <v>68</v>
      </c>
    </row>
    <row r="791" customFormat="false" ht="15" hidden="false" customHeight="false" outlineLevel="0" collapsed="false">
      <c r="A791" s="4" t="s">
        <v>1032</v>
      </c>
      <c r="B791" s="17" t="n">
        <v>45815</v>
      </c>
      <c r="C791" s="4" t="n">
        <v>19</v>
      </c>
      <c r="D791" s="4" t="s">
        <v>424</v>
      </c>
      <c r="E791" s="4" t="s">
        <v>99</v>
      </c>
      <c r="F791" s="4" t="s">
        <v>102</v>
      </c>
      <c r="G791" s="4" t="n">
        <v>1</v>
      </c>
      <c r="H791" s="4" t="n">
        <v>140</v>
      </c>
      <c r="I791" s="18" t="n">
        <v>0.15</v>
      </c>
      <c r="J791" s="4" t="s">
        <v>67</v>
      </c>
      <c r="K791" s="4" t="s">
        <v>71</v>
      </c>
    </row>
    <row r="792" customFormat="false" ht="15" hidden="false" customHeight="false" outlineLevel="0" collapsed="false">
      <c r="A792" s="4" t="s">
        <v>1033</v>
      </c>
      <c r="B792" s="17" t="n">
        <v>45815</v>
      </c>
      <c r="C792" s="4" t="n">
        <v>20</v>
      </c>
      <c r="D792" s="4" t="s">
        <v>98</v>
      </c>
      <c r="E792" s="4" t="s">
        <v>65</v>
      </c>
      <c r="F792" s="4" t="s">
        <v>87</v>
      </c>
      <c r="G792" s="4" t="n">
        <v>1</v>
      </c>
      <c r="H792" s="4" t="n">
        <v>160</v>
      </c>
      <c r="I792" s="18" t="n">
        <v>0</v>
      </c>
      <c r="J792" s="4" t="s">
        <v>81</v>
      </c>
      <c r="K792" s="4" t="s">
        <v>68</v>
      </c>
    </row>
    <row r="793" customFormat="false" ht="15" hidden="false" customHeight="false" outlineLevel="0" collapsed="false">
      <c r="A793" s="4" t="s">
        <v>1034</v>
      </c>
      <c r="B793" s="17" t="n">
        <v>45816</v>
      </c>
      <c r="C793" s="4" t="n">
        <v>7</v>
      </c>
      <c r="D793" s="4" t="s">
        <v>64</v>
      </c>
      <c r="E793" s="4" t="s">
        <v>1035</v>
      </c>
      <c r="F793" s="4" t="s">
        <v>135</v>
      </c>
      <c r="G793" s="4" t="n">
        <v>3</v>
      </c>
      <c r="H793" s="4" t="n">
        <v>130</v>
      </c>
      <c r="I793" s="18" t="n">
        <v>0</v>
      </c>
      <c r="J793" s="4" t="s">
        <v>67</v>
      </c>
      <c r="K793" s="4" t="s">
        <v>77</v>
      </c>
    </row>
    <row r="794" customFormat="false" ht="15" hidden="false" customHeight="false" outlineLevel="0" collapsed="false">
      <c r="A794" s="4" t="s">
        <v>1036</v>
      </c>
      <c r="B794" s="17" t="n">
        <v>45816</v>
      </c>
      <c r="C794" s="4" t="n">
        <v>10</v>
      </c>
      <c r="D794" s="4" t="s">
        <v>70</v>
      </c>
      <c r="E794" s="4" t="s">
        <v>99</v>
      </c>
      <c r="F794" s="4" t="s">
        <v>100</v>
      </c>
      <c r="G794" s="4" t="n">
        <v>3</v>
      </c>
      <c r="H794" s="4" t="n">
        <v>110</v>
      </c>
      <c r="I794" s="18" t="n">
        <v>0.1</v>
      </c>
      <c r="J794" s="4" t="s">
        <v>76</v>
      </c>
      <c r="K794" s="4" t="s">
        <v>71</v>
      </c>
    </row>
    <row r="795" customFormat="false" ht="15" hidden="false" customHeight="false" outlineLevel="0" collapsed="false">
      <c r="A795" s="4" t="s">
        <v>1037</v>
      </c>
      <c r="B795" s="17" t="n">
        <v>45816</v>
      </c>
      <c r="C795" s="4" t="n">
        <v>13</v>
      </c>
      <c r="D795" s="4" t="s">
        <v>64</v>
      </c>
      <c r="E795" s="4" t="s">
        <v>99</v>
      </c>
      <c r="F795" s="4" t="s">
        <v>100</v>
      </c>
      <c r="G795" s="4" t="n">
        <v>1</v>
      </c>
      <c r="H795" s="4" t="n">
        <v>110</v>
      </c>
      <c r="I795" s="18" t="n">
        <v>0.05</v>
      </c>
      <c r="J795" s="4" t="s">
        <v>76</v>
      </c>
      <c r="K795" s="4" t="s">
        <v>82</v>
      </c>
    </row>
    <row r="796" customFormat="false" ht="15" hidden="false" customHeight="false" outlineLevel="0" collapsed="false">
      <c r="A796" s="4" t="s">
        <v>1038</v>
      </c>
      <c r="B796" s="17" t="n">
        <v>45816</v>
      </c>
      <c r="C796" s="4" t="n">
        <v>13</v>
      </c>
      <c r="D796" s="4" t="s">
        <v>166</v>
      </c>
      <c r="E796" s="4" t="s">
        <v>65</v>
      </c>
      <c r="F796" s="4" t="s">
        <v>94</v>
      </c>
      <c r="G796" s="4" t="n">
        <v>4</v>
      </c>
      <c r="H796" s="4" t="n">
        <v>150</v>
      </c>
      <c r="I796" s="18" t="n">
        <v>0</v>
      </c>
      <c r="J796" s="4" t="s">
        <v>81</v>
      </c>
      <c r="K796" s="4" t="s">
        <v>77</v>
      </c>
    </row>
    <row r="797" customFormat="false" ht="15" hidden="false" customHeight="false" outlineLevel="0" collapsed="false">
      <c r="A797" s="4" t="s">
        <v>1039</v>
      </c>
      <c r="B797" s="17" t="n">
        <v>45817</v>
      </c>
      <c r="C797" s="4" t="n">
        <v>7</v>
      </c>
      <c r="D797" s="4" t="s">
        <v>64</v>
      </c>
      <c r="E797" s="4" t="s">
        <v>99</v>
      </c>
      <c r="F797" s="4" t="s">
        <v>133</v>
      </c>
      <c r="G797" s="4" t="n">
        <v>1</v>
      </c>
      <c r="H797" s="4" t="n">
        <v>90</v>
      </c>
      <c r="I797" s="18" t="n">
        <v>0</v>
      </c>
      <c r="J797" s="4" t="s">
        <v>81</v>
      </c>
      <c r="K797" s="4" t="s">
        <v>77</v>
      </c>
    </row>
    <row r="798" customFormat="false" ht="15" hidden="false" customHeight="false" outlineLevel="0" collapsed="false">
      <c r="A798" s="4" t="s">
        <v>1040</v>
      </c>
      <c r="B798" s="17" t="n">
        <v>45817</v>
      </c>
      <c r="C798" s="4" t="n">
        <v>8</v>
      </c>
      <c r="D798" s="4" t="s">
        <v>73</v>
      </c>
      <c r="E798" s="4" t="s">
        <v>403</v>
      </c>
      <c r="F798" s="4" t="s">
        <v>100</v>
      </c>
      <c r="G798" s="4" t="n">
        <v>1</v>
      </c>
      <c r="H798" s="4" t="n">
        <v>110</v>
      </c>
      <c r="I798" s="18" t="n">
        <v>0.05</v>
      </c>
      <c r="J798" s="4" t="s">
        <v>88</v>
      </c>
      <c r="K798" s="4" t="s">
        <v>82</v>
      </c>
    </row>
    <row r="799" customFormat="false" ht="15" hidden="false" customHeight="false" outlineLevel="0" collapsed="false">
      <c r="A799" s="4" t="s">
        <v>1041</v>
      </c>
      <c r="B799" s="17" t="n">
        <v>45817</v>
      </c>
      <c r="C799" s="4" t="n">
        <v>11</v>
      </c>
      <c r="D799" s="4" t="s">
        <v>73</v>
      </c>
      <c r="E799" s="4" t="s">
        <v>74</v>
      </c>
      <c r="F799" s="4" t="s">
        <v>91</v>
      </c>
      <c r="G799" s="4" t="n">
        <v>4</v>
      </c>
      <c r="H799" s="4" t="n">
        <v>200</v>
      </c>
      <c r="I799" s="18" t="n">
        <v>0</v>
      </c>
      <c r="J799" s="4" t="s">
        <v>268</v>
      </c>
      <c r="K799" s="4" t="s">
        <v>77</v>
      </c>
    </row>
    <row r="800" customFormat="false" ht="15" hidden="false" customHeight="false" outlineLevel="0" collapsed="false">
      <c r="A800" s="4" t="s">
        <v>1042</v>
      </c>
      <c r="B800" s="17" t="n">
        <v>45817</v>
      </c>
      <c r="C800" s="4" t="n">
        <v>11</v>
      </c>
      <c r="D800" s="4" t="s">
        <v>70</v>
      </c>
      <c r="E800" s="4" t="s">
        <v>84</v>
      </c>
      <c r="F800" s="4" t="s">
        <v>114</v>
      </c>
      <c r="G800" s="4" t="n">
        <v>1</v>
      </c>
      <c r="H800" s="4" t="n">
        <v>85</v>
      </c>
      <c r="I800" s="18" t="n">
        <v>0</v>
      </c>
      <c r="J800" s="4" t="s">
        <v>112</v>
      </c>
      <c r="K800" s="4" t="s">
        <v>68</v>
      </c>
    </row>
    <row r="801" customFormat="false" ht="15" hidden="false" customHeight="false" outlineLevel="0" collapsed="false">
      <c r="A801" s="4" t="s">
        <v>1043</v>
      </c>
      <c r="B801" s="17" t="n">
        <v>45817</v>
      </c>
      <c r="C801" s="4" t="n">
        <v>16</v>
      </c>
      <c r="D801" s="4" t="s">
        <v>70</v>
      </c>
      <c r="E801" s="4" t="s">
        <v>84</v>
      </c>
      <c r="F801" s="4" t="s">
        <v>85</v>
      </c>
      <c r="G801" s="4" t="n">
        <v>4</v>
      </c>
      <c r="H801" s="4" t="n">
        <v>150</v>
      </c>
      <c r="I801" s="18" t="n">
        <v>0.15</v>
      </c>
      <c r="J801" s="4" t="s">
        <v>123</v>
      </c>
      <c r="K801" s="4" t="s">
        <v>82</v>
      </c>
    </row>
    <row r="802" customFormat="false" ht="15" hidden="false" customHeight="false" outlineLevel="0" collapsed="false">
      <c r="A802" s="4" t="s">
        <v>1044</v>
      </c>
      <c r="B802" s="17" t="n">
        <v>45817</v>
      </c>
      <c r="C802" s="4" t="n">
        <v>16</v>
      </c>
      <c r="D802" s="4" t="s">
        <v>64</v>
      </c>
      <c r="E802" s="4" t="s">
        <v>99</v>
      </c>
      <c r="F802" s="4" t="s">
        <v>946</v>
      </c>
      <c r="G802" s="4" t="n">
        <v>2</v>
      </c>
      <c r="H802" s="4" t="n">
        <v>90</v>
      </c>
      <c r="I802" s="18" t="n">
        <v>0</v>
      </c>
      <c r="J802" s="4" t="s">
        <v>81</v>
      </c>
      <c r="K802" s="4" t="s">
        <v>68</v>
      </c>
    </row>
    <row r="803" customFormat="false" ht="15" hidden="false" customHeight="false" outlineLevel="0" collapsed="false">
      <c r="A803" s="4" t="s">
        <v>1045</v>
      </c>
      <c r="B803" s="17" t="n">
        <v>45817</v>
      </c>
      <c r="C803" s="4" t="n">
        <v>18</v>
      </c>
      <c r="D803" s="4" t="s">
        <v>73</v>
      </c>
      <c r="E803" s="4" t="s">
        <v>99</v>
      </c>
      <c r="F803" s="4" t="s">
        <v>946</v>
      </c>
      <c r="G803" s="4" t="n">
        <v>3</v>
      </c>
      <c r="H803" s="4" t="n">
        <v>90</v>
      </c>
      <c r="I803" s="18" t="n">
        <v>0.05</v>
      </c>
      <c r="J803" s="4" t="s">
        <v>88</v>
      </c>
      <c r="K803" s="4" t="s">
        <v>82</v>
      </c>
    </row>
    <row r="804" customFormat="false" ht="15" hidden="false" customHeight="false" outlineLevel="0" collapsed="false">
      <c r="A804" s="4" t="s">
        <v>1046</v>
      </c>
      <c r="B804" s="17" t="n">
        <v>45817</v>
      </c>
      <c r="C804" s="4" t="n">
        <v>19</v>
      </c>
      <c r="D804" s="4" t="s">
        <v>64</v>
      </c>
      <c r="E804" s="4" t="s">
        <v>74</v>
      </c>
      <c r="F804" s="4" t="s">
        <v>75</v>
      </c>
      <c r="G804" s="4" t="n">
        <v>1</v>
      </c>
      <c r="H804" s="4" t="n">
        <v>220</v>
      </c>
      <c r="I804" s="18" t="n">
        <v>0.1</v>
      </c>
      <c r="J804" s="4" t="s">
        <v>112</v>
      </c>
      <c r="K804" s="4" t="s">
        <v>77</v>
      </c>
    </row>
    <row r="805" customFormat="false" ht="15" hidden="false" customHeight="false" outlineLevel="0" collapsed="false">
      <c r="A805" s="4" t="s">
        <v>1047</v>
      </c>
      <c r="B805" s="17" t="n">
        <v>45818</v>
      </c>
      <c r="C805" s="4" t="n">
        <v>7</v>
      </c>
      <c r="D805" s="4" t="s">
        <v>64</v>
      </c>
      <c r="E805" s="4" t="s">
        <v>65</v>
      </c>
      <c r="F805" s="4" t="s">
        <v>94</v>
      </c>
      <c r="G805" s="4" t="n">
        <v>1</v>
      </c>
      <c r="H805" s="4" t="n">
        <v>150</v>
      </c>
      <c r="I805" s="18" t="n">
        <v>0</v>
      </c>
      <c r="J805" s="4" t="s">
        <v>81</v>
      </c>
      <c r="K805" s="4" t="s">
        <v>68</v>
      </c>
    </row>
    <row r="806" customFormat="false" ht="15" hidden="false" customHeight="false" outlineLevel="0" collapsed="false">
      <c r="A806" s="4" t="s">
        <v>1048</v>
      </c>
      <c r="B806" s="17" t="n">
        <v>45818</v>
      </c>
      <c r="C806" s="4" t="n">
        <v>8</v>
      </c>
      <c r="D806" s="4" t="s">
        <v>73</v>
      </c>
      <c r="E806" s="4" t="s">
        <v>84</v>
      </c>
      <c r="F806" s="4" t="s">
        <v>106</v>
      </c>
      <c r="G806" s="4" t="n">
        <v>1</v>
      </c>
      <c r="H806" s="4" t="n">
        <v>60</v>
      </c>
      <c r="I806" s="18" t="n">
        <v>0.05</v>
      </c>
      <c r="J806" s="4" t="s">
        <v>76</v>
      </c>
      <c r="K806" s="4" t="s">
        <v>82</v>
      </c>
    </row>
    <row r="807" customFormat="false" ht="15" hidden="false" customHeight="false" outlineLevel="0" collapsed="false">
      <c r="A807" s="4" t="s">
        <v>1049</v>
      </c>
      <c r="B807" s="17" t="n">
        <v>45818</v>
      </c>
      <c r="C807" s="4" t="n">
        <v>9</v>
      </c>
      <c r="D807" s="4" t="s">
        <v>64</v>
      </c>
      <c r="E807" s="4" t="s">
        <v>65</v>
      </c>
      <c r="F807" s="4" t="s">
        <v>121</v>
      </c>
      <c r="G807" s="4" t="n">
        <v>1</v>
      </c>
      <c r="H807" s="4" t="n">
        <v>170</v>
      </c>
      <c r="I807" s="18" t="n">
        <v>0</v>
      </c>
      <c r="J807" s="4" t="s">
        <v>81</v>
      </c>
      <c r="K807" s="4" t="s">
        <v>77</v>
      </c>
    </row>
    <row r="808" customFormat="false" ht="15" hidden="false" customHeight="false" outlineLevel="0" collapsed="false">
      <c r="A808" s="4" t="s">
        <v>1050</v>
      </c>
      <c r="B808" s="17" t="n">
        <v>45818</v>
      </c>
      <c r="C808" s="4" t="n">
        <v>10</v>
      </c>
      <c r="D808" s="4" t="s">
        <v>73</v>
      </c>
      <c r="E808" s="4" t="s">
        <v>403</v>
      </c>
      <c r="F808" s="4" t="s">
        <v>109</v>
      </c>
      <c r="G808" s="4" t="n">
        <v>2</v>
      </c>
      <c r="H808" s="4" t="n">
        <v>130</v>
      </c>
      <c r="I808" s="18" t="n">
        <v>0</v>
      </c>
      <c r="J808" s="4" t="s">
        <v>76</v>
      </c>
      <c r="K808" s="4" t="s">
        <v>68</v>
      </c>
    </row>
    <row r="809" customFormat="false" ht="15" hidden="false" customHeight="false" outlineLevel="0" collapsed="false">
      <c r="A809" s="4" t="s">
        <v>1051</v>
      </c>
      <c r="B809" s="17" t="n">
        <v>45818</v>
      </c>
      <c r="C809" s="4" t="n">
        <v>11</v>
      </c>
      <c r="D809" s="4" t="s">
        <v>64</v>
      </c>
      <c r="E809" s="4" t="s">
        <v>99</v>
      </c>
      <c r="F809" s="4" t="s">
        <v>102</v>
      </c>
      <c r="G809" s="4" t="n">
        <v>2</v>
      </c>
      <c r="H809" s="4" t="n">
        <v>140</v>
      </c>
      <c r="I809" s="18" t="n">
        <v>0</v>
      </c>
      <c r="J809" s="4" t="s">
        <v>81</v>
      </c>
      <c r="K809" s="4" t="s">
        <v>68</v>
      </c>
    </row>
    <row r="810" customFormat="false" ht="15" hidden="false" customHeight="false" outlineLevel="0" collapsed="false">
      <c r="A810" s="4" t="s">
        <v>1052</v>
      </c>
      <c r="B810" s="17" t="n">
        <v>45818</v>
      </c>
      <c r="C810" s="4" t="n">
        <v>12</v>
      </c>
      <c r="D810" s="4" t="s">
        <v>70</v>
      </c>
      <c r="E810" s="4" t="s">
        <v>74</v>
      </c>
      <c r="F810" s="4" t="s">
        <v>139</v>
      </c>
      <c r="G810" s="4" t="n">
        <v>2</v>
      </c>
      <c r="H810" s="4" t="n">
        <v>260</v>
      </c>
      <c r="I810" s="18" t="n">
        <v>0</v>
      </c>
      <c r="J810" s="4" t="s">
        <v>81</v>
      </c>
      <c r="K810" s="4" t="s">
        <v>77</v>
      </c>
    </row>
    <row r="811" customFormat="false" ht="15" hidden="false" customHeight="false" outlineLevel="0" collapsed="false">
      <c r="A811" s="4" t="s">
        <v>1053</v>
      </c>
      <c r="B811" s="17" t="n">
        <v>45818</v>
      </c>
      <c r="C811" s="4" t="n">
        <v>17</v>
      </c>
      <c r="D811" s="4" t="s">
        <v>70</v>
      </c>
      <c r="E811" s="4" t="s">
        <v>79</v>
      </c>
      <c r="F811" s="4" t="s">
        <v>135</v>
      </c>
      <c r="G811" s="4" t="n">
        <v>3</v>
      </c>
      <c r="H811" s="4" t="n">
        <v>130</v>
      </c>
      <c r="I811" s="18" t="n">
        <v>0</v>
      </c>
      <c r="J811" s="4" t="s">
        <v>76</v>
      </c>
      <c r="K811" s="4" t="s">
        <v>77</v>
      </c>
    </row>
    <row r="812" customFormat="false" ht="15" hidden="false" customHeight="false" outlineLevel="0" collapsed="false">
      <c r="A812" s="4" t="s">
        <v>1054</v>
      </c>
      <c r="B812" s="17" t="n">
        <v>45819</v>
      </c>
      <c r="C812" s="4" t="n">
        <v>10</v>
      </c>
      <c r="D812" s="4" t="s">
        <v>335</v>
      </c>
      <c r="E812" s="4" t="s">
        <v>99</v>
      </c>
      <c r="F812" s="4" t="s">
        <v>252</v>
      </c>
      <c r="G812" s="4" t="n">
        <v>1</v>
      </c>
      <c r="H812" s="4" t="n">
        <v>130</v>
      </c>
      <c r="I812" s="18" t="n">
        <v>0.05</v>
      </c>
      <c r="J812" s="4" t="s">
        <v>76</v>
      </c>
      <c r="K812" s="4" t="s">
        <v>82</v>
      </c>
    </row>
    <row r="813" customFormat="false" ht="15" hidden="false" customHeight="false" outlineLevel="0" collapsed="false">
      <c r="A813" s="4" t="s">
        <v>1055</v>
      </c>
      <c r="B813" s="17" t="n">
        <v>45819</v>
      </c>
      <c r="C813" s="4" t="n">
        <v>12</v>
      </c>
      <c r="D813" s="4" t="s">
        <v>96</v>
      </c>
      <c r="E813" s="4" t="s">
        <v>84</v>
      </c>
      <c r="F813" s="4" t="s">
        <v>114</v>
      </c>
      <c r="G813" s="4" t="n">
        <v>2</v>
      </c>
      <c r="H813" s="4" t="n">
        <v>85</v>
      </c>
      <c r="I813" s="18" t="n">
        <v>0.15</v>
      </c>
      <c r="J813" s="4" t="s">
        <v>76</v>
      </c>
      <c r="K813" s="4" t="s">
        <v>77</v>
      </c>
    </row>
    <row r="814" customFormat="false" ht="15" hidden="false" customHeight="false" outlineLevel="0" collapsed="false">
      <c r="A814" s="4" t="s">
        <v>1056</v>
      </c>
      <c r="B814" s="17" t="n">
        <v>45819</v>
      </c>
      <c r="C814" s="4" t="n">
        <v>12</v>
      </c>
      <c r="D814" s="4" t="s">
        <v>98</v>
      </c>
      <c r="E814" s="4" t="s">
        <v>99</v>
      </c>
      <c r="F814" s="4" t="s">
        <v>109</v>
      </c>
      <c r="G814" s="4" t="n">
        <v>2</v>
      </c>
      <c r="H814" s="4" t="n">
        <v>130</v>
      </c>
      <c r="I814" s="18" t="n">
        <v>0</v>
      </c>
      <c r="J814" s="4" t="s">
        <v>76</v>
      </c>
      <c r="K814" s="4" t="s">
        <v>77</v>
      </c>
    </row>
    <row r="815" customFormat="false" ht="15" hidden="false" customHeight="false" outlineLevel="0" collapsed="false">
      <c r="A815" s="4" t="s">
        <v>1057</v>
      </c>
      <c r="B815" s="17" t="n">
        <v>45819</v>
      </c>
      <c r="C815" s="4" t="n">
        <v>13</v>
      </c>
      <c r="D815" s="4" t="s">
        <v>73</v>
      </c>
      <c r="E815" s="4" t="s">
        <v>74</v>
      </c>
      <c r="F815" s="4" t="s">
        <v>75</v>
      </c>
      <c r="G815" s="4" t="n">
        <v>1</v>
      </c>
      <c r="H815" s="4" t="n">
        <v>220</v>
      </c>
      <c r="I815" s="18" t="n">
        <v>0.1</v>
      </c>
      <c r="J815" s="4" t="s">
        <v>76</v>
      </c>
      <c r="K815" s="4" t="s">
        <v>68</v>
      </c>
    </row>
    <row r="816" customFormat="false" ht="15" hidden="false" customHeight="false" outlineLevel="0" collapsed="false">
      <c r="A816" s="4" t="s">
        <v>1058</v>
      </c>
      <c r="B816" s="17" t="n">
        <v>45819</v>
      </c>
      <c r="C816" s="4" t="n">
        <v>18</v>
      </c>
      <c r="D816" s="4" t="s">
        <v>64</v>
      </c>
      <c r="E816" s="4" t="s">
        <v>74</v>
      </c>
      <c r="F816" s="4" t="s">
        <v>75</v>
      </c>
      <c r="H816" s="4" t="n">
        <v>220</v>
      </c>
      <c r="I816" s="18" t="n">
        <v>0.1</v>
      </c>
      <c r="J816" s="4" t="s">
        <v>112</v>
      </c>
      <c r="K816" s="4" t="s">
        <v>77</v>
      </c>
    </row>
    <row r="817" customFormat="false" ht="15" hidden="false" customHeight="false" outlineLevel="0" collapsed="false">
      <c r="A817" s="4" t="s">
        <v>1059</v>
      </c>
      <c r="B817" s="4" t="s">
        <v>1060</v>
      </c>
      <c r="C817" s="4" t="n">
        <v>12</v>
      </c>
      <c r="D817" s="4" t="s">
        <v>73</v>
      </c>
      <c r="E817" s="4" t="s">
        <v>99</v>
      </c>
      <c r="F817" s="4" t="s">
        <v>100</v>
      </c>
      <c r="G817" s="4" t="n">
        <v>2</v>
      </c>
      <c r="H817" s="4" t="n">
        <v>110</v>
      </c>
      <c r="I817" s="18" t="n">
        <v>0.1</v>
      </c>
      <c r="J817" s="4" t="s">
        <v>81</v>
      </c>
      <c r="K817" s="4" t="s">
        <v>71</v>
      </c>
    </row>
    <row r="818" customFormat="false" ht="15" hidden="false" customHeight="false" outlineLevel="0" collapsed="false">
      <c r="A818" s="4" t="s">
        <v>1061</v>
      </c>
      <c r="B818" s="4" t="s">
        <v>1060</v>
      </c>
      <c r="C818" s="4" t="n">
        <v>12</v>
      </c>
      <c r="D818" s="4" t="s">
        <v>70</v>
      </c>
      <c r="E818" s="4" t="s">
        <v>65</v>
      </c>
      <c r="F818" s="4" t="s">
        <v>94</v>
      </c>
      <c r="G818" s="4" t="n">
        <v>1</v>
      </c>
      <c r="H818" s="4" t="n">
        <v>150</v>
      </c>
      <c r="I818" s="18" t="n">
        <v>0.05</v>
      </c>
      <c r="J818" s="4" t="s">
        <v>67</v>
      </c>
      <c r="K818" s="4" t="s">
        <v>82</v>
      </c>
    </row>
    <row r="819" customFormat="false" ht="15" hidden="false" customHeight="false" outlineLevel="0" collapsed="false">
      <c r="A819" s="4" t="s">
        <v>1062</v>
      </c>
      <c r="B819" s="4" t="s">
        <v>1060</v>
      </c>
      <c r="C819" s="4" t="n">
        <v>20</v>
      </c>
      <c r="D819" s="4" t="s">
        <v>225</v>
      </c>
      <c r="E819" s="4" t="s">
        <v>99</v>
      </c>
      <c r="F819" s="4" t="s">
        <v>100</v>
      </c>
      <c r="G819" s="4" t="n">
        <v>1</v>
      </c>
      <c r="H819" s="4" t="n">
        <v>110</v>
      </c>
      <c r="I819" s="18" t="n">
        <v>0</v>
      </c>
      <c r="J819" s="4" t="s">
        <v>268</v>
      </c>
      <c r="K819" s="4" t="s">
        <v>77</v>
      </c>
    </row>
    <row r="820" customFormat="false" ht="15" hidden="false" customHeight="false" outlineLevel="0" collapsed="false">
      <c r="A820" s="4" t="s">
        <v>1063</v>
      </c>
      <c r="B820" s="17" t="n">
        <v>45822</v>
      </c>
      <c r="C820" s="4" t="n">
        <v>8</v>
      </c>
      <c r="D820" s="4" t="s">
        <v>64</v>
      </c>
      <c r="E820" s="4" t="s">
        <v>84</v>
      </c>
      <c r="F820" s="4" t="s">
        <v>117</v>
      </c>
      <c r="G820" s="4" t="n">
        <v>2</v>
      </c>
      <c r="H820" s="4" t="n">
        <v>95</v>
      </c>
      <c r="I820" s="18" t="n">
        <v>0.05</v>
      </c>
      <c r="J820" s="4" t="s">
        <v>67</v>
      </c>
      <c r="K820" s="4" t="s">
        <v>82</v>
      </c>
    </row>
    <row r="821" customFormat="false" ht="15" hidden="false" customHeight="false" outlineLevel="0" collapsed="false">
      <c r="A821" s="4" t="s">
        <v>1064</v>
      </c>
      <c r="B821" s="17" t="n">
        <v>45822</v>
      </c>
      <c r="C821" s="4" t="n">
        <v>8</v>
      </c>
      <c r="D821" s="4" t="s">
        <v>70</v>
      </c>
      <c r="E821" s="4" t="s">
        <v>65</v>
      </c>
      <c r="F821" s="4" t="s">
        <v>94</v>
      </c>
      <c r="G821" s="4" t="n">
        <v>4</v>
      </c>
      <c r="H821" s="4" t="n">
        <v>150</v>
      </c>
      <c r="I821" s="18" t="n">
        <v>0</v>
      </c>
      <c r="J821" s="4" t="s">
        <v>67</v>
      </c>
      <c r="K821" s="4" t="s">
        <v>68</v>
      </c>
    </row>
    <row r="822" customFormat="false" ht="15" hidden="false" customHeight="false" outlineLevel="0" collapsed="false">
      <c r="A822" s="4" t="s">
        <v>1065</v>
      </c>
      <c r="B822" s="17" t="n">
        <v>45822</v>
      </c>
      <c r="C822" s="4" t="n">
        <v>8</v>
      </c>
      <c r="D822" s="4" t="s">
        <v>73</v>
      </c>
      <c r="E822" s="4" t="s">
        <v>84</v>
      </c>
      <c r="F822" s="4" t="s">
        <v>114</v>
      </c>
      <c r="G822" s="4" t="n">
        <v>1</v>
      </c>
      <c r="H822" s="4" t="n">
        <v>85</v>
      </c>
      <c r="I822" s="18" t="n">
        <v>0</v>
      </c>
      <c r="J822" s="4" t="s">
        <v>112</v>
      </c>
      <c r="K822" s="4" t="s">
        <v>68</v>
      </c>
    </row>
    <row r="823" customFormat="false" ht="15" hidden="false" customHeight="false" outlineLevel="0" collapsed="false">
      <c r="A823" s="4" t="s">
        <v>1066</v>
      </c>
      <c r="B823" s="17" t="n">
        <v>45822</v>
      </c>
      <c r="C823" s="4" t="n">
        <v>12</v>
      </c>
      <c r="D823" s="4" t="s">
        <v>73</v>
      </c>
      <c r="E823" s="4" t="s">
        <v>74</v>
      </c>
      <c r="F823" s="4" t="s">
        <v>91</v>
      </c>
      <c r="G823" s="4" t="n">
        <v>1</v>
      </c>
      <c r="H823" s="4" t="n">
        <v>200</v>
      </c>
      <c r="I823" s="18" t="n">
        <v>0.1</v>
      </c>
      <c r="J823" s="4" t="s">
        <v>67</v>
      </c>
      <c r="K823" s="4" t="s">
        <v>71</v>
      </c>
    </row>
    <row r="824" customFormat="false" ht="15" hidden="false" customHeight="false" outlineLevel="0" collapsed="false">
      <c r="A824" s="4" t="s">
        <v>1067</v>
      </c>
      <c r="B824" s="17" t="n">
        <v>45823</v>
      </c>
      <c r="C824" s="4" t="n">
        <v>8</v>
      </c>
      <c r="D824" s="4" t="s">
        <v>70</v>
      </c>
      <c r="E824" s="4" t="s">
        <v>99</v>
      </c>
      <c r="F824" s="4" t="s">
        <v>102</v>
      </c>
      <c r="G824" s="4" t="n">
        <v>1</v>
      </c>
      <c r="H824" s="4" t="n">
        <v>140</v>
      </c>
      <c r="I824" s="18" t="n">
        <v>0</v>
      </c>
      <c r="J824" s="4" t="s">
        <v>67</v>
      </c>
      <c r="K824" s="4" t="s">
        <v>68</v>
      </c>
    </row>
    <row r="825" customFormat="false" ht="15" hidden="false" customHeight="false" outlineLevel="0" collapsed="false">
      <c r="A825" s="4" t="s">
        <v>1068</v>
      </c>
      <c r="B825" s="17" t="n">
        <v>45823</v>
      </c>
      <c r="C825" s="4" t="n">
        <v>8</v>
      </c>
      <c r="D825" s="4" t="s">
        <v>73</v>
      </c>
      <c r="E825" s="4" t="s">
        <v>65</v>
      </c>
      <c r="F825" s="4" t="s">
        <v>94</v>
      </c>
      <c r="G825" s="4" t="n">
        <v>1</v>
      </c>
      <c r="H825" s="4" t="n">
        <v>150</v>
      </c>
      <c r="I825" s="18" t="n">
        <v>0.1</v>
      </c>
      <c r="J825" s="4" t="s">
        <v>76</v>
      </c>
      <c r="K825" s="4" t="s">
        <v>71</v>
      </c>
    </row>
    <row r="826" customFormat="false" ht="15" hidden="false" customHeight="false" outlineLevel="0" collapsed="false">
      <c r="A826" s="4" t="s">
        <v>1069</v>
      </c>
      <c r="B826" s="17" t="n">
        <v>45823</v>
      </c>
      <c r="C826" s="4" t="n">
        <v>10</v>
      </c>
      <c r="D826" s="4" t="s">
        <v>70</v>
      </c>
      <c r="E826" s="4" t="s">
        <v>84</v>
      </c>
      <c r="F826" s="4" t="s">
        <v>1070</v>
      </c>
      <c r="G826" s="4" t="n">
        <v>2</v>
      </c>
      <c r="H826" s="4" t="n">
        <v>95</v>
      </c>
      <c r="I826" s="18" t="n">
        <v>0.1</v>
      </c>
      <c r="J826" s="4" t="s">
        <v>67</v>
      </c>
      <c r="K826" s="4" t="s">
        <v>71</v>
      </c>
    </row>
    <row r="827" customFormat="false" ht="15" hidden="false" customHeight="false" outlineLevel="0" collapsed="false">
      <c r="A827" s="4" t="s">
        <v>1071</v>
      </c>
      <c r="B827" s="17" t="n">
        <v>45823</v>
      </c>
      <c r="C827" s="4" t="n">
        <v>11</v>
      </c>
      <c r="D827" s="4" t="s">
        <v>64</v>
      </c>
      <c r="E827" s="4" t="s">
        <v>99</v>
      </c>
      <c r="F827" s="4" t="s">
        <v>102</v>
      </c>
      <c r="G827" s="4" t="n">
        <v>3</v>
      </c>
      <c r="H827" s="4" t="n">
        <v>140</v>
      </c>
      <c r="I827" s="18" t="n">
        <v>0</v>
      </c>
      <c r="J827" s="4" t="s">
        <v>112</v>
      </c>
      <c r="K827" s="4" t="s">
        <v>68</v>
      </c>
    </row>
    <row r="828" customFormat="false" ht="15" hidden="false" customHeight="false" outlineLevel="0" collapsed="false">
      <c r="A828" s="4" t="s">
        <v>1072</v>
      </c>
      <c r="B828" s="17" t="n">
        <v>45823</v>
      </c>
      <c r="C828" s="4" t="n">
        <v>11</v>
      </c>
      <c r="D828" s="4" t="s">
        <v>64</v>
      </c>
      <c r="E828" s="4" t="s">
        <v>79</v>
      </c>
      <c r="F828" s="4" t="s">
        <v>148</v>
      </c>
      <c r="G828" s="4" t="n">
        <v>2</v>
      </c>
      <c r="H828" s="4" t="n">
        <v>120</v>
      </c>
      <c r="I828" s="18" t="n">
        <v>0.2</v>
      </c>
      <c r="J828" s="4" t="s">
        <v>81</v>
      </c>
      <c r="K828" s="4" t="s">
        <v>68</v>
      </c>
    </row>
    <row r="829" customFormat="false" ht="15" hidden="false" customHeight="false" outlineLevel="0" collapsed="false">
      <c r="A829" s="4" t="s">
        <v>1073</v>
      </c>
      <c r="B829" s="17" t="n">
        <v>45823</v>
      </c>
      <c r="C829" s="4" t="n">
        <v>11</v>
      </c>
      <c r="D829" s="4" t="s">
        <v>64</v>
      </c>
      <c r="E829" s="4" t="s">
        <v>74</v>
      </c>
      <c r="F829" s="4" t="s">
        <v>91</v>
      </c>
      <c r="G829" s="4" t="n">
        <v>1</v>
      </c>
      <c r="H829" s="4" t="n">
        <v>200</v>
      </c>
      <c r="I829" s="18" t="n">
        <v>0.1</v>
      </c>
      <c r="J829" s="4" t="s">
        <v>81</v>
      </c>
      <c r="K829" s="4" t="s">
        <v>71</v>
      </c>
    </row>
    <row r="830" customFormat="false" ht="15" hidden="false" customHeight="false" outlineLevel="0" collapsed="false">
      <c r="A830" s="4" t="s">
        <v>1074</v>
      </c>
      <c r="B830" s="4" t="s">
        <v>1075</v>
      </c>
      <c r="C830" s="4" t="n">
        <v>12</v>
      </c>
      <c r="D830" s="4" t="s">
        <v>70</v>
      </c>
      <c r="E830" s="4" t="s">
        <v>65</v>
      </c>
      <c r="F830" s="4" t="s">
        <v>121</v>
      </c>
      <c r="G830" s="4" t="n">
        <v>1</v>
      </c>
      <c r="H830" s="4" t="n">
        <v>170</v>
      </c>
      <c r="I830" s="18" t="n">
        <v>0.1</v>
      </c>
      <c r="J830" s="4" t="s">
        <v>67</v>
      </c>
      <c r="K830" s="4" t="s">
        <v>71</v>
      </c>
    </row>
    <row r="831" customFormat="false" ht="15" hidden="false" customHeight="false" outlineLevel="0" collapsed="false">
      <c r="A831" s="4" t="s">
        <v>1076</v>
      </c>
      <c r="B831" s="17" t="n">
        <v>45824</v>
      </c>
      <c r="C831" s="4" t="n">
        <v>7</v>
      </c>
      <c r="D831" s="4" t="s">
        <v>938</v>
      </c>
      <c r="E831" s="4" t="s">
        <v>74</v>
      </c>
      <c r="F831" s="4" t="s">
        <v>75</v>
      </c>
      <c r="G831" s="4" t="n">
        <v>1</v>
      </c>
      <c r="H831" s="4" t="n">
        <v>220</v>
      </c>
      <c r="I831" s="18" t="n">
        <v>0</v>
      </c>
      <c r="J831" s="4" t="s">
        <v>76</v>
      </c>
      <c r="K831" s="4" t="s">
        <v>68</v>
      </c>
    </row>
    <row r="832" customFormat="false" ht="15" hidden="false" customHeight="false" outlineLevel="0" collapsed="false">
      <c r="A832" s="4" t="s">
        <v>1077</v>
      </c>
      <c r="B832" s="17" t="n">
        <v>45824</v>
      </c>
      <c r="C832" s="4" t="n">
        <v>9</v>
      </c>
      <c r="D832" s="4" t="s">
        <v>98</v>
      </c>
      <c r="E832" s="4" t="s">
        <v>65</v>
      </c>
      <c r="F832" s="4" t="s">
        <v>121</v>
      </c>
      <c r="G832" s="4" t="n">
        <v>3</v>
      </c>
      <c r="H832" s="4" t="n">
        <v>170</v>
      </c>
      <c r="I832" s="18" t="n">
        <v>0</v>
      </c>
      <c r="J832" s="4" t="s">
        <v>112</v>
      </c>
      <c r="K832" s="4" t="s">
        <v>68</v>
      </c>
    </row>
    <row r="833" customFormat="false" ht="15" hidden="false" customHeight="false" outlineLevel="0" collapsed="false">
      <c r="A833" s="4" t="s">
        <v>1078</v>
      </c>
      <c r="B833" s="17" t="n">
        <v>45824</v>
      </c>
      <c r="C833" s="4" t="n">
        <v>14</v>
      </c>
      <c r="D833" s="4" t="s">
        <v>64</v>
      </c>
      <c r="E833" s="4" t="s">
        <v>79</v>
      </c>
      <c r="F833" s="4" t="s">
        <v>148</v>
      </c>
      <c r="G833" s="4" t="n">
        <v>3</v>
      </c>
      <c r="H833" s="4" t="n">
        <v>120</v>
      </c>
      <c r="J833" s="4" t="s">
        <v>81</v>
      </c>
      <c r="K833" s="4" t="s">
        <v>68</v>
      </c>
    </row>
    <row r="834" customFormat="false" ht="15" hidden="false" customHeight="false" outlineLevel="0" collapsed="false">
      <c r="A834" s="4" t="s">
        <v>1079</v>
      </c>
      <c r="B834" s="17" t="n">
        <v>45824</v>
      </c>
      <c r="C834" s="4" t="n">
        <v>15</v>
      </c>
      <c r="D834" s="4" t="s">
        <v>166</v>
      </c>
      <c r="E834" s="4" t="s">
        <v>79</v>
      </c>
      <c r="F834" s="4" t="s">
        <v>80</v>
      </c>
      <c r="G834" s="4" t="n">
        <v>2</v>
      </c>
      <c r="H834" s="4" t="n">
        <v>160</v>
      </c>
      <c r="I834" s="18" t="n">
        <v>0.15</v>
      </c>
      <c r="J834" s="4" t="s">
        <v>81</v>
      </c>
      <c r="K834" s="4" t="s">
        <v>77</v>
      </c>
    </row>
    <row r="835" customFormat="false" ht="15" hidden="false" customHeight="false" outlineLevel="0" collapsed="false">
      <c r="A835" s="4" t="s">
        <v>1080</v>
      </c>
      <c r="B835" s="4" t="s">
        <v>1081</v>
      </c>
      <c r="C835" s="4" t="n">
        <v>11</v>
      </c>
      <c r="D835" s="4" t="s">
        <v>64</v>
      </c>
      <c r="E835" s="4" t="s">
        <v>1082</v>
      </c>
      <c r="F835" s="4" t="s">
        <v>135</v>
      </c>
      <c r="G835" s="4" t="n">
        <v>1</v>
      </c>
      <c r="H835" s="4" t="n">
        <v>130</v>
      </c>
      <c r="I835" s="18" t="n">
        <v>0.05</v>
      </c>
      <c r="J835" s="4" t="s">
        <v>67</v>
      </c>
      <c r="K835" s="4" t="s">
        <v>82</v>
      </c>
    </row>
    <row r="836" customFormat="false" ht="15" hidden="false" customHeight="false" outlineLevel="0" collapsed="false">
      <c r="A836" s="4" t="s">
        <v>1083</v>
      </c>
      <c r="B836" s="17" t="n">
        <v>45825</v>
      </c>
      <c r="C836" s="4" t="n">
        <v>12</v>
      </c>
      <c r="D836" s="4" t="s">
        <v>64</v>
      </c>
      <c r="E836" s="4" t="s">
        <v>84</v>
      </c>
      <c r="F836" s="4" t="s">
        <v>117</v>
      </c>
      <c r="G836" s="4" t="n">
        <v>2</v>
      </c>
      <c r="H836" s="4" t="n">
        <v>95</v>
      </c>
      <c r="I836" s="18" t="n">
        <v>0</v>
      </c>
      <c r="J836" s="4" t="s">
        <v>76</v>
      </c>
      <c r="K836" s="4" t="s">
        <v>68</v>
      </c>
    </row>
    <row r="837" customFormat="false" ht="15" hidden="false" customHeight="false" outlineLevel="0" collapsed="false">
      <c r="A837" s="4" t="s">
        <v>1084</v>
      </c>
      <c r="B837" s="17" t="n">
        <v>45825</v>
      </c>
      <c r="C837" s="4" t="n">
        <v>14</v>
      </c>
      <c r="D837" s="4" t="s">
        <v>90</v>
      </c>
      <c r="E837" s="4" t="s">
        <v>99</v>
      </c>
      <c r="F837" s="4" t="s">
        <v>102</v>
      </c>
      <c r="G837" s="4" t="n">
        <v>1</v>
      </c>
      <c r="H837" s="4" t="s">
        <v>1085</v>
      </c>
      <c r="I837" s="18" t="n">
        <v>0.05</v>
      </c>
      <c r="J837" s="4" t="s">
        <v>67</v>
      </c>
      <c r="K837" s="4" t="s">
        <v>82</v>
      </c>
    </row>
    <row r="838" customFormat="false" ht="15" hidden="false" customHeight="false" outlineLevel="0" collapsed="false">
      <c r="A838" s="4" t="s">
        <v>1086</v>
      </c>
      <c r="B838" s="17" t="n">
        <v>45825</v>
      </c>
      <c r="C838" s="4" t="n">
        <v>15</v>
      </c>
      <c r="D838" s="4" t="s">
        <v>70</v>
      </c>
      <c r="E838" s="4" t="s">
        <v>65</v>
      </c>
      <c r="F838" s="4" t="s">
        <v>94</v>
      </c>
      <c r="G838" s="4" t="n">
        <v>1</v>
      </c>
      <c r="I838" s="18" t="n">
        <v>0</v>
      </c>
      <c r="J838" s="4" t="s">
        <v>76</v>
      </c>
      <c r="K838" s="4" t="s">
        <v>68</v>
      </c>
    </row>
    <row r="839" customFormat="false" ht="15" hidden="false" customHeight="false" outlineLevel="0" collapsed="false">
      <c r="A839" s="4" t="s">
        <v>1087</v>
      </c>
      <c r="B839" s="17" t="n">
        <v>45825</v>
      </c>
      <c r="C839" s="4" t="n">
        <v>16</v>
      </c>
      <c r="D839" s="4" t="s">
        <v>70</v>
      </c>
      <c r="E839" s="4" t="s">
        <v>99</v>
      </c>
      <c r="F839" s="4" t="s">
        <v>100</v>
      </c>
      <c r="G839" s="4" t="n">
        <v>4</v>
      </c>
      <c r="H839" s="4" t="n">
        <v>110</v>
      </c>
      <c r="I839" s="18" t="n">
        <v>0</v>
      </c>
      <c r="J839" s="4" t="s">
        <v>112</v>
      </c>
      <c r="K839" s="4" t="s">
        <v>77</v>
      </c>
    </row>
    <row r="840" customFormat="false" ht="15" hidden="false" customHeight="false" outlineLevel="0" collapsed="false">
      <c r="A840" s="4" t="s">
        <v>1088</v>
      </c>
      <c r="B840" s="17" t="n">
        <v>45825</v>
      </c>
      <c r="C840" s="4" t="n">
        <v>17</v>
      </c>
      <c r="D840" s="4" t="s">
        <v>73</v>
      </c>
      <c r="E840" s="4" t="s">
        <v>65</v>
      </c>
      <c r="F840" s="4" t="s">
        <v>121</v>
      </c>
      <c r="G840" s="4" t="n">
        <v>1</v>
      </c>
      <c r="H840" s="4" t="n">
        <v>170</v>
      </c>
      <c r="I840" s="18" t="n">
        <v>0</v>
      </c>
      <c r="J840" s="4" t="s">
        <v>112</v>
      </c>
      <c r="K840" s="4" t="s">
        <v>68</v>
      </c>
    </row>
    <row r="841" customFormat="false" ht="15" hidden="false" customHeight="false" outlineLevel="0" collapsed="false">
      <c r="A841" s="4" t="s">
        <v>1089</v>
      </c>
      <c r="B841" s="17" t="n">
        <v>45826</v>
      </c>
      <c r="C841" s="4" t="n">
        <v>12</v>
      </c>
      <c r="D841" s="4" t="s">
        <v>73</v>
      </c>
      <c r="E841" s="4" t="s">
        <v>99</v>
      </c>
      <c r="F841" s="4" t="s">
        <v>133</v>
      </c>
      <c r="G841" s="4" t="n">
        <v>3</v>
      </c>
      <c r="H841" s="4" t="n">
        <v>90</v>
      </c>
      <c r="I841" s="18" t="n">
        <v>0.05</v>
      </c>
      <c r="J841" s="4" t="s">
        <v>76</v>
      </c>
      <c r="K841" s="4" t="s">
        <v>82</v>
      </c>
    </row>
    <row r="842" customFormat="false" ht="15" hidden="false" customHeight="false" outlineLevel="0" collapsed="false">
      <c r="A842" s="4" t="s">
        <v>1090</v>
      </c>
      <c r="B842" s="17" t="n">
        <v>45826</v>
      </c>
      <c r="C842" s="4" t="n">
        <v>12</v>
      </c>
      <c r="D842" s="4" t="s">
        <v>73</v>
      </c>
      <c r="E842" s="4" t="s">
        <v>79</v>
      </c>
      <c r="F842" s="4" t="s">
        <v>80</v>
      </c>
      <c r="G842" s="4" t="n">
        <v>2</v>
      </c>
      <c r="H842" s="4" t="n">
        <v>160</v>
      </c>
      <c r="I842" s="18" t="n">
        <v>0.05</v>
      </c>
      <c r="J842" s="4" t="s">
        <v>67</v>
      </c>
      <c r="K842" s="4" t="s">
        <v>82</v>
      </c>
    </row>
    <row r="843" customFormat="false" ht="15" hidden="false" customHeight="false" outlineLevel="0" collapsed="false">
      <c r="A843" s="4" t="s">
        <v>1091</v>
      </c>
      <c r="B843" s="17" t="n">
        <v>45826</v>
      </c>
      <c r="C843" s="4" t="n">
        <v>16</v>
      </c>
      <c r="D843" s="4" t="s">
        <v>108</v>
      </c>
      <c r="E843" s="4" t="s">
        <v>79</v>
      </c>
      <c r="F843" s="4" t="s">
        <v>80</v>
      </c>
      <c r="G843" s="4" t="n">
        <v>2</v>
      </c>
      <c r="H843" s="4" t="n">
        <v>160</v>
      </c>
      <c r="I843" s="18" t="n">
        <v>0.1</v>
      </c>
      <c r="J843" s="4" t="s">
        <v>103</v>
      </c>
      <c r="K843" s="4" t="s">
        <v>71</v>
      </c>
    </row>
    <row r="844" customFormat="false" ht="15" hidden="false" customHeight="false" outlineLevel="0" collapsed="false">
      <c r="A844" s="4" t="s">
        <v>1092</v>
      </c>
      <c r="B844" s="17" t="n">
        <v>45827</v>
      </c>
      <c r="C844" s="4" t="n">
        <v>7</v>
      </c>
      <c r="D844" s="4" t="s">
        <v>98</v>
      </c>
      <c r="E844" s="4" t="s">
        <v>99</v>
      </c>
      <c r="F844" s="4" t="s">
        <v>102</v>
      </c>
      <c r="G844" s="4" t="n">
        <v>2</v>
      </c>
      <c r="H844" s="4" t="n">
        <v>140</v>
      </c>
      <c r="I844" s="18" t="n">
        <v>0.05</v>
      </c>
      <c r="J844" s="4" t="s">
        <v>81</v>
      </c>
      <c r="K844" s="4" t="s">
        <v>82</v>
      </c>
    </row>
    <row r="845" customFormat="false" ht="15" hidden="false" customHeight="false" outlineLevel="0" collapsed="false">
      <c r="A845" s="4" t="s">
        <v>1093</v>
      </c>
      <c r="B845" s="4" t="s">
        <v>1094</v>
      </c>
      <c r="C845" s="4" t="n">
        <v>8</v>
      </c>
      <c r="D845" s="4" t="s">
        <v>64</v>
      </c>
      <c r="E845" s="4" t="s">
        <v>99</v>
      </c>
      <c r="F845" s="4" t="s">
        <v>100</v>
      </c>
      <c r="G845" s="4" t="n">
        <v>1</v>
      </c>
      <c r="H845" s="4" t="n">
        <v>110</v>
      </c>
      <c r="I845" s="18" t="n">
        <v>0.1</v>
      </c>
      <c r="J845" s="4" t="s">
        <v>67</v>
      </c>
      <c r="K845" s="4" t="s">
        <v>71</v>
      </c>
    </row>
    <row r="846" customFormat="false" ht="15" hidden="false" customHeight="false" outlineLevel="0" collapsed="false">
      <c r="A846" s="4" t="s">
        <v>1095</v>
      </c>
      <c r="B846" s="17" t="n">
        <v>45827</v>
      </c>
      <c r="C846" s="4" t="n">
        <v>8</v>
      </c>
      <c r="D846" s="4" t="s">
        <v>64</v>
      </c>
      <c r="E846" s="4" t="s">
        <v>99</v>
      </c>
      <c r="F846" s="4" t="s">
        <v>109</v>
      </c>
      <c r="G846" s="4" t="n">
        <v>1</v>
      </c>
      <c r="H846" s="4" t="n">
        <v>130</v>
      </c>
      <c r="I846" s="18" t="n">
        <v>0.05</v>
      </c>
      <c r="J846" s="4" t="s">
        <v>81</v>
      </c>
      <c r="K846" s="4" t="s">
        <v>82</v>
      </c>
    </row>
    <row r="847" customFormat="false" ht="15" hidden="false" customHeight="false" outlineLevel="0" collapsed="false">
      <c r="A847" s="4" t="s">
        <v>1096</v>
      </c>
      <c r="B847" s="17" t="n">
        <v>45827</v>
      </c>
      <c r="C847" s="4" t="n">
        <v>8</v>
      </c>
      <c r="D847" s="4" t="s">
        <v>96</v>
      </c>
      <c r="E847" s="4" t="s">
        <v>99</v>
      </c>
      <c r="F847" s="4" t="s">
        <v>109</v>
      </c>
      <c r="G847" s="4" t="n">
        <v>1</v>
      </c>
      <c r="H847" s="4" t="n">
        <v>130</v>
      </c>
      <c r="I847" s="18" t="n">
        <v>0.1</v>
      </c>
      <c r="J847" s="4" t="s">
        <v>273</v>
      </c>
      <c r="K847" s="4" t="s">
        <v>71</v>
      </c>
    </row>
    <row r="848" customFormat="false" ht="15" hidden="false" customHeight="false" outlineLevel="0" collapsed="false">
      <c r="A848" s="4" t="s">
        <v>1097</v>
      </c>
      <c r="B848" s="17" t="n">
        <v>45827</v>
      </c>
      <c r="C848" s="4" t="n">
        <v>10</v>
      </c>
      <c r="D848" s="4" t="s">
        <v>70</v>
      </c>
      <c r="E848" s="4" t="s">
        <v>79</v>
      </c>
      <c r="F848" s="4" t="s">
        <v>80</v>
      </c>
      <c r="G848" s="4" t="n">
        <v>1</v>
      </c>
      <c r="H848" s="4" t="n">
        <v>160</v>
      </c>
      <c r="I848" s="18" t="n">
        <v>0</v>
      </c>
      <c r="J848" s="4" t="s">
        <v>81</v>
      </c>
      <c r="K848" s="4" t="s">
        <v>68</v>
      </c>
    </row>
    <row r="849" customFormat="false" ht="15" hidden="false" customHeight="false" outlineLevel="0" collapsed="false">
      <c r="A849" s="4" t="s">
        <v>1098</v>
      </c>
      <c r="B849" s="17" t="n">
        <v>45827</v>
      </c>
      <c r="C849" s="4" t="n">
        <v>12</v>
      </c>
      <c r="D849" s="4" t="s">
        <v>70</v>
      </c>
      <c r="E849" s="4" t="s">
        <v>84</v>
      </c>
      <c r="F849" s="4" t="s">
        <v>106</v>
      </c>
      <c r="H849" s="4" t="n">
        <v>60</v>
      </c>
      <c r="I849" s="18" t="n">
        <v>0</v>
      </c>
    </row>
    <row r="850" customFormat="false" ht="15" hidden="false" customHeight="false" outlineLevel="0" collapsed="false">
      <c r="A850" s="4" t="s">
        <v>1099</v>
      </c>
      <c r="B850" s="17" t="n">
        <v>45827</v>
      </c>
      <c r="C850" s="4" t="n">
        <v>13</v>
      </c>
      <c r="D850" s="4" t="s">
        <v>70</v>
      </c>
      <c r="E850" s="4" t="s">
        <v>99</v>
      </c>
      <c r="F850" s="4" t="s">
        <v>539</v>
      </c>
      <c r="G850" s="4" t="n">
        <v>2</v>
      </c>
      <c r="H850" s="4" t="n">
        <v>130</v>
      </c>
      <c r="I850" s="18" t="n">
        <v>0.05</v>
      </c>
      <c r="J850" s="4" t="s">
        <v>76</v>
      </c>
      <c r="K850" s="4" t="s">
        <v>82</v>
      </c>
    </row>
    <row r="851" customFormat="false" ht="15" hidden="false" customHeight="false" outlineLevel="0" collapsed="false">
      <c r="A851" s="4" t="s">
        <v>1100</v>
      </c>
      <c r="B851" s="17" t="n">
        <v>45827</v>
      </c>
      <c r="C851" s="4" t="n">
        <v>19</v>
      </c>
      <c r="D851" s="4" t="s">
        <v>73</v>
      </c>
      <c r="E851" s="4" t="s">
        <v>65</v>
      </c>
      <c r="F851" s="4" t="s">
        <v>66</v>
      </c>
      <c r="G851" s="4" t="n">
        <v>3</v>
      </c>
      <c r="H851" s="4" t="n">
        <v>120</v>
      </c>
      <c r="I851" s="18" t="n">
        <v>0</v>
      </c>
      <c r="J851" s="4" t="s">
        <v>76</v>
      </c>
      <c r="K851" s="4" t="s">
        <v>68</v>
      </c>
    </row>
    <row r="852" customFormat="false" ht="15" hidden="false" customHeight="false" outlineLevel="0" collapsed="false">
      <c r="A852" s="4" t="s">
        <v>1101</v>
      </c>
      <c r="B852" s="4" t="s">
        <v>1102</v>
      </c>
      <c r="C852" s="4" t="n">
        <v>9</v>
      </c>
      <c r="D852" s="4" t="s">
        <v>73</v>
      </c>
      <c r="E852" s="4" t="s">
        <v>79</v>
      </c>
      <c r="F852" s="4" t="s">
        <v>135</v>
      </c>
      <c r="G852" s="4" t="n">
        <v>2</v>
      </c>
      <c r="H852" s="4" t="n">
        <v>130</v>
      </c>
      <c r="I852" s="18" t="n">
        <v>0</v>
      </c>
      <c r="J852" s="4" t="s">
        <v>88</v>
      </c>
      <c r="K852" s="4" t="s">
        <v>68</v>
      </c>
    </row>
    <row r="853" customFormat="false" ht="15" hidden="false" customHeight="false" outlineLevel="0" collapsed="false">
      <c r="A853" s="4" t="s">
        <v>1103</v>
      </c>
      <c r="B853" s="17" t="n">
        <v>45828</v>
      </c>
      <c r="C853" s="4" t="n">
        <v>9</v>
      </c>
      <c r="D853" s="4" t="s">
        <v>64</v>
      </c>
      <c r="E853" s="4" t="s">
        <v>65</v>
      </c>
      <c r="F853" s="4" t="s">
        <v>87</v>
      </c>
      <c r="G853" s="4" t="n">
        <v>4</v>
      </c>
      <c r="H853" s="4" t="n">
        <v>160</v>
      </c>
      <c r="I853" s="18" t="n">
        <v>0</v>
      </c>
      <c r="J853" s="4" t="s">
        <v>67</v>
      </c>
      <c r="K853" s="4" t="s">
        <v>68</v>
      </c>
    </row>
    <row r="854" customFormat="false" ht="15" hidden="false" customHeight="false" outlineLevel="0" collapsed="false">
      <c r="A854" s="4" t="s">
        <v>1104</v>
      </c>
      <c r="B854" s="17" t="n">
        <v>45828</v>
      </c>
      <c r="C854" s="4" t="n">
        <v>9</v>
      </c>
      <c r="D854" s="4" t="s">
        <v>98</v>
      </c>
      <c r="E854" s="4" t="s">
        <v>79</v>
      </c>
      <c r="F854" s="4" t="s">
        <v>80</v>
      </c>
      <c r="G854" s="4" t="n">
        <v>1</v>
      </c>
      <c r="H854" s="4" t="n">
        <v>160</v>
      </c>
      <c r="I854" s="18" t="n">
        <v>0.1</v>
      </c>
      <c r="J854" s="4" t="s">
        <v>81</v>
      </c>
    </row>
    <row r="855" customFormat="false" ht="15" hidden="false" customHeight="false" outlineLevel="0" collapsed="false">
      <c r="A855" s="4" t="s">
        <v>1105</v>
      </c>
      <c r="B855" s="4" t="s">
        <v>1106</v>
      </c>
      <c r="C855" s="4" t="n">
        <v>12</v>
      </c>
      <c r="D855" s="4" t="s">
        <v>70</v>
      </c>
      <c r="E855" s="4" t="s">
        <v>84</v>
      </c>
      <c r="F855" s="4" t="s">
        <v>117</v>
      </c>
      <c r="G855" s="4" t="n">
        <v>1</v>
      </c>
      <c r="H855" s="4" t="n">
        <v>95</v>
      </c>
      <c r="I855" s="18" t="n">
        <v>0.05</v>
      </c>
      <c r="J855" s="4" t="s">
        <v>88</v>
      </c>
      <c r="K855" s="4" t="s">
        <v>82</v>
      </c>
    </row>
    <row r="856" customFormat="false" ht="15" hidden="false" customHeight="false" outlineLevel="0" collapsed="false">
      <c r="A856" s="4" t="s">
        <v>1107</v>
      </c>
      <c r="B856" s="17" t="n">
        <v>45828</v>
      </c>
      <c r="C856" s="4" t="n">
        <v>13</v>
      </c>
      <c r="D856" s="4" t="s">
        <v>70</v>
      </c>
      <c r="E856" s="4" t="s">
        <v>84</v>
      </c>
      <c r="F856" s="4" t="s">
        <v>85</v>
      </c>
      <c r="G856" s="4" t="n">
        <v>1</v>
      </c>
      <c r="H856" s="4" t="n">
        <v>150</v>
      </c>
      <c r="I856" s="18" t="n">
        <v>0</v>
      </c>
      <c r="J856" s="4" t="s">
        <v>76</v>
      </c>
      <c r="K856" s="4" t="s">
        <v>68</v>
      </c>
    </row>
    <row r="857" customFormat="false" ht="15" hidden="false" customHeight="false" outlineLevel="0" collapsed="false">
      <c r="A857" s="4" t="s">
        <v>1108</v>
      </c>
      <c r="B857" s="17" t="n">
        <v>45829</v>
      </c>
      <c r="C857" s="4" t="n">
        <v>11</v>
      </c>
      <c r="D857" s="4" t="s">
        <v>98</v>
      </c>
      <c r="E857" s="4" t="s">
        <v>84</v>
      </c>
      <c r="F857" s="4" t="s">
        <v>1109</v>
      </c>
      <c r="G857" s="4" t="n">
        <v>2</v>
      </c>
      <c r="H857" s="4" t="n">
        <v>60</v>
      </c>
      <c r="I857" s="18" t="n">
        <v>0.1</v>
      </c>
      <c r="J857" s="4" t="s">
        <v>67</v>
      </c>
      <c r="K857" s="4" t="s">
        <v>71</v>
      </c>
    </row>
    <row r="858" customFormat="false" ht="15" hidden="false" customHeight="false" outlineLevel="0" collapsed="false">
      <c r="A858" s="4" t="s">
        <v>1110</v>
      </c>
      <c r="B858" s="17" t="n">
        <v>45830</v>
      </c>
      <c r="C858" s="4" t="n">
        <v>10</v>
      </c>
      <c r="D858" s="4" t="s">
        <v>189</v>
      </c>
      <c r="E858" s="4" t="s">
        <v>84</v>
      </c>
      <c r="F858" s="4" t="s">
        <v>117</v>
      </c>
      <c r="G858" s="4" t="n">
        <v>1</v>
      </c>
      <c r="H858" s="4" t="n">
        <v>95</v>
      </c>
      <c r="I858" s="18" t="n">
        <v>0</v>
      </c>
      <c r="J858" s="4" t="s">
        <v>67</v>
      </c>
      <c r="K858" s="4" t="s">
        <v>77</v>
      </c>
    </row>
    <row r="859" customFormat="false" ht="15" hidden="false" customHeight="false" outlineLevel="0" collapsed="false">
      <c r="A859" s="4" t="s">
        <v>1111</v>
      </c>
      <c r="B859" s="17" t="n">
        <v>45830</v>
      </c>
      <c r="C859" s="4" t="n">
        <v>12</v>
      </c>
      <c r="D859" s="4" t="s">
        <v>70</v>
      </c>
      <c r="E859" s="4" t="s">
        <v>65</v>
      </c>
      <c r="F859" s="4" t="s">
        <v>94</v>
      </c>
      <c r="G859" s="4" t="n">
        <v>1</v>
      </c>
      <c r="H859" s="4" t="n">
        <v>150</v>
      </c>
      <c r="I859" s="18" t="n">
        <v>0</v>
      </c>
      <c r="J859" s="4" t="s">
        <v>76</v>
      </c>
      <c r="K859" s="4" t="s">
        <v>68</v>
      </c>
    </row>
    <row r="860" customFormat="false" ht="15" hidden="false" customHeight="false" outlineLevel="0" collapsed="false">
      <c r="A860" s="4" t="s">
        <v>1112</v>
      </c>
      <c r="B860" s="17" t="n">
        <v>45830</v>
      </c>
      <c r="C860" s="4" t="n">
        <v>13</v>
      </c>
      <c r="D860" s="4" t="s">
        <v>64</v>
      </c>
      <c r="E860" s="4" t="s">
        <v>84</v>
      </c>
      <c r="F860" s="4" t="s">
        <v>106</v>
      </c>
      <c r="G860" s="4" t="n">
        <v>1</v>
      </c>
      <c r="H860" s="4" t="n">
        <v>60</v>
      </c>
      <c r="I860" s="18" t="n">
        <v>0</v>
      </c>
      <c r="J860" s="4" t="s">
        <v>67</v>
      </c>
    </row>
    <row r="861" customFormat="false" ht="15" hidden="false" customHeight="false" outlineLevel="0" collapsed="false">
      <c r="A861" s="4" t="s">
        <v>1113</v>
      </c>
      <c r="B861" s="17" t="n">
        <v>45830</v>
      </c>
      <c r="C861" s="4" t="n">
        <v>15</v>
      </c>
      <c r="D861" s="4" t="s">
        <v>70</v>
      </c>
      <c r="E861" s="4" t="s">
        <v>79</v>
      </c>
      <c r="F861" s="4" t="s">
        <v>80</v>
      </c>
      <c r="G861" s="4" t="n">
        <v>1</v>
      </c>
      <c r="H861" s="4" t="n">
        <v>160</v>
      </c>
      <c r="I861" s="18" t="n">
        <v>0</v>
      </c>
      <c r="J861" s="4" t="s">
        <v>76</v>
      </c>
      <c r="K861" s="4" t="s">
        <v>68</v>
      </c>
    </row>
    <row r="862" customFormat="false" ht="15" hidden="false" customHeight="false" outlineLevel="0" collapsed="false">
      <c r="A862" s="4" t="s">
        <v>1114</v>
      </c>
      <c r="B862" s="17" t="n">
        <v>45830</v>
      </c>
      <c r="C862" s="4" t="n">
        <v>16</v>
      </c>
      <c r="D862" s="4" t="s">
        <v>225</v>
      </c>
      <c r="E862" s="4" t="s">
        <v>99</v>
      </c>
      <c r="F862" s="4" t="s">
        <v>100</v>
      </c>
      <c r="G862" s="4" t="n">
        <v>2</v>
      </c>
      <c r="H862" s="4" t="n">
        <v>110</v>
      </c>
      <c r="I862" s="18" t="n">
        <v>0.1</v>
      </c>
      <c r="J862" s="4" t="s">
        <v>67</v>
      </c>
      <c r="K862" s="4" t="s">
        <v>71</v>
      </c>
    </row>
    <row r="863" customFormat="false" ht="15" hidden="false" customHeight="false" outlineLevel="0" collapsed="false">
      <c r="A863" s="4" t="s">
        <v>1115</v>
      </c>
      <c r="B863" s="17" t="n">
        <v>45831</v>
      </c>
      <c r="C863" s="4" t="n">
        <v>8</v>
      </c>
      <c r="D863" s="4" t="s">
        <v>70</v>
      </c>
      <c r="E863" s="4" t="s">
        <v>79</v>
      </c>
      <c r="F863" s="4" t="s">
        <v>135</v>
      </c>
      <c r="G863" s="4" t="n">
        <v>-1</v>
      </c>
      <c r="H863" s="4" t="n">
        <v>130</v>
      </c>
      <c r="I863" s="18" t="n">
        <v>0</v>
      </c>
      <c r="J863" s="4" t="s">
        <v>81</v>
      </c>
      <c r="K863" s="4" t="s">
        <v>68</v>
      </c>
    </row>
    <row r="864" customFormat="false" ht="15" hidden="false" customHeight="false" outlineLevel="0" collapsed="false">
      <c r="A864" s="4" t="s">
        <v>1116</v>
      </c>
      <c r="B864" s="17" t="n">
        <v>45831</v>
      </c>
      <c r="C864" s="4" t="n">
        <v>8</v>
      </c>
      <c r="D864" s="4" t="s">
        <v>98</v>
      </c>
      <c r="E864" s="4" t="s">
        <v>99</v>
      </c>
      <c r="F864" s="4" t="s">
        <v>133</v>
      </c>
      <c r="G864" s="4" t="n">
        <v>1</v>
      </c>
      <c r="H864" s="4" t="n">
        <v>90</v>
      </c>
      <c r="I864" s="18" t="n">
        <v>0</v>
      </c>
      <c r="J864" s="4" t="s">
        <v>67</v>
      </c>
      <c r="K864" s="4" t="s">
        <v>68</v>
      </c>
    </row>
    <row r="865" customFormat="false" ht="15" hidden="false" customHeight="false" outlineLevel="0" collapsed="false">
      <c r="A865" s="4" t="s">
        <v>1116</v>
      </c>
      <c r="B865" s="17" t="n">
        <v>45831</v>
      </c>
      <c r="C865" s="4" t="n">
        <v>8</v>
      </c>
      <c r="D865" s="4" t="s">
        <v>98</v>
      </c>
      <c r="E865" s="4" t="s">
        <v>99</v>
      </c>
      <c r="F865" s="4" t="s">
        <v>133</v>
      </c>
      <c r="G865" s="4" t="n">
        <v>1</v>
      </c>
      <c r="H865" s="4" t="n">
        <v>90</v>
      </c>
      <c r="I865" s="18" t="n">
        <v>0</v>
      </c>
      <c r="J865" s="4" t="s">
        <v>67</v>
      </c>
      <c r="K865" s="4" t="s">
        <v>68</v>
      </c>
    </row>
    <row r="866" customFormat="false" ht="15" hidden="false" customHeight="false" outlineLevel="0" collapsed="false">
      <c r="A866" s="4" t="s">
        <v>1117</v>
      </c>
      <c r="B866" s="17" t="n">
        <v>45831</v>
      </c>
      <c r="C866" s="4" t="n">
        <v>9</v>
      </c>
      <c r="D866" s="4" t="s">
        <v>183</v>
      </c>
      <c r="E866" s="4" t="s">
        <v>99</v>
      </c>
      <c r="F866" s="4" t="s">
        <v>109</v>
      </c>
      <c r="G866" s="4" t="n">
        <v>1</v>
      </c>
      <c r="H866" s="4" t="n">
        <v>130</v>
      </c>
      <c r="I866" s="18" t="n">
        <v>0</v>
      </c>
      <c r="J866" s="4" t="s">
        <v>88</v>
      </c>
      <c r="K866" s="4" t="s">
        <v>68</v>
      </c>
    </row>
    <row r="867" customFormat="false" ht="15" hidden="false" customHeight="false" outlineLevel="0" collapsed="false">
      <c r="A867" s="4" t="s">
        <v>1118</v>
      </c>
      <c r="B867" s="17" t="n">
        <v>45831</v>
      </c>
      <c r="C867" s="4" t="n">
        <v>15</v>
      </c>
      <c r="D867" s="4" t="s">
        <v>98</v>
      </c>
      <c r="E867" s="4" t="s">
        <v>84</v>
      </c>
      <c r="F867" s="4" t="s">
        <v>85</v>
      </c>
      <c r="G867" s="4" t="n">
        <v>1</v>
      </c>
      <c r="H867" s="4" t="n">
        <v>150</v>
      </c>
      <c r="I867" s="18" t="n">
        <v>0.1</v>
      </c>
      <c r="J867" s="4" t="s">
        <v>81</v>
      </c>
      <c r="K867" s="4" t="s">
        <v>71</v>
      </c>
    </row>
    <row r="868" customFormat="false" ht="15" hidden="false" customHeight="false" outlineLevel="0" collapsed="false">
      <c r="A868" s="4" t="s">
        <v>1119</v>
      </c>
      <c r="B868" s="17" t="n">
        <v>45831</v>
      </c>
      <c r="C868" s="4" t="n">
        <v>16</v>
      </c>
      <c r="D868" s="4" t="s">
        <v>70</v>
      </c>
      <c r="E868" s="4" t="s">
        <v>79</v>
      </c>
      <c r="F868" s="4" t="s">
        <v>872</v>
      </c>
      <c r="G868" s="4" t="n">
        <v>2</v>
      </c>
      <c r="H868" s="4" t="n">
        <v>160</v>
      </c>
      <c r="I868" s="18" t="n">
        <v>0.05</v>
      </c>
      <c r="J868" s="4" t="s">
        <v>76</v>
      </c>
      <c r="K868" s="4" t="s">
        <v>82</v>
      </c>
    </row>
    <row r="869" customFormat="false" ht="15" hidden="false" customHeight="false" outlineLevel="0" collapsed="false">
      <c r="A869" s="4" t="s">
        <v>1120</v>
      </c>
      <c r="B869" s="4" t="s">
        <v>1121</v>
      </c>
      <c r="C869" s="4" t="n">
        <v>16</v>
      </c>
      <c r="D869" s="4" t="s">
        <v>73</v>
      </c>
      <c r="E869" s="4" t="s">
        <v>65</v>
      </c>
      <c r="F869" s="4" t="s">
        <v>87</v>
      </c>
      <c r="G869" s="4" t="n">
        <v>2</v>
      </c>
      <c r="H869" s="4" t="n">
        <v>160</v>
      </c>
      <c r="I869" s="18" t="n">
        <v>0</v>
      </c>
      <c r="J869" s="4" t="s">
        <v>76</v>
      </c>
      <c r="K869" s="4" t="s">
        <v>77</v>
      </c>
    </row>
    <row r="870" customFormat="false" ht="15" hidden="false" customHeight="false" outlineLevel="0" collapsed="false">
      <c r="A870" s="4" t="s">
        <v>1122</v>
      </c>
      <c r="B870" s="4" t="s">
        <v>1121</v>
      </c>
      <c r="C870" s="4" t="n">
        <v>17</v>
      </c>
      <c r="D870" s="4" t="s">
        <v>98</v>
      </c>
      <c r="E870" s="4" t="s">
        <v>65</v>
      </c>
      <c r="F870" s="4" t="s">
        <v>87</v>
      </c>
      <c r="G870" s="4" t="n">
        <v>2</v>
      </c>
      <c r="H870" s="4" t="n">
        <v>160</v>
      </c>
      <c r="I870" s="18" t="n">
        <v>0.05</v>
      </c>
      <c r="J870" s="4" t="s">
        <v>81</v>
      </c>
      <c r="K870" s="4" t="s">
        <v>82</v>
      </c>
    </row>
    <row r="871" customFormat="false" ht="15" hidden="false" customHeight="false" outlineLevel="0" collapsed="false">
      <c r="A871" s="4" t="s">
        <v>1123</v>
      </c>
      <c r="B871" s="17" t="n">
        <v>45832</v>
      </c>
      <c r="C871" s="4" t="n">
        <v>12</v>
      </c>
      <c r="D871" s="4" t="s">
        <v>70</v>
      </c>
      <c r="E871" s="4" t="s">
        <v>74</v>
      </c>
      <c r="F871" s="4" t="s">
        <v>139</v>
      </c>
      <c r="G871" s="4" t="n">
        <v>2</v>
      </c>
      <c r="H871" s="4" t="n">
        <v>260</v>
      </c>
      <c r="I871" s="18" t="n">
        <v>0</v>
      </c>
      <c r="J871" s="4" t="s">
        <v>88</v>
      </c>
      <c r="K871" s="4" t="s">
        <v>77</v>
      </c>
    </row>
    <row r="872" customFormat="false" ht="15" hidden="false" customHeight="false" outlineLevel="0" collapsed="false">
      <c r="A872" s="4" t="s">
        <v>1124</v>
      </c>
      <c r="B872" s="17" t="n">
        <v>45832</v>
      </c>
      <c r="C872" s="4" t="n">
        <v>13</v>
      </c>
      <c r="D872" s="4" t="s">
        <v>335</v>
      </c>
      <c r="E872" s="4" t="s">
        <v>84</v>
      </c>
      <c r="F872" s="4" t="s">
        <v>114</v>
      </c>
      <c r="G872" s="4" t="n">
        <v>1</v>
      </c>
      <c r="H872" s="4" t="n">
        <v>85</v>
      </c>
      <c r="I872" s="18" t="n">
        <v>0</v>
      </c>
      <c r="J872" s="4" t="s">
        <v>81</v>
      </c>
      <c r="K872" s="4" t="s">
        <v>68</v>
      </c>
    </row>
    <row r="873" customFormat="false" ht="15" hidden="false" customHeight="false" outlineLevel="0" collapsed="false">
      <c r="A873" s="4" t="s">
        <v>1125</v>
      </c>
      <c r="B873" s="17" t="n">
        <v>45832</v>
      </c>
      <c r="C873" s="4" t="n">
        <v>13</v>
      </c>
      <c r="D873" s="4" t="s">
        <v>64</v>
      </c>
      <c r="E873" s="4" t="s">
        <v>373</v>
      </c>
      <c r="F873" s="4" t="s">
        <v>100</v>
      </c>
      <c r="G873" s="4" t="n">
        <v>1</v>
      </c>
      <c r="H873" s="4" t="n">
        <v>110</v>
      </c>
      <c r="I873" s="18" t="n">
        <v>0.05</v>
      </c>
      <c r="J873" s="4" t="s">
        <v>76</v>
      </c>
      <c r="K873" s="4" t="s">
        <v>82</v>
      </c>
    </row>
    <row r="874" customFormat="false" ht="15" hidden="false" customHeight="false" outlineLevel="0" collapsed="false">
      <c r="A874" s="4" t="s">
        <v>1126</v>
      </c>
      <c r="B874" s="17" t="n">
        <v>45833</v>
      </c>
      <c r="C874" s="4" t="n">
        <v>7</v>
      </c>
      <c r="D874" s="4" t="s">
        <v>70</v>
      </c>
      <c r="E874" s="4" t="s">
        <v>302</v>
      </c>
      <c r="F874" s="4" t="s">
        <v>102</v>
      </c>
      <c r="G874" s="4" t="n">
        <v>2</v>
      </c>
      <c r="H874" s="4" t="n">
        <v>140</v>
      </c>
      <c r="I874" s="18" t="n">
        <v>0.1</v>
      </c>
      <c r="J874" s="4" t="s">
        <v>76</v>
      </c>
      <c r="K874" s="4" t="s">
        <v>71</v>
      </c>
    </row>
    <row r="875" customFormat="false" ht="15" hidden="false" customHeight="false" outlineLevel="0" collapsed="false">
      <c r="A875" s="4" t="s">
        <v>1127</v>
      </c>
      <c r="B875" s="17" t="n">
        <v>45833</v>
      </c>
      <c r="C875" s="4" t="n">
        <v>7</v>
      </c>
      <c r="D875" s="4" t="s">
        <v>166</v>
      </c>
      <c r="E875" s="4" t="s">
        <v>84</v>
      </c>
      <c r="F875" s="4" t="s">
        <v>106</v>
      </c>
      <c r="G875" s="4" t="n">
        <v>1</v>
      </c>
      <c r="H875" s="4" t="n">
        <v>60</v>
      </c>
      <c r="I875" s="18" t="n">
        <v>0</v>
      </c>
      <c r="J875" s="4" t="s">
        <v>67</v>
      </c>
      <c r="K875" s="4" t="s">
        <v>77</v>
      </c>
    </row>
    <row r="876" customFormat="false" ht="15" hidden="false" customHeight="false" outlineLevel="0" collapsed="false">
      <c r="A876" s="4" t="s">
        <v>1128</v>
      </c>
      <c r="B876" s="17" t="n">
        <v>45833</v>
      </c>
      <c r="C876" s="4" t="n">
        <v>12</v>
      </c>
      <c r="D876" s="4" t="s">
        <v>73</v>
      </c>
      <c r="E876" s="4" t="s">
        <v>99</v>
      </c>
      <c r="F876" s="4" t="s">
        <v>133</v>
      </c>
      <c r="G876" s="4" t="n">
        <v>1</v>
      </c>
      <c r="H876" s="4" t="n">
        <v>90</v>
      </c>
      <c r="I876" s="18" t="n">
        <v>0</v>
      </c>
      <c r="J876" s="4" t="s">
        <v>923</v>
      </c>
      <c r="K876" s="4" t="s">
        <v>68</v>
      </c>
    </row>
    <row r="877" customFormat="false" ht="15" hidden="false" customHeight="false" outlineLevel="0" collapsed="false">
      <c r="A877" s="4" t="s">
        <v>1129</v>
      </c>
      <c r="B877" s="4" t="s">
        <v>1130</v>
      </c>
      <c r="C877" s="4" t="n">
        <v>16</v>
      </c>
      <c r="D877" s="4" t="s">
        <v>73</v>
      </c>
      <c r="E877" s="4" t="s">
        <v>99</v>
      </c>
      <c r="F877" s="4" t="s">
        <v>102</v>
      </c>
      <c r="H877" s="4" t="n">
        <v>140</v>
      </c>
      <c r="I877" s="18" t="n">
        <v>0</v>
      </c>
      <c r="J877" s="4" t="s">
        <v>67</v>
      </c>
      <c r="K877" s="4" t="s">
        <v>68</v>
      </c>
    </row>
    <row r="878" customFormat="false" ht="15" hidden="false" customHeight="false" outlineLevel="0" collapsed="false">
      <c r="A878" s="4" t="s">
        <v>1131</v>
      </c>
      <c r="B878" s="17" t="n">
        <v>45833</v>
      </c>
      <c r="C878" s="4" t="n">
        <v>17</v>
      </c>
      <c r="D878" s="4" t="s">
        <v>64</v>
      </c>
      <c r="E878" s="4" t="s">
        <v>99</v>
      </c>
      <c r="F878" s="4" t="s">
        <v>109</v>
      </c>
      <c r="G878" s="4" t="n">
        <v>1</v>
      </c>
      <c r="H878" s="4" t="n">
        <v>130</v>
      </c>
      <c r="I878" s="18" t="n">
        <v>0</v>
      </c>
      <c r="J878" s="4" t="s">
        <v>81</v>
      </c>
      <c r="K878" s="4" t="s">
        <v>68</v>
      </c>
    </row>
    <row r="879" customFormat="false" ht="15" hidden="false" customHeight="false" outlineLevel="0" collapsed="false">
      <c r="A879" s="4" t="s">
        <v>1132</v>
      </c>
      <c r="B879" s="17" t="n">
        <v>45833</v>
      </c>
      <c r="C879" s="4" t="n">
        <v>18</v>
      </c>
      <c r="D879" s="4" t="s">
        <v>98</v>
      </c>
      <c r="E879" s="4" t="s">
        <v>84</v>
      </c>
      <c r="F879" s="4" t="s">
        <v>85</v>
      </c>
      <c r="G879" s="4" t="n">
        <v>2</v>
      </c>
      <c r="H879" s="4" t="n">
        <v>150</v>
      </c>
      <c r="I879" s="18" t="n">
        <v>0.05</v>
      </c>
      <c r="J879" s="4" t="s">
        <v>81</v>
      </c>
      <c r="K879" s="4" t="s">
        <v>82</v>
      </c>
    </row>
    <row r="880" customFormat="false" ht="15" hidden="false" customHeight="false" outlineLevel="0" collapsed="false">
      <c r="A880" s="4" t="s">
        <v>1133</v>
      </c>
      <c r="B880" s="4" t="s">
        <v>1134</v>
      </c>
      <c r="C880" s="4" t="n">
        <v>9</v>
      </c>
      <c r="D880" s="4" t="s">
        <v>90</v>
      </c>
      <c r="E880" s="4" t="s">
        <v>84</v>
      </c>
      <c r="F880" s="4" t="s">
        <v>117</v>
      </c>
      <c r="G880" s="4" t="n">
        <v>1</v>
      </c>
      <c r="H880" s="4" t="n">
        <v>95</v>
      </c>
      <c r="I880" s="18" t="n">
        <v>0</v>
      </c>
      <c r="J880" s="4" t="s">
        <v>67</v>
      </c>
      <c r="K880" s="4" t="s">
        <v>77</v>
      </c>
    </row>
    <row r="881" customFormat="false" ht="15" hidden="false" customHeight="false" outlineLevel="0" collapsed="false">
      <c r="A881" s="4" t="s">
        <v>1135</v>
      </c>
      <c r="B881" s="4" t="s">
        <v>1134</v>
      </c>
      <c r="C881" s="4" t="n">
        <v>12</v>
      </c>
      <c r="D881" s="4" t="s">
        <v>64</v>
      </c>
      <c r="E881" s="4" t="s">
        <v>84</v>
      </c>
      <c r="F881" s="4" t="s">
        <v>114</v>
      </c>
      <c r="G881" s="4" t="n">
        <v>4</v>
      </c>
      <c r="H881" s="4" t="n">
        <v>85</v>
      </c>
      <c r="I881" s="18" t="n">
        <v>0.05</v>
      </c>
      <c r="J881" s="4" t="s">
        <v>67</v>
      </c>
      <c r="K881" s="4" t="s">
        <v>82</v>
      </c>
    </row>
    <row r="882" customFormat="false" ht="15" hidden="false" customHeight="false" outlineLevel="0" collapsed="false">
      <c r="A882" s="4" t="s">
        <v>1136</v>
      </c>
      <c r="B882" s="4" t="s">
        <v>1134</v>
      </c>
      <c r="C882" s="4" t="n">
        <v>16</v>
      </c>
      <c r="D882" s="4" t="s">
        <v>70</v>
      </c>
      <c r="E882" s="4" t="s">
        <v>65</v>
      </c>
      <c r="F882" s="4" t="s">
        <v>121</v>
      </c>
      <c r="G882" s="4" t="n">
        <v>4</v>
      </c>
      <c r="H882" s="4" t="n">
        <v>170</v>
      </c>
      <c r="I882" s="18" t="n">
        <v>0.1</v>
      </c>
      <c r="J882" s="4" t="s">
        <v>81</v>
      </c>
      <c r="K882" s="4" t="s">
        <v>68</v>
      </c>
    </row>
    <row r="883" customFormat="false" ht="15" hidden="false" customHeight="false" outlineLevel="0" collapsed="false">
      <c r="A883" s="4" t="s">
        <v>1137</v>
      </c>
      <c r="B883" s="17" t="n">
        <v>45835</v>
      </c>
      <c r="C883" s="4" t="n">
        <v>9</v>
      </c>
      <c r="D883" s="4" t="s">
        <v>73</v>
      </c>
      <c r="E883" s="4" t="s">
        <v>79</v>
      </c>
      <c r="F883" s="4" t="s">
        <v>148</v>
      </c>
      <c r="G883" s="4" t="n">
        <v>4</v>
      </c>
      <c r="H883" s="4" t="n">
        <v>120</v>
      </c>
      <c r="I883" s="18" t="n">
        <v>0.1</v>
      </c>
      <c r="J883" s="4" t="s">
        <v>81</v>
      </c>
      <c r="K883" s="4" t="s">
        <v>68</v>
      </c>
    </row>
    <row r="884" customFormat="false" ht="15" hidden="false" customHeight="false" outlineLevel="0" collapsed="false">
      <c r="A884" s="4" t="s">
        <v>1138</v>
      </c>
      <c r="B884" s="17" t="n">
        <v>45835</v>
      </c>
      <c r="C884" s="4" t="n">
        <v>9</v>
      </c>
      <c r="D884" s="4" t="s">
        <v>98</v>
      </c>
      <c r="E884" s="4" t="s">
        <v>79</v>
      </c>
      <c r="F884" s="4" t="s">
        <v>148</v>
      </c>
      <c r="G884" s="4" t="n">
        <v>3</v>
      </c>
      <c r="H884" s="4" t="n">
        <v>120</v>
      </c>
      <c r="I884" s="18" t="n">
        <v>0.2</v>
      </c>
      <c r="J884" s="4" t="s">
        <v>88</v>
      </c>
      <c r="K884" s="4" t="s">
        <v>71</v>
      </c>
    </row>
    <row r="885" customFormat="false" ht="15" hidden="false" customHeight="false" outlineLevel="0" collapsed="false">
      <c r="A885" s="4" t="s">
        <v>1139</v>
      </c>
      <c r="B885" s="17" t="n">
        <v>45835</v>
      </c>
      <c r="C885" s="4" t="n">
        <v>12</v>
      </c>
      <c r="D885" s="4" t="s">
        <v>73</v>
      </c>
      <c r="E885" s="4" t="s">
        <v>74</v>
      </c>
      <c r="F885" s="4" t="s">
        <v>91</v>
      </c>
      <c r="G885" s="4" t="n">
        <v>1</v>
      </c>
      <c r="H885" s="4" t="n">
        <v>200</v>
      </c>
      <c r="I885" s="18" t="n">
        <v>0</v>
      </c>
      <c r="J885" s="4" t="s">
        <v>76</v>
      </c>
      <c r="K885" s="4" t="s">
        <v>77</v>
      </c>
    </row>
    <row r="886" customFormat="false" ht="15" hidden="false" customHeight="false" outlineLevel="0" collapsed="false">
      <c r="A886" s="4" t="s">
        <v>1140</v>
      </c>
      <c r="B886" s="17" t="n">
        <v>45835</v>
      </c>
      <c r="C886" s="4" t="n">
        <v>13</v>
      </c>
      <c r="D886" s="4" t="s">
        <v>64</v>
      </c>
      <c r="E886" s="4" t="s">
        <v>65</v>
      </c>
      <c r="F886" s="4" t="s">
        <v>94</v>
      </c>
      <c r="G886" s="4" t="n">
        <v>1</v>
      </c>
      <c r="H886" s="4" t="n">
        <v>150</v>
      </c>
      <c r="I886" s="18" t="n">
        <v>0</v>
      </c>
      <c r="J886" s="4" t="s">
        <v>76</v>
      </c>
      <c r="K886" s="4" t="s">
        <v>77</v>
      </c>
    </row>
    <row r="887" customFormat="false" ht="15" hidden="false" customHeight="false" outlineLevel="0" collapsed="false">
      <c r="A887" s="4" t="s">
        <v>1141</v>
      </c>
      <c r="B887" s="17" t="n">
        <v>45835</v>
      </c>
      <c r="C887" s="4" t="n">
        <v>15</v>
      </c>
      <c r="D887" s="4" t="s">
        <v>64</v>
      </c>
      <c r="E887" s="4" t="s">
        <v>65</v>
      </c>
      <c r="F887" s="4" t="s">
        <v>236</v>
      </c>
      <c r="G887" s="4" t="n">
        <v>1</v>
      </c>
      <c r="H887" s="4" t="n">
        <v>150</v>
      </c>
      <c r="I887" s="18" t="n">
        <v>0</v>
      </c>
      <c r="J887" s="4" t="s">
        <v>81</v>
      </c>
      <c r="K887" s="4" t="s">
        <v>77</v>
      </c>
    </row>
    <row r="888" customFormat="false" ht="15" hidden="false" customHeight="false" outlineLevel="0" collapsed="false">
      <c r="A888" s="4" t="s">
        <v>1142</v>
      </c>
      <c r="B888" s="4" t="s">
        <v>1143</v>
      </c>
      <c r="C888" s="4" t="n">
        <v>17</v>
      </c>
      <c r="D888" s="4" t="s">
        <v>64</v>
      </c>
      <c r="E888" s="4" t="s">
        <v>99</v>
      </c>
      <c r="F888" s="4" t="s">
        <v>109</v>
      </c>
      <c r="G888" s="4" t="n">
        <v>1</v>
      </c>
      <c r="H888" s="4" t="n">
        <v>130</v>
      </c>
      <c r="I888" s="18" t="n">
        <v>0</v>
      </c>
      <c r="J888" s="4" t="s">
        <v>81</v>
      </c>
      <c r="K888" s="4" t="s">
        <v>68</v>
      </c>
    </row>
    <row r="889" customFormat="false" ht="15" hidden="false" customHeight="false" outlineLevel="0" collapsed="false">
      <c r="A889" s="4" t="s">
        <v>1144</v>
      </c>
      <c r="B889" s="17" t="n">
        <v>45836</v>
      </c>
      <c r="C889" s="4" t="n">
        <v>9</v>
      </c>
      <c r="D889" s="4" t="s">
        <v>73</v>
      </c>
      <c r="E889" s="4" t="s">
        <v>84</v>
      </c>
      <c r="F889" s="4" t="s">
        <v>106</v>
      </c>
      <c r="G889" s="4" t="n">
        <v>1</v>
      </c>
      <c r="H889" s="4" t="n">
        <v>60</v>
      </c>
      <c r="I889" s="18" t="n">
        <v>0</v>
      </c>
      <c r="J889" s="4" t="s">
        <v>103</v>
      </c>
      <c r="K889" s="4" t="s">
        <v>68</v>
      </c>
    </row>
    <row r="890" customFormat="false" ht="15" hidden="false" customHeight="false" outlineLevel="0" collapsed="false">
      <c r="A890" s="4" t="s">
        <v>1145</v>
      </c>
      <c r="B890" s="17" t="n">
        <v>45836</v>
      </c>
      <c r="C890" s="4" t="n">
        <v>9</v>
      </c>
      <c r="D890" s="4" t="s">
        <v>98</v>
      </c>
      <c r="E890" s="4" t="s">
        <v>65</v>
      </c>
      <c r="F890" s="4" t="s">
        <v>121</v>
      </c>
      <c r="G890" s="4" t="n">
        <v>2</v>
      </c>
      <c r="H890" s="4" t="n">
        <v>170</v>
      </c>
      <c r="I890" s="18" t="n">
        <v>0.1</v>
      </c>
      <c r="J890" s="4" t="s">
        <v>81</v>
      </c>
      <c r="K890" s="4" t="s">
        <v>71</v>
      </c>
    </row>
    <row r="891" customFormat="false" ht="15" hidden="false" customHeight="false" outlineLevel="0" collapsed="false">
      <c r="A891" s="4" t="s">
        <v>1146</v>
      </c>
      <c r="B891" s="17" t="n">
        <v>45836</v>
      </c>
      <c r="C891" s="4" t="n">
        <v>11</v>
      </c>
      <c r="D891" s="4" t="s">
        <v>98</v>
      </c>
      <c r="E891" s="4" t="s">
        <v>99</v>
      </c>
      <c r="F891" s="4" t="s">
        <v>102</v>
      </c>
      <c r="G891" s="4" t="n">
        <v>2</v>
      </c>
      <c r="H891" s="4" t="n">
        <v>140</v>
      </c>
      <c r="I891" s="18" t="n">
        <v>0.05</v>
      </c>
      <c r="J891" s="4" t="s">
        <v>81</v>
      </c>
      <c r="K891" s="4" t="s">
        <v>82</v>
      </c>
    </row>
    <row r="892" customFormat="false" ht="15" hidden="false" customHeight="false" outlineLevel="0" collapsed="false">
      <c r="A892" s="4" t="s">
        <v>1147</v>
      </c>
      <c r="B892" s="17" t="n">
        <v>45836</v>
      </c>
      <c r="C892" s="4" t="n">
        <v>17</v>
      </c>
      <c r="D892" s="4" t="s">
        <v>73</v>
      </c>
      <c r="E892" s="4" t="s">
        <v>84</v>
      </c>
      <c r="F892" s="4" t="s">
        <v>117</v>
      </c>
      <c r="G892" s="4" t="n">
        <v>1</v>
      </c>
      <c r="H892" s="4" t="n">
        <v>95</v>
      </c>
      <c r="I892" s="18" t="n">
        <v>0</v>
      </c>
      <c r="J892" s="4" t="s">
        <v>67</v>
      </c>
      <c r="K892" s="4" t="s">
        <v>68</v>
      </c>
    </row>
    <row r="893" customFormat="false" ht="15" hidden="false" customHeight="false" outlineLevel="0" collapsed="false">
      <c r="A893" s="4" t="s">
        <v>1147</v>
      </c>
      <c r="B893" s="17" t="n">
        <v>45836</v>
      </c>
      <c r="C893" s="4" t="n">
        <v>17</v>
      </c>
      <c r="D893" s="4" t="s">
        <v>73</v>
      </c>
      <c r="E893" s="4" t="s">
        <v>84</v>
      </c>
      <c r="F893" s="4" t="s">
        <v>117</v>
      </c>
      <c r="G893" s="4" t="n">
        <v>1</v>
      </c>
      <c r="H893" s="4" t="n">
        <v>95</v>
      </c>
      <c r="I893" s="18" t="n">
        <v>0</v>
      </c>
      <c r="J893" s="4" t="s">
        <v>67</v>
      </c>
      <c r="K893" s="4" t="s">
        <v>68</v>
      </c>
    </row>
    <row r="894" customFormat="false" ht="15" hidden="false" customHeight="false" outlineLevel="0" collapsed="false">
      <c r="A894" s="4" t="s">
        <v>1148</v>
      </c>
      <c r="B894" s="17" t="n">
        <v>45837</v>
      </c>
      <c r="C894" s="4" t="n">
        <v>9</v>
      </c>
      <c r="D894" s="4" t="s">
        <v>70</v>
      </c>
      <c r="E894" s="4" t="s">
        <v>99</v>
      </c>
      <c r="F894" s="4" t="s">
        <v>102</v>
      </c>
      <c r="G894" s="4" t="n">
        <v>3</v>
      </c>
      <c r="H894" s="4" t="n">
        <v>140</v>
      </c>
      <c r="I894" s="18" t="n">
        <v>0</v>
      </c>
      <c r="J894" s="4" t="s">
        <v>67</v>
      </c>
      <c r="K894" s="4" t="s">
        <v>68</v>
      </c>
    </row>
    <row r="895" customFormat="false" ht="15" hidden="false" customHeight="false" outlineLevel="0" collapsed="false">
      <c r="A895" s="4" t="s">
        <v>1149</v>
      </c>
      <c r="B895" s="17" t="n">
        <v>45837</v>
      </c>
      <c r="C895" s="4" t="n">
        <v>12</v>
      </c>
      <c r="D895" s="4" t="s">
        <v>70</v>
      </c>
      <c r="E895" s="4" t="s">
        <v>74</v>
      </c>
      <c r="F895" s="4" t="s">
        <v>75</v>
      </c>
      <c r="G895" s="4" t="n">
        <v>1</v>
      </c>
      <c r="H895" s="4" t="n">
        <v>220</v>
      </c>
      <c r="I895" s="18" t="n">
        <v>0.1</v>
      </c>
      <c r="J895" s="4" t="s">
        <v>81</v>
      </c>
      <c r="K895" s="4" t="s">
        <v>71</v>
      </c>
    </row>
    <row r="896" customFormat="false" ht="15" hidden="false" customHeight="false" outlineLevel="0" collapsed="false">
      <c r="A896" s="4" t="s">
        <v>1150</v>
      </c>
      <c r="B896" s="17" t="n">
        <v>45837</v>
      </c>
      <c r="C896" s="4" t="n">
        <v>12</v>
      </c>
      <c r="D896" s="4" t="s">
        <v>64</v>
      </c>
      <c r="E896" s="4" t="s">
        <v>99</v>
      </c>
      <c r="F896" s="4" t="s">
        <v>109</v>
      </c>
      <c r="G896" s="4" t="n">
        <v>1</v>
      </c>
      <c r="H896" s="4" t="n">
        <v>130</v>
      </c>
      <c r="I896" s="18" t="n">
        <v>0</v>
      </c>
      <c r="J896" s="4" t="s">
        <v>67</v>
      </c>
      <c r="K896" s="4" t="s">
        <v>68</v>
      </c>
    </row>
    <row r="897" customFormat="false" ht="15" hidden="false" customHeight="false" outlineLevel="0" collapsed="false">
      <c r="A897" s="4" t="s">
        <v>1151</v>
      </c>
      <c r="B897" s="17" t="n">
        <v>45837</v>
      </c>
      <c r="C897" s="4" t="n">
        <v>13</v>
      </c>
      <c r="D897" s="4" t="s">
        <v>70</v>
      </c>
      <c r="E897" s="4" t="s">
        <v>79</v>
      </c>
      <c r="F897" s="4" t="s">
        <v>148</v>
      </c>
      <c r="G897" s="4" t="n">
        <v>2</v>
      </c>
      <c r="H897" s="4" t="n">
        <v>120</v>
      </c>
      <c r="I897" s="18" t="n">
        <v>0</v>
      </c>
      <c r="J897" s="4" t="s">
        <v>67</v>
      </c>
      <c r="K897" s="4" t="s">
        <v>77</v>
      </c>
    </row>
    <row r="898" customFormat="false" ht="15" hidden="false" customHeight="false" outlineLevel="0" collapsed="false">
      <c r="A898" s="4" t="s">
        <v>1152</v>
      </c>
      <c r="B898" s="17" t="n">
        <v>45837</v>
      </c>
      <c r="C898" s="4" t="n">
        <v>15</v>
      </c>
      <c r="D898" s="4" t="s">
        <v>98</v>
      </c>
      <c r="E898" s="4" t="s">
        <v>65</v>
      </c>
      <c r="F898" s="4" t="s">
        <v>66</v>
      </c>
      <c r="G898" s="4" t="n">
        <v>2</v>
      </c>
      <c r="H898" s="4" t="n">
        <v>120</v>
      </c>
      <c r="I898" s="18" t="n">
        <v>0.1</v>
      </c>
      <c r="J898" s="4" t="s">
        <v>665</v>
      </c>
      <c r="K898" s="4" t="s">
        <v>71</v>
      </c>
    </row>
    <row r="899" customFormat="false" ht="15" hidden="false" customHeight="false" outlineLevel="0" collapsed="false">
      <c r="A899" s="4" t="s">
        <v>1153</v>
      </c>
      <c r="B899" s="17" t="n">
        <v>45837</v>
      </c>
      <c r="C899" s="4" t="n">
        <v>16</v>
      </c>
      <c r="D899" s="4" t="s">
        <v>98</v>
      </c>
      <c r="E899" s="4" t="s">
        <v>84</v>
      </c>
      <c r="F899" s="4" t="s">
        <v>579</v>
      </c>
      <c r="G899" s="4" t="n">
        <v>3</v>
      </c>
      <c r="H899" s="4" t="n">
        <v>95</v>
      </c>
      <c r="I899" s="18" t="n">
        <v>0.1</v>
      </c>
      <c r="J899" s="4" t="s">
        <v>67</v>
      </c>
      <c r="K899" s="4" t="s">
        <v>71</v>
      </c>
    </row>
    <row r="900" customFormat="false" ht="15" hidden="false" customHeight="false" outlineLevel="0" collapsed="false">
      <c r="A900" s="4" t="s">
        <v>1154</v>
      </c>
      <c r="B900" s="17" t="n">
        <v>45838</v>
      </c>
      <c r="C900" s="4" t="n">
        <v>8</v>
      </c>
      <c r="D900" s="4" t="s">
        <v>70</v>
      </c>
      <c r="E900" s="4" t="s">
        <v>99</v>
      </c>
      <c r="F900" s="4" t="s">
        <v>252</v>
      </c>
      <c r="G900" s="4" t="n">
        <v>2</v>
      </c>
      <c r="H900" s="4" t="n">
        <v>130</v>
      </c>
      <c r="I900" s="18" t="n">
        <v>0.05</v>
      </c>
      <c r="J900" s="4" t="s">
        <v>81</v>
      </c>
      <c r="K900" s="4" t="s">
        <v>82</v>
      </c>
    </row>
    <row r="901" customFormat="false" ht="15" hidden="false" customHeight="false" outlineLevel="0" collapsed="false">
      <c r="A901" s="4" t="s">
        <v>1155</v>
      </c>
      <c r="B901" s="17" t="n">
        <v>45838</v>
      </c>
      <c r="C901" s="4" t="n">
        <v>12</v>
      </c>
      <c r="D901" s="4" t="s">
        <v>64</v>
      </c>
      <c r="E901" s="4" t="s">
        <v>74</v>
      </c>
      <c r="F901" s="4" t="s">
        <v>139</v>
      </c>
      <c r="G901" s="4" t="n">
        <v>2</v>
      </c>
      <c r="H901" s="4" t="n">
        <v>260</v>
      </c>
      <c r="I901" s="18" t="n">
        <v>0.15</v>
      </c>
      <c r="J901" s="4" t="s">
        <v>81</v>
      </c>
      <c r="K901" s="4" t="s">
        <v>77</v>
      </c>
    </row>
    <row r="902" customFormat="false" ht="15" hidden="false" customHeight="false" outlineLevel="0" collapsed="false">
      <c r="A902" s="4" t="s">
        <v>1156</v>
      </c>
      <c r="B902" s="4" t="s">
        <v>1157</v>
      </c>
      <c r="C902" s="4" t="n">
        <v>13</v>
      </c>
      <c r="D902" s="4" t="s">
        <v>70</v>
      </c>
      <c r="E902" s="4" t="s">
        <v>74</v>
      </c>
      <c r="F902" s="4" t="s">
        <v>139</v>
      </c>
      <c r="G902" s="4" t="n">
        <v>2</v>
      </c>
      <c r="H902" s="4" t="n">
        <v>260</v>
      </c>
      <c r="I902" s="18" t="n">
        <v>0</v>
      </c>
      <c r="J902" s="4" t="s">
        <v>81</v>
      </c>
      <c r="K902" s="4" t="s">
        <v>68</v>
      </c>
    </row>
    <row r="903" customFormat="false" ht="15" hidden="false" customHeight="false" outlineLevel="0" collapsed="false">
      <c r="A903" s="4" t="s">
        <v>1158</v>
      </c>
      <c r="B903" s="17" t="n">
        <v>45838</v>
      </c>
      <c r="C903" s="4" t="n">
        <v>15</v>
      </c>
      <c r="D903" s="4" t="s">
        <v>70</v>
      </c>
      <c r="E903" s="4" t="s">
        <v>79</v>
      </c>
      <c r="F903" s="4" t="s">
        <v>80</v>
      </c>
      <c r="G903" s="4" t="n">
        <v>1</v>
      </c>
      <c r="H903" s="4" t="n">
        <v>160</v>
      </c>
      <c r="I903" s="18" t="n">
        <v>0</v>
      </c>
      <c r="J903" s="4" t="s">
        <v>112</v>
      </c>
      <c r="K903" s="4" t="s">
        <v>68</v>
      </c>
    </row>
    <row r="904" customFormat="false" ht="15" hidden="false" customHeight="false" outlineLevel="0" collapsed="false">
      <c r="A904" s="4" t="s">
        <v>1159</v>
      </c>
      <c r="B904" s="17" t="n">
        <v>45838</v>
      </c>
      <c r="C904" s="4" t="n">
        <v>15</v>
      </c>
      <c r="D904" s="4" t="s">
        <v>73</v>
      </c>
      <c r="E904" s="4" t="s">
        <v>373</v>
      </c>
      <c r="F904" s="4" t="s">
        <v>102</v>
      </c>
      <c r="G904" s="4" t="n">
        <v>2</v>
      </c>
      <c r="H904" s="4" t="n">
        <v>140</v>
      </c>
      <c r="J904" s="4" t="s">
        <v>81</v>
      </c>
      <c r="K904" s="4" t="s">
        <v>68</v>
      </c>
    </row>
    <row r="905" customFormat="false" ht="15" hidden="false" customHeight="false" outlineLevel="0" collapsed="false">
      <c r="A905" s="4" t="s">
        <v>1160</v>
      </c>
      <c r="B905" s="17" t="n">
        <v>45838</v>
      </c>
      <c r="C905" s="4" t="n">
        <v>17</v>
      </c>
      <c r="D905" s="4" t="s">
        <v>64</v>
      </c>
      <c r="E905" s="4" t="s">
        <v>99</v>
      </c>
      <c r="F905" s="4" t="s">
        <v>109</v>
      </c>
      <c r="G905" s="4" t="n">
        <v>2</v>
      </c>
      <c r="H905" s="4" t="n">
        <v>130</v>
      </c>
      <c r="I905" s="18" t="n">
        <v>0.05</v>
      </c>
      <c r="J905" s="4" t="s">
        <v>81</v>
      </c>
      <c r="K905" s="4" t="s">
        <v>82</v>
      </c>
    </row>
    <row r="906" customFormat="false" ht="15" hidden="false" customHeight="false" outlineLevel="0" collapsed="false">
      <c r="A906" s="4" t="s">
        <v>1161</v>
      </c>
      <c r="B906" s="17" t="n">
        <v>45839</v>
      </c>
      <c r="C906" s="4" t="n">
        <v>9</v>
      </c>
      <c r="D906" s="4" t="s">
        <v>70</v>
      </c>
      <c r="E906" s="4" t="s">
        <v>65</v>
      </c>
      <c r="F906" s="4" t="s">
        <v>94</v>
      </c>
      <c r="G906" s="4" t="n">
        <v>3</v>
      </c>
      <c r="H906" s="4" t="n">
        <v>150</v>
      </c>
      <c r="I906" s="18" t="n">
        <v>0</v>
      </c>
      <c r="J906" s="4" t="s">
        <v>88</v>
      </c>
      <c r="K906" s="4" t="s">
        <v>77</v>
      </c>
    </row>
    <row r="907" customFormat="false" ht="15" hidden="false" customHeight="false" outlineLevel="0" collapsed="false">
      <c r="A907" s="4" t="s">
        <v>1162</v>
      </c>
      <c r="B907" s="17" t="n">
        <v>45839</v>
      </c>
      <c r="C907" s="4" t="n">
        <v>9</v>
      </c>
      <c r="D907" s="4" t="s">
        <v>64</v>
      </c>
      <c r="E907" s="4" t="s">
        <v>99</v>
      </c>
      <c r="F907" s="4" t="s">
        <v>102</v>
      </c>
      <c r="G907" s="4" t="n">
        <v>3</v>
      </c>
      <c r="H907" s="4" t="n">
        <v>140</v>
      </c>
      <c r="I907" s="18" t="n">
        <v>0.1</v>
      </c>
      <c r="J907" s="4" t="s">
        <v>81</v>
      </c>
      <c r="K907" s="4" t="s">
        <v>77</v>
      </c>
    </row>
    <row r="908" customFormat="false" ht="15" hidden="false" customHeight="false" outlineLevel="0" collapsed="false">
      <c r="A908" s="4" t="s">
        <v>1163</v>
      </c>
      <c r="B908" s="17" t="n">
        <v>45839</v>
      </c>
      <c r="C908" s="4" t="n">
        <v>9</v>
      </c>
      <c r="D908" s="4" t="s">
        <v>73</v>
      </c>
      <c r="E908" s="4" t="s">
        <v>99</v>
      </c>
      <c r="F908" s="4" t="s">
        <v>102</v>
      </c>
      <c r="G908" s="4" t="n">
        <v>1</v>
      </c>
      <c r="H908" s="4" t="n">
        <v>140</v>
      </c>
      <c r="I908" s="18" t="n">
        <v>0</v>
      </c>
      <c r="J908" s="4" t="s">
        <v>88</v>
      </c>
      <c r="K908" s="4" t="s">
        <v>68</v>
      </c>
    </row>
    <row r="909" customFormat="false" ht="15" hidden="false" customHeight="false" outlineLevel="0" collapsed="false">
      <c r="A909" s="4" t="s">
        <v>1164</v>
      </c>
      <c r="B909" s="17" t="n">
        <v>45839</v>
      </c>
      <c r="C909" s="4" t="n">
        <v>11</v>
      </c>
      <c r="D909" s="4" t="s">
        <v>98</v>
      </c>
      <c r="E909" s="4" t="s">
        <v>99</v>
      </c>
      <c r="F909" s="4" t="s">
        <v>1165</v>
      </c>
      <c r="G909" s="4" t="n">
        <v>1</v>
      </c>
      <c r="H909" s="4" t="n">
        <v>140</v>
      </c>
      <c r="I909" s="18" t="n">
        <v>0</v>
      </c>
      <c r="J909" s="4" t="s">
        <v>76</v>
      </c>
      <c r="K909" s="4" t="s">
        <v>68</v>
      </c>
    </row>
    <row r="910" customFormat="false" ht="15" hidden="false" customHeight="false" outlineLevel="0" collapsed="false">
      <c r="A910" s="4" t="s">
        <v>1166</v>
      </c>
      <c r="B910" s="17" t="n">
        <v>45840</v>
      </c>
      <c r="C910" s="4" t="n">
        <v>8</v>
      </c>
      <c r="D910" s="4" t="s">
        <v>225</v>
      </c>
      <c r="E910" s="4" t="s">
        <v>99</v>
      </c>
      <c r="F910" s="4" t="s">
        <v>102</v>
      </c>
      <c r="G910" s="4" t="n">
        <v>1</v>
      </c>
      <c r="H910" s="4" t="n">
        <v>140</v>
      </c>
      <c r="I910" s="18" t="n">
        <v>0</v>
      </c>
      <c r="J910" s="4" t="s">
        <v>81</v>
      </c>
      <c r="K910" s="4" t="s">
        <v>68</v>
      </c>
    </row>
    <row r="911" customFormat="false" ht="15" hidden="false" customHeight="false" outlineLevel="0" collapsed="false">
      <c r="A911" s="4" t="s">
        <v>1167</v>
      </c>
      <c r="B911" s="17" t="n">
        <v>45840</v>
      </c>
      <c r="C911" s="4" t="n">
        <v>10</v>
      </c>
      <c r="D911" s="4" t="s">
        <v>70</v>
      </c>
      <c r="E911" s="4" t="s">
        <v>99</v>
      </c>
      <c r="F911" s="4" t="s">
        <v>102</v>
      </c>
      <c r="G911" s="4" t="n">
        <v>2</v>
      </c>
      <c r="H911" s="4" t="n">
        <v>140</v>
      </c>
      <c r="I911" s="18" t="n">
        <v>0.05</v>
      </c>
      <c r="J911" s="4" t="s">
        <v>88</v>
      </c>
      <c r="K911" s="4" t="s">
        <v>82</v>
      </c>
    </row>
    <row r="912" customFormat="false" ht="15" hidden="false" customHeight="false" outlineLevel="0" collapsed="false">
      <c r="A912" s="4" t="s">
        <v>1168</v>
      </c>
      <c r="B912" s="17" t="n">
        <v>45840</v>
      </c>
      <c r="C912" s="4" t="n">
        <v>16</v>
      </c>
      <c r="D912" s="4" t="s">
        <v>64</v>
      </c>
      <c r="E912" s="4" t="s">
        <v>84</v>
      </c>
      <c r="F912" s="4" t="s">
        <v>85</v>
      </c>
      <c r="G912" s="4" t="n">
        <v>4</v>
      </c>
      <c r="H912" s="4" t="n">
        <v>150</v>
      </c>
      <c r="I912" s="18" t="n">
        <v>0</v>
      </c>
      <c r="J912" s="4" t="s">
        <v>76</v>
      </c>
      <c r="K912" s="4" t="s">
        <v>77</v>
      </c>
    </row>
    <row r="913" customFormat="false" ht="15" hidden="false" customHeight="false" outlineLevel="0" collapsed="false">
      <c r="A913" s="4" t="s">
        <v>1169</v>
      </c>
      <c r="B913" s="17" t="n">
        <v>45841</v>
      </c>
      <c r="C913" s="4" t="n">
        <v>9</v>
      </c>
      <c r="D913" s="4" t="s">
        <v>73</v>
      </c>
      <c r="E913" s="4" t="s">
        <v>84</v>
      </c>
      <c r="F913" s="4" t="s">
        <v>114</v>
      </c>
      <c r="G913" s="4" t="n">
        <v>2</v>
      </c>
      <c r="H913" s="4" t="n">
        <v>85</v>
      </c>
      <c r="I913" s="18" t="n">
        <v>0</v>
      </c>
      <c r="J913" s="4" t="s">
        <v>76</v>
      </c>
      <c r="K913" s="4" t="s">
        <v>68</v>
      </c>
    </row>
    <row r="914" customFormat="false" ht="15" hidden="false" customHeight="false" outlineLevel="0" collapsed="false">
      <c r="A914" s="4" t="s">
        <v>1170</v>
      </c>
      <c r="B914" s="17" t="n">
        <v>45841</v>
      </c>
      <c r="C914" s="4" t="n">
        <v>10</v>
      </c>
      <c r="D914" s="4" t="s">
        <v>64</v>
      </c>
      <c r="E914" s="4" t="s">
        <v>84</v>
      </c>
      <c r="F914" s="4" t="s">
        <v>117</v>
      </c>
      <c r="G914" s="4" t="n">
        <v>1</v>
      </c>
      <c r="H914" s="4" t="n">
        <v>95</v>
      </c>
      <c r="I914" s="18" t="n">
        <v>0</v>
      </c>
      <c r="J914" s="4" t="s">
        <v>81</v>
      </c>
      <c r="K914" s="4" t="s">
        <v>68</v>
      </c>
    </row>
    <row r="915" customFormat="false" ht="15" hidden="false" customHeight="false" outlineLevel="0" collapsed="false">
      <c r="A915" s="4" t="s">
        <v>1171</v>
      </c>
      <c r="B915" s="17" t="n">
        <v>45841</v>
      </c>
      <c r="C915" s="4" t="n">
        <v>12</v>
      </c>
      <c r="D915" s="4" t="s">
        <v>73</v>
      </c>
      <c r="E915" s="4" t="s">
        <v>99</v>
      </c>
      <c r="F915" s="4" t="s">
        <v>109</v>
      </c>
      <c r="G915" s="4" t="n">
        <v>1</v>
      </c>
      <c r="H915" s="4" t="n">
        <v>130</v>
      </c>
      <c r="I915" s="18" t="n">
        <v>0</v>
      </c>
      <c r="J915" s="4" t="s">
        <v>88</v>
      </c>
      <c r="K915" s="4" t="s">
        <v>77</v>
      </c>
    </row>
    <row r="916" customFormat="false" ht="15" hidden="false" customHeight="false" outlineLevel="0" collapsed="false">
      <c r="A916" s="4" t="s">
        <v>1172</v>
      </c>
      <c r="B916" s="4" t="s">
        <v>1173</v>
      </c>
      <c r="C916" s="4" t="n">
        <v>13</v>
      </c>
      <c r="D916" s="4" t="s">
        <v>90</v>
      </c>
      <c r="E916" s="4" t="s">
        <v>84</v>
      </c>
      <c r="F916" s="4" t="s">
        <v>114</v>
      </c>
      <c r="G916" s="4" t="n">
        <v>1</v>
      </c>
      <c r="H916" s="4" t="n">
        <v>85</v>
      </c>
      <c r="I916" s="18" t="n">
        <v>0.2</v>
      </c>
      <c r="J916" s="4" t="s">
        <v>88</v>
      </c>
      <c r="K916" s="4" t="s">
        <v>82</v>
      </c>
    </row>
    <row r="917" customFormat="false" ht="15" hidden="false" customHeight="false" outlineLevel="0" collapsed="false">
      <c r="A917" s="4" t="s">
        <v>1174</v>
      </c>
      <c r="B917" s="17" t="n">
        <v>45841</v>
      </c>
      <c r="C917" s="4" t="n">
        <v>14</v>
      </c>
      <c r="D917" s="4" t="s">
        <v>70</v>
      </c>
      <c r="E917" s="4" t="s">
        <v>84</v>
      </c>
      <c r="F917" s="4" t="s">
        <v>85</v>
      </c>
      <c r="G917" s="4" t="n">
        <v>1</v>
      </c>
      <c r="H917" s="4" t="n">
        <v>150</v>
      </c>
      <c r="I917" s="18" t="n">
        <v>0.1</v>
      </c>
      <c r="J917" s="4" t="s">
        <v>81</v>
      </c>
      <c r="K917" s="4" t="s">
        <v>71</v>
      </c>
    </row>
    <row r="918" customFormat="false" ht="15" hidden="false" customHeight="false" outlineLevel="0" collapsed="false">
      <c r="A918" s="4" t="s">
        <v>1175</v>
      </c>
      <c r="B918" s="17" t="n">
        <v>45841</v>
      </c>
      <c r="C918" s="4" t="n">
        <v>19</v>
      </c>
      <c r="D918" s="4" t="s">
        <v>98</v>
      </c>
      <c r="E918" s="4" t="s">
        <v>84</v>
      </c>
      <c r="F918" s="4" t="s">
        <v>114</v>
      </c>
      <c r="G918" s="4" t="n">
        <v>2</v>
      </c>
      <c r="H918" s="4" t="n">
        <v>85</v>
      </c>
      <c r="I918" s="18" t="n">
        <v>0</v>
      </c>
      <c r="J918" s="4" t="s">
        <v>81</v>
      </c>
      <c r="K918" s="4" t="s">
        <v>68</v>
      </c>
    </row>
    <row r="919" customFormat="false" ht="15" hidden="false" customHeight="false" outlineLevel="0" collapsed="false">
      <c r="A919" s="4" t="s">
        <v>1176</v>
      </c>
      <c r="B919" s="17" t="n">
        <v>45842</v>
      </c>
      <c r="C919" s="4" t="n">
        <v>8</v>
      </c>
      <c r="D919" s="4" t="s">
        <v>64</v>
      </c>
      <c r="E919" s="4" t="s">
        <v>65</v>
      </c>
      <c r="F919" s="4" t="s">
        <v>94</v>
      </c>
      <c r="G919" s="4" t="n">
        <v>1</v>
      </c>
      <c r="H919" s="4" t="n">
        <v>150</v>
      </c>
      <c r="I919" s="18" t="n">
        <v>0.05</v>
      </c>
      <c r="J919" s="4" t="s">
        <v>112</v>
      </c>
      <c r="K919" s="4" t="s">
        <v>82</v>
      </c>
    </row>
    <row r="920" customFormat="false" ht="15" hidden="false" customHeight="false" outlineLevel="0" collapsed="false">
      <c r="A920" s="4" t="s">
        <v>1177</v>
      </c>
      <c r="B920" s="17" t="n">
        <v>45842</v>
      </c>
      <c r="C920" s="4" t="n">
        <v>13</v>
      </c>
      <c r="D920" s="4" t="s">
        <v>64</v>
      </c>
      <c r="E920" s="4" t="s">
        <v>65</v>
      </c>
      <c r="F920" s="4" t="s">
        <v>66</v>
      </c>
      <c r="G920" s="4" t="n">
        <v>2</v>
      </c>
      <c r="H920" s="4" t="n">
        <v>120</v>
      </c>
      <c r="I920" s="18" t="n">
        <v>0.1</v>
      </c>
      <c r="J920" s="4" t="s">
        <v>81</v>
      </c>
      <c r="K920" s="4" t="s">
        <v>68</v>
      </c>
    </row>
    <row r="921" customFormat="false" ht="15" hidden="false" customHeight="false" outlineLevel="0" collapsed="false">
      <c r="A921" s="4" t="s">
        <v>1178</v>
      </c>
      <c r="B921" s="4" t="s">
        <v>1179</v>
      </c>
      <c r="C921" s="4" t="n">
        <v>16</v>
      </c>
      <c r="D921" s="4" t="s">
        <v>98</v>
      </c>
      <c r="E921" s="4" t="s">
        <v>302</v>
      </c>
      <c r="F921" s="4" t="s">
        <v>109</v>
      </c>
      <c r="G921" s="4" t="n">
        <v>1</v>
      </c>
      <c r="H921" s="4" t="n">
        <v>130</v>
      </c>
      <c r="I921" s="18" t="n">
        <v>0.1</v>
      </c>
      <c r="J921" s="4" t="s">
        <v>76</v>
      </c>
      <c r="K921" s="4" t="s">
        <v>71</v>
      </c>
    </row>
    <row r="922" customFormat="false" ht="15" hidden="false" customHeight="false" outlineLevel="0" collapsed="false">
      <c r="A922" s="4" t="s">
        <v>1180</v>
      </c>
      <c r="B922" s="17" t="n">
        <v>45842</v>
      </c>
      <c r="C922" s="4" t="n">
        <v>16</v>
      </c>
      <c r="D922" s="4" t="s">
        <v>64</v>
      </c>
      <c r="E922" s="4" t="s">
        <v>99</v>
      </c>
      <c r="F922" s="4" t="s">
        <v>102</v>
      </c>
      <c r="G922" s="4" t="n">
        <v>1</v>
      </c>
      <c r="H922" s="4" t="n">
        <v>140</v>
      </c>
      <c r="I922" s="18" t="n">
        <v>0</v>
      </c>
      <c r="J922" s="4" t="s">
        <v>88</v>
      </c>
      <c r="K922" s="4" t="s">
        <v>68</v>
      </c>
    </row>
    <row r="923" customFormat="false" ht="15" hidden="false" customHeight="false" outlineLevel="0" collapsed="false">
      <c r="A923" s="4" t="s">
        <v>1181</v>
      </c>
      <c r="B923" s="17" t="n">
        <v>45842</v>
      </c>
      <c r="C923" s="4" t="n">
        <v>17</v>
      </c>
      <c r="D923" s="4" t="s">
        <v>70</v>
      </c>
      <c r="E923" s="4" t="s">
        <v>99</v>
      </c>
      <c r="F923" s="4" t="s">
        <v>100</v>
      </c>
      <c r="G923" s="4" t="n">
        <v>2</v>
      </c>
      <c r="H923" s="4" t="n">
        <v>110</v>
      </c>
      <c r="I923" s="18" t="n">
        <v>0.05</v>
      </c>
      <c r="J923" s="4" t="s">
        <v>67</v>
      </c>
      <c r="K923" s="4" t="s">
        <v>82</v>
      </c>
    </row>
    <row r="924" customFormat="false" ht="15" hidden="false" customHeight="false" outlineLevel="0" collapsed="false">
      <c r="A924" s="4" t="s">
        <v>1182</v>
      </c>
      <c r="B924" s="17" t="n">
        <v>45843</v>
      </c>
      <c r="C924" s="4" t="n">
        <v>17</v>
      </c>
      <c r="D924" s="4" t="s">
        <v>64</v>
      </c>
      <c r="E924" s="4" t="s">
        <v>65</v>
      </c>
      <c r="F924" s="4" t="s">
        <v>66</v>
      </c>
      <c r="G924" s="4" t="n">
        <v>1</v>
      </c>
      <c r="H924" s="4" t="n">
        <v>120</v>
      </c>
      <c r="I924" s="18" t="n">
        <v>0.1</v>
      </c>
      <c r="J924" s="4" t="s">
        <v>112</v>
      </c>
      <c r="K924" s="4" t="s">
        <v>71</v>
      </c>
    </row>
    <row r="925" customFormat="false" ht="15" hidden="false" customHeight="false" outlineLevel="0" collapsed="false">
      <c r="A925" s="4" t="s">
        <v>1183</v>
      </c>
      <c r="B925" s="17" t="n">
        <v>45844</v>
      </c>
      <c r="C925" s="4" t="n">
        <v>8</v>
      </c>
      <c r="D925" s="4" t="s">
        <v>98</v>
      </c>
      <c r="E925" s="4" t="s">
        <v>65</v>
      </c>
      <c r="F925" s="4" t="s">
        <v>121</v>
      </c>
      <c r="G925" s="4" t="n">
        <v>1</v>
      </c>
      <c r="H925" s="4" t="n">
        <v>170</v>
      </c>
      <c r="I925" s="18" t="n">
        <v>0.05</v>
      </c>
      <c r="J925" s="4" t="s">
        <v>67</v>
      </c>
      <c r="K925" s="4" t="s">
        <v>82</v>
      </c>
    </row>
    <row r="926" customFormat="false" ht="15" hidden="false" customHeight="false" outlineLevel="0" collapsed="false">
      <c r="A926" s="4" t="s">
        <v>1184</v>
      </c>
      <c r="B926" s="17" t="n">
        <v>45844</v>
      </c>
      <c r="C926" s="4" t="n">
        <v>11</v>
      </c>
      <c r="D926" s="4" t="s">
        <v>70</v>
      </c>
      <c r="E926" s="4" t="s">
        <v>79</v>
      </c>
      <c r="F926" s="4" t="s">
        <v>80</v>
      </c>
      <c r="G926" s="4" t="n">
        <v>3</v>
      </c>
      <c r="H926" s="4" t="n">
        <v>160</v>
      </c>
      <c r="I926" s="18" t="n">
        <v>0</v>
      </c>
      <c r="J926" s="4" t="s">
        <v>81</v>
      </c>
      <c r="K926" s="4" t="s">
        <v>77</v>
      </c>
    </row>
    <row r="927" customFormat="false" ht="15" hidden="false" customHeight="false" outlineLevel="0" collapsed="false">
      <c r="A927" s="4" t="s">
        <v>1185</v>
      </c>
      <c r="B927" s="17" t="n">
        <v>45844</v>
      </c>
      <c r="C927" s="4" t="n">
        <v>12</v>
      </c>
      <c r="D927" s="4" t="s">
        <v>70</v>
      </c>
      <c r="E927" s="4" t="s">
        <v>65</v>
      </c>
      <c r="F927" s="4" t="s">
        <v>66</v>
      </c>
      <c r="G927" s="4" t="n">
        <v>1</v>
      </c>
      <c r="H927" s="4" t="n">
        <v>120</v>
      </c>
      <c r="I927" s="18" t="n">
        <v>0</v>
      </c>
      <c r="J927" s="4" t="s">
        <v>76</v>
      </c>
      <c r="K927" s="4" t="s">
        <v>77</v>
      </c>
    </row>
    <row r="928" customFormat="false" ht="15" hidden="false" customHeight="false" outlineLevel="0" collapsed="false">
      <c r="A928" s="4" t="s">
        <v>1186</v>
      </c>
      <c r="B928" s="17" t="n">
        <v>45844</v>
      </c>
      <c r="C928" s="4" t="n">
        <v>15</v>
      </c>
      <c r="D928" s="4" t="s">
        <v>64</v>
      </c>
      <c r="E928" s="4" t="s">
        <v>99</v>
      </c>
      <c r="F928" s="4" t="s">
        <v>109</v>
      </c>
      <c r="G928" s="4" t="n">
        <v>1</v>
      </c>
      <c r="H928" s="4" t="n">
        <v>130</v>
      </c>
      <c r="I928" s="18" t="n">
        <v>0.15</v>
      </c>
      <c r="J928" s="4" t="s">
        <v>67</v>
      </c>
      <c r="K928" s="4" t="s">
        <v>77</v>
      </c>
    </row>
    <row r="929" customFormat="false" ht="15" hidden="false" customHeight="false" outlineLevel="0" collapsed="false">
      <c r="A929" s="4" t="s">
        <v>1187</v>
      </c>
      <c r="B929" s="17" t="n">
        <v>45845</v>
      </c>
      <c r="C929" s="4" t="n">
        <v>10</v>
      </c>
      <c r="D929" s="4" t="s">
        <v>73</v>
      </c>
      <c r="E929" s="4" t="s">
        <v>99</v>
      </c>
      <c r="F929" s="4" t="s">
        <v>133</v>
      </c>
      <c r="G929" s="4" t="n">
        <v>1</v>
      </c>
      <c r="H929" s="4" t="n">
        <v>90</v>
      </c>
      <c r="I929" s="18" t="n">
        <v>0</v>
      </c>
      <c r="J929" s="4" t="s">
        <v>67</v>
      </c>
      <c r="K929" s="4" t="s">
        <v>77</v>
      </c>
    </row>
    <row r="930" customFormat="false" ht="15" hidden="false" customHeight="false" outlineLevel="0" collapsed="false">
      <c r="A930" s="4" t="s">
        <v>1188</v>
      </c>
      <c r="B930" s="17" t="n">
        <v>45845</v>
      </c>
      <c r="C930" s="4" t="n">
        <v>11</v>
      </c>
      <c r="D930" s="4" t="s">
        <v>98</v>
      </c>
      <c r="E930" s="4" t="s">
        <v>99</v>
      </c>
      <c r="F930" s="4" t="s">
        <v>102</v>
      </c>
      <c r="G930" s="4" t="n">
        <v>1</v>
      </c>
      <c r="H930" s="4" t="n">
        <v>140</v>
      </c>
      <c r="I930" s="18" t="n">
        <v>0</v>
      </c>
      <c r="J930" s="4" t="s">
        <v>67</v>
      </c>
      <c r="K930" s="4" t="s">
        <v>77</v>
      </c>
    </row>
    <row r="931" customFormat="false" ht="15" hidden="false" customHeight="false" outlineLevel="0" collapsed="false">
      <c r="A931" s="4" t="s">
        <v>1188</v>
      </c>
      <c r="B931" s="17" t="n">
        <v>45845</v>
      </c>
      <c r="C931" s="4" t="n">
        <v>11</v>
      </c>
      <c r="D931" s="4" t="s">
        <v>98</v>
      </c>
      <c r="E931" s="4" t="s">
        <v>99</v>
      </c>
      <c r="F931" s="4" t="s">
        <v>102</v>
      </c>
      <c r="G931" s="4" t="n">
        <v>1</v>
      </c>
      <c r="H931" s="4" t="n">
        <v>140</v>
      </c>
      <c r="I931" s="18" t="n">
        <v>0</v>
      </c>
      <c r="J931" s="4" t="s">
        <v>67</v>
      </c>
      <c r="K931" s="4" t="s">
        <v>77</v>
      </c>
    </row>
    <row r="932" customFormat="false" ht="15" hidden="false" customHeight="false" outlineLevel="0" collapsed="false">
      <c r="A932" s="4" t="s">
        <v>1189</v>
      </c>
      <c r="B932" s="17" t="n">
        <v>45845</v>
      </c>
      <c r="C932" s="4" t="n">
        <v>11</v>
      </c>
      <c r="D932" s="4" t="s">
        <v>153</v>
      </c>
      <c r="E932" s="4" t="s">
        <v>74</v>
      </c>
      <c r="F932" s="4" t="s">
        <v>139</v>
      </c>
      <c r="G932" s="4" t="n">
        <v>1</v>
      </c>
      <c r="H932" s="4" t="n">
        <v>260</v>
      </c>
      <c r="I932" s="18" t="n">
        <v>0.1</v>
      </c>
      <c r="J932" s="4" t="s">
        <v>273</v>
      </c>
      <c r="K932" s="4" t="s">
        <v>71</v>
      </c>
    </row>
    <row r="933" customFormat="false" ht="15" hidden="false" customHeight="false" outlineLevel="0" collapsed="false">
      <c r="A933" s="4" t="s">
        <v>1190</v>
      </c>
      <c r="B933" s="17" t="n">
        <v>45845</v>
      </c>
      <c r="C933" s="4" t="n">
        <v>14</v>
      </c>
      <c r="D933" s="4" t="s">
        <v>64</v>
      </c>
      <c r="E933" s="4" t="s">
        <v>99</v>
      </c>
      <c r="F933" s="4" t="s">
        <v>100</v>
      </c>
      <c r="G933" s="4" t="n">
        <v>1</v>
      </c>
      <c r="H933" s="4" t="n">
        <v>110</v>
      </c>
      <c r="I933" s="18" t="n">
        <v>0</v>
      </c>
      <c r="J933" s="4" t="s">
        <v>81</v>
      </c>
      <c r="K933" s="4" t="s">
        <v>68</v>
      </c>
    </row>
    <row r="934" customFormat="false" ht="15" hidden="false" customHeight="false" outlineLevel="0" collapsed="false">
      <c r="A934" s="4" t="s">
        <v>1191</v>
      </c>
      <c r="B934" s="17" t="n">
        <v>45845</v>
      </c>
      <c r="C934" s="4" t="n">
        <v>15</v>
      </c>
      <c r="D934" s="4" t="s">
        <v>70</v>
      </c>
      <c r="E934" s="4" t="s">
        <v>65</v>
      </c>
      <c r="F934" s="4" t="s">
        <v>94</v>
      </c>
      <c r="G934" s="4" t="n">
        <v>3</v>
      </c>
      <c r="H934" s="4" t="n">
        <v>150</v>
      </c>
      <c r="I934" s="18" t="n">
        <v>0</v>
      </c>
      <c r="J934" s="4" t="s">
        <v>67</v>
      </c>
      <c r="K934" s="4" t="s">
        <v>68</v>
      </c>
    </row>
    <row r="935" customFormat="false" ht="15" hidden="false" customHeight="false" outlineLevel="0" collapsed="false">
      <c r="A935" s="4" t="s">
        <v>1192</v>
      </c>
      <c r="B935" s="17" t="n">
        <v>45845</v>
      </c>
      <c r="C935" s="4" t="n">
        <v>18</v>
      </c>
      <c r="D935" s="4" t="s">
        <v>73</v>
      </c>
      <c r="E935" s="4" t="s">
        <v>364</v>
      </c>
      <c r="F935" s="4" t="s">
        <v>258</v>
      </c>
      <c r="G935" s="4" t="n">
        <v>4</v>
      </c>
      <c r="H935" s="4" t="n">
        <v>95</v>
      </c>
      <c r="I935" s="18" t="n">
        <v>0.05</v>
      </c>
      <c r="J935" s="4" t="s">
        <v>81</v>
      </c>
      <c r="K935" s="4" t="s">
        <v>82</v>
      </c>
    </row>
    <row r="936" customFormat="false" ht="15" hidden="false" customHeight="false" outlineLevel="0" collapsed="false">
      <c r="A936" s="4" t="s">
        <v>1193</v>
      </c>
      <c r="B936" s="17" t="n">
        <v>45846</v>
      </c>
      <c r="C936" s="4" t="n">
        <v>9</v>
      </c>
      <c r="D936" s="4" t="s">
        <v>73</v>
      </c>
      <c r="E936" s="4" t="s">
        <v>65</v>
      </c>
      <c r="F936" s="4" t="s">
        <v>121</v>
      </c>
      <c r="H936" s="4" t="n">
        <v>170</v>
      </c>
      <c r="I936" s="18" t="n">
        <v>0</v>
      </c>
      <c r="J936" s="4" t="s">
        <v>923</v>
      </c>
      <c r="K936" s="4" t="s">
        <v>68</v>
      </c>
    </row>
    <row r="937" customFormat="false" ht="15" hidden="false" customHeight="false" outlineLevel="0" collapsed="false">
      <c r="A937" s="4" t="s">
        <v>1194</v>
      </c>
      <c r="B937" s="4" t="s">
        <v>1195</v>
      </c>
      <c r="C937" s="4" t="n">
        <v>10</v>
      </c>
      <c r="D937" s="4" t="s">
        <v>70</v>
      </c>
      <c r="E937" s="4" t="s">
        <v>84</v>
      </c>
      <c r="F937" s="4" t="s">
        <v>1196</v>
      </c>
      <c r="G937" s="4" t="n">
        <v>4</v>
      </c>
      <c r="H937" s="4" t="n">
        <v>60</v>
      </c>
      <c r="I937" s="18" t="n">
        <v>0.1</v>
      </c>
      <c r="J937" s="4" t="s">
        <v>76</v>
      </c>
      <c r="K937" s="4" t="s">
        <v>71</v>
      </c>
    </row>
    <row r="938" customFormat="false" ht="15" hidden="false" customHeight="false" outlineLevel="0" collapsed="false">
      <c r="A938" s="4" t="s">
        <v>1197</v>
      </c>
      <c r="B938" s="17" t="n">
        <v>45846</v>
      </c>
      <c r="C938" s="4" t="n">
        <v>19</v>
      </c>
      <c r="D938" s="4" t="s">
        <v>73</v>
      </c>
      <c r="E938" s="4" t="s">
        <v>462</v>
      </c>
      <c r="F938" s="4" t="s">
        <v>94</v>
      </c>
      <c r="G938" s="4" t="n">
        <v>1</v>
      </c>
      <c r="H938" s="4" t="n">
        <v>150</v>
      </c>
      <c r="I938" s="18" t="n">
        <v>0</v>
      </c>
      <c r="J938" s="4" t="s">
        <v>67</v>
      </c>
      <c r="K938" s="4" t="s">
        <v>77</v>
      </c>
    </row>
    <row r="939" customFormat="false" ht="15" hidden="false" customHeight="false" outlineLevel="0" collapsed="false">
      <c r="A939" s="4" t="s">
        <v>1197</v>
      </c>
      <c r="B939" s="17" t="n">
        <v>45846</v>
      </c>
      <c r="C939" s="4" t="n">
        <v>19</v>
      </c>
      <c r="D939" s="4" t="s">
        <v>73</v>
      </c>
      <c r="E939" s="4" t="s">
        <v>462</v>
      </c>
      <c r="F939" s="4" t="s">
        <v>94</v>
      </c>
      <c r="G939" s="4" t="n">
        <v>1</v>
      </c>
      <c r="H939" s="4" t="n">
        <v>150</v>
      </c>
      <c r="I939" s="18" t="n">
        <v>0</v>
      </c>
      <c r="J939" s="4" t="s">
        <v>67</v>
      </c>
      <c r="K939" s="4" t="s">
        <v>77</v>
      </c>
    </row>
    <row r="940" customFormat="false" ht="15" hidden="false" customHeight="false" outlineLevel="0" collapsed="false">
      <c r="A940" s="4" t="s">
        <v>1198</v>
      </c>
      <c r="B940" s="17" t="n">
        <v>45847</v>
      </c>
      <c r="C940" s="4" t="n">
        <v>9</v>
      </c>
      <c r="D940" s="4" t="s">
        <v>70</v>
      </c>
      <c r="E940" s="4" t="s">
        <v>65</v>
      </c>
      <c r="F940" s="4" t="s">
        <v>236</v>
      </c>
      <c r="G940" s="4" t="n">
        <v>1</v>
      </c>
      <c r="H940" s="4" t="n">
        <v>150</v>
      </c>
      <c r="I940" s="18" t="n">
        <v>0.05</v>
      </c>
      <c r="J940" s="4" t="s">
        <v>76</v>
      </c>
      <c r="K940" s="4" t="s">
        <v>82</v>
      </c>
    </row>
    <row r="941" customFormat="false" ht="15" hidden="false" customHeight="false" outlineLevel="0" collapsed="false">
      <c r="A941" s="4" t="s">
        <v>1199</v>
      </c>
      <c r="B941" s="17" t="n">
        <v>45847</v>
      </c>
      <c r="C941" s="4" t="n">
        <v>16</v>
      </c>
      <c r="D941" s="4" t="s">
        <v>70</v>
      </c>
      <c r="E941" s="4" t="s">
        <v>84</v>
      </c>
      <c r="F941" s="4" t="s">
        <v>117</v>
      </c>
      <c r="G941" s="4" t="n">
        <v>1</v>
      </c>
      <c r="H941" s="4" t="n">
        <v>95</v>
      </c>
      <c r="I941" s="18" t="n">
        <v>0.05</v>
      </c>
      <c r="J941" s="4" t="s">
        <v>112</v>
      </c>
      <c r="K941" s="4" t="s">
        <v>82</v>
      </c>
    </row>
    <row r="942" customFormat="false" ht="15" hidden="false" customHeight="false" outlineLevel="0" collapsed="false">
      <c r="A942" s="4" t="s">
        <v>1200</v>
      </c>
      <c r="B942" s="17" t="n">
        <v>45847</v>
      </c>
      <c r="C942" s="4" t="n">
        <v>19</v>
      </c>
      <c r="D942" s="4" t="s">
        <v>98</v>
      </c>
      <c r="E942" s="4" t="s">
        <v>79</v>
      </c>
      <c r="F942" s="4" t="s">
        <v>135</v>
      </c>
      <c r="G942" s="4" t="n">
        <v>1</v>
      </c>
      <c r="H942" s="4" t="n">
        <v>130</v>
      </c>
      <c r="I942" s="18" t="n">
        <v>0.05</v>
      </c>
      <c r="J942" s="4" t="s">
        <v>76</v>
      </c>
      <c r="K942" s="4" t="s">
        <v>82</v>
      </c>
    </row>
    <row r="943" customFormat="false" ht="15" hidden="false" customHeight="false" outlineLevel="0" collapsed="false">
      <c r="A943" s="4" t="s">
        <v>1201</v>
      </c>
      <c r="B943" s="17" t="n">
        <v>45848</v>
      </c>
      <c r="C943" s="4" t="n">
        <v>10</v>
      </c>
      <c r="D943" s="4" t="s">
        <v>189</v>
      </c>
      <c r="E943" s="4" t="s">
        <v>65</v>
      </c>
      <c r="F943" s="4" t="s">
        <v>121</v>
      </c>
      <c r="G943" s="4" t="n">
        <v>1</v>
      </c>
      <c r="H943" s="4" t="n">
        <v>170</v>
      </c>
      <c r="I943" s="18" t="n">
        <v>0.1</v>
      </c>
      <c r="J943" s="4" t="s">
        <v>67</v>
      </c>
      <c r="K943" s="4" t="s">
        <v>82</v>
      </c>
    </row>
    <row r="944" customFormat="false" ht="15" hidden="false" customHeight="false" outlineLevel="0" collapsed="false">
      <c r="A944" s="4" t="s">
        <v>1202</v>
      </c>
      <c r="B944" s="17" t="n">
        <v>45848</v>
      </c>
      <c r="C944" s="4" t="n">
        <v>13</v>
      </c>
      <c r="D944" s="4" t="s">
        <v>70</v>
      </c>
      <c r="E944" s="4" t="s">
        <v>84</v>
      </c>
      <c r="F944" s="4" t="s">
        <v>117</v>
      </c>
      <c r="G944" s="4" t="n">
        <v>2</v>
      </c>
      <c r="H944" s="4" t="n">
        <v>95</v>
      </c>
      <c r="I944" s="18" t="n">
        <v>0.05</v>
      </c>
      <c r="J944" s="4" t="s">
        <v>88</v>
      </c>
      <c r="K944" s="4" t="s">
        <v>82</v>
      </c>
    </row>
    <row r="945" customFormat="false" ht="15" hidden="false" customHeight="false" outlineLevel="0" collapsed="false">
      <c r="A945" s="4" t="s">
        <v>1203</v>
      </c>
      <c r="B945" s="17" t="n">
        <v>45848</v>
      </c>
      <c r="C945" s="4" t="n">
        <v>16</v>
      </c>
      <c r="D945" s="4" t="s">
        <v>98</v>
      </c>
      <c r="E945" s="4" t="s">
        <v>79</v>
      </c>
      <c r="F945" s="4" t="s">
        <v>148</v>
      </c>
      <c r="G945" s="4" t="n">
        <v>2</v>
      </c>
      <c r="H945" s="4" t="n">
        <v>120</v>
      </c>
      <c r="I945" s="18" t="n">
        <v>0</v>
      </c>
      <c r="J945" s="4" t="s">
        <v>67</v>
      </c>
      <c r="K945" s="4" t="s">
        <v>68</v>
      </c>
    </row>
    <row r="946" customFormat="false" ht="15" hidden="false" customHeight="false" outlineLevel="0" collapsed="false">
      <c r="A946" s="4" t="s">
        <v>1204</v>
      </c>
      <c r="B946" s="17" t="n">
        <v>45848</v>
      </c>
      <c r="C946" s="4" t="n">
        <v>16</v>
      </c>
      <c r="D946" s="4" t="s">
        <v>73</v>
      </c>
      <c r="E946" s="4" t="s">
        <v>84</v>
      </c>
      <c r="F946" s="4" t="s">
        <v>114</v>
      </c>
      <c r="G946" s="4" t="n">
        <v>1</v>
      </c>
      <c r="H946" s="4" t="n">
        <v>85</v>
      </c>
      <c r="I946" s="18" t="n">
        <v>0</v>
      </c>
      <c r="J946" s="4" t="s">
        <v>76</v>
      </c>
      <c r="K946" s="4" t="s">
        <v>68</v>
      </c>
    </row>
    <row r="947" customFormat="false" ht="15" hidden="false" customHeight="false" outlineLevel="0" collapsed="false">
      <c r="A947" s="4" t="s">
        <v>1205</v>
      </c>
      <c r="B947" s="17" t="n">
        <v>45849</v>
      </c>
      <c r="C947" s="4" t="n">
        <v>7</v>
      </c>
      <c r="D947" s="4" t="s">
        <v>166</v>
      </c>
      <c r="E947" s="4" t="s">
        <v>99</v>
      </c>
      <c r="F947" s="4" t="s">
        <v>109</v>
      </c>
      <c r="G947" s="4" t="n">
        <v>1</v>
      </c>
      <c r="H947" s="4" t="n">
        <v>130</v>
      </c>
      <c r="I947" s="18" t="n">
        <v>0</v>
      </c>
      <c r="J947" s="4" t="s">
        <v>76</v>
      </c>
      <c r="K947" s="4" t="s">
        <v>68</v>
      </c>
    </row>
    <row r="948" customFormat="false" ht="15" hidden="false" customHeight="false" outlineLevel="0" collapsed="false">
      <c r="A948" s="4" t="s">
        <v>1206</v>
      </c>
      <c r="B948" s="17" t="n">
        <v>45849</v>
      </c>
      <c r="C948" s="4" t="n">
        <v>12</v>
      </c>
      <c r="D948" s="4" t="s">
        <v>70</v>
      </c>
      <c r="E948" s="4" t="s">
        <v>99</v>
      </c>
      <c r="F948" s="4" t="s">
        <v>102</v>
      </c>
      <c r="G948" s="4" t="n">
        <v>4</v>
      </c>
      <c r="H948" s="4" t="n">
        <v>140</v>
      </c>
      <c r="I948" s="18" t="n">
        <v>0.05</v>
      </c>
      <c r="J948" s="4" t="s">
        <v>67</v>
      </c>
      <c r="K948" s="4" t="s">
        <v>82</v>
      </c>
    </row>
    <row r="949" customFormat="false" ht="15" hidden="false" customHeight="false" outlineLevel="0" collapsed="false">
      <c r="A949" s="4" t="s">
        <v>1207</v>
      </c>
      <c r="B949" s="17" t="n">
        <v>45849</v>
      </c>
      <c r="C949" s="4" t="n">
        <v>17</v>
      </c>
      <c r="D949" s="4" t="s">
        <v>70</v>
      </c>
      <c r="E949" s="4" t="s">
        <v>65</v>
      </c>
      <c r="F949" s="4" t="s">
        <v>87</v>
      </c>
      <c r="G949" s="4" t="n">
        <v>1</v>
      </c>
      <c r="H949" s="4" t="n">
        <v>160</v>
      </c>
      <c r="I949" s="18" t="n">
        <v>0.1</v>
      </c>
      <c r="J949" s="4" t="s">
        <v>81</v>
      </c>
      <c r="K949" s="4" t="s">
        <v>82</v>
      </c>
    </row>
    <row r="950" customFormat="false" ht="15" hidden="false" customHeight="false" outlineLevel="0" collapsed="false">
      <c r="A950" s="4" t="s">
        <v>1208</v>
      </c>
      <c r="B950" s="17" t="n">
        <v>45849</v>
      </c>
      <c r="C950" s="4" t="n">
        <v>18</v>
      </c>
      <c r="D950" s="4" t="s">
        <v>70</v>
      </c>
      <c r="E950" s="4" t="s">
        <v>99</v>
      </c>
      <c r="F950" s="4" t="s">
        <v>102</v>
      </c>
      <c r="G950" s="4" t="n">
        <v>3</v>
      </c>
      <c r="H950" s="4" t="n">
        <v>140</v>
      </c>
      <c r="I950" s="18" t="n">
        <v>0</v>
      </c>
      <c r="J950" s="4" t="s">
        <v>67</v>
      </c>
      <c r="K950" s="4" t="s">
        <v>68</v>
      </c>
    </row>
    <row r="951" customFormat="false" ht="15" hidden="false" customHeight="false" outlineLevel="0" collapsed="false">
      <c r="A951" s="4" t="s">
        <v>1209</v>
      </c>
      <c r="B951" s="4" t="s">
        <v>1210</v>
      </c>
      <c r="C951" s="4" t="n">
        <v>8</v>
      </c>
      <c r="D951" s="4" t="s">
        <v>70</v>
      </c>
      <c r="E951" s="4" t="s">
        <v>84</v>
      </c>
      <c r="F951" s="4" t="s">
        <v>106</v>
      </c>
      <c r="G951" s="4" t="n">
        <v>3</v>
      </c>
      <c r="H951" s="4" t="n">
        <v>60</v>
      </c>
      <c r="I951" s="18" t="n">
        <v>0</v>
      </c>
      <c r="J951" s="4" t="s">
        <v>81</v>
      </c>
      <c r="K951" s="4" t="s">
        <v>77</v>
      </c>
    </row>
    <row r="952" customFormat="false" ht="15" hidden="false" customHeight="false" outlineLevel="0" collapsed="false">
      <c r="A952" s="4" t="s">
        <v>1211</v>
      </c>
      <c r="B952" s="17" t="n">
        <v>45850</v>
      </c>
      <c r="C952" s="4" t="n">
        <v>9</v>
      </c>
      <c r="D952" s="4" t="s">
        <v>64</v>
      </c>
      <c r="E952" s="4" t="s">
        <v>65</v>
      </c>
      <c r="F952" s="4" t="s">
        <v>66</v>
      </c>
      <c r="G952" s="4" t="n">
        <v>2</v>
      </c>
      <c r="H952" s="4" t="n">
        <v>120</v>
      </c>
      <c r="I952" s="18" t="n">
        <v>0.1</v>
      </c>
      <c r="J952" s="4" t="s">
        <v>67</v>
      </c>
      <c r="K952" s="4" t="s">
        <v>71</v>
      </c>
    </row>
    <row r="953" customFormat="false" ht="15" hidden="false" customHeight="false" outlineLevel="0" collapsed="false">
      <c r="A953" s="4" t="s">
        <v>1212</v>
      </c>
      <c r="B953" s="17" t="n">
        <v>45850</v>
      </c>
      <c r="C953" s="4" t="n">
        <v>11</v>
      </c>
      <c r="D953" s="4" t="s">
        <v>64</v>
      </c>
      <c r="E953" s="4" t="s">
        <v>79</v>
      </c>
      <c r="F953" s="4" t="s">
        <v>80</v>
      </c>
      <c r="G953" s="4" t="n">
        <v>1</v>
      </c>
      <c r="H953" s="4" t="n">
        <v>160</v>
      </c>
      <c r="I953" s="18" t="n">
        <v>0.15</v>
      </c>
      <c r="J953" s="4" t="s">
        <v>88</v>
      </c>
      <c r="K953" s="4" t="s">
        <v>68</v>
      </c>
    </row>
    <row r="954" customFormat="false" ht="15" hidden="false" customHeight="false" outlineLevel="0" collapsed="false">
      <c r="A954" s="4" t="s">
        <v>1213</v>
      </c>
      <c r="B954" s="17" t="n">
        <v>45850</v>
      </c>
      <c r="C954" s="4" t="n">
        <v>12</v>
      </c>
      <c r="D954" s="4" t="s">
        <v>73</v>
      </c>
      <c r="E954" s="4" t="s">
        <v>99</v>
      </c>
      <c r="F954" s="4" t="s">
        <v>102</v>
      </c>
      <c r="G954" s="4" t="n">
        <v>2</v>
      </c>
      <c r="H954" s="4" t="n">
        <v>140</v>
      </c>
      <c r="I954" s="18" t="n">
        <v>0.1</v>
      </c>
      <c r="J954" s="4" t="s">
        <v>81</v>
      </c>
      <c r="K954" s="4" t="s">
        <v>71</v>
      </c>
    </row>
    <row r="955" customFormat="false" ht="15" hidden="false" customHeight="false" outlineLevel="0" collapsed="false">
      <c r="A955" s="4" t="s">
        <v>1214</v>
      </c>
      <c r="B955" s="17" t="n">
        <v>45850</v>
      </c>
      <c r="C955" s="4" t="n">
        <v>15</v>
      </c>
      <c r="D955" s="4" t="s">
        <v>64</v>
      </c>
      <c r="E955" s="4" t="s">
        <v>65</v>
      </c>
      <c r="F955" s="4" t="s">
        <v>121</v>
      </c>
      <c r="G955" s="4" t="n">
        <v>2</v>
      </c>
      <c r="H955" s="4" t="n">
        <v>170</v>
      </c>
      <c r="I955" s="18" t="n">
        <v>0.1</v>
      </c>
      <c r="J955" s="4" t="s">
        <v>81</v>
      </c>
      <c r="K955" s="4" t="s">
        <v>68</v>
      </c>
    </row>
    <row r="956" customFormat="false" ht="15" hidden="false" customHeight="false" outlineLevel="0" collapsed="false">
      <c r="A956" s="4" t="s">
        <v>1215</v>
      </c>
      <c r="B956" s="17" t="n">
        <v>45850</v>
      </c>
      <c r="C956" s="4" t="n">
        <v>16</v>
      </c>
      <c r="D956" s="4" t="s">
        <v>98</v>
      </c>
      <c r="E956" s="4" t="s">
        <v>504</v>
      </c>
      <c r="F956" s="4" t="s">
        <v>85</v>
      </c>
      <c r="G956" s="4" t="n">
        <v>4</v>
      </c>
      <c r="H956" s="4" t="n">
        <v>150</v>
      </c>
      <c r="I956" s="18" t="n">
        <v>0.1</v>
      </c>
      <c r="J956" s="4" t="s">
        <v>81</v>
      </c>
      <c r="K956" s="4" t="s">
        <v>71</v>
      </c>
    </row>
    <row r="957" customFormat="false" ht="15" hidden="false" customHeight="false" outlineLevel="0" collapsed="false">
      <c r="A957" s="4" t="s">
        <v>1216</v>
      </c>
      <c r="B957" s="4" t="s">
        <v>1217</v>
      </c>
      <c r="C957" s="4" t="n">
        <v>8</v>
      </c>
      <c r="D957" s="4" t="s">
        <v>70</v>
      </c>
      <c r="E957" s="4" t="s">
        <v>65</v>
      </c>
      <c r="F957" s="4" t="s">
        <v>94</v>
      </c>
      <c r="G957" s="4" t="n">
        <v>1</v>
      </c>
      <c r="H957" s="4" t="n">
        <v>150</v>
      </c>
      <c r="I957" s="18" t="n">
        <v>0.05</v>
      </c>
      <c r="J957" s="4" t="s">
        <v>67</v>
      </c>
      <c r="K957" s="4" t="s">
        <v>82</v>
      </c>
    </row>
    <row r="958" customFormat="false" ht="15" hidden="false" customHeight="false" outlineLevel="0" collapsed="false">
      <c r="A958" s="4" t="s">
        <v>1218</v>
      </c>
      <c r="B958" s="17" t="n">
        <v>45851</v>
      </c>
      <c r="C958" s="4" t="n">
        <v>9</v>
      </c>
      <c r="D958" s="4" t="s">
        <v>64</v>
      </c>
      <c r="E958" s="4" t="s">
        <v>99</v>
      </c>
      <c r="F958" s="4" t="s">
        <v>275</v>
      </c>
      <c r="G958" s="4" t="n">
        <v>1</v>
      </c>
      <c r="H958" s="4" t="n">
        <v>140</v>
      </c>
      <c r="I958" s="18" t="n">
        <v>0.1</v>
      </c>
      <c r="J958" s="4" t="s">
        <v>266</v>
      </c>
      <c r="K958" s="4" t="s">
        <v>71</v>
      </c>
    </row>
    <row r="959" customFormat="false" ht="15" hidden="false" customHeight="false" outlineLevel="0" collapsed="false">
      <c r="A959" s="4" t="s">
        <v>1219</v>
      </c>
      <c r="B959" s="17" t="n">
        <v>45851</v>
      </c>
      <c r="C959" s="4" t="n">
        <v>13</v>
      </c>
      <c r="D959" s="4" t="s">
        <v>341</v>
      </c>
      <c r="E959" s="4" t="s">
        <v>99</v>
      </c>
      <c r="F959" s="4" t="s">
        <v>100</v>
      </c>
      <c r="G959" s="4" t="n">
        <v>4</v>
      </c>
      <c r="H959" s="4" t="n">
        <v>110</v>
      </c>
      <c r="I959" s="18" t="n">
        <v>0.05</v>
      </c>
      <c r="J959" s="4" t="s">
        <v>81</v>
      </c>
      <c r="K959" s="4" t="s">
        <v>82</v>
      </c>
    </row>
    <row r="960" customFormat="false" ht="15" hidden="false" customHeight="false" outlineLevel="0" collapsed="false">
      <c r="A960" s="4" t="s">
        <v>1220</v>
      </c>
      <c r="B960" s="17" t="n">
        <v>45851</v>
      </c>
      <c r="C960" s="4" t="n">
        <v>13</v>
      </c>
      <c r="D960" s="4" t="s">
        <v>73</v>
      </c>
      <c r="E960" s="4" t="s">
        <v>99</v>
      </c>
      <c r="F960" s="4" t="s">
        <v>102</v>
      </c>
      <c r="G960" s="4" t="n">
        <v>3</v>
      </c>
      <c r="H960" s="4" t="n">
        <v>140</v>
      </c>
      <c r="I960" s="18" t="n">
        <v>0.05</v>
      </c>
      <c r="J960" s="4" t="s">
        <v>76</v>
      </c>
      <c r="K960" s="4" t="s">
        <v>82</v>
      </c>
    </row>
    <row r="961" customFormat="false" ht="15" hidden="false" customHeight="false" outlineLevel="0" collapsed="false">
      <c r="A961" s="4" t="s">
        <v>1221</v>
      </c>
      <c r="B961" s="17" t="n">
        <v>45851</v>
      </c>
      <c r="C961" s="4" t="n">
        <v>19</v>
      </c>
      <c r="D961" s="4" t="s">
        <v>70</v>
      </c>
      <c r="E961" s="4" t="s">
        <v>99</v>
      </c>
      <c r="F961" s="4" t="s">
        <v>100</v>
      </c>
      <c r="G961" s="4" t="n">
        <v>2</v>
      </c>
      <c r="H961" s="4" t="n">
        <v>110</v>
      </c>
      <c r="I961" s="18" t="n">
        <v>0</v>
      </c>
      <c r="J961" s="4" t="s">
        <v>67</v>
      </c>
      <c r="K961" s="4" t="s">
        <v>77</v>
      </c>
    </row>
    <row r="962" customFormat="false" ht="15" hidden="false" customHeight="false" outlineLevel="0" collapsed="false">
      <c r="A962" s="4" t="s">
        <v>1222</v>
      </c>
      <c r="B962" s="4" t="s">
        <v>1223</v>
      </c>
      <c r="C962" s="4" t="n">
        <v>7</v>
      </c>
      <c r="D962" s="4" t="s">
        <v>90</v>
      </c>
      <c r="E962" s="4" t="s">
        <v>84</v>
      </c>
      <c r="F962" s="4" t="s">
        <v>114</v>
      </c>
      <c r="G962" s="4" t="n">
        <v>1</v>
      </c>
      <c r="H962" s="4" t="n">
        <v>85</v>
      </c>
      <c r="I962" s="18" t="n">
        <v>0.15</v>
      </c>
      <c r="J962" s="4" t="s">
        <v>67</v>
      </c>
      <c r="K962" s="4" t="s">
        <v>68</v>
      </c>
    </row>
    <row r="963" customFormat="false" ht="15" hidden="false" customHeight="false" outlineLevel="0" collapsed="false">
      <c r="A963" s="4" t="s">
        <v>1224</v>
      </c>
      <c r="B963" s="17" t="n">
        <v>45852</v>
      </c>
      <c r="C963" s="4" t="n">
        <v>7</v>
      </c>
      <c r="D963" s="4" t="s">
        <v>70</v>
      </c>
      <c r="E963" s="4" t="s">
        <v>65</v>
      </c>
      <c r="F963" s="4" t="s">
        <v>87</v>
      </c>
      <c r="G963" s="4" t="n">
        <v>1</v>
      </c>
      <c r="H963" s="4" t="n">
        <v>160</v>
      </c>
      <c r="I963" s="18" t="n">
        <v>0.1</v>
      </c>
      <c r="J963" s="4" t="s">
        <v>76</v>
      </c>
    </row>
    <row r="964" customFormat="false" ht="15" hidden="false" customHeight="false" outlineLevel="0" collapsed="false">
      <c r="A964" s="4" t="s">
        <v>1225</v>
      </c>
      <c r="B964" s="17" t="n">
        <v>45852</v>
      </c>
      <c r="C964" s="4" t="n">
        <v>7</v>
      </c>
      <c r="D964" s="4" t="s">
        <v>70</v>
      </c>
      <c r="E964" s="4" t="s">
        <v>99</v>
      </c>
      <c r="F964" s="4" t="s">
        <v>102</v>
      </c>
      <c r="G964" s="4" t="n">
        <v>2</v>
      </c>
      <c r="H964" s="4" t="n">
        <v>140</v>
      </c>
      <c r="I964" s="18" t="n">
        <v>0.1</v>
      </c>
      <c r="J964" s="4" t="s">
        <v>76</v>
      </c>
      <c r="K964" s="4" t="s">
        <v>71</v>
      </c>
    </row>
    <row r="965" customFormat="false" ht="15" hidden="false" customHeight="false" outlineLevel="0" collapsed="false">
      <c r="A965" s="4" t="s">
        <v>1226</v>
      </c>
      <c r="B965" s="17" t="n">
        <v>45852</v>
      </c>
      <c r="C965" s="4" t="n">
        <v>8</v>
      </c>
      <c r="D965" s="4" t="s">
        <v>189</v>
      </c>
      <c r="E965" s="4" t="s">
        <v>99</v>
      </c>
      <c r="F965" s="4" t="s">
        <v>109</v>
      </c>
      <c r="G965" s="4" t="n">
        <v>1</v>
      </c>
      <c r="H965" s="4" t="n">
        <v>130</v>
      </c>
      <c r="I965" s="18" t="n">
        <v>0.1</v>
      </c>
      <c r="J965" s="4" t="s">
        <v>81</v>
      </c>
      <c r="K965" s="4" t="s">
        <v>68</v>
      </c>
    </row>
    <row r="966" customFormat="false" ht="15" hidden="false" customHeight="false" outlineLevel="0" collapsed="false">
      <c r="A966" s="4" t="s">
        <v>1227</v>
      </c>
      <c r="B966" s="17" t="n">
        <v>45852</v>
      </c>
      <c r="C966" s="4" t="n">
        <v>13</v>
      </c>
      <c r="D966" s="4" t="s">
        <v>73</v>
      </c>
      <c r="E966" s="4" t="s">
        <v>79</v>
      </c>
      <c r="F966" s="4" t="s">
        <v>148</v>
      </c>
      <c r="G966" s="4" t="n">
        <v>1</v>
      </c>
      <c r="H966" s="4" t="n">
        <v>120</v>
      </c>
      <c r="I966" s="18" t="n">
        <v>0</v>
      </c>
      <c r="J966" s="4" t="s">
        <v>81</v>
      </c>
      <c r="K966" s="4" t="s">
        <v>77</v>
      </c>
    </row>
    <row r="967" customFormat="false" ht="15" hidden="false" customHeight="false" outlineLevel="0" collapsed="false">
      <c r="A967" s="4" t="s">
        <v>1228</v>
      </c>
      <c r="B967" s="17" t="n">
        <v>45852</v>
      </c>
      <c r="C967" s="4" t="n">
        <v>13</v>
      </c>
      <c r="D967" s="4" t="s">
        <v>64</v>
      </c>
      <c r="E967" s="4" t="s">
        <v>99</v>
      </c>
      <c r="F967" s="4" t="s">
        <v>100</v>
      </c>
      <c r="G967" s="4" t="n">
        <v>1</v>
      </c>
      <c r="H967" s="4" t="n">
        <v>110</v>
      </c>
      <c r="I967" s="18" t="n">
        <v>0</v>
      </c>
      <c r="J967" s="4" t="s">
        <v>112</v>
      </c>
      <c r="K967" s="4" t="s">
        <v>68</v>
      </c>
    </row>
    <row r="968" customFormat="false" ht="15" hidden="false" customHeight="false" outlineLevel="0" collapsed="false">
      <c r="A968" s="4" t="s">
        <v>1229</v>
      </c>
      <c r="B968" s="17" t="n">
        <v>45853</v>
      </c>
      <c r="C968" s="4" t="n">
        <v>8</v>
      </c>
      <c r="D968" s="4" t="s">
        <v>73</v>
      </c>
      <c r="E968" s="4" t="s">
        <v>99</v>
      </c>
      <c r="F968" s="4" t="s">
        <v>102</v>
      </c>
      <c r="G968" s="4" t="n">
        <v>2</v>
      </c>
      <c r="H968" s="4" t="n">
        <v>140</v>
      </c>
      <c r="I968" s="18" t="n">
        <v>0</v>
      </c>
      <c r="J968" s="4" t="s">
        <v>67</v>
      </c>
      <c r="K968" s="4" t="s">
        <v>77</v>
      </c>
    </row>
    <row r="969" customFormat="false" ht="15" hidden="false" customHeight="false" outlineLevel="0" collapsed="false">
      <c r="A969" s="4" t="s">
        <v>1230</v>
      </c>
      <c r="B969" s="4" t="s">
        <v>1231</v>
      </c>
      <c r="C969" s="4" t="n">
        <v>9</v>
      </c>
      <c r="D969" s="4" t="s">
        <v>73</v>
      </c>
      <c r="E969" s="4" t="s">
        <v>65</v>
      </c>
      <c r="F969" s="4" t="s">
        <v>66</v>
      </c>
      <c r="G969" s="4" t="n">
        <v>1</v>
      </c>
      <c r="H969" s="4" t="n">
        <v>120</v>
      </c>
      <c r="J969" s="4" t="s">
        <v>81</v>
      </c>
      <c r="K969" s="4" t="s">
        <v>71</v>
      </c>
    </row>
    <row r="970" customFormat="false" ht="15" hidden="false" customHeight="false" outlineLevel="0" collapsed="false">
      <c r="A970" s="4" t="s">
        <v>1232</v>
      </c>
      <c r="B970" s="17" t="n">
        <v>45853</v>
      </c>
      <c r="C970" s="4" t="n">
        <v>11</v>
      </c>
      <c r="D970" s="4" t="s">
        <v>98</v>
      </c>
      <c r="E970" s="4" t="s">
        <v>79</v>
      </c>
      <c r="F970" s="4" t="s">
        <v>80</v>
      </c>
      <c r="G970" s="4" t="n">
        <v>1</v>
      </c>
      <c r="H970" s="4" t="n">
        <v>160</v>
      </c>
      <c r="I970" s="18" t="n">
        <v>0</v>
      </c>
      <c r="J970" s="4" t="s">
        <v>76</v>
      </c>
      <c r="K970" s="4" t="s">
        <v>68</v>
      </c>
    </row>
    <row r="971" customFormat="false" ht="15" hidden="false" customHeight="false" outlineLevel="0" collapsed="false">
      <c r="A971" s="4" t="s">
        <v>1233</v>
      </c>
      <c r="B971" s="4" t="s">
        <v>1231</v>
      </c>
      <c r="C971" s="4" t="n">
        <v>12</v>
      </c>
      <c r="D971" s="4" t="s">
        <v>73</v>
      </c>
      <c r="E971" s="4" t="s">
        <v>79</v>
      </c>
      <c r="F971" s="4" t="s">
        <v>148</v>
      </c>
      <c r="G971" s="4" t="n">
        <v>1</v>
      </c>
      <c r="H971" s="4" t="n">
        <v>120</v>
      </c>
      <c r="I971" s="18" t="n">
        <v>0</v>
      </c>
      <c r="J971" s="4" t="s">
        <v>81</v>
      </c>
      <c r="K971" s="4" t="s">
        <v>77</v>
      </c>
    </row>
    <row r="972" customFormat="false" ht="15" hidden="false" customHeight="false" outlineLevel="0" collapsed="false">
      <c r="A972" s="4" t="s">
        <v>1234</v>
      </c>
      <c r="B972" s="17" t="n">
        <v>45853</v>
      </c>
      <c r="C972" s="4" t="n">
        <v>12</v>
      </c>
      <c r="D972" s="4" t="s">
        <v>64</v>
      </c>
      <c r="E972" s="4" t="s">
        <v>99</v>
      </c>
      <c r="F972" s="4" t="s">
        <v>100</v>
      </c>
      <c r="G972" s="4" t="n">
        <v>2</v>
      </c>
      <c r="H972" s="4" t="n">
        <v>110</v>
      </c>
      <c r="I972" s="18" t="n">
        <v>0</v>
      </c>
      <c r="J972" s="4" t="s">
        <v>76</v>
      </c>
      <c r="K972" s="4" t="s">
        <v>68</v>
      </c>
    </row>
    <row r="973" customFormat="false" ht="15" hidden="false" customHeight="false" outlineLevel="0" collapsed="false">
      <c r="A973" s="4" t="s">
        <v>1235</v>
      </c>
      <c r="B973" s="17" t="n">
        <v>45853</v>
      </c>
      <c r="C973" s="4" t="n">
        <v>13</v>
      </c>
      <c r="D973" s="4" t="s">
        <v>70</v>
      </c>
      <c r="E973" s="4" t="s">
        <v>79</v>
      </c>
      <c r="F973" s="4" t="s">
        <v>80</v>
      </c>
      <c r="G973" s="4" t="n">
        <v>1</v>
      </c>
      <c r="H973" s="4" t="n">
        <v>160</v>
      </c>
      <c r="I973" s="18" t="n">
        <v>0.05</v>
      </c>
      <c r="J973" s="4" t="s">
        <v>81</v>
      </c>
      <c r="K973" s="4" t="s">
        <v>82</v>
      </c>
    </row>
    <row r="974" customFormat="false" ht="15" hidden="false" customHeight="false" outlineLevel="0" collapsed="false">
      <c r="A974" s="4" t="s">
        <v>1236</v>
      </c>
      <c r="B974" s="17" t="n">
        <v>45853</v>
      </c>
      <c r="C974" s="4" t="n">
        <v>15</v>
      </c>
      <c r="D974" s="4" t="s">
        <v>70</v>
      </c>
      <c r="E974" s="4" t="s">
        <v>84</v>
      </c>
      <c r="F974" s="4" t="s">
        <v>85</v>
      </c>
      <c r="G974" s="4" t="n">
        <v>1</v>
      </c>
      <c r="H974" s="4" t="n">
        <v>150</v>
      </c>
      <c r="I974" s="18" t="n">
        <v>0</v>
      </c>
      <c r="J974" s="4" t="s">
        <v>76</v>
      </c>
      <c r="K974" s="4" t="s">
        <v>68</v>
      </c>
    </row>
    <row r="975" customFormat="false" ht="15" hidden="false" customHeight="false" outlineLevel="0" collapsed="false">
      <c r="A975" s="4" t="s">
        <v>1237</v>
      </c>
      <c r="B975" s="17" t="n">
        <v>45853</v>
      </c>
      <c r="C975" s="4" t="n">
        <v>17</v>
      </c>
      <c r="D975" s="4" t="s">
        <v>98</v>
      </c>
      <c r="E975" s="4" t="s">
        <v>99</v>
      </c>
      <c r="F975" s="4" t="s">
        <v>109</v>
      </c>
      <c r="G975" s="4" t="n">
        <v>1</v>
      </c>
      <c r="H975" s="4" t="n">
        <v>130</v>
      </c>
      <c r="I975" s="18" t="n">
        <v>0.1</v>
      </c>
      <c r="J975" s="4" t="s">
        <v>76</v>
      </c>
      <c r="K975" s="4" t="s">
        <v>71</v>
      </c>
    </row>
    <row r="976" customFormat="false" ht="15" hidden="false" customHeight="false" outlineLevel="0" collapsed="false">
      <c r="A976" s="4" t="s">
        <v>1238</v>
      </c>
      <c r="B976" s="17" t="n">
        <v>45854</v>
      </c>
      <c r="C976" s="4" t="n">
        <v>8</v>
      </c>
      <c r="D976" s="4" t="s">
        <v>70</v>
      </c>
      <c r="E976" s="4" t="s">
        <v>99</v>
      </c>
      <c r="F976" s="4" t="s">
        <v>133</v>
      </c>
      <c r="G976" s="4" t="n">
        <v>1</v>
      </c>
      <c r="H976" s="4" t="n">
        <v>90</v>
      </c>
      <c r="I976" s="18" t="n">
        <v>0.2</v>
      </c>
      <c r="J976" s="4" t="s">
        <v>112</v>
      </c>
      <c r="K976" s="4" t="s">
        <v>82</v>
      </c>
    </row>
    <row r="977" customFormat="false" ht="15" hidden="false" customHeight="false" outlineLevel="0" collapsed="false">
      <c r="A977" s="4" t="s">
        <v>1239</v>
      </c>
      <c r="B977" s="17" t="n">
        <v>45854</v>
      </c>
      <c r="C977" s="4" t="n">
        <v>12</v>
      </c>
      <c r="D977" s="4" t="s">
        <v>64</v>
      </c>
      <c r="E977" s="4" t="s">
        <v>350</v>
      </c>
      <c r="F977" s="4" t="s">
        <v>91</v>
      </c>
      <c r="G977" s="4" t="n">
        <v>1</v>
      </c>
      <c r="H977" s="4" t="n">
        <v>200</v>
      </c>
      <c r="I977" s="18" t="n">
        <v>0.1</v>
      </c>
      <c r="J977" s="4" t="s">
        <v>76</v>
      </c>
      <c r="K977" s="4" t="s">
        <v>82</v>
      </c>
    </row>
    <row r="978" customFormat="false" ht="15" hidden="false" customHeight="false" outlineLevel="0" collapsed="false">
      <c r="A978" s="4" t="s">
        <v>1240</v>
      </c>
      <c r="B978" s="17" t="n">
        <v>45854</v>
      </c>
      <c r="C978" s="4" t="n">
        <v>19</v>
      </c>
      <c r="D978" s="4" t="s">
        <v>64</v>
      </c>
      <c r="E978" s="4" t="s">
        <v>99</v>
      </c>
      <c r="F978" s="4" t="s">
        <v>109</v>
      </c>
      <c r="G978" s="4" t="n">
        <v>1</v>
      </c>
      <c r="H978" s="4" t="n">
        <v>130</v>
      </c>
      <c r="I978" s="18" t="n">
        <v>0</v>
      </c>
      <c r="J978" s="4" t="s">
        <v>260</v>
      </c>
      <c r="K978" s="4" t="s">
        <v>68</v>
      </c>
    </row>
    <row r="979" customFormat="false" ht="15" hidden="false" customHeight="false" outlineLevel="0" collapsed="false">
      <c r="A979" s="4" t="s">
        <v>1241</v>
      </c>
      <c r="B979" s="17" t="n">
        <v>45855</v>
      </c>
      <c r="C979" s="4" t="n">
        <v>7</v>
      </c>
      <c r="D979" s="4" t="s">
        <v>98</v>
      </c>
      <c r="E979" s="4" t="s">
        <v>79</v>
      </c>
      <c r="F979" s="4" t="s">
        <v>135</v>
      </c>
      <c r="G979" s="4" t="n">
        <v>2</v>
      </c>
      <c r="H979" s="4" t="n">
        <v>130</v>
      </c>
      <c r="I979" s="18" t="n">
        <v>0.1</v>
      </c>
      <c r="J979" s="4" t="s">
        <v>81</v>
      </c>
      <c r="K979" s="4" t="s">
        <v>71</v>
      </c>
    </row>
    <row r="980" customFormat="false" ht="15" hidden="false" customHeight="false" outlineLevel="0" collapsed="false">
      <c r="A980" s="4" t="s">
        <v>1242</v>
      </c>
      <c r="B980" s="4" t="s">
        <v>1243</v>
      </c>
      <c r="C980" s="4" t="n">
        <v>10</v>
      </c>
      <c r="D980" s="4" t="s">
        <v>64</v>
      </c>
      <c r="E980" s="4" t="s">
        <v>65</v>
      </c>
      <c r="F980" s="4" t="s">
        <v>121</v>
      </c>
      <c r="G980" s="4" t="n">
        <v>1</v>
      </c>
      <c r="H980" s="4" t="n">
        <v>170</v>
      </c>
      <c r="I980" s="18" t="n">
        <v>0.1</v>
      </c>
      <c r="J980" s="4" t="s">
        <v>81</v>
      </c>
    </row>
    <row r="981" customFormat="false" ht="15" hidden="false" customHeight="false" outlineLevel="0" collapsed="false">
      <c r="A981" s="4" t="s">
        <v>1244</v>
      </c>
      <c r="B981" s="17" t="n">
        <v>45855</v>
      </c>
      <c r="C981" s="4" t="n">
        <v>10</v>
      </c>
      <c r="D981" s="4" t="s">
        <v>64</v>
      </c>
      <c r="E981" s="4" t="s">
        <v>74</v>
      </c>
      <c r="F981" s="4" t="s">
        <v>75</v>
      </c>
      <c r="G981" s="4" t="n">
        <v>2</v>
      </c>
      <c r="H981" s="4" t="n">
        <v>220</v>
      </c>
      <c r="I981" s="18" t="n">
        <v>0.15</v>
      </c>
      <c r="J981" s="4" t="s">
        <v>67</v>
      </c>
      <c r="K981" s="4" t="s">
        <v>68</v>
      </c>
    </row>
    <row r="982" customFormat="false" ht="15" hidden="false" customHeight="false" outlineLevel="0" collapsed="false">
      <c r="A982" s="4" t="s">
        <v>1245</v>
      </c>
      <c r="B982" s="17" t="n">
        <v>45855</v>
      </c>
      <c r="C982" s="4" t="n">
        <v>11</v>
      </c>
      <c r="D982" s="4" t="s">
        <v>98</v>
      </c>
      <c r="E982" s="4" t="s">
        <v>99</v>
      </c>
      <c r="F982" s="4" t="s">
        <v>100</v>
      </c>
      <c r="G982" s="4" t="n">
        <v>4</v>
      </c>
      <c r="H982" s="4" t="n">
        <v>110</v>
      </c>
      <c r="I982" s="18" t="n">
        <v>0.1</v>
      </c>
      <c r="J982" s="4" t="s">
        <v>81</v>
      </c>
      <c r="K982" s="4" t="s">
        <v>82</v>
      </c>
    </row>
    <row r="983" customFormat="false" ht="15" hidden="false" customHeight="false" outlineLevel="0" collapsed="false">
      <c r="A983" s="4" t="s">
        <v>1246</v>
      </c>
      <c r="B983" s="17" t="n">
        <v>45855</v>
      </c>
      <c r="C983" s="4" t="n">
        <v>13</v>
      </c>
      <c r="D983" s="4" t="s">
        <v>70</v>
      </c>
      <c r="E983" s="4" t="s">
        <v>74</v>
      </c>
      <c r="F983" s="4" t="s">
        <v>75</v>
      </c>
      <c r="G983" s="4" t="n">
        <v>1</v>
      </c>
      <c r="H983" s="4" t="n">
        <v>220</v>
      </c>
      <c r="I983" s="18" t="n">
        <v>0</v>
      </c>
      <c r="J983" s="4" t="s">
        <v>67</v>
      </c>
      <c r="K983" s="4" t="s">
        <v>77</v>
      </c>
    </row>
    <row r="984" customFormat="false" ht="15" hidden="false" customHeight="false" outlineLevel="0" collapsed="false">
      <c r="A984" s="4" t="s">
        <v>1247</v>
      </c>
      <c r="B984" s="17" t="n">
        <v>45855</v>
      </c>
      <c r="C984" s="4" t="n">
        <v>15</v>
      </c>
      <c r="D984" s="4" t="s">
        <v>70</v>
      </c>
      <c r="E984" s="4" t="s">
        <v>99</v>
      </c>
      <c r="F984" s="4" t="s">
        <v>102</v>
      </c>
      <c r="G984" s="4" t="n">
        <v>1</v>
      </c>
      <c r="H984" s="4" t="n">
        <v>140</v>
      </c>
      <c r="I984" s="18" t="n">
        <v>0</v>
      </c>
      <c r="J984" s="4" t="s">
        <v>112</v>
      </c>
      <c r="K984" s="4" t="s">
        <v>68</v>
      </c>
    </row>
    <row r="985" customFormat="false" ht="15" hidden="false" customHeight="false" outlineLevel="0" collapsed="false">
      <c r="A985" s="4" t="s">
        <v>1248</v>
      </c>
      <c r="B985" s="17" t="n">
        <v>45855</v>
      </c>
      <c r="C985" s="4" t="n">
        <v>17</v>
      </c>
      <c r="D985" s="4" t="s">
        <v>73</v>
      </c>
      <c r="E985" s="4" t="s">
        <v>74</v>
      </c>
      <c r="F985" s="4" t="s">
        <v>139</v>
      </c>
      <c r="G985" s="4" t="n">
        <v>1</v>
      </c>
      <c r="H985" s="4" t="n">
        <v>260</v>
      </c>
      <c r="I985" s="18" t="n">
        <v>0</v>
      </c>
      <c r="J985" s="4" t="s">
        <v>81</v>
      </c>
      <c r="K985" s="4" t="s">
        <v>77</v>
      </c>
    </row>
    <row r="986" customFormat="false" ht="15" hidden="false" customHeight="false" outlineLevel="0" collapsed="false">
      <c r="A986" s="4" t="s">
        <v>1249</v>
      </c>
      <c r="B986" s="17" t="n">
        <v>45855</v>
      </c>
      <c r="C986" s="4" t="n">
        <v>20</v>
      </c>
      <c r="D986" s="4" t="s">
        <v>108</v>
      </c>
      <c r="E986" s="4" t="s">
        <v>84</v>
      </c>
      <c r="F986" s="4" t="s">
        <v>114</v>
      </c>
      <c r="G986" s="4" t="n">
        <v>1</v>
      </c>
      <c r="H986" s="4" t="n">
        <v>85</v>
      </c>
      <c r="I986" s="18" t="n">
        <v>0.05</v>
      </c>
      <c r="J986" s="4" t="s">
        <v>88</v>
      </c>
      <c r="K986" s="4" t="s">
        <v>82</v>
      </c>
    </row>
    <row r="987" customFormat="false" ht="15" hidden="false" customHeight="false" outlineLevel="0" collapsed="false">
      <c r="A987" s="4" t="s">
        <v>1250</v>
      </c>
      <c r="B987" s="4" t="s">
        <v>1251</v>
      </c>
      <c r="C987" s="4" t="n">
        <v>7</v>
      </c>
      <c r="D987" s="4" t="s">
        <v>70</v>
      </c>
      <c r="E987" s="4" t="s">
        <v>84</v>
      </c>
      <c r="F987" s="4" t="s">
        <v>117</v>
      </c>
      <c r="G987" s="4" t="n">
        <v>1</v>
      </c>
      <c r="H987" s="4" t="n">
        <v>95</v>
      </c>
      <c r="I987" s="18" t="n">
        <v>0</v>
      </c>
      <c r="J987" s="4" t="s">
        <v>81</v>
      </c>
      <c r="K987" s="4" t="s">
        <v>77</v>
      </c>
    </row>
    <row r="988" customFormat="false" ht="15" hidden="false" customHeight="false" outlineLevel="0" collapsed="false">
      <c r="A988" s="4" t="s">
        <v>1252</v>
      </c>
      <c r="B988" s="17" t="n">
        <v>45856</v>
      </c>
      <c r="C988" s="4" t="n">
        <v>7</v>
      </c>
      <c r="D988" s="4" t="s">
        <v>64</v>
      </c>
      <c r="E988" s="4" t="s">
        <v>79</v>
      </c>
      <c r="F988" s="4" t="s">
        <v>148</v>
      </c>
      <c r="G988" s="4" t="n">
        <v>1</v>
      </c>
      <c r="H988" s="4" t="n">
        <v>120</v>
      </c>
      <c r="I988" s="18" t="n">
        <v>0.2</v>
      </c>
      <c r="J988" s="4" t="s">
        <v>76</v>
      </c>
      <c r="K988" s="4" t="s">
        <v>68</v>
      </c>
    </row>
    <row r="989" customFormat="false" ht="15" hidden="false" customHeight="false" outlineLevel="0" collapsed="false">
      <c r="A989" s="4" t="s">
        <v>1253</v>
      </c>
      <c r="B989" s="17" t="n">
        <v>45856</v>
      </c>
      <c r="C989" s="4" t="n">
        <v>8</v>
      </c>
      <c r="D989" s="4" t="s">
        <v>64</v>
      </c>
      <c r="E989" s="4" t="s">
        <v>99</v>
      </c>
      <c r="F989" s="4" t="s">
        <v>109</v>
      </c>
      <c r="G989" s="4" t="n">
        <v>2</v>
      </c>
      <c r="H989" s="4" t="n">
        <v>130</v>
      </c>
      <c r="I989" s="18" t="n">
        <v>0</v>
      </c>
      <c r="J989" s="4" t="s">
        <v>81</v>
      </c>
      <c r="K989" s="4" t="s">
        <v>68</v>
      </c>
    </row>
    <row r="990" customFormat="false" ht="15" hidden="false" customHeight="false" outlineLevel="0" collapsed="false">
      <c r="A990" s="4" t="s">
        <v>1254</v>
      </c>
      <c r="B990" s="17" t="n">
        <v>45856</v>
      </c>
      <c r="C990" s="4" t="n">
        <v>12</v>
      </c>
      <c r="D990" s="4" t="s">
        <v>187</v>
      </c>
      <c r="E990" s="4" t="s">
        <v>79</v>
      </c>
      <c r="F990" s="4" t="s">
        <v>148</v>
      </c>
      <c r="G990" s="4" t="n">
        <v>1</v>
      </c>
      <c r="H990" s="4" t="n">
        <v>120</v>
      </c>
      <c r="I990" s="18" t="n">
        <v>0.1</v>
      </c>
      <c r="J990" s="4" t="s">
        <v>81</v>
      </c>
      <c r="K990" s="4" t="s">
        <v>71</v>
      </c>
    </row>
    <row r="991" customFormat="false" ht="15" hidden="false" customHeight="false" outlineLevel="0" collapsed="false">
      <c r="A991" s="4" t="s">
        <v>1255</v>
      </c>
      <c r="B991" s="17" t="n">
        <v>45856</v>
      </c>
      <c r="C991" s="4" t="n">
        <v>12</v>
      </c>
      <c r="D991" s="4" t="s">
        <v>64</v>
      </c>
      <c r="E991" s="4" t="s">
        <v>84</v>
      </c>
      <c r="F991" s="4" t="s">
        <v>114</v>
      </c>
      <c r="G991" s="4" t="n">
        <v>1</v>
      </c>
      <c r="H991" s="4" t="n">
        <v>85</v>
      </c>
      <c r="I991" s="18" t="n">
        <v>0</v>
      </c>
      <c r="J991" s="4" t="s">
        <v>81</v>
      </c>
    </row>
    <row r="992" customFormat="false" ht="15" hidden="false" customHeight="false" outlineLevel="0" collapsed="false">
      <c r="A992" s="4" t="s">
        <v>1256</v>
      </c>
      <c r="B992" s="17" t="n">
        <v>45856</v>
      </c>
      <c r="C992" s="4" t="n">
        <v>17</v>
      </c>
      <c r="D992" s="4" t="s">
        <v>73</v>
      </c>
      <c r="E992" s="4" t="s">
        <v>65</v>
      </c>
      <c r="F992" s="4" t="s">
        <v>94</v>
      </c>
      <c r="G992" s="4" t="n">
        <v>1</v>
      </c>
      <c r="H992" s="4" t="n">
        <v>150</v>
      </c>
      <c r="I992" s="18" t="n">
        <v>0.1</v>
      </c>
      <c r="J992" s="4" t="s">
        <v>67</v>
      </c>
      <c r="K992" s="4" t="s">
        <v>71</v>
      </c>
    </row>
    <row r="993" customFormat="false" ht="15" hidden="false" customHeight="false" outlineLevel="0" collapsed="false">
      <c r="A993" s="4" t="s">
        <v>1257</v>
      </c>
      <c r="B993" s="17" t="n">
        <v>45856</v>
      </c>
      <c r="C993" s="4" t="n">
        <v>17</v>
      </c>
      <c r="D993" s="4" t="s">
        <v>73</v>
      </c>
      <c r="E993" s="4" t="s">
        <v>74</v>
      </c>
      <c r="F993" s="4" t="s">
        <v>75</v>
      </c>
      <c r="G993" s="4" t="n">
        <v>1</v>
      </c>
      <c r="H993" s="4" t="n">
        <v>220</v>
      </c>
      <c r="I993" s="18" t="n">
        <v>0.15</v>
      </c>
      <c r="J993" s="4" t="s">
        <v>81</v>
      </c>
      <c r="K993" s="4" t="s">
        <v>82</v>
      </c>
    </row>
    <row r="994" customFormat="false" ht="15" hidden="false" customHeight="false" outlineLevel="0" collapsed="false">
      <c r="A994" s="4" t="s">
        <v>1258</v>
      </c>
      <c r="B994" s="17" t="n">
        <v>45857</v>
      </c>
      <c r="C994" s="4" t="n">
        <v>8</v>
      </c>
      <c r="D994" s="4" t="s">
        <v>172</v>
      </c>
      <c r="E994" s="4" t="s">
        <v>65</v>
      </c>
      <c r="F994" s="4" t="s">
        <v>121</v>
      </c>
      <c r="G994" s="4" t="n">
        <v>1</v>
      </c>
      <c r="H994" s="4" t="n">
        <v>170</v>
      </c>
      <c r="I994" s="18" t="n">
        <v>0.05</v>
      </c>
      <c r="J994" s="4" t="s">
        <v>81</v>
      </c>
      <c r="K994" s="4" t="s">
        <v>82</v>
      </c>
    </row>
    <row r="995" customFormat="false" ht="15" hidden="false" customHeight="false" outlineLevel="0" collapsed="false">
      <c r="A995" s="4" t="s">
        <v>1259</v>
      </c>
      <c r="B995" s="17" t="n">
        <v>45857</v>
      </c>
      <c r="C995" s="4" t="n">
        <v>9</v>
      </c>
      <c r="D995" s="4" t="s">
        <v>98</v>
      </c>
      <c r="E995" s="4" t="s">
        <v>99</v>
      </c>
      <c r="F995" s="4" t="s">
        <v>109</v>
      </c>
      <c r="G995" s="4" t="n">
        <v>4</v>
      </c>
      <c r="H995" s="4" t="n">
        <v>130</v>
      </c>
      <c r="I995" s="18" t="n">
        <v>0</v>
      </c>
      <c r="J995" s="4" t="s">
        <v>81</v>
      </c>
      <c r="K995" s="4" t="s">
        <v>77</v>
      </c>
    </row>
    <row r="996" customFormat="false" ht="15" hidden="false" customHeight="false" outlineLevel="0" collapsed="false">
      <c r="A996" s="4" t="s">
        <v>1260</v>
      </c>
      <c r="B996" s="17" t="n">
        <v>45857</v>
      </c>
      <c r="C996" s="4" t="n">
        <v>10</v>
      </c>
      <c r="D996" s="4" t="s">
        <v>70</v>
      </c>
      <c r="E996" s="4" t="s">
        <v>65</v>
      </c>
      <c r="F996" s="4" t="s">
        <v>121</v>
      </c>
      <c r="G996" s="4" t="n">
        <v>1</v>
      </c>
      <c r="H996" s="4" t="n">
        <v>170</v>
      </c>
      <c r="I996" s="18" t="n">
        <v>0</v>
      </c>
      <c r="J996" s="4" t="s">
        <v>67</v>
      </c>
      <c r="K996" s="4" t="s">
        <v>68</v>
      </c>
    </row>
    <row r="997" customFormat="false" ht="15" hidden="false" customHeight="false" outlineLevel="0" collapsed="false">
      <c r="A997" s="4" t="s">
        <v>1261</v>
      </c>
      <c r="B997" s="17" t="n">
        <v>45857</v>
      </c>
      <c r="C997" s="4" t="n">
        <v>12</v>
      </c>
      <c r="D997" s="4" t="s">
        <v>70</v>
      </c>
      <c r="E997" s="4" t="s">
        <v>99</v>
      </c>
      <c r="F997" s="4" t="s">
        <v>109</v>
      </c>
      <c r="G997" s="4" t="n">
        <v>2</v>
      </c>
      <c r="H997" s="4" t="n">
        <v>130</v>
      </c>
      <c r="I997" s="18" t="n">
        <v>0</v>
      </c>
      <c r="J997" s="4" t="s">
        <v>67</v>
      </c>
      <c r="K997" s="4" t="s">
        <v>68</v>
      </c>
    </row>
    <row r="998" customFormat="false" ht="15" hidden="false" customHeight="false" outlineLevel="0" collapsed="false">
      <c r="A998" s="4" t="s">
        <v>1262</v>
      </c>
      <c r="B998" s="17" t="n">
        <v>45857</v>
      </c>
      <c r="C998" s="4" t="n">
        <v>18</v>
      </c>
      <c r="D998" s="4" t="s">
        <v>70</v>
      </c>
      <c r="E998" s="4" t="s">
        <v>636</v>
      </c>
      <c r="F998" s="4" t="s">
        <v>94</v>
      </c>
      <c r="G998" s="4" t="n">
        <v>3</v>
      </c>
      <c r="I998" s="18" t="n">
        <v>0.1</v>
      </c>
      <c r="J998" s="4" t="s">
        <v>81</v>
      </c>
      <c r="K998" s="4" t="s">
        <v>71</v>
      </c>
    </row>
    <row r="999" customFormat="false" ht="15" hidden="false" customHeight="false" outlineLevel="0" collapsed="false">
      <c r="A999" s="4" t="s">
        <v>1263</v>
      </c>
      <c r="B999" s="17" t="n">
        <v>45858</v>
      </c>
      <c r="C999" s="4" t="n">
        <v>8</v>
      </c>
      <c r="D999" s="4" t="s">
        <v>64</v>
      </c>
      <c r="E999" s="4" t="s">
        <v>65</v>
      </c>
      <c r="F999" s="4" t="s">
        <v>66</v>
      </c>
      <c r="G999" s="4" t="n">
        <v>3</v>
      </c>
      <c r="H999" s="4" t="n">
        <v>120</v>
      </c>
      <c r="I999" s="18" t="n">
        <v>0</v>
      </c>
      <c r="J999" s="4" t="s">
        <v>67</v>
      </c>
      <c r="K999" s="4" t="s">
        <v>77</v>
      </c>
    </row>
    <row r="1000" customFormat="false" ht="15" hidden="false" customHeight="false" outlineLevel="0" collapsed="false">
      <c r="A1000" s="4" t="s">
        <v>1263</v>
      </c>
      <c r="B1000" s="17" t="n">
        <v>45858</v>
      </c>
      <c r="C1000" s="4" t="n">
        <v>8</v>
      </c>
      <c r="D1000" s="4" t="s">
        <v>64</v>
      </c>
      <c r="E1000" s="4" t="s">
        <v>65</v>
      </c>
      <c r="F1000" s="4" t="s">
        <v>66</v>
      </c>
      <c r="G1000" s="4" t="n">
        <v>3</v>
      </c>
      <c r="H1000" s="4" t="n">
        <v>120</v>
      </c>
      <c r="I1000" s="18" t="n">
        <v>0</v>
      </c>
      <c r="J1000" s="4" t="s">
        <v>67</v>
      </c>
      <c r="K1000" s="4" t="s">
        <v>77</v>
      </c>
    </row>
    <row r="1001" customFormat="false" ht="15" hidden="false" customHeight="false" outlineLevel="0" collapsed="false">
      <c r="A1001" s="4" t="s">
        <v>1264</v>
      </c>
      <c r="B1001" s="17" t="n">
        <v>45858</v>
      </c>
      <c r="C1001" s="4" t="n">
        <v>8</v>
      </c>
      <c r="D1001" s="4" t="s">
        <v>98</v>
      </c>
      <c r="E1001" s="4" t="s">
        <v>65</v>
      </c>
      <c r="F1001" s="4" t="s">
        <v>66</v>
      </c>
      <c r="G1001" s="4" t="n">
        <v>1</v>
      </c>
      <c r="H1001" s="4" t="n">
        <v>120</v>
      </c>
      <c r="J1001" s="4" t="s">
        <v>81</v>
      </c>
      <c r="K1001" s="4" t="s">
        <v>82</v>
      </c>
    </row>
    <row r="1002" customFormat="false" ht="15" hidden="false" customHeight="false" outlineLevel="0" collapsed="false">
      <c r="A1002" s="4" t="s">
        <v>1265</v>
      </c>
      <c r="B1002" s="17" t="n">
        <v>45858</v>
      </c>
      <c r="C1002" s="4" t="n">
        <v>10</v>
      </c>
      <c r="D1002" s="4" t="s">
        <v>70</v>
      </c>
      <c r="E1002" s="4" t="s">
        <v>84</v>
      </c>
      <c r="F1002" s="4" t="s">
        <v>106</v>
      </c>
      <c r="G1002" s="4" t="n">
        <v>1</v>
      </c>
      <c r="H1002" s="4" t="n">
        <v>60</v>
      </c>
      <c r="I1002" s="18" t="n">
        <v>0.05</v>
      </c>
      <c r="J1002" s="4" t="s">
        <v>67</v>
      </c>
    </row>
    <row r="1003" customFormat="false" ht="15" hidden="false" customHeight="false" outlineLevel="0" collapsed="false">
      <c r="A1003" s="4" t="s">
        <v>1266</v>
      </c>
      <c r="B1003" s="17" t="n">
        <v>45858</v>
      </c>
      <c r="C1003" s="4" t="n">
        <v>12</v>
      </c>
      <c r="D1003" s="4" t="s">
        <v>70</v>
      </c>
      <c r="E1003" s="4" t="s">
        <v>65</v>
      </c>
      <c r="F1003" s="4" t="s">
        <v>94</v>
      </c>
      <c r="G1003" s="4" t="n">
        <v>1</v>
      </c>
      <c r="H1003" s="4" t="n">
        <v>150</v>
      </c>
      <c r="I1003" s="18" t="n">
        <v>0.05</v>
      </c>
      <c r="J1003" s="4" t="s">
        <v>81</v>
      </c>
      <c r="K1003" s="4" t="s">
        <v>82</v>
      </c>
    </row>
    <row r="1004" customFormat="false" ht="15" hidden="false" customHeight="false" outlineLevel="0" collapsed="false">
      <c r="A1004" s="4" t="s">
        <v>1267</v>
      </c>
      <c r="B1004" s="17" t="n">
        <v>45858</v>
      </c>
      <c r="C1004" s="4" t="n">
        <v>15</v>
      </c>
      <c r="D1004" s="4" t="s">
        <v>341</v>
      </c>
      <c r="E1004" s="4" t="s">
        <v>74</v>
      </c>
      <c r="F1004" s="4" t="s">
        <v>91</v>
      </c>
      <c r="G1004" s="4" t="n">
        <v>1</v>
      </c>
      <c r="H1004" s="4" t="n">
        <v>200</v>
      </c>
      <c r="I1004" s="18" t="n">
        <v>0</v>
      </c>
      <c r="J1004" s="4" t="s">
        <v>81</v>
      </c>
      <c r="K1004" s="4" t="s">
        <v>68</v>
      </c>
    </row>
    <row r="1005" customFormat="false" ht="15" hidden="false" customHeight="false" outlineLevel="0" collapsed="false">
      <c r="A1005" s="4" t="s">
        <v>1268</v>
      </c>
      <c r="B1005" s="17" t="n">
        <v>45858</v>
      </c>
      <c r="C1005" s="4" t="n">
        <v>16</v>
      </c>
      <c r="D1005" s="4" t="s">
        <v>70</v>
      </c>
      <c r="E1005" s="4" t="s">
        <v>65</v>
      </c>
      <c r="F1005" s="4" t="s">
        <v>94</v>
      </c>
      <c r="H1005" s="4" t="n">
        <v>150</v>
      </c>
      <c r="I1005" s="18" t="n">
        <v>0</v>
      </c>
      <c r="J1005" s="4" t="s">
        <v>67</v>
      </c>
      <c r="K1005" s="4" t="s">
        <v>68</v>
      </c>
    </row>
    <row r="1006" customFormat="false" ht="15" hidden="false" customHeight="false" outlineLevel="0" collapsed="false">
      <c r="A1006" s="4" t="s">
        <v>1269</v>
      </c>
      <c r="B1006" s="17" t="n">
        <v>45858</v>
      </c>
      <c r="C1006" s="4" t="n">
        <v>19</v>
      </c>
      <c r="D1006" s="4" t="s">
        <v>70</v>
      </c>
      <c r="E1006" s="4" t="s">
        <v>430</v>
      </c>
      <c r="F1006" s="4" t="s">
        <v>94</v>
      </c>
      <c r="G1006" s="4" t="n">
        <v>2</v>
      </c>
      <c r="H1006" s="4" t="n">
        <v>150</v>
      </c>
      <c r="I1006" s="18" t="n">
        <v>0.05</v>
      </c>
      <c r="J1006" s="4" t="s">
        <v>76</v>
      </c>
      <c r="K1006" s="4" t="s">
        <v>82</v>
      </c>
    </row>
    <row r="1007" customFormat="false" ht="15" hidden="false" customHeight="false" outlineLevel="0" collapsed="false">
      <c r="A1007" s="4" t="s">
        <v>1270</v>
      </c>
      <c r="B1007" s="17" t="n">
        <v>45859</v>
      </c>
      <c r="C1007" s="4" t="n">
        <v>12</v>
      </c>
      <c r="D1007" s="4" t="s">
        <v>341</v>
      </c>
      <c r="E1007" s="4" t="s">
        <v>74</v>
      </c>
      <c r="F1007" s="4" t="s">
        <v>75</v>
      </c>
      <c r="G1007" s="4" t="n">
        <v>1</v>
      </c>
      <c r="H1007" s="4" t="n">
        <v>220</v>
      </c>
      <c r="I1007" s="18" t="n">
        <v>0</v>
      </c>
      <c r="J1007" s="4" t="s">
        <v>76</v>
      </c>
      <c r="K1007" s="4" t="s">
        <v>77</v>
      </c>
    </row>
    <row r="1008" customFormat="false" ht="15" hidden="false" customHeight="false" outlineLevel="0" collapsed="false">
      <c r="A1008" s="4" t="s">
        <v>1271</v>
      </c>
      <c r="B1008" s="4" t="s">
        <v>1272</v>
      </c>
      <c r="C1008" s="4" t="n">
        <v>12</v>
      </c>
      <c r="D1008" s="4" t="s">
        <v>98</v>
      </c>
      <c r="E1008" s="4" t="s">
        <v>99</v>
      </c>
      <c r="F1008" s="4" t="s">
        <v>102</v>
      </c>
      <c r="G1008" s="4" t="n">
        <v>3</v>
      </c>
      <c r="H1008" s="4" t="n">
        <v>140</v>
      </c>
      <c r="I1008" s="18" t="n">
        <v>0.1</v>
      </c>
      <c r="J1008" s="4" t="s">
        <v>81</v>
      </c>
      <c r="K1008" s="4" t="s">
        <v>71</v>
      </c>
    </row>
    <row r="1009" customFormat="false" ht="15" hidden="false" customHeight="false" outlineLevel="0" collapsed="false">
      <c r="A1009" s="4" t="s">
        <v>1273</v>
      </c>
      <c r="B1009" s="17" t="n">
        <v>45859</v>
      </c>
      <c r="C1009" s="4" t="n">
        <v>12</v>
      </c>
      <c r="D1009" s="4" t="s">
        <v>98</v>
      </c>
      <c r="E1009" s="4" t="s">
        <v>65</v>
      </c>
      <c r="F1009" s="4" t="s">
        <v>87</v>
      </c>
      <c r="G1009" s="4" t="n">
        <v>1</v>
      </c>
      <c r="H1009" s="4" t="n">
        <v>160</v>
      </c>
      <c r="I1009" s="18" t="n">
        <v>0.05</v>
      </c>
      <c r="J1009" s="4" t="s">
        <v>81</v>
      </c>
      <c r="K1009" s="4" t="s">
        <v>82</v>
      </c>
    </row>
    <row r="1010" customFormat="false" ht="15" hidden="false" customHeight="false" outlineLevel="0" collapsed="false">
      <c r="A1010" s="4" t="s">
        <v>1274</v>
      </c>
      <c r="B1010" s="17" t="n">
        <v>45860</v>
      </c>
      <c r="C1010" s="4" t="n">
        <v>7</v>
      </c>
      <c r="D1010" s="4" t="s">
        <v>70</v>
      </c>
      <c r="E1010" s="4" t="s">
        <v>99</v>
      </c>
      <c r="F1010" s="4" t="s">
        <v>109</v>
      </c>
      <c r="G1010" s="4" t="n">
        <v>1</v>
      </c>
      <c r="H1010" s="4" t="n">
        <v>130</v>
      </c>
      <c r="I1010" s="18" t="n">
        <v>0</v>
      </c>
      <c r="J1010" s="4" t="s">
        <v>76</v>
      </c>
      <c r="K1010" s="4" t="s">
        <v>77</v>
      </c>
    </row>
    <row r="1011" customFormat="false" ht="15" hidden="false" customHeight="false" outlineLevel="0" collapsed="false">
      <c r="A1011" s="4" t="s">
        <v>1275</v>
      </c>
      <c r="B1011" s="17" t="n">
        <v>45860</v>
      </c>
      <c r="C1011" s="4" t="n">
        <v>8</v>
      </c>
      <c r="D1011" s="4" t="s">
        <v>98</v>
      </c>
      <c r="E1011" s="4" t="s">
        <v>84</v>
      </c>
      <c r="F1011" s="4" t="s">
        <v>106</v>
      </c>
      <c r="G1011" s="4" t="n">
        <v>1</v>
      </c>
      <c r="H1011" s="4" t="n">
        <v>60</v>
      </c>
      <c r="I1011" s="18" t="n">
        <v>0.15</v>
      </c>
      <c r="J1011" s="4" t="s">
        <v>76</v>
      </c>
      <c r="K1011" s="4" t="s">
        <v>82</v>
      </c>
    </row>
    <row r="1012" customFormat="false" ht="15" hidden="false" customHeight="false" outlineLevel="0" collapsed="false">
      <c r="A1012" s="4" t="s">
        <v>1276</v>
      </c>
      <c r="B1012" s="4" t="s">
        <v>1277</v>
      </c>
      <c r="C1012" s="4" t="n">
        <v>8</v>
      </c>
      <c r="D1012" s="4" t="s">
        <v>70</v>
      </c>
      <c r="E1012" s="4" t="s">
        <v>99</v>
      </c>
      <c r="F1012" s="4" t="s">
        <v>109</v>
      </c>
      <c r="G1012" s="4" t="n">
        <v>2</v>
      </c>
      <c r="H1012" s="4" t="n">
        <v>130</v>
      </c>
      <c r="I1012" s="18" t="n">
        <v>0.1</v>
      </c>
      <c r="J1012" s="4" t="s">
        <v>88</v>
      </c>
      <c r="K1012" s="4" t="s">
        <v>71</v>
      </c>
    </row>
    <row r="1013" customFormat="false" ht="15" hidden="false" customHeight="false" outlineLevel="0" collapsed="false">
      <c r="A1013" s="4" t="s">
        <v>1278</v>
      </c>
      <c r="B1013" s="17" t="n">
        <v>45860</v>
      </c>
      <c r="C1013" s="4" t="n">
        <v>14</v>
      </c>
      <c r="D1013" s="4" t="s">
        <v>73</v>
      </c>
      <c r="E1013" s="4" t="s">
        <v>84</v>
      </c>
      <c r="F1013" s="4" t="s">
        <v>117</v>
      </c>
      <c r="G1013" s="4" t="n">
        <v>1</v>
      </c>
      <c r="H1013" s="4" t="n">
        <v>95</v>
      </c>
      <c r="I1013" s="18" t="n">
        <v>0.1</v>
      </c>
      <c r="J1013" s="4" t="s">
        <v>665</v>
      </c>
      <c r="K1013" s="4" t="s">
        <v>71</v>
      </c>
    </row>
    <row r="1014" customFormat="false" ht="15" hidden="false" customHeight="false" outlineLevel="0" collapsed="false">
      <c r="A1014" s="4" t="s">
        <v>1279</v>
      </c>
      <c r="B1014" s="17" t="n">
        <v>45860</v>
      </c>
      <c r="C1014" s="4" t="n">
        <v>15</v>
      </c>
      <c r="D1014" s="4" t="s">
        <v>73</v>
      </c>
      <c r="E1014" s="4" t="s">
        <v>99</v>
      </c>
      <c r="F1014" s="4" t="s">
        <v>100</v>
      </c>
      <c r="G1014" s="4" t="n">
        <v>1</v>
      </c>
      <c r="H1014" s="4" t="n">
        <v>110</v>
      </c>
      <c r="I1014" s="18" t="n">
        <v>0.1</v>
      </c>
      <c r="J1014" s="4" t="s">
        <v>112</v>
      </c>
      <c r="K1014" s="4" t="s">
        <v>71</v>
      </c>
    </row>
    <row r="1015" customFormat="false" ht="15" hidden="false" customHeight="false" outlineLevel="0" collapsed="false">
      <c r="A1015" s="4" t="s">
        <v>1280</v>
      </c>
      <c r="B1015" s="17" t="n">
        <v>45861</v>
      </c>
      <c r="C1015" s="4" t="n">
        <v>7</v>
      </c>
      <c r="D1015" s="4" t="s">
        <v>70</v>
      </c>
      <c r="E1015" s="4" t="s">
        <v>99</v>
      </c>
      <c r="F1015" s="4" t="s">
        <v>109</v>
      </c>
      <c r="G1015" s="4" t="n">
        <v>2</v>
      </c>
      <c r="H1015" s="4" t="n">
        <v>130</v>
      </c>
      <c r="I1015" s="18" t="n">
        <v>0</v>
      </c>
      <c r="J1015" s="4" t="s">
        <v>67</v>
      </c>
      <c r="K1015" s="4" t="s">
        <v>68</v>
      </c>
    </row>
    <row r="1016" customFormat="false" ht="15" hidden="false" customHeight="false" outlineLevel="0" collapsed="false">
      <c r="A1016" s="4" t="s">
        <v>1281</v>
      </c>
      <c r="B1016" s="17" t="n">
        <v>45861</v>
      </c>
      <c r="C1016" s="4" t="n">
        <v>8</v>
      </c>
      <c r="D1016" s="4" t="s">
        <v>73</v>
      </c>
      <c r="E1016" s="4" t="s">
        <v>65</v>
      </c>
      <c r="F1016" s="4" t="s">
        <v>94</v>
      </c>
      <c r="G1016" s="4" t="n">
        <v>1</v>
      </c>
      <c r="H1016" s="4" t="n">
        <v>150</v>
      </c>
      <c r="I1016" s="18" t="n">
        <v>0.1</v>
      </c>
      <c r="J1016" s="4" t="s">
        <v>76</v>
      </c>
      <c r="K1016" s="4" t="s">
        <v>77</v>
      </c>
    </row>
    <row r="1017" customFormat="false" ht="15" hidden="false" customHeight="false" outlineLevel="0" collapsed="false">
      <c r="A1017" s="4" t="s">
        <v>1282</v>
      </c>
      <c r="B1017" s="17" t="n">
        <v>45861</v>
      </c>
      <c r="C1017" s="4" t="n">
        <v>9</v>
      </c>
      <c r="D1017" s="4" t="s">
        <v>119</v>
      </c>
      <c r="E1017" s="4" t="s">
        <v>84</v>
      </c>
      <c r="F1017" s="4" t="s">
        <v>117</v>
      </c>
      <c r="G1017" s="4" t="n">
        <v>3</v>
      </c>
      <c r="H1017" s="4" t="n">
        <v>95</v>
      </c>
      <c r="I1017" s="18" t="n">
        <v>0</v>
      </c>
      <c r="J1017" s="4" t="s">
        <v>103</v>
      </c>
      <c r="K1017" s="4" t="s">
        <v>77</v>
      </c>
    </row>
    <row r="1018" customFormat="false" ht="15" hidden="false" customHeight="false" outlineLevel="0" collapsed="false">
      <c r="A1018" s="4" t="s">
        <v>1283</v>
      </c>
      <c r="B1018" s="17" t="n">
        <v>45861</v>
      </c>
      <c r="C1018" s="4" t="n">
        <v>10</v>
      </c>
      <c r="D1018" s="4" t="s">
        <v>70</v>
      </c>
      <c r="E1018" s="4" t="s">
        <v>65</v>
      </c>
      <c r="F1018" s="4" t="s">
        <v>94</v>
      </c>
      <c r="G1018" s="4" t="n">
        <v>1</v>
      </c>
      <c r="H1018" s="4" t="n">
        <v>150</v>
      </c>
      <c r="I1018" s="18" t="n">
        <v>0</v>
      </c>
      <c r="J1018" s="4" t="s">
        <v>88</v>
      </c>
      <c r="K1018" s="4" t="s">
        <v>68</v>
      </c>
    </row>
    <row r="1019" customFormat="false" ht="15" hidden="false" customHeight="false" outlineLevel="0" collapsed="false">
      <c r="A1019" s="4" t="s">
        <v>1283</v>
      </c>
      <c r="B1019" s="17" t="n">
        <v>45861</v>
      </c>
      <c r="C1019" s="4" t="n">
        <v>10</v>
      </c>
      <c r="D1019" s="4" t="s">
        <v>70</v>
      </c>
      <c r="E1019" s="4" t="s">
        <v>65</v>
      </c>
      <c r="F1019" s="4" t="s">
        <v>94</v>
      </c>
      <c r="G1019" s="4" t="n">
        <v>1</v>
      </c>
      <c r="H1019" s="4" t="n">
        <v>150</v>
      </c>
      <c r="I1019" s="18" t="n">
        <v>0</v>
      </c>
      <c r="J1019" s="4" t="s">
        <v>88</v>
      </c>
      <c r="K1019" s="4" t="s">
        <v>68</v>
      </c>
    </row>
    <row r="1020" customFormat="false" ht="15" hidden="false" customHeight="false" outlineLevel="0" collapsed="false">
      <c r="A1020" s="4" t="s">
        <v>1284</v>
      </c>
      <c r="B1020" s="17" t="n">
        <v>45861</v>
      </c>
      <c r="C1020" s="4" t="n">
        <v>12</v>
      </c>
      <c r="D1020" s="4" t="s">
        <v>73</v>
      </c>
      <c r="E1020" s="4" t="s">
        <v>84</v>
      </c>
      <c r="F1020" s="4" t="s">
        <v>85</v>
      </c>
      <c r="G1020" s="4" t="n">
        <v>2</v>
      </c>
      <c r="H1020" s="4" t="n">
        <v>150</v>
      </c>
      <c r="I1020" s="18" t="n">
        <v>0</v>
      </c>
      <c r="J1020" s="4" t="s">
        <v>112</v>
      </c>
      <c r="K1020" s="4" t="s">
        <v>68</v>
      </c>
    </row>
    <row r="1021" customFormat="false" ht="15" hidden="false" customHeight="false" outlineLevel="0" collapsed="false">
      <c r="A1021" s="4" t="s">
        <v>1285</v>
      </c>
      <c r="B1021" s="17" t="n">
        <v>45861</v>
      </c>
      <c r="C1021" s="4" t="n">
        <v>16</v>
      </c>
      <c r="D1021" s="4" t="s">
        <v>64</v>
      </c>
      <c r="E1021" s="4" t="s">
        <v>65</v>
      </c>
      <c r="F1021" s="4" t="s">
        <v>121</v>
      </c>
      <c r="G1021" s="4" t="n">
        <v>4</v>
      </c>
      <c r="H1021" s="4" t="n">
        <v>170</v>
      </c>
      <c r="I1021" s="18" t="n">
        <v>0</v>
      </c>
      <c r="J1021" s="4" t="s">
        <v>112</v>
      </c>
      <c r="K1021" s="4" t="s">
        <v>68</v>
      </c>
    </row>
    <row r="1022" customFormat="false" ht="15" hidden="false" customHeight="false" outlineLevel="0" collapsed="false">
      <c r="A1022" s="4" t="s">
        <v>1286</v>
      </c>
      <c r="B1022" s="17" t="n">
        <v>45861</v>
      </c>
      <c r="C1022" s="4" t="n">
        <v>19</v>
      </c>
      <c r="D1022" s="4" t="s">
        <v>70</v>
      </c>
      <c r="E1022" s="4" t="s">
        <v>74</v>
      </c>
      <c r="F1022" s="4" t="s">
        <v>75</v>
      </c>
      <c r="G1022" s="4" t="n">
        <v>2</v>
      </c>
      <c r="H1022" s="4" t="n">
        <v>220</v>
      </c>
      <c r="I1022" s="18" t="n">
        <v>0</v>
      </c>
      <c r="J1022" s="4" t="s">
        <v>76</v>
      </c>
      <c r="K1022" s="4" t="s">
        <v>68</v>
      </c>
    </row>
    <row r="1023" customFormat="false" ht="15" hidden="false" customHeight="false" outlineLevel="0" collapsed="false">
      <c r="A1023" s="4" t="s">
        <v>1287</v>
      </c>
      <c r="B1023" s="17" t="n">
        <v>45862</v>
      </c>
      <c r="C1023" s="4" t="n">
        <v>7</v>
      </c>
      <c r="D1023" s="4" t="s">
        <v>70</v>
      </c>
      <c r="E1023" s="4" t="s">
        <v>65</v>
      </c>
      <c r="F1023" s="4" t="s">
        <v>66</v>
      </c>
      <c r="G1023" s="4" t="n">
        <v>2</v>
      </c>
      <c r="H1023" s="4" t="n">
        <v>120</v>
      </c>
      <c r="I1023" s="18" t="n">
        <v>0</v>
      </c>
      <c r="J1023" s="4" t="s">
        <v>67</v>
      </c>
      <c r="K1023" s="4" t="s">
        <v>68</v>
      </c>
    </row>
    <row r="1024" customFormat="false" ht="15" hidden="false" customHeight="false" outlineLevel="0" collapsed="false">
      <c r="A1024" s="4" t="s">
        <v>1288</v>
      </c>
      <c r="B1024" s="17" t="n">
        <v>45862</v>
      </c>
      <c r="C1024" s="4" t="n">
        <v>7</v>
      </c>
      <c r="D1024" s="4" t="s">
        <v>70</v>
      </c>
      <c r="E1024" s="4" t="s">
        <v>65</v>
      </c>
      <c r="F1024" s="4" t="s">
        <v>121</v>
      </c>
      <c r="G1024" s="4" t="n">
        <v>2</v>
      </c>
      <c r="H1024" s="4" t="n">
        <v>170</v>
      </c>
      <c r="I1024" s="18" t="n">
        <v>0</v>
      </c>
      <c r="J1024" s="4" t="s">
        <v>112</v>
      </c>
      <c r="K1024" s="4" t="s">
        <v>68</v>
      </c>
    </row>
    <row r="1025" customFormat="false" ht="15" hidden="false" customHeight="false" outlineLevel="0" collapsed="false">
      <c r="A1025" s="4" t="s">
        <v>1289</v>
      </c>
      <c r="B1025" s="17" t="n">
        <v>45862</v>
      </c>
      <c r="C1025" s="4" t="n">
        <v>14</v>
      </c>
      <c r="D1025" s="4" t="s">
        <v>938</v>
      </c>
      <c r="E1025" s="4" t="s">
        <v>65</v>
      </c>
      <c r="F1025" s="4" t="s">
        <v>121</v>
      </c>
      <c r="G1025" s="4" t="n">
        <v>4</v>
      </c>
      <c r="H1025" s="4" t="n">
        <v>170</v>
      </c>
      <c r="I1025" s="18" t="n">
        <v>0</v>
      </c>
      <c r="J1025" s="4" t="s">
        <v>67</v>
      </c>
      <c r="K1025" s="4" t="s">
        <v>77</v>
      </c>
    </row>
    <row r="1026" customFormat="false" ht="15" hidden="false" customHeight="false" outlineLevel="0" collapsed="false">
      <c r="A1026" s="4" t="s">
        <v>1290</v>
      </c>
      <c r="B1026" s="17" t="n">
        <v>45862</v>
      </c>
      <c r="C1026" s="4" t="n">
        <v>19</v>
      </c>
      <c r="D1026" s="4" t="s">
        <v>70</v>
      </c>
      <c r="E1026" s="4" t="s">
        <v>235</v>
      </c>
      <c r="F1026" s="4" t="s">
        <v>121</v>
      </c>
      <c r="G1026" s="4" t="n">
        <v>2</v>
      </c>
      <c r="H1026" s="4" t="n">
        <v>170</v>
      </c>
      <c r="I1026" s="18" t="n">
        <v>0.2</v>
      </c>
      <c r="J1026" s="4" t="s">
        <v>67</v>
      </c>
      <c r="K1026" s="4" t="s">
        <v>77</v>
      </c>
    </row>
    <row r="1027" customFormat="false" ht="15" hidden="false" customHeight="false" outlineLevel="0" collapsed="false">
      <c r="A1027" s="4" t="s">
        <v>1291</v>
      </c>
      <c r="B1027" s="4" t="s">
        <v>1292</v>
      </c>
      <c r="C1027" s="4" t="n">
        <v>20</v>
      </c>
      <c r="D1027" s="4" t="s">
        <v>424</v>
      </c>
      <c r="E1027" s="4" t="s">
        <v>84</v>
      </c>
      <c r="F1027" s="4" t="s">
        <v>106</v>
      </c>
      <c r="G1027" s="4" t="n">
        <v>1</v>
      </c>
      <c r="H1027" s="4" t="n">
        <v>60</v>
      </c>
      <c r="I1027" s="18" t="n">
        <v>0.05</v>
      </c>
      <c r="J1027" s="4" t="s">
        <v>67</v>
      </c>
    </row>
    <row r="1028" customFormat="false" ht="15" hidden="false" customHeight="false" outlineLevel="0" collapsed="false">
      <c r="A1028" s="4" t="s">
        <v>1293</v>
      </c>
      <c r="B1028" s="17" t="n">
        <v>45863</v>
      </c>
      <c r="C1028" s="4" t="n">
        <v>10</v>
      </c>
      <c r="D1028" s="4" t="s">
        <v>64</v>
      </c>
      <c r="E1028" s="4" t="s">
        <v>99</v>
      </c>
      <c r="F1028" s="4" t="s">
        <v>109</v>
      </c>
      <c r="G1028" s="4" t="n">
        <v>1</v>
      </c>
      <c r="H1028" s="4" t="n">
        <v>130</v>
      </c>
      <c r="I1028" s="18" t="n">
        <v>0.1</v>
      </c>
      <c r="J1028" s="4" t="s">
        <v>67</v>
      </c>
      <c r="K1028" s="4" t="s">
        <v>71</v>
      </c>
    </row>
    <row r="1029" customFormat="false" ht="15" hidden="false" customHeight="false" outlineLevel="0" collapsed="false">
      <c r="A1029" s="4" t="s">
        <v>1294</v>
      </c>
      <c r="B1029" s="4" t="s">
        <v>1295</v>
      </c>
      <c r="C1029" s="4" t="n">
        <v>12</v>
      </c>
      <c r="D1029" s="4" t="s">
        <v>64</v>
      </c>
      <c r="E1029" s="4" t="s">
        <v>99</v>
      </c>
      <c r="F1029" s="4" t="s">
        <v>109</v>
      </c>
      <c r="G1029" s="4" t="n">
        <v>1</v>
      </c>
      <c r="H1029" s="4" t="n">
        <v>130</v>
      </c>
      <c r="I1029" s="18" t="n">
        <v>0.1</v>
      </c>
      <c r="J1029" s="4" t="s">
        <v>112</v>
      </c>
      <c r="K1029" s="4" t="s">
        <v>71</v>
      </c>
    </row>
    <row r="1030" customFormat="false" ht="15" hidden="false" customHeight="false" outlineLevel="0" collapsed="false">
      <c r="A1030" s="4" t="s">
        <v>1296</v>
      </c>
      <c r="B1030" s="17" t="n">
        <v>45863</v>
      </c>
      <c r="C1030" s="4" t="n">
        <v>13</v>
      </c>
      <c r="D1030" s="4" t="s">
        <v>938</v>
      </c>
      <c r="E1030" s="4" t="s">
        <v>99</v>
      </c>
      <c r="F1030" s="4" t="s">
        <v>1297</v>
      </c>
      <c r="G1030" s="4" t="n">
        <v>1</v>
      </c>
      <c r="H1030" s="4" t="n">
        <v>140</v>
      </c>
      <c r="I1030" s="18" t="n">
        <v>0.15</v>
      </c>
      <c r="J1030" s="4" t="s">
        <v>81</v>
      </c>
      <c r="K1030" s="4" t="s">
        <v>82</v>
      </c>
    </row>
    <row r="1031" customFormat="false" ht="15" hidden="false" customHeight="false" outlineLevel="0" collapsed="false">
      <c r="A1031" s="4" t="s">
        <v>1298</v>
      </c>
      <c r="B1031" s="17" t="n">
        <v>45863</v>
      </c>
      <c r="C1031" s="4" t="n">
        <v>14</v>
      </c>
      <c r="D1031" s="4" t="s">
        <v>96</v>
      </c>
      <c r="E1031" s="4" t="s">
        <v>84</v>
      </c>
      <c r="F1031" s="4" t="s">
        <v>114</v>
      </c>
      <c r="G1031" s="4" t="n">
        <v>1</v>
      </c>
      <c r="H1031" s="4" t="n">
        <v>85</v>
      </c>
      <c r="I1031" s="18" t="n">
        <v>0.1</v>
      </c>
      <c r="J1031" s="4" t="s">
        <v>81</v>
      </c>
      <c r="K1031" s="4" t="s">
        <v>71</v>
      </c>
    </row>
    <row r="1032" customFormat="false" ht="15" hidden="false" customHeight="false" outlineLevel="0" collapsed="false">
      <c r="A1032" s="4" t="s">
        <v>1299</v>
      </c>
      <c r="B1032" s="17" t="n">
        <v>45864</v>
      </c>
      <c r="C1032" s="4" t="n">
        <v>7</v>
      </c>
      <c r="D1032" s="4" t="s">
        <v>64</v>
      </c>
      <c r="E1032" s="4" t="s">
        <v>65</v>
      </c>
      <c r="F1032" s="4" t="s">
        <v>94</v>
      </c>
      <c r="G1032" s="4" t="n">
        <v>1</v>
      </c>
      <c r="H1032" s="4" t="n">
        <v>150</v>
      </c>
      <c r="I1032" s="18" t="n">
        <v>0</v>
      </c>
      <c r="J1032" s="4" t="s">
        <v>88</v>
      </c>
    </row>
    <row r="1033" customFormat="false" ht="15" hidden="false" customHeight="false" outlineLevel="0" collapsed="false">
      <c r="A1033" s="4" t="s">
        <v>1300</v>
      </c>
      <c r="B1033" s="4" t="s">
        <v>1301</v>
      </c>
      <c r="C1033" s="4" t="n">
        <v>7</v>
      </c>
      <c r="D1033" s="4" t="s">
        <v>73</v>
      </c>
      <c r="E1033" s="4" t="s">
        <v>84</v>
      </c>
      <c r="F1033" s="4" t="s">
        <v>117</v>
      </c>
      <c r="G1033" s="4" t="n">
        <v>3</v>
      </c>
      <c r="H1033" s="4" t="n">
        <v>95</v>
      </c>
      <c r="I1033" s="18" t="n">
        <v>0</v>
      </c>
      <c r="J1033" s="4" t="s">
        <v>81</v>
      </c>
      <c r="K1033" s="4" t="s">
        <v>77</v>
      </c>
    </row>
    <row r="1034" customFormat="false" ht="15" hidden="false" customHeight="false" outlineLevel="0" collapsed="false">
      <c r="A1034" s="4" t="s">
        <v>1302</v>
      </c>
      <c r="B1034" s="4" t="s">
        <v>1301</v>
      </c>
      <c r="C1034" s="4" t="n">
        <v>8</v>
      </c>
      <c r="D1034" s="4" t="s">
        <v>64</v>
      </c>
      <c r="E1034" s="4" t="s">
        <v>65</v>
      </c>
      <c r="F1034" s="4" t="s">
        <v>66</v>
      </c>
      <c r="G1034" s="4" t="n">
        <v>2</v>
      </c>
      <c r="H1034" s="4" t="n">
        <v>120</v>
      </c>
      <c r="I1034" s="18" t="n">
        <v>0</v>
      </c>
      <c r="J1034" s="4" t="s">
        <v>67</v>
      </c>
      <c r="K1034" s="4" t="s">
        <v>68</v>
      </c>
    </row>
    <row r="1035" customFormat="false" ht="15" hidden="false" customHeight="false" outlineLevel="0" collapsed="false">
      <c r="A1035" s="4" t="s">
        <v>1303</v>
      </c>
      <c r="B1035" s="17" t="n">
        <v>45864</v>
      </c>
      <c r="C1035" s="4" t="n">
        <v>9</v>
      </c>
      <c r="D1035" s="4" t="s">
        <v>187</v>
      </c>
      <c r="E1035" s="4" t="s">
        <v>84</v>
      </c>
      <c r="F1035" s="4" t="s">
        <v>106</v>
      </c>
      <c r="G1035" s="4" t="n">
        <v>1</v>
      </c>
      <c r="H1035" s="4" t="n">
        <v>60</v>
      </c>
      <c r="I1035" s="18" t="n">
        <v>0.1</v>
      </c>
      <c r="J1035" s="4" t="s">
        <v>67</v>
      </c>
      <c r="K1035" s="4" t="s">
        <v>71</v>
      </c>
    </row>
    <row r="1036" customFormat="false" ht="15" hidden="false" customHeight="false" outlineLevel="0" collapsed="false">
      <c r="A1036" s="4" t="s">
        <v>1304</v>
      </c>
      <c r="B1036" s="17" t="n">
        <v>45865</v>
      </c>
      <c r="C1036" s="4" t="n">
        <v>7</v>
      </c>
      <c r="D1036" s="4" t="s">
        <v>335</v>
      </c>
      <c r="E1036" s="4" t="s">
        <v>99</v>
      </c>
      <c r="F1036" s="4" t="s">
        <v>102</v>
      </c>
      <c r="G1036" s="4" t="n">
        <v>1</v>
      </c>
      <c r="H1036" s="4" t="n">
        <v>140</v>
      </c>
      <c r="I1036" s="18" t="n">
        <v>0</v>
      </c>
      <c r="J1036" s="4" t="s">
        <v>290</v>
      </c>
      <c r="K1036" s="4" t="s">
        <v>68</v>
      </c>
    </row>
    <row r="1037" customFormat="false" ht="15" hidden="false" customHeight="false" outlineLevel="0" collapsed="false">
      <c r="A1037" s="4" t="s">
        <v>1305</v>
      </c>
      <c r="B1037" s="17" t="n">
        <v>45865</v>
      </c>
      <c r="C1037" s="4" t="n">
        <v>9</v>
      </c>
      <c r="D1037" s="4" t="s">
        <v>98</v>
      </c>
      <c r="E1037" s="4" t="s">
        <v>99</v>
      </c>
      <c r="F1037" s="4" t="s">
        <v>100</v>
      </c>
      <c r="G1037" s="4" t="n">
        <v>2</v>
      </c>
      <c r="H1037" s="4" t="n">
        <v>110</v>
      </c>
      <c r="I1037" s="18" t="n">
        <v>0.05</v>
      </c>
      <c r="J1037" s="4" t="s">
        <v>81</v>
      </c>
      <c r="K1037" s="4" t="s">
        <v>82</v>
      </c>
    </row>
    <row r="1038" customFormat="false" ht="15" hidden="false" customHeight="false" outlineLevel="0" collapsed="false">
      <c r="A1038" s="4" t="s">
        <v>1306</v>
      </c>
      <c r="B1038" s="17" t="n">
        <v>45865</v>
      </c>
      <c r="C1038" s="4" t="n">
        <v>12</v>
      </c>
      <c r="D1038" s="4" t="s">
        <v>98</v>
      </c>
      <c r="E1038" s="4" t="s">
        <v>74</v>
      </c>
      <c r="F1038" s="4" t="s">
        <v>75</v>
      </c>
      <c r="G1038" s="4" t="n">
        <v>1</v>
      </c>
      <c r="H1038" s="4" t="n">
        <v>220</v>
      </c>
      <c r="I1038" s="18" t="n">
        <v>0.1</v>
      </c>
      <c r="J1038" s="4" t="s">
        <v>67</v>
      </c>
      <c r="K1038" s="4" t="s">
        <v>71</v>
      </c>
    </row>
    <row r="1039" customFormat="false" ht="15" hidden="false" customHeight="false" outlineLevel="0" collapsed="false">
      <c r="A1039" s="4" t="s">
        <v>1307</v>
      </c>
      <c r="B1039" s="17" t="n">
        <v>45865</v>
      </c>
      <c r="C1039" s="4" t="n">
        <v>12</v>
      </c>
      <c r="D1039" s="4" t="s">
        <v>225</v>
      </c>
      <c r="E1039" s="4" t="s">
        <v>74</v>
      </c>
      <c r="F1039" s="4" t="s">
        <v>91</v>
      </c>
      <c r="G1039" s="4" t="n">
        <v>1</v>
      </c>
      <c r="H1039" s="4" t="n">
        <v>200</v>
      </c>
      <c r="I1039" s="18" t="n">
        <v>0.1</v>
      </c>
      <c r="J1039" s="4" t="s">
        <v>67</v>
      </c>
      <c r="K1039" s="4" t="s">
        <v>71</v>
      </c>
    </row>
    <row r="1040" customFormat="false" ht="15" hidden="false" customHeight="false" outlineLevel="0" collapsed="false">
      <c r="A1040" s="4" t="s">
        <v>1308</v>
      </c>
      <c r="B1040" s="17" t="n">
        <v>45865</v>
      </c>
      <c r="C1040" s="4" t="n">
        <v>13</v>
      </c>
      <c r="D1040" s="4" t="s">
        <v>98</v>
      </c>
      <c r="E1040" s="4" t="s">
        <v>99</v>
      </c>
      <c r="F1040" s="4" t="s">
        <v>133</v>
      </c>
      <c r="G1040" s="4" t="n">
        <v>1</v>
      </c>
      <c r="H1040" s="4" t="n">
        <v>90</v>
      </c>
      <c r="I1040" s="18" t="n">
        <v>0.1</v>
      </c>
      <c r="J1040" s="4" t="s">
        <v>76</v>
      </c>
      <c r="K1040" s="4" t="s">
        <v>71</v>
      </c>
    </row>
    <row r="1041" customFormat="false" ht="15" hidden="false" customHeight="false" outlineLevel="0" collapsed="false">
      <c r="A1041" s="4" t="s">
        <v>1309</v>
      </c>
      <c r="B1041" s="17" t="n">
        <v>45865</v>
      </c>
      <c r="C1041" s="4" t="n">
        <v>18</v>
      </c>
      <c r="D1041" s="4" t="s">
        <v>98</v>
      </c>
      <c r="E1041" s="4" t="s">
        <v>65</v>
      </c>
      <c r="F1041" s="4" t="s">
        <v>121</v>
      </c>
      <c r="G1041" s="4" t="n">
        <v>4</v>
      </c>
      <c r="H1041" s="4" t="n">
        <v>170</v>
      </c>
      <c r="I1041" s="18" t="n">
        <v>0.15</v>
      </c>
      <c r="J1041" s="4" t="s">
        <v>81</v>
      </c>
      <c r="K1041" s="4" t="s">
        <v>68</v>
      </c>
    </row>
    <row r="1042" customFormat="false" ht="15" hidden="false" customHeight="false" outlineLevel="0" collapsed="false">
      <c r="A1042" s="4" t="s">
        <v>1310</v>
      </c>
      <c r="B1042" s="17" t="n">
        <v>45865</v>
      </c>
      <c r="C1042" s="4" t="n">
        <v>18</v>
      </c>
      <c r="D1042" s="4" t="s">
        <v>70</v>
      </c>
      <c r="E1042" s="4" t="s">
        <v>79</v>
      </c>
      <c r="F1042" s="4" t="s">
        <v>148</v>
      </c>
      <c r="G1042" s="4" t="n">
        <v>1</v>
      </c>
      <c r="H1042" s="4" t="n">
        <v>120</v>
      </c>
      <c r="I1042" s="18" t="n">
        <v>0</v>
      </c>
      <c r="J1042" s="4" t="s">
        <v>67</v>
      </c>
      <c r="K1042" s="4" t="s">
        <v>68</v>
      </c>
    </row>
    <row r="1043" customFormat="false" ht="15" hidden="false" customHeight="false" outlineLevel="0" collapsed="false">
      <c r="A1043" s="4" t="s">
        <v>1311</v>
      </c>
      <c r="B1043" s="17" t="n">
        <v>45865</v>
      </c>
      <c r="C1043" s="4" t="n">
        <v>20</v>
      </c>
      <c r="D1043" s="4" t="s">
        <v>70</v>
      </c>
      <c r="E1043" s="4" t="s">
        <v>74</v>
      </c>
      <c r="F1043" s="4" t="s">
        <v>75</v>
      </c>
      <c r="G1043" s="4" t="n">
        <v>1</v>
      </c>
      <c r="H1043" s="4" t="n">
        <v>220</v>
      </c>
      <c r="I1043" s="18" t="n">
        <v>0</v>
      </c>
      <c r="J1043" s="4" t="s">
        <v>81</v>
      </c>
      <c r="K1043" s="4" t="s">
        <v>68</v>
      </c>
    </row>
    <row r="1044" customFormat="false" ht="15" hidden="false" customHeight="false" outlineLevel="0" collapsed="false">
      <c r="A1044" s="4" t="s">
        <v>1312</v>
      </c>
      <c r="B1044" s="17" t="n">
        <v>45866</v>
      </c>
      <c r="C1044" s="4" t="n">
        <v>8</v>
      </c>
      <c r="D1044" s="4" t="s">
        <v>64</v>
      </c>
      <c r="E1044" s="4" t="s">
        <v>99</v>
      </c>
      <c r="F1044" s="4" t="s">
        <v>100</v>
      </c>
      <c r="G1044" s="4" t="n">
        <v>1</v>
      </c>
      <c r="H1044" s="4" t="n">
        <v>110</v>
      </c>
      <c r="I1044" s="18" t="n">
        <v>0.1</v>
      </c>
      <c r="J1044" s="4" t="s">
        <v>81</v>
      </c>
      <c r="K1044" s="4" t="s">
        <v>71</v>
      </c>
    </row>
    <row r="1045" customFormat="false" ht="15" hidden="false" customHeight="false" outlineLevel="0" collapsed="false">
      <c r="A1045" s="4" t="s">
        <v>1313</v>
      </c>
      <c r="B1045" s="17" t="n">
        <v>45866</v>
      </c>
      <c r="C1045" s="4" t="n">
        <v>14</v>
      </c>
      <c r="D1045" s="4" t="s">
        <v>98</v>
      </c>
      <c r="E1045" s="4" t="s">
        <v>99</v>
      </c>
      <c r="F1045" s="4" t="s">
        <v>109</v>
      </c>
      <c r="G1045" s="4" t="n">
        <v>2</v>
      </c>
      <c r="H1045" s="4" t="n">
        <v>130</v>
      </c>
      <c r="I1045" s="18" t="n">
        <v>0</v>
      </c>
      <c r="J1045" s="4" t="s">
        <v>290</v>
      </c>
      <c r="K1045" s="4" t="s">
        <v>68</v>
      </c>
    </row>
    <row r="1046" customFormat="false" ht="15" hidden="false" customHeight="false" outlineLevel="0" collapsed="false">
      <c r="A1046" s="4" t="s">
        <v>1314</v>
      </c>
      <c r="B1046" s="17" t="n">
        <v>45866</v>
      </c>
      <c r="C1046" s="4" t="n">
        <v>18</v>
      </c>
      <c r="D1046" s="4" t="s">
        <v>64</v>
      </c>
      <c r="E1046" s="4" t="s">
        <v>65</v>
      </c>
      <c r="F1046" s="4" t="s">
        <v>121</v>
      </c>
      <c r="G1046" s="4" t="n">
        <v>2</v>
      </c>
      <c r="H1046" s="4" t="n">
        <v>170</v>
      </c>
      <c r="I1046" s="18" t="n">
        <v>0</v>
      </c>
      <c r="J1046" s="4" t="s">
        <v>81</v>
      </c>
      <c r="K1046" s="4" t="s">
        <v>68</v>
      </c>
    </row>
    <row r="1047" customFormat="false" ht="15" hidden="false" customHeight="false" outlineLevel="0" collapsed="false">
      <c r="A1047" s="4" t="s">
        <v>1315</v>
      </c>
      <c r="B1047" s="17" t="n">
        <v>45867</v>
      </c>
      <c r="C1047" s="4" t="n">
        <v>9</v>
      </c>
      <c r="D1047" s="4" t="s">
        <v>73</v>
      </c>
      <c r="E1047" s="4" t="s">
        <v>65</v>
      </c>
      <c r="F1047" s="4" t="s">
        <v>66</v>
      </c>
      <c r="G1047" s="4" t="n">
        <v>1</v>
      </c>
      <c r="H1047" s="4" t="n">
        <v>120</v>
      </c>
      <c r="I1047" s="18" t="n">
        <v>0.1</v>
      </c>
      <c r="J1047" s="4" t="s">
        <v>76</v>
      </c>
      <c r="K1047" s="4" t="s">
        <v>77</v>
      </c>
    </row>
    <row r="1048" customFormat="false" ht="15" hidden="false" customHeight="false" outlineLevel="0" collapsed="false">
      <c r="A1048" s="4" t="s">
        <v>1316</v>
      </c>
      <c r="B1048" s="17" t="n">
        <v>45867</v>
      </c>
      <c r="C1048" s="4" t="n">
        <v>9</v>
      </c>
      <c r="D1048" s="4" t="s">
        <v>98</v>
      </c>
      <c r="E1048" s="4" t="s">
        <v>65</v>
      </c>
      <c r="F1048" s="4" t="s">
        <v>94</v>
      </c>
      <c r="G1048" s="4" t="n">
        <v>1</v>
      </c>
      <c r="H1048" s="4" t="n">
        <v>150</v>
      </c>
      <c r="I1048" s="18" t="n">
        <v>0</v>
      </c>
      <c r="J1048" s="4" t="s">
        <v>491</v>
      </c>
      <c r="K1048" s="4" t="s">
        <v>68</v>
      </c>
    </row>
    <row r="1049" customFormat="false" ht="15" hidden="false" customHeight="false" outlineLevel="0" collapsed="false">
      <c r="A1049" s="4" t="s">
        <v>1317</v>
      </c>
      <c r="B1049" s="17" t="n">
        <v>45867</v>
      </c>
      <c r="C1049" s="4" t="n">
        <v>13</v>
      </c>
      <c r="D1049" s="4" t="s">
        <v>70</v>
      </c>
      <c r="E1049" s="4" t="s">
        <v>84</v>
      </c>
      <c r="F1049" s="4" t="s">
        <v>106</v>
      </c>
      <c r="G1049" s="4" t="n">
        <v>4</v>
      </c>
      <c r="H1049" s="4" t="n">
        <v>60</v>
      </c>
      <c r="I1049" s="18" t="n">
        <v>0</v>
      </c>
      <c r="J1049" s="4" t="s">
        <v>76</v>
      </c>
      <c r="K1049" s="4" t="s">
        <v>68</v>
      </c>
    </row>
    <row r="1050" customFormat="false" ht="15" hidden="false" customHeight="false" outlineLevel="0" collapsed="false">
      <c r="A1050" s="4" t="s">
        <v>1318</v>
      </c>
      <c r="B1050" s="17" t="n">
        <v>45867</v>
      </c>
      <c r="C1050" s="4" t="n">
        <v>16</v>
      </c>
      <c r="D1050" s="4" t="s">
        <v>64</v>
      </c>
      <c r="E1050" s="4" t="s">
        <v>99</v>
      </c>
      <c r="F1050" s="4" t="s">
        <v>102</v>
      </c>
      <c r="G1050" s="4" t="n">
        <v>3</v>
      </c>
      <c r="H1050" s="4" t="n">
        <v>140</v>
      </c>
      <c r="I1050" s="18" t="n">
        <v>0</v>
      </c>
      <c r="J1050" s="4" t="s">
        <v>76</v>
      </c>
      <c r="K1050" s="4" t="s">
        <v>68</v>
      </c>
    </row>
    <row r="1051" customFormat="false" ht="15" hidden="false" customHeight="false" outlineLevel="0" collapsed="false">
      <c r="A1051" s="4" t="s">
        <v>1319</v>
      </c>
      <c r="B1051" s="17" t="n">
        <v>45867</v>
      </c>
      <c r="C1051" s="4" t="n">
        <v>17</v>
      </c>
      <c r="D1051" s="4" t="s">
        <v>96</v>
      </c>
      <c r="E1051" s="4" t="s">
        <v>74</v>
      </c>
      <c r="F1051" s="4" t="s">
        <v>75</v>
      </c>
      <c r="G1051" s="4" t="n">
        <v>1</v>
      </c>
      <c r="H1051" s="4" t="n">
        <v>220</v>
      </c>
      <c r="I1051" s="18" t="n">
        <v>0.1</v>
      </c>
      <c r="J1051" s="4" t="s">
        <v>67</v>
      </c>
      <c r="K1051" s="4" t="s">
        <v>71</v>
      </c>
    </row>
    <row r="1052" customFormat="false" ht="15" hidden="false" customHeight="false" outlineLevel="0" collapsed="false">
      <c r="A1052" s="4" t="s">
        <v>1320</v>
      </c>
      <c r="B1052" s="17" t="n">
        <v>45867</v>
      </c>
      <c r="C1052" s="4" t="n">
        <v>17</v>
      </c>
      <c r="D1052" s="4" t="s">
        <v>172</v>
      </c>
      <c r="E1052" s="4" t="s">
        <v>74</v>
      </c>
      <c r="F1052" s="4" t="s">
        <v>91</v>
      </c>
      <c r="G1052" s="4" t="n">
        <v>1</v>
      </c>
      <c r="H1052" s="4" t="n">
        <v>200</v>
      </c>
      <c r="I1052" s="18" t="n">
        <v>0.05</v>
      </c>
      <c r="J1052" s="4" t="s">
        <v>67</v>
      </c>
      <c r="K1052" s="4" t="s">
        <v>82</v>
      </c>
    </row>
    <row r="1053" customFormat="false" ht="15" hidden="false" customHeight="false" outlineLevel="0" collapsed="false">
      <c r="A1053" s="4" t="s">
        <v>1321</v>
      </c>
      <c r="B1053" s="4" t="s">
        <v>1322</v>
      </c>
      <c r="C1053" s="4" t="n">
        <v>7</v>
      </c>
      <c r="D1053" s="4" t="s">
        <v>73</v>
      </c>
      <c r="E1053" s="4" t="s">
        <v>99</v>
      </c>
      <c r="F1053" s="4" t="s">
        <v>252</v>
      </c>
      <c r="G1053" s="4" t="n">
        <v>1</v>
      </c>
      <c r="H1053" s="4" t="n">
        <v>130</v>
      </c>
      <c r="I1053" s="18" t="n">
        <v>0.1</v>
      </c>
      <c r="J1053" s="4" t="s">
        <v>112</v>
      </c>
      <c r="K1053" s="4" t="s">
        <v>71</v>
      </c>
    </row>
    <row r="1054" customFormat="false" ht="15" hidden="false" customHeight="false" outlineLevel="0" collapsed="false">
      <c r="A1054" s="4" t="s">
        <v>1323</v>
      </c>
      <c r="B1054" s="17" t="n">
        <v>45868</v>
      </c>
      <c r="C1054" s="4" t="n">
        <v>9</v>
      </c>
      <c r="D1054" s="4" t="s">
        <v>70</v>
      </c>
      <c r="E1054" s="4" t="s">
        <v>99</v>
      </c>
      <c r="F1054" s="4" t="s">
        <v>102</v>
      </c>
      <c r="G1054" s="4" t="n">
        <v>1</v>
      </c>
      <c r="H1054" s="4" t="n">
        <v>140</v>
      </c>
      <c r="I1054" s="18" t="n">
        <v>0</v>
      </c>
      <c r="J1054" s="4" t="s">
        <v>81</v>
      </c>
      <c r="K1054" s="4" t="s">
        <v>68</v>
      </c>
    </row>
    <row r="1055" customFormat="false" ht="15" hidden="false" customHeight="false" outlineLevel="0" collapsed="false">
      <c r="A1055" s="4" t="s">
        <v>1324</v>
      </c>
      <c r="B1055" s="17" t="n">
        <v>45868</v>
      </c>
      <c r="C1055" s="4" t="n">
        <v>9</v>
      </c>
      <c r="D1055" s="4" t="s">
        <v>73</v>
      </c>
      <c r="E1055" s="4" t="s">
        <v>99</v>
      </c>
      <c r="F1055" s="4" t="s">
        <v>109</v>
      </c>
      <c r="G1055" s="4" t="n">
        <v>3</v>
      </c>
      <c r="H1055" s="4" t="n">
        <v>130</v>
      </c>
      <c r="I1055" s="18" t="n">
        <v>0.05</v>
      </c>
      <c r="J1055" s="4" t="s">
        <v>67</v>
      </c>
      <c r="K1055" s="4" t="s">
        <v>82</v>
      </c>
    </row>
    <row r="1056" customFormat="false" ht="15" hidden="false" customHeight="false" outlineLevel="0" collapsed="false">
      <c r="A1056" s="4" t="s">
        <v>1325</v>
      </c>
      <c r="B1056" s="17" t="n">
        <v>45868</v>
      </c>
      <c r="C1056" s="4" t="n">
        <v>12</v>
      </c>
      <c r="D1056" s="4" t="s">
        <v>70</v>
      </c>
      <c r="E1056" s="4" t="s">
        <v>99</v>
      </c>
      <c r="F1056" s="4" t="s">
        <v>100</v>
      </c>
      <c r="G1056" s="4" t="n">
        <v>2</v>
      </c>
      <c r="H1056" s="4" t="n">
        <v>110</v>
      </c>
      <c r="I1056" s="18" t="n">
        <v>0.05</v>
      </c>
      <c r="J1056" s="4" t="s">
        <v>81</v>
      </c>
      <c r="K1056" s="4" t="s">
        <v>82</v>
      </c>
    </row>
    <row r="1057" customFormat="false" ht="15" hidden="false" customHeight="false" outlineLevel="0" collapsed="false">
      <c r="A1057" s="4" t="s">
        <v>1326</v>
      </c>
      <c r="B1057" s="17" t="n">
        <v>45868</v>
      </c>
      <c r="C1057" s="4" t="n">
        <v>12</v>
      </c>
      <c r="D1057" s="4" t="s">
        <v>70</v>
      </c>
      <c r="E1057" s="4" t="s">
        <v>74</v>
      </c>
      <c r="F1057" s="4" t="s">
        <v>139</v>
      </c>
      <c r="G1057" s="4" t="n">
        <v>1</v>
      </c>
      <c r="H1057" s="4" t="n">
        <v>260</v>
      </c>
      <c r="I1057" s="18" t="n">
        <v>0.05</v>
      </c>
      <c r="J1057" s="4" t="s">
        <v>81</v>
      </c>
      <c r="K1057" s="4" t="s">
        <v>82</v>
      </c>
    </row>
    <row r="1058" customFormat="false" ht="15" hidden="false" customHeight="false" outlineLevel="0" collapsed="false">
      <c r="A1058" s="4" t="s">
        <v>1327</v>
      </c>
      <c r="B1058" s="17" t="n">
        <v>45868</v>
      </c>
      <c r="C1058" s="4" t="n">
        <v>14</v>
      </c>
      <c r="D1058" s="4" t="s">
        <v>335</v>
      </c>
      <c r="E1058" s="4" t="s">
        <v>79</v>
      </c>
      <c r="F1058" s="4" t="s">
        <v>80</v>
      </c>
      <c r="G1058" s="4" t="n">
        <v>1</v>
      </c>
      <c r="H1058" s="4" t="n">
        <v>160</v>
      </c>
      <c r="I1058" s="18" t="n">
        <v>0</v>
      </c>
      <c r="J1058" s="4" t="s">
        <v>112</v>
      </c>
      <c r="K1058" s="4" t="s">
        <v>68</v>
      </c>
    </row>
    <row r="1059" customFormat="false" ht="15" hidden="false" customHeight="false" outlineLevel="0" collapsed="false">
      <c r="A1059" s="4" t="s">
        <v>1328</v>
      </c>
      <c r="B1059" s="17" t="n">
        <v>45868</v>
      </c>
      <c r="C1059" s="4" t="n">
        <v>16</v>
      </c>
      <c r="D1059" s="4" t="s">
        <v>153</v>
      </c>
      <c r="E1059" s="4" t="s">
        <v>74</v>
      </c>
      <c r="F1059" s="4" t="s">
        <v>91</v>
      </c>
      <c r="G1059" s="4" t="n">
        <v>1</v>
      </c>
      <c r="H1059" s="4" t="n">
        <v>200</v>
      </c>
      <c r="I1059" s="18" t="n">
        <v>0.1</v>
      </c>
      <c r="J1059" s="4" t="s">
        <v>268</v>
      </c>
      <c r="K1059" s="4" t="s">
        <v>71</v>
      </c>
    </row>
    <row r="1060" customFormat="false" ht="15" hidden="false" customHeight="false" outlineLevel="0" collapsed="false">
      <c r="A1060" s="4" t="s">
        <v>1329</v>
      </c>
      <c r="B1060" s="4" t="s">
        <v>1322</v>
      </c>
      <c r="C1060" s="4" t="n">
        <v>16</v>
      </c>
      <c r="D1060" s="4" t="s">
        <v>64</v>
      </c>
      <c r="E1060" s="4" t="s">
        <v>99</v>
      </c>
      <c r="F1060" s="4" t="s">
        <v>109</v>
      </c>
      <c r="G1060" s="4" t="n">
        <v>1</v>
      </c>
      <c r="H1060" s="4" t="n">
        <v>130</v>
      </c>
      <c r="I1060" s="18" t="n">
        <v>0</v>
      </c>
      <c r="J1060" s="4" t="s">
        <v>67</v>
      </c>
      <c r="K1060" s="4" t="s">
        <v>77</v>
      </c>
    </row>
    <row r="1061" customFormat="false" ht="15" hidden="false" customHeight="false" outlineLevel="0" collapsed="false">
      <c r="A1061" s="4" t="s">
        <v>1330</v>
      </c>
      <c r="B1061" s="17" t="n">
        <v>45869</v>
      </c>
      <c r="C1061" s="4" t="n">
        <v>11</v>
      </c>
      <c r="D1061" s="4" t="s">
        <v>70</v>
      </c>
      <c r="E1061" s="4" t="s">
        <v>84</v>
      </c>
      <c r="F1061" s="4" t="s">
        <v>114</v>
      </c>
      <c r="G1061" s="4" t="n">
        <v>2</v>
      </c>
      <c r="H1061" s="4" t="n">
        <v>85</v>
      </c>
      <c r="I1061" s="18" t="n">
        <v>0</v>
      </c>
      <c r="J1061" s="4" t="s">
        <v>237</v>
      </c>
      <c r="K1061" s="4" t="s">
        <v>68</v>
      </c>
    </row>
    <row r="1062" customFormat="false" ht="15" hidden="false" customHeight="false" outlineLevel="0" collapsed="false">
      <c r="A1062" s="4" t="s">
        <v>1331</v>
      </c>
      <c r="B1062" s="17" t="n">
        <v>45869</v>
      </c>
      <c r="C1062" s="4" t="n">
        <v>12</v>
      </c>
      <c r="D1062" s="4" t="s">
        <v>64</v>
      </c>
      <c r="E1062" s="4" t="s">
        <v>99</v>
      </c>
      <c r="F1062" s="4" t="s">
        <v>100</v>
      </c>
      <c r="G1062" s="4" t="n">
        <v>3</v>
      </c>
      <c r="H1062" s="4" t="n">
        <v>110</v>
      </c>
      <c r="I1062" s="18" t="n">
        <v>0.05</v>
      </c>
      <c r="K1062" s="4" t="s">
        <v>82</v>
      </c>
    </row>
    <row r="1063" customFormat="false" ht="15" hidden="false" customHeight="false" outlineLevel="0" collapsed="false">
      <c r="A1063" s="4" t="s">
        <v>1332</v>
      </c>
      <c r="B1063" s="17" t="n">
        <v>45869</v>
      </c>
      <c r="C1063" s="4" t="n">
        <v>14</v>
      </c>
      <c r="D1063" s="4" t="s">
        <v>70</v>
      </c>
      <c r="E1063" s="4" t="s">
        <v>74</v>
      </c>
      <c r="F1063" s="4" t="s">
        <v>75</v>
      </c>
      <c r="G1063" s="4" t="n">
        <v>1</v>
      </c>
      <c r="H1063" s="4" t="n">
        <v>220</v>
      </c>
      <c r="I1063" s="18" t="n">
        <v>0.05</v>
      </c>
      <c r="J1063" s="4" t="s">
        <v>290</v>
      </c>
      <c r="K1063" s="4" t="s">
        <v>82</v>
      </c>
    </row>
    <row r="1064" customFormat="false" ht="15" hidden="false" customHeight="false" outlineLevel="0" collapsed="false">
      <c r="A1064" s="4" t="s">
        <v>1333</v>
      </c>
      <c r="B1064" s="17" t="n">
        <v>45869</v>
      </c>
      <c r="C1064" s="4" t="n">
        <v>16</v>
      </c>
      <c r="D1064" s="4" t="s">
        <v>98</v>
      </c>
      <c r="E1064" s="4" t="s">
        <v>99</v>
      </c>
      <c r="F1064" s="4" t="s">
        <v>100</v>
      </c>
      <c r="G1064" s="4" t="n">
        <v>1</v>
      </c>
      <c r="H1064" s="4" t="n">
        <v>110</v>
      </c>
      <c r="I1064" s="18" t="n">
        <v>0</v>
      </c>
      <c r="J1064" s="4" t="s">
        <v>67</v>
      </c>
      <c r="K1064" s="4" t="s">
        <v>68</v>
      </c>
    </row>
    <row r="1065" customFormat="false" ht="15" hidden="false" customHeight="false" outlineLevel="0" collapsed="false">
      <c r="A1065" s="4" t="s">
        <v>1334</v>
      </c>
      <c r="B1065" s="17" t="n">
        <v>45870</v>
      </c>
      <c r="C1065" s="4" t="n">
        <v>8</v>
      </c>
      <c r="D1065" s="4" t="s">
        <v>64</v>
      </c>
      <c r="E1065" s="4" t="s">
        <v>79</v>
      </c>
      <c r="F1065" s="4" t="s">
        <v>148</v>
      </c>
      <c r="G1065" s="4" t="n">
        <v>1</v>
      </c>
      <c r="H1065" s="4" t="n">
        <v>120</v>
      </c>
      <c r="I1065" s="18" t="n">
        <v>0.05</v>
      </c>
      <c r="J1065" s="4" t="s">
        <v>112</v>
      </c>
      <c r="K1065" s="4" t="s">
        <v>82</v>
      </c>
    </row>
    <row r="1066" customFormat="false" ht="15" hidden="false" customHeight="false" outlineLevel="0" collapsed="false">
      <c r="A1066" s="4" t="s">
        <v>1335</v>
      </c>
      <c r="B1066" s="4" t="s">
        <v>1336</v>
      </c>
      <c r="C1066" s="4" t="n">
        <v>10</v>
      </c>
      <c r="D1066" s="4" t="s">
        <v>70</v>
      </c>
      <c r="E1066" s="4" t="s">
        <v>99</v>
      </c>
      <c r="F1066" s="4" t="s">
        <v>102</v>
      </c>
      <c r="G1066" s="4" t="n">
        <v>3</v>
      </c>
      <c r="H1066" s="4" t="n">
        <v>140</v>
      </c>
      <c r="I1066" s="18" t="n">
        <v>0.1</v>
      </c>
      <c r="J1066" s="4" t="s">
        <v>67</v>
      </c>
      <c r="K1066" s="4" t="s">
        <v>71</v>
      </c>
    </row>
    <row r="1067" customFormat="false" ht="15" hidden="false" customHeight="false" outlineLevel="0" collapsed="false">
      <c r="A1067" s="4" t="s">
        <v>1337</v>
      </c>
      <c r="B1067" s="17" t="n">
        <v>45870</v>
      </c>
      <c r="C1067" s="4" t="n">
        <v>12</v>
      </c>
      <c r="D1067" s="4" t="s">
        <v>70</v>
      </c>
      <c r="E1067" s="4" t="s">
        <v>74</v>
      </c>
      <c r="F1067" s="4" t="s">
        <v>91</v>
      </c>
      <c r="G1067" s="4" t="n">
        <v>1</v>
      </c>
      <c r="I1067" s="18" t="n">
        <v>0</v>
      </c>
      <c r="J1067" s="4" t="s">
        <v>81</v>
      </c>
      <c r="K1067" s="4" t="s">
        <v>77</v>
      </c>
    </row>
    <row r="1068" customFormat="false" ht="15" hidden="false" customHeight="false" outlineLevel="0" collapsed="false">
      <c r="A1068" s="4" t="s">
        <v>1338</v>
      </c>
      <c r="B1068" s="17" t="n">
        <v>45870</v>
      </c>
      <c r="C1068" s="4" t="n">
        <v>14</v>
      </c>
      <c r="D1068" s="4" t="s">
        <v>70</v>
      </c>
      <c r="E1068" s="4" t="s">
        <v>79</v>
      </c>
      <c r="F1068" s="4" t="s">
        <v>148</v>
      </c>
      <c r="G1068" s="4" t="n">
        <v>2</v>
      </c>
      <c r="H1068" s="4" t="n">
        <v>120</v>
      </c>
      <c r="I1068" s="18" t="n">
        <v>0.15</v>
      </c>
      <c r="J1068" s="4" t="s">
        <v>67</v>
      </c>
      <c r="K1068" s="4" t="s">
        <v>77</v>
      </c>
    </row>
    <row r="1069" customFormat="false" ht="15" hidden="false" customHeight="false" outlineLevel="0" collapsed="false">
      <c r="A1069" s="4" t="s">
        <v>1339</v>
      </c>
      <c r="B1069" s="17" t="n">
        <v>45870</v>
      </c>
      <c r="C1069" s="4" t="n">
        <v>19</v>
      </c>
      <c r="D1069" s="4" t="s">
        <v>98</v>
      </c>
      <c r="E1069" s="4" t="s">
        <v>99</v>
      </c>
      <c r="F1069" s="4" t="s">
        <v>102</v>
      </c>
      <c r="G1069" s="4" t="n">
        <v>1</v>
      </c>
      <c r="H1069" s="4" t="n">
        <v>140</v>
      </c>
      <c r="I1069" s="18" t="n">
        <v>0.15</v>
      </c>
      <c r="J1069" s="4" t="s">
        <v>76</v>
      </c>
      <c r="K1069" s="4" t="s">
        <v>68</v>
      </c>
    </row>
    <row r="1070" customFormat="false" ht="15" hidden="false" customHeight="false" outlineLevel="0" collapsed="false">
      <c r="A1070" s="4" t="s">
        <v>1340</v>
      </c>
      <c r="B1070" s="17" t="n">
        <v>45871</v>
      </c>
      <c r="C1070" s="4" t="n">
        <v>8</v>
      </c>
      <c r="D1070" s="4" t="s">
        <v>73</v>
      </c>
      <c r="E1070" s="4" t="s">
        <v>65</v>
      </c>
      <c r="F1070" s="4" t="s">
        <v>66</v>
      </c>
      <c r="G1070" s="4" t="n">
        <v>3</v>
      </c>
      <c r="H1070" s="4" t="n">
        <v>120</v>
      </c>
      <c r="I1070" s="18" t="n">
        <v>0</v>
      </c>
      <c r="J1070" s="4" t="s">
        <v>112</v>
      </c>
      <c r="K1070" s="4" t="s">
        <v>68</v>
      </c>
    </row>
    <row r="1071" customFormat="false" ht="15" hidden="false" customHeight="false" outlineLevel="0" collapsed="false">
      <c r="A1071" s="4" t="s">
        <v>1341</v>
      </c>
      <c r="B1071" s="17" t="n">
        <v>45871</v>
      </c>
      <c r="C1071" s="4" t="n">
        <v>10</v>
      </c>
      <c r="D1071" s="4" t="s">
        <v>70</v>
      </c>
      <c r="E1071" s="4" t="s">
        <v>65</v>
      </c>
      <c r="F1071" s="4" t="s">
        <v>66</v>
      </c>
      <c r="G1071" s="4" t="n">
        <v>1</v>
      </c>
      <c r="H1071" s="4" t="n">
        <v>120</v>
      </c>
      <c r="I1071" s="18" t="n">
        <v>0</v>
      </c>
      <c r="J1071" s="4" t="s">
        <v>81</v>
      </c>
      <c r="K1071" s="4" t="s">
        <v>68</v>
      </c>
    </row>
    <row r="1072" customFormat="false" ht="15" hidden="false" customHeight="false" outlineLevel="0" collapsed="false">
      <c r="A1072" s="4" t="s">
        <v>1342</v>
      </c>
      <c r="B1072" s="17" t="n">
        <v>45871</v>
      </c>
      <c r="C1072" s="4" t="n">
        <v>11</v>
      </c>
      <c r="D1072" s="4" t="s">
        <v>98</v>
      </c>
      <c r="E1072" s="4" t="s">
        <v>84</v>
      </c>
      <c r="F1072" s="4" t="s">
        <v>117</v>
      </c>
      <c r="G1072" s="4" t="n">
        <v>2</v>
      </c>
      <c r="H1072" s="4" t="n">
        <v>95</v>
      </c>
      <c r="I1072" s="18" t="n">
        <v>0</v>
      </c>
      <c r="J1072" s="4" t="s">
        <v>81</v>
      </c>
      <c r="K1072" s="4" t="s">
        <v>68</v>
      </c>
    </row>
    <row r="1073" customFormat="false" ht="15" hidden="false" customHeight="false" outlineLevel="0" collapsed="false">
      <c r="A1073" s="4" t="s">
        <v>1343</v>
      </c>
      <c r="B1073" s="17" t="n">
        <v>45871</v>
      </c>
      <c r="C1073" s="4" t="n">
        <v>14</v>
      </c>
      <c r="D1073" s="4" t="s">
        <v>73</v>
      </c>
      <c r="E1073" s="4" t="s">
        <v>74</v>
      </c>
      <c r="F1073" s="4" t="s">
        <v>139</v>
      </c>
      <c r="G1073" s="4" t="n">
        <v>1</v>
      </c>
      <c r="H1073" s="4" t="n">
        <v>260</v>
      </c>
      <c r="I1073" s="18" t="n">
        <v>0.05</v>
      </c>
      <c r="J1073" s="4" t="s">
        <v>76</v>
      </c>
      <c r="K1073" s="4" t="s">
        <v>82</v>
      </c>
    </row>
    <row r="1074" customFormat="false" ht="15" hidden="false" customHeight="false" outlineLevel="0" collapsed="false">
      <c r="A1074" s="4" t="s">
        <v>1344</v>
      </c>
      <c r="B1074" s="17" t="n">
        <v>45872</v>
      </c>
      <c r="C1074" s="4" t="n">
        <v>13</v>
      </c>
      <c r="D1074" s="4" t="s">
        <v>64</v>
      </c>
      <c r="E1074" s="4" t="s">
        <v>74</v>
      </c>
      <c r="F1074" s="4" t="s">
        <v>91</v>
      </c>
      <c r="G1074" s="4" t="n">
        <v>3</v>
      </c>
      <c r="H1074" s="4" t="n">
        <v>200</v>
      </c>
      <c r="I1074" s="18" t="n">
        <v>0.2</v>
      </c>
      <c r="J1074" s="4" t="s">
        <v>67</v>
      </c>
      <c r="K1074" s="4" t="s">
        <v>68</v>
      </c>
    </row>
    <row r="1075" customFormat="false" ht="15" hidden="false" customHeight="false" outlineLevel="0" collapsed="false">
      <c r="A1075" s="4" t="s">
        <v>1345</v>
      </c>
      <c r="B1075" s="17" t="n">
        <v>45872</v>
      </c>
      <c r="C1075" s="4" t="n">
        <v>14</v>
      </c>
      <c r="D1075" s="4" t="s">
        <v>98</v>
      </c>
      <c r="E1075" s="4" t="s">
        <v>99</v>
      </c>
      <c r="F1075" s="4" t="s">
        <v>102</v>
      </c>
      <c r="G1075" s="4" t="n">
        <v>1</v>
      </c>
      <c r="H1075" s="4" t="n">
        <v>140</v>
      </c>
      <c r="I1075" s="18" t="n">
        <v>0.1</v>
      </c>
      <c r="J1075" s="4" t="s">
        <v>67</v>
      </c>
    </row>
    <row r="1076" customFormat="false" ht="15" hidden="false" customHeight="false" outlineLevel="0" collapsed="false">
      <c r="A1076" s="4" t="s">
        <v>1346</v>
      </c>
      <c r="B1076" s="17" t="n">
        <v>45872</v>
      </c>
      <c r="C1076" s="4" t="n">
        <v>15</v>
      </c>
      <c r="D1076" s="4" t="s">
        <v>98</v>
      </c>
      <c r="E1076" s="4" t="s">
        <v>65</v>
      </c>
      <c r="F1076" s="4" t="s">
        <v>66</v>
      </c>
      <c r="G1076" s="4" t="n">
        <v>2</v>
      </c>
      <c r="H1076" s="4" t="n">
        <v>120</v>
      </c>
      <c r="I1076" s="18" t="n">
        <v>0.1</v>
      </c>
      <c r="J1076" s="4" t="s">
        <v>67</v>
      </c>
      <c r="K1076" s="4" t="s">
        <v>71</v>
      </c>
    </row>
    <row r="1077" customFormat="false" ht="15" hidden="false" customHeight="false" outlineLevel="0" collapsed="false">
      <c r="A1077" s="4" t="s">
        <v>1347</v>
      </c>
      <c r="B1077" s="17" t="n">
        <v>45872</v>
      </c>
      <c r="C1077" s="4" t="n">
        <v>15</v>
      </c>
      <c r="D1077" s="4" t="s">
        <v>70</v>
      </c>
      <c r="E1077" s="4" t="s">
        <v>84</v>
      </c>
      <c r="F1077" s="4" t="s">
        <v>85</v>
      </c>
      <c r="G1077" s="4" t="n">
        <v>1</v>
      </c>
      <c r="H1077" s="4" t="n">
        <v>150</v>
      </c>
      <c r="I1077" s="18" t="n">
        <v>0</v>
      </c>
      <c r="J1077" s="4" t="s">
        <v>81</v>
      </c>
      <c r="K1077" s="4" t="s">
        <v>68</v>
      </c>
    </row>
    <row r="1078" customFormat="false" ht="15" hidden="false" customHeight="false" outlineLevel="0" collapsed="false">
      <c r="A1078" s="4" t="s">
        <v>1348</v>
      </c>
      <c r="B1078" s="4" t="s">
        <v>1349</v>
      </c>
      <c r="C1078" s="4" t="n">
        <v>17</v>
      </c>
      <c r="D1078" s="4" t="s">
        <v>70</v>
      </c>
      <c r="E1078" s="4" t="s">
        <v>65</v>
      </c>
      <c r="F1078" s="4" t="s">
        <v>94</v>
      </c>
      <c r="G1078" s="4" t="n">
        <v>3</v>
      </c>
      <c r="H1078" s="4" t="n">
        <v>150</v>
      </c>
      <c r="I1078" s="18" t="n">
        <v>0</v>
      </c>
      <c r="J1078" s="4" t="s">
        <v>67</v>
      </c>
      <c r="K1078" s="4" t="s">
        <v>68</v>
      </c>
    </row>
    <row r="1079" customFormat="false" ht="15" hidden="false" customHeight="false" outlineLevel="0" collapsed="false">
      <c r="A1079" s="4" t="s">
        <v>1350</v>
      </c>
      <c r="B1079" s="17" t="n">
        <v>45872</v>
      </c>
      <c r="C1079" s="4" t="n">
        <v>17</v>
      </c>
      <c r="D1079" s="4" t="s">
        <v>98</v>
      </c>
      <c r="E1079" s="4" t="s">
        <v>79</v>
      </c>
      <c r="F1079" s="4" t="s">
        <v>80</v>
      </c>
      <c r="G1079" s="4" t="n">
        <v>1</v>
      </c>
      <c r="I1079" s="18" t="n">
        <v>0.1</v>
      </c>
      <c r="J1079" s="4" t="s">
        <v>67</v>
      </c>
      <c r="K1079" s="4" t="s">
        <v>71</v>
      </c>
    </row>
    <row r="1080" customFormat="false" ht="15" hidden="false" customHeight="false" outlineLevel="0" collapsed="false">
      <c r="A1080" s="4" t="s">
        <v>1351</v>
      </c>
      <c r="B1080" s="17" t="n">
        <v>45872</v>
      </c>
      <c r="C1080" s="4" t="n">
        <v>17</v>
      </c>
      <c r="D1080" s="4" t="s">
        <v>73</v>
      </c>
      <c r="E1080" s="4" t="s">
        <v>99</v>
      </c>
      <c r="F1080" s="4" t="s">
        <v>102</v>
      </c>
      <c r="G1080" s="4" t="n">
        <v>2</v>
      </c>
      <c r="H1080" s="4" t="n">
        <v>140</v>
      </c>
      <c r="I1080" s="18" t="n">
        <v>0</v>
      </c>
      <c r="J1080" s="4" t="s">
        <v>67</v>
      </c>
      <c r="K1080" s="4" t="s">
        <v>68</v>
      </c>
    </row>
    <row r="1081" customFormat="false" ht="15" hidden="false" customHeight="false" outlineLevel="0" collapsed="false">
      <c r="A1081" s="4" t="s">
        <v>1352</v>
      </c>
      <c r="B1081" s="17" t="n">
        <v>45873</v>
      </c>
      <c r="C1081" s="4" t="n">
        <v>8</v>
      </c>
      <c r="D1081" s="4" t="s">
        <v>90</v>
      </c>
      <c r="E1081" s="4" t="s">
        <v>99</v>
      </c>
      <c r="F1081" s="4" t="s">
        <v>100</v>
      </c>
      <c r="G1081" s="4" t="n">
        <v>1</v>
      </c>
      <c r="H1081" s="4" t="n">
        <v>110</v>
      </c>
      <c r="I1081" s="18" t="n">
        <v>0.05</v>
      </c>
      <c r="J1081" s="4" t="s">
        <v>81</v>
      </c>
      <c r="K1081" s="4" t="s">
        <v>82</v>
      </c>
    </row>
    <row r="1082" customFormat="false" ht="15" hidden="false" customHeight="false" outlineLevel="0" collapsed="false">
      <c r="A1082" s="4" t="s">
        <v>1353</v>
      </c>
      <c r="B1082" s="17" t="n">
        <v>45873</v>
      </c>
      <c r="C1082" s="4" t="n">
        <v>8</v>
      </c>
      <c r="D1082" s="4" t="s">
        <v>98</v>
      </c>
      <c r="E1082" s="4" t="s">
        <v>84</v>
      </c>
      <c r="F1082" s="4" t="s">
        <v>114</v>
      </c>
      <c r="G1082" s="4" t="n">
        <v>2</v>
      </c>
      <c r="H1082" s="4" t="n">
        <v>85</v>
      </c>
      <c r="I1082" s="18" t="n">
        <v>0</v>
      </c>
      <c r="J1082" s="4" t="s">
        <v>67</v>
      </c>
      <c r="K1082" s="4" t="s">
        <v>77</v>
      </c>
    </row>
    <row r="1083" customFormat="false" ht="15" hidden="false" customHeight="false" outlineLevel="0" collapsed="false">
      <c r="A1083" s="4" t="s">
        <v>1354</v>
      </c>
      <c r="B1083" s="17" t="n">
        <v>45873</v>
      </c>
      <c r="C1083" s="4" t="n">
        <v>8</v>
      </c>
      <c r="D1083" s="4" t="s">
        <v>70</v>
      </c>
      <c r="E1083" s="4" t="s">
        <v>99</v>
      </c>
      <c r="F1083" s="4" t="s">
        <v>100</v>
      </c>
      <c r="G1083" s="4" t="n">
        <v>3</v>
      </c>
      <c r="H1083" s="4" t="n">
        <v>110</v>
      </c>
      <c r="I1083" s="18" t="n">
        <v>0.15</v>
      </c>
      <c r="J1083" s="4" t="s">
        <v>273</v>
      </c>
      <c r="K1083" s="4" t="s">
        <v>71</v>
      </c>
    </row>
    <row r="1084" customFormat="false" ht="15" hidden="false" customHeight="false" outlineLevel="0" collapsed="false">
      <c r="A1084" s="4" t="s">
        <v>1355</v>
      </c>
      <c r="B1084" s="17" t="n">
        <v>45873</v>
      </c>
      <c r="C1084" s="4" t="n">
        <v>8</v>
      </c>
      <c r="D1084" s="4" t="s">
        <v>70</v>
      </c>
      <c r="E1084" s="4" t="s">
        <v>65</v>
      </c>
      <c r="F1084" s="4" t="s">
        <v>910</v>
      </c>
      <c r="G1084" s="4" t="n">
        <v>3</v>
      </c>
      <c r="H1084" s="4" t="n">
        <v>170</v>
      </c>
      <c r="I1084" s="18" t="n">
        <v>0</v>
      </c>
      <c r="J1084" s="4" t="s">
        <v>67</v>
      </c>
      <c r="K1084" s="4" t="s">
        <v>68</v>
      </c>
    </row>
    <row r="1085" customFormat="false" ht="15" hidden="false" customHeight="false" outlineLevel="0" collapsed="false">
      <c r="A1085" s="4" t="s">
        <v>1356</v>
      </c>
      <c r="B1085" s="4" t="s">
        <v>1357</v>
      </c>
      <c r="C1085" s="4" t="n">
        <v>9</v>
      </c>
      <c r="D1085" s="4" t="s">
        <v>73</v>
      </c>
      <c r="E1085" s="4" t="s">
        <v>79</v>
      </c>
      <c r="F1085" s="4" t="s">
        <v>135</v>
      </c>
      <c r="G1085" s="4" t="n">
        <v>1</v>
      </c>
      <c r="H1085" s="4" t="n">
        <v>130</v>
      </c>
      <c r="I1085" s="18" t="n">
        <v>0</v>
      </c>
      <c r="J1085" s="4" t="s">
        <v>81</v>
      </c>
      <c r="K1085" s="4" t="s">
        <v>77</v>
      </c>
    </row>
    <row r="1086" customFormat="false" ht="15" hidden="false" customHeight="false" outlineLevel="0" collapsed="false">
      <c r="A1086" s="4" t="s">
        <v>1358</v>
      </c>
      <c r="B1086" s="17" t="n">
        <v>45873</v>
      </c>
      <c r="C1086" s="4" t="n">
        <v>12</v>
      </c>
      <c r="D1086" s="4" t="s">
        <v>70</v>
      </c>
      <c r="E1086" s="4" t="s">
        <v>65</v>
      </c>
      <c r="F1086" s="4" t="s">
        <v>66</v>
      </c>
      <c r="G1086" s="4" t="n">
        <v>3</v>
      </c>
      <c r="H1086" s="4" t="n">
        <v>120</v>
      </c>
      <c r="I1086" s="18" t="n">
        <v>0.1</v>
      </c>
      <c r="J1086" s="4" t="s">
        <v>67</v>
      </c>
      <c r="K1086" s="4" t="s">
        <v>71</v>
      </c>
    </row>
    <row r="1087" customFormat="false" ht="15" hidden="false" customHeight="false" outlineLevel="0" collapsed="false">
      <c r="A1087" s="4" t="s">
        <v>1359</v>
      </c>
      <c r="B1087" s="17" t="n">
        <v>45873</v>
      </c>
      <c r="C1087" s="4" t="n">
        <v>17</v>
      </c>
      <c r="D1087" s="4" t="s">
        <v>64</v>
      </c>
      <c r="E1087" s="4" t="s">
        <v>99</v>
      </c>
      <c r="F1087" s="4" t="s">
        <v>102</v>
      </c>
      <c r="G1087" s="4" t="n">
        <v>1</v>
      </c>
      <c r="H1087" s="4" t="n">
        <v>140</v>
      </c>
      <c r="I1087" s="18" t="n">
        <v>0</v>
      </c>
      <c r="J1087" s="4" t="s">
        <v>76</v>
      </c>
      <c r="K1087" s="4" t="s">
        <v>77</v>
      </c>
    </row>
    <row r="1088" customFormat="false" ht="15" hidden="false" customHeight="false" outlineLevel="0" collapsed="false">
      <c r="A1088" s="4" t="s">
        <v>1360</v>
      </c>
      <c r="B1088" s="17" t="n">
        <v>45874</v>
      </c>
      <c r="C1088" s="4" t="n">
        <v>8</v>
      </c>
      <c r="D1088" s="4" t="s">
        <v>64</v>
      </c>
      <c r="E1088" s="4" t="s">
        <v>99</v>
      </c>
      <c r="F1088" s="4" t="s">
        <v>102</v>
      </c>
      <c r="G1088" s="4" t="n">
        <v>2</v>
      </c>
      <c r="H1088" s="4" t="n">
        <v>140</v>
      </c>
      <c r="I1088" s="18" t="n">
        <v>0</v>
      </c>
      <c r="J1088" s="4" t="s">
        <v>67</v>
      </c>
      <c r="K1088" s="4" t="s">
        <v>68</v>
      </c>
    </row>
    <row r="1089" customFormat="false" ht="15" hidden="false" customHeight="false" outlineLevel="0" collapsed="false">
      <c r="A1089" s="4" t="s">
        <v>1361</v>
      </c>
      <c r="B1089" s="17" t="n">
        <v>45874</v>
      </c>
      <c r="C1089" s="4" t="n">
        <v>13</v>
      </c>
      <c r="D1089" s="4" t="s">
        <v>73</v>
      </c>
      <c r="E1089" s="4" t="s">
        <v>84</v>
      </c>
      <c r="F1089" s="4" t="s">
        <v>85</v>
      </c>
      <c r="G1089" s="4" t="n">
        <v>1</v>
      </c>
      <c r="H1089" s="4" t="n">
        <v>150</v>
      </c>
      <c r="I1089" s="18" t="n">
        <v>0.05</v>
      </c>
      <c r="J1089" s="4" t="s">
        <v>81</v>
      </c>
      <c r="K1089" s="4" t="s">
        <v>82</v>
      </c>
    </row>
    <row r="1090" customFormat="false" ht="15" hidden="false" customHeight="false" outlineLevel="0" collapsed="false">
      <c r="A1090" s="4" t="s">
        <v>1362</v>
      </c>
      <c r="B1090" s="17" t="n">
        <v>45874</v>
      </c>
      <c r="C1090" s="4" t="n">
        <v>19</v>
      </c>
      <c r="D1090" s="4" t="s">
        <v>70</v>
      </c>
      <c r="E1090" s="4" t="s">
        <v>99</v>
      </c>
      <c r="F1090" s="4" t="s">
        <v>100</v>
      </c>
      <c r="G1090" s="4" t="n">
        <v>1</v>
      </c>
      <c r="H1090" s="4" t="n">
        <v>110</v>
      </c>
      <c r="I1090" s="18" t="n">
        <v>0</v>
      </c>
      <c r="J1090" s="4" t="s">
        <v>67</v>
      </c>
      <c r="K1090" s="4" t="s">
        <v>68</v>
      </c>
    </row>
    <row r="1091" customFormat="false" ht="15" hidden="false" customHeight="false" outlineLevel="0" collapsed="false">
      <c r="A1091" s="4" t="s">
        <v>1363</v>
      </c>
      <c r="B1091" s="17" t="n">
        <v>45874</v>
      </c>
      <c r="C1091" s="4" t="n">
        <v>20</v>
      </c>
      <c r="D1091" s="4" t="s">
        <v>64</v>
      </c>
      <c r="E1091" s="4" t="s">
        <v>79</v>
      </c>
      <c r="F1091" s="4" t="s">
        <v>135</v>
      </c>
      <c r="G1091" s="4" t="n">
        <v>4</v>
      </c>
      <c r="H1091" s="4" t="n">
        <v>130</v>
      </c>
      <c r="I1091" s="18" t="n">
        <v>0.2</v>
      </c>
      <c r="J1091" s="4" t="s">
        <v>81</v>
      </c>
      <c r="K1091" s="4" t="s">
        <v>82</v>
      </c>
    </row>
    <row r="1092" customFormat="false" ht="15" hidden="false" customHeight="false" outlineLevel="0" collapsed="false">
      <c r="A1092" s="4" t="s">
        <v>1364</v>
      </c>
      <c r="B1092" s="17" t="n">
        <v>45875</v>
      </c>
      <c r="C1092" s="4" t="n">
        <v>9</v>
      </c>
      <c r="D1092" s="4" t="s">
        <v>70</v>
      </c>
      <c r="E1092" s="4" t="s">
        <v>84</v>
      </c>
      <c r="F1092" s="4" t="s">
        <v>106</v>
      </c>
      <c r="G1092" s="4" t="n">
        <v>1</v>
      </c>
      <c r="H1092" s="4" t="n">
        <v>60</v>
      </c>
      <c r="I1092" s="18" t="n">
        <v>0</v>
      </c>
      <c r="J1092" s="4" t="s">
        <v>76</v>
      </c>
      <c r="K1092" s="4" t="s">
        <v>68</v>
      </c>
    </row>
    <row r="1093" customFormat="false" ht="15" hidden="false" customHeight="false" outlineLevel="0" collapsed="false">
      <c r="A1093" s="4" t="s">
        <v>1365</v>
      </c>
      <c r="B1093" s="4" t="s">
        <v>1366</v>
      </c>
      <c r="C1093" s="4" t="n">
        <v>10</v>
      </c>
      <c r="D1093" s="4" t="s">
        <v>70</v>
      </c>
      <c r="E1093" s="4" t="s">
        <v>65</v>
      </c>
      <c r="F1093" s="4" t="s">
        <v>87</v>
      </c>
      <c r="G1093" s="4" t="n">
        <v>2</v>
      </c>
      <c r="H1093" s="4" t="n">
        <v>160</v>
      </c>
      <c r="I1093" s="18" t="n">
        <v>0.05</v>
      </c>
      <c r="J1093" s="4" t="s">
        <v>67</v>
      </c>
      <c r="K1093" s="4" t="s">
        <v>82</v>
      </c>
    </row>
    <row r="1094" customFormat="false" ht="15" hidden="false" customHeight="false" outlineLevel="0" collapsed="false">
      <c r="A1094" s="4" t="s">
        <v>1365</v>
      </c>
      <c r="B1094" s="4" t="s">
        <v>1366</v>
      </c>
      <c r="C1094" s="4" t="n">
        <v>10</v>
      </c>
      <c r="D1094" s="4" t="s">
        <v>70</v>
      </c>
      <c r="E1094" s="4" t="s">
        <v>65</v>
      </c>
      <c r="F1094" s="4" t="s">
        <v>87</v>
      </c>
      <c r="G1094" s="4" t="n">
        <v>2</v>
      </c>
      <c r="H1094" s="4" t="n">
        <v>160</v>
      </c>
      <c r="I1094" s="18" t="n">
        <v>0.05</v>
      </c>
      <c r="J1094" s="4" t="s">
        <v>67</v>
      </c>
      <c r="K1094" s="4" t="s">
        <v>82</v>
      </c>
    </row>
    <row r="1095" customFormat="false" ht="15" hidden="false" customHeight="false" outlineLevel="0" collapsed="false">
      <c r="A1095" s="4" t="s">
        <v>1367</v>
      </c>
      <c r="B1095" s="17" t="n">
        <v>45875</v>
      </c>
      <c r="C1095" s="4" t="n">
        <v>10</v>
      </c>
      <c r="D1095" s="4" t="s">
        <v>73</v>
      </c>
      <c r="E1095" s="4" t="s">
        <v>99</v>
      </c>
      <c r="F1095" s="4" t="s">
        <v>133</v>
      </c>
      <c r="G1095" s="4" t="n">
        <v>3</v>
      </c>
      <c r="H1095" s="4" t="n">
        <v>90</v>
      </c>
      <c r="I1095" s="18" t="n">
        <v>0</v>
      </c>
      <c r="J1095" s="4" t="s">
        <v>76</v>
      </c>
      <c r="K1095" s="4" t="s">
        <v>68</v>
      </c>
    </row>
    <row r="1096" customFormat="false" ht="15" hidden="false" customHeight="false" outlineLevel="0" collapsed="false">
      <c r="A1096" s="4" t="s">
        <v>1368</v>
      </c>
      <c r="B1096" s="17" t="n">
        <v>45875</v>
      </c>
      <c r="C1096" s="4" t="n">
        <v>12</v>
      </c>
      <c r="D1096" s="4" t="s">
        <v>70</v>
      </c>
      <c r="E1096" s="4" t="s">
        <v>302</v>
      </c>
      <c r="F1096" s="4" t="s">
        <v>100</v>
      </c>
      <c r="G1096" s="4" t="n">
        <v>1</v>
      </c>
      <c r="H1096" s="4" t="n">
        <v>110</v>
      </c>
      <c r="I1096" s="18" t="n">
        <v>0</v>
      </c>
      <c r="J1096" s="4" t="s">
        <v>76</v>
      </c>
      <c r="K1096" s="4" t="s">
        <v>77</v>
      </c>
    </row>
    <row r="1097" customFormat="false" ht="15" hidden="false" customHeight="false" outlineLevel="0" collapsed="false">
      <c r="A1097" s="4" t="s">
        <v>1369</v>
      </c>
      <c r="B1097" s="17" t="n">
        <v>45875</v>
      </c>
      <c r="C1097" s="4" t="n">
        <v>12</v>
      </c>
      <c r="D1097" s="4" t="s">
        <v>70</v>
      </c>
      <c r="E1097" s="4" t="s">
        <v>65</v>
      </c>
      <c r="F1097" s="4" t="s">
        <v>94</v>
      </c>
      <c r="G1097" s="4" t="n">
        <v>1</v>
      </c>
      <c r="H1097" s="4" t="n">
        <v>150</v>
      </c>
      <c r="I1097" s="18" t="n">
        <v>0.05</v>
      </c>
      <c r="J1097" s="4" t="s">
        <v>67</v>
      </c>
      <c r="K1097" s="4" t="s">
        <v>82</v>
      </c>
    </row>
    <row r="1098" customFormat="false" ht="15" hidden="false" customHeight="false" outlineLevel="0" collapsed="false">
      <c r="A1098" s="4" t="s">
        <v>1370</v>
      </c>
      <c r="B1098" s="17" t="n">
        <v>45875</v>
      </c>
      <c r="C1098" s="4" t="n">
        <v>14</v>
      </c>
      <c r="D1098" s="4" t="s">
        <v>119</v>
      </c>
      <c r="E1098" s="4" t="s">
        <v>99</v>
      </c>
      <c r="F1098" s="4" t="s">
        <v>102</v>
      </c>
      <c r="G1098" s="4" t="n">
        <v>2</v>
      </c>
      <c r="H1098" s="4" t="n">
        <v>140</v>
      </c>
      <c r="J1098" s="4" t="s">
        <v>123</v>
      </c>
      <c r="K1098" s="4" t="s">
        <v>82</v>
      </c>
    </row>
    <row r="1099" customFormat="false" ht="15" hidden="false" customHeight="false" outlineLevel="0" collapsed="false">
      <c r="A1099" s="4" t="s">
        <v>1371</v>
      </c>
      <c r="B1099" s="4" t="s">
        <v>1366</v>
      </c>
      <c r="C1099" s="4" t="n">
        <v>16</v>
      </c>
      <c r="D1099" s="4" t="s">
        <v>64</v>
      </c>
      <c r="E1099" s="4" t="s">
        <v>74</v>
      </c>
      <c r="F1099" s="4" t="s">
        <v>91</v>
      </c>
      <c r="G1099" s="4" t="n">
        <v>2</v>
      </c>
      <c r="H1099" s="4" t="n">
        <v>200</v>
      </c>
      <c r="I1099" s="18" t="n">
        <v>0.1</v>
      </c>
      <c r="J1099" s="4" t="s">
        <v>81</v>
      </c>
      <c r="K1099" s="4" t="s">
        <v>71</v>
      </c>
    </row>
    <row r="1100" customFormat="false" ht="15" hidden="false" customHeight="false" outlineLevel="0" collapsed="false">
      <c r="A1100" s="4" t="s">
        <v>1372</v>
      </c>
      <c r="B1100" s="4" t="s">
        <v>1366</v>
      </c>
      <c r="C1100" s="4" t="n">
        <v>16</v>
      </c>
      <c r="D1100" s="4" t="s">
        <v>73</v>
      </c>
      <c r="E1100" s="4" t="s">
        <v>99</v>
      </c>
      <c r="F1100" s="4" t="s">
        <v>100</v>
      </c>
      <c r="G1100" s="4" t="n">
        <v>1</v>
      </c>
      <c r="H1100" s="4" t="n">
        <v>110</v>
      </c>
      <c r="I1100" s="18" t="n">
        <v>0</v>
      </c>
      <c r="J1100" s="4" t="s">
        <v>67</v>
      </c>
      <c r="K1100" s="4" t="s">
        <v>77</v>
      </c>
    </row>
    <row r="1101" customFormat="false" ht="15" hidden="false" customHeight="false" outlineLevel="0" collapsed="false">
      <c r="A1101" s="4" t="s">
        <v>1373</v>
      </c>
      <c r="B1101" s="17" t="n">
        <v>45875</v>
      </c>
      <c r="C1101" s="4" t="n">
        <v>17</v>
      </c>
      <c r="D1101" s="4" t="s">
        <v>64</v>
      </c>
      <c r="E1101" s="4" t="s">
        <v>79</v>
      </c>
      <c r="F1101" s="4" t="s">
        <v>135</v>
      </c>
      <c r="G1101" s="4" t="n">
        <v>4</v>
      </c>
      <c r="H1101" s="4" t="n">
        <v>130</v>
      </c>
      <c r="I1101" s="18" t="n">
        <v>0.05</v>
      </c>
      <c r="J1101" s="4" t="s">
        <v>67</v>
      </c>
      <c r="K1101" s="4" t="s">
        <v>82</v>
      </c>
    </row>
    <row r="1102" customFormat="false" ht="15" hidden="false" customHeight="false" outlineLevel="0" collapsed="false">
      <c r="A1102" s="4" t="s">
        <v>1374</v>
      </c>
      <c r="B1102" s="17" t="n">
        <v>45875</v>
      </c>
      <c r="C1102" s="4" t="n">
        <v>19</v>
      </c>
      <c r="D1102" s="4" t="s">
        <v>70</v>
      </c>
      <c r="E1102" s="4" t="s">
        <v>65</v>
      </c>
      <c r="F1102" s="4" t="s">
        <v>94</v>
      </c>
      <c r="G1102" s="4" t="n">
        <v>1</v>
      </c>
      <c r="H1102" s="4" t="n">
        <v>150</v>
      </c>
      <c r="I1102" s="18" t="n">
        <v>0.1</v>
      </c>
      <c r="J1102" s="4" t="s">
        <v>76</v>
      </c>
      <c r="K1102" s="4" t="s">
        <v>71</v>
      </c>
    </row>
    <row r="1103" customFormat="false" ht="15" hidden="false" customHeight="false" outlineLevel="0" collapsed="false">
      <c r="A1103" s="4" t="s">
        <v>1375</v>
      </c>
      <c r="B1103" s="17" t="n">
        <v>45876</v>
      </c>
      <c r="C1103" s="4" t="n">
        <v>7</v>
      </c>
      <c r="D1103" s="4" t="s">
        <v>70</v>
      </c>
      <c r="E1103" s="4" t="s">
        <v>99</v>
      </c>
      <c r="F1103" s="4" t="s">
        <v>102</v>
      </c>
      <c r="G1103" s="4" t="n">
        <v>4</v>
      </c>
      <c r="H1103" s="4" t="n">
        <v>140</v>
      </c>
      <c r="J1103" s="4" t="s">
        <v>112</v>
      </c>
      <c r="K1103" s="4" t="s">
        <v>71</v>
      </c>
    </row>
    <row r="1104" customFormat="false" ht="15" hidden="false" customHeight="false" outlineLevel="0" collapsed="false">
      <c r="A1104" s="4" t="s">
        <v>1376</v>
      </c>
      <c r="B1104" s="17" t="n">
        <v>45876</v>
      </c>
      <c r="C1104" s="4" t="n">
        <v>10</v>
      </c>
      <c r="D1104" s="4" t="s">
        <v>70</v>
      </c>
      <c r="E1104" s="4" t="s">
        <v>65</v>
      </c>
      <c r="F1104" s="4" t="s">
        <v>66</v>
      </c>
      <c r="G1104" s="4" t="n">
        <v>2</v>
      </c>
      <c r="H1104" s="4" t="n">
        <v>120</v>
      </c>
      <c r="I1104" s="18" t="n">
        <v>0.15</v>
      </c>
      <c r="J1104" s="4" t="s">
        <v>76</v>
      </c>
      <c r="K1104" s="4" t="s">
        <v>77</v>
      </c>
    </row>
    <row r="1105" customFormat="false" ht="15" hidden="false" customHeight="false" outlineLevel="0" collapsed="false">
      <c r="A1105" s="4" t="s">
        <v>1377</v>
      </c>
      <c r="B1105" s="17" t="n">
        <v>45876</v>
      </c>
      <c r="C1105" s="4" t="n">
        <v>12</v>
      </c>
      <c r="D1105" s="4" t="s">
        <v>64</v>
      </c>
      <c r="E1105" s="4" t="s">
        <v>99</v>
      </c>
      <c r="F1105" s="4" t="s">
        <v>102</v>
      </c>
      <c r="G1105" s="4" t="n">
        <v>1</v>
      </c>
      <c r="H1105" s="4" t="n">
        <v>140</v>
      </c>
      <c r="I1105" s="18" t="n">
        <v>0</v>
      </c>
      <c r="J1105" s="4" t="s">
        <v>81</v>
      </c>
      <c r="K1105" s="4" t="s">
        <v>68</v>
      </c>
    </row>
    <row r="1106" customFormat="false" ht="15" hidden="false" customHeight="false" outlineLevel="0" collapsed="false">
      <c r="A1106" s="4" t="s">
        <v>1378</v>
      </c>
      <c r="B1106" s="17" t="n">
        <v>45876</v>
      </c>
      <c r="C1106" s="4" t="n">
        <v>14</v>
      </c>
      <c r="D1106" s="4" t="s">
        <v>64</v>
      </c>
      <c r="E1106" s="4" t="s">
        <v>79</v>
      </c>
      <c r="F1106" s="4" t="s">
        <v>148</v>
      </c>
      <c r="G1106" s="4" t="n">
        <v>1</v>
      </c>
      <c r="H1106" s="4" t="n">
        <v>120</v>
      </c>
      <c r="I1106" s="18" t="n">
        <v>0</v>
      </c>
      <c r="J1106" s="4" t="s">
        <v>81</v>
      </c>
      <c r="K1106" s="4" t="s">
        <v>77</v>
      </c>
    </row>
    <row r="1107" customFormat="false" ht="15" hidden="false" customHeight="false" outlineLevel="0" collapsed="false">
      <c r="A1107" s="4" t="s">
        <v>1379</v>
      </c>
      <c r="B1107" s="17" t="n">
        <v>45876</v>
      </c>
      <c r="C1107" s="4" t="n">
        <v>15</v>
      </c>
      <c r="D1107" s="4" t="s">
        <v>73</v>
      </c>
      <c r="E1107" s="4" t="s">
        <v>79</v>
      </c>
      <c r="F1107" s="4" t="s">
        <v>80</v>
      </c>
      <c r="G1107" s="4" t="n">
        <v>2</v>
      </c>
      <c r="H1107" s="4" t="n">
        <v>160</v>
      </c>
      <c r="I1107" s="18" t="n">
        <v>0</v>
      </c>
      <c r="J1107" s="4" t="s">
        <v>81</v>
      </c>
      <c r="K1107" s="4" t="s">
        <v>68</v>
      </c>
    </row>
    <row r="1108" customFormat="false" ht="15" hidden="false" customHeight="false" outlineLevel="0" collapsed="false">
      <c r="A1108" s="4" t="s">
        <v>1380</v>
      </c>
      <c r="B1108" s="17" t="n">
        <v>45876</v>
      </c>
      <c r="C1108" s="4" t="n">
        <v>16</v>
      </c>
      <c r="D1108" s="4" t="s">
        <v>64</v>
      </c>
      <c r="E1108" s="4" t="s">
        <v>84</v>
      </c>
      <c r="F1108" s="4" t="s">
        <v>117</v>
      </c>
      <c r="G1108" s="4" t="n">
        <v>2</v>
      </c>
      <c r="H1108" s="4" t="n">
        <v>95</v>
      </c>
      <c r="I1108" s="18" t="n">
        <v>0</v>
      </c>
      <c r="J1108" s="4" t="s">
        <v>67</v>
      </c>
      <c r="K1108" s="4" t="s">
        <v>68</v>
      </c>
    </row>
    <row r="1109" customFormat="false" ht="15" hidden="false" customHeight="false" outlineLevel="0" collapsed="false">
      <c r="A1109" s="4" t="s">
        <v>1381</v>
      </c>
      <c r="B1109" s="17" t="n">
        <v>45876</v>
      </c>
      <c r="C1109" s="4" t="n">
        <v>17</v>
      </c>
      <c r="D1109" s="4" t="s">
        <v>64</v>
      </c>
      <c r="E1109" s="4" t="s">
        <v>99</v>
      </c>
      <c r="F1109" s="4" t="s">
        <v>100</v>
      </c>
      <c r="G1109" s="4" t="n">
        <v>1</v>
      </c>
      <c r="H1109" s="4" t="n">
        <v>110</v>
      </c>
      <c r="I1109" s="18" t="n">
        <v>0.05</v>
      </c>
      <c r="J1109" s="4" t="s">
        <v>112</v>
      </c>
      <c r="K1109" s="4" t="s">
        <v>82</v>
      </c>
    </row>
    <row r="1110" customFormat="false" ht="15" hidden="false" customHeight="false" outlineLevel="0" collapsed="false">
      <c r="A1110" s="4" t="s">
        <v>1382</v>
      </c>
      <c r="B1110" s="17" t="n">
        <v>45876</v>
      </c>
      <c r="C1110" s="4" t="n">
        <v>17</v>
      </c>
      <c r="D1110" s="4" t="s">
        <v>73</v>
      </c>
      <c r="E1110" s="4" t="s">
        <v>65</v>
      </c>
      <c r="F1110" s="4" t="s">
        <v>121</v>
      </c>
      <c r="G1110" s="4" t="n">
        <v>1</v>
      </c>
      <c r="H1110" s="4" t="n">
        <v>170</v>
      </c>
      <c r="I1110" s="18" t="n">
        <v>0.1</v>
      </c>
      <c r="J1110" s="4" t="s">
        <v>67</v>
      </c>
      <c r="K1110" s="4" t="s">
        <v>82</v>
      </c>
    </row>
    <row r="1111" customFormat="false" ht="15" hidden="false" customHeight="false" outlineLevel="0" collapsed="false">
      <c r="A1111" s="4" t="s">
        <v>1383</v>
      </c>
      <c r="B1111" s="4" t="s">
        <v>1384</v>
      </c>
      <c r="C1111" s="4" t="n">
        <v>7</v>
      </c>
      <c r="D1111" s="4" t="s">
        <v>73</v>
      </c>
      <c r="E1111" s="4" t="s">
        <v>99</v>
      </c>
      <c r="F1111" s="4" t="s">
        <v>109</v>
      </c>
      <c r="G1111" s="4" t="n">
        <v>2</v>
      </c>
      <c r="H1111" s="4" t="n">
        <v>130</v>
      </c>
      <c r="I1111" s="18" t="n">
        <v>0.05</v>
      </c>
      <c r="J1111" s="4" t="s">
        <v>81</v>
      </c>
      <c r="K1111" s="4" t="s">
        <v>82</v>
      </c>
    </row>
    <row r="1112" customFormat="false" ht="15" hidden="false" customHeight="false" outlineLevel="0" collapsed="false">
      <c r="A1112" s="4" t="s">
        <v>1385</v>
      </c>
      <c r="B1112" s="17" t="n">
        <v>45877</v>
      </c>
      <c r="C1112" s="4" t="n">
        <v>9</v>
      </c>
      <c r="D1112" s="4" t="s">
        <v>64</v>
      </c>
      <c r="E1112" s="4" t="s">
        <v>65</v>
      </c>
      <c r="F1112" s="4" t="s">
        <v>94</v>
      </c>
      <c r="G1112" s="4" t="n">
        <v>1</v>
      </c>
      <c r="H1112" s="4" t="n">
        <v>150</v>
      </c>
      <c r="I1112" s="18" t="n">
        <v>0</v>
      </c>
      <c r="J1112" s="4" t="s">
        <v>112</v>
      </c>
      <c r="K1112" s="4" t="s">
        <v>68</v>
      </c>
    </row>
    <row r="1113" customFormat="false" ht="15" hidden="false" customHeight="false" outlineLevel="0" collapsed="false">
      <c r="A1113" s="4" t="s">
        <v>1386</v>
      </c>
      <c r="B1113" s="17" t="n">
        <v>45877</v>
      </c>
      <c r="C1113" s="4" t="n">
        <v>11</v>
      </c>
      <c r="D1113" s="4" t="s">
        <v>96</v>
      </c>
      <c r="E1113" s="4" t="s">
        <v>79</v>
      </c>
      <c r="F1113" s="4" t="s">
        <v>148</v>
      </c>
      <c r="G1113" s="4" t="n">
        <v>2</v>
      </c>
      <c r="H1113" s="4" t="n">
        <v>120</v>
      </c>
      <c r="I1113" s="18" t="n">
        <v>0</v>
      </c>
      <c r="J1113" s="4" t="s">
        <v>81</v>
      </c>
      <c r="K1113" s="4" t="s">
        <v>77</v>
      </c>
    </row>
    <row r="1114" customFormat="false" ht="15" hidden="false" customHeight="false" outlineLevel="0" collapsed="false">
      <c r="A1114" s="4" t="s">
        <v>1387</v>
      </c>
      <c r="B1114" s="17" t="n">
        <v>45877</v>
      </c>
      <c r="C1114" s="4" t="n">
        <v>13</v>
      </c>
      <c r="D1114" s="4" t="s">
        <v>70</v>
      </c>
      <c r="E1114" s="4" t="s">
        <v>84</v>
      </c>
      <c r="F1114" s="4" t="s">
        <v>114</v>
      </c>
      <c r="G1114" s="4" t="n">
        <v>1</v>
      </c>
      <c r="H1114" s="4" t="n">
        <v>85</v>
      </c>
      <c r="I1114" s="18" t="n">
        <v>0.05</v>
      </c>
      <c r="J1114" s="4" t="s">
        <v>76</v>
      </c>
      <c r="K1114" s="4" t="s">
        <v>82</v>
      </c>
    </row>
    <row r="1115" customFormat="false" ht="15" hidden="false" customHeight="false" outlineLevel="0" collapsed="false">
      <c r="A1115" s="4" t="s">
        <v>1388</v>
      </c>
      <c r="B1115" s="17" t="n">
        <v>45877</v>
      </c>
      <c r="C1115" s="4" t="n">
        <v>13</v>
      </c>
      <c r="D1115" s="4" t="s">
        <v>70</v>
      </c>
      <c r="E1115" s="4" t="s">
        <v>84</v>
      </c>
      <c r="F1115" s="4" t="s">
        <v>114</v>
      </c>
      <c r="G1115" s="4" t="n">
        <v>1</v>
      </c>
      <c r="H1115" s="4" t="n">
        <v>85</v>
      </c>
      <c r="I1115" s="18" t="n">
        <v>0.05</v>
      </c>
      <c r="J1115" s="4" t="s">
        <v>67</v>
      </c>
      <c r="K1115" s="4" t="s">
        <v>82</v>
      </c>
    </row>
    <row r="1116" customFormat="false" ht="15" hidden="false" customHeight="false" outlineLevel="0" collapsed="false">
      <c r="A1116" s="4" t="s">
        <v>1389</v>
      </c>
      <c r="B1116" s="17" t="n">
        <v>45877</v>
      </c>
      <c r="C1116" s="4" t="n">
        <v>16</v>
      </c>
      <c r="D1116" s="4" t="s">
        <v>64</v>
      </c>
      <c r="E1116" s="4" t="s">
        <v>99</v>
      </c>
      <c r="F1116" s="4" t="s">
        <v>100</v>
      </c>
      <c r="G1116" s="4" t="n">
        <v>2</v>
      </c>
      <c r="H1116" s="4" t="n">
        <v>110</v>
      </c>
      <c r="I1116" s="18" t="n">
        <v>0.05</v>
      </c>
      <c r="J1116" s="4" t="s">
        <v>76</v>
      </c>
      <c r="K1116" s="4" t="s">
        <v>82</v>
      </c>
    </row>
    <row r="1117" customFormat="false" ht="15" hidden="false" customHeight="false" outlineLevel="0" collapsed="false">
      <c r="A1117" s="4" t="s">
        <v>1390</v>
      </c>
      <c r="B1117" s="17" t="n">
        <v>45878</v>
      </c>
      <c r="C1117" s="4" t="n">
        <v>9</v>
      </c>
      <c r="D1117" s="4" t="s">
        <v>90</v>
      </c>
      <c r="E1117" s="4" t="s">
        <v>65</v>
      </c>
      <c r="F1117" s="4" t="s">
        <v>94</v>
      </c>
      <c r="G1117" s="4" t="n">
        <v>1</v>
      </c>
      <c r="H1117" s="4" t="n">
        <v>150</v>
      </c>
      <c r="J1117" s="4" t="s">
        <v>81</v>
      </c>
      <c r="K1117" s="4" t="s">
        <v>68</v>
      </c>
    </row>
    <row r="1118" customFormat="false" ht="15" hidden="false" customHeight="false" outlineLevel="0" collapsed="false">
      <c r="A1118" s="4" t="s">
        <v>1391</v>
      </c>
      <c r="B1118" s="17" t="n">
        <v>45878</v>
      </c>
      <c r="C1118" s="4" t="n">
        <v>11</v>
      </c>
      <c r="D1118" s="4" t="s">
        <v>73</v>
      </c>
      <c r="E1118" s="4" t="s">
        <v>79</v>
      </c>
      <c r="F1118" s="4" t="s">
        <v>148</v>
      </c>
      <c r="G1118" s="4" t="n">
        <v>1</v>
      </c>
      <c r="H1118" s="4" t="n">
        <v>120</v>
      </c>
      <c r="I1118" s="18" t="n">
        <v>0</v>
      </c>
      <c r="J1118" s="4" t="s">
        <v>112</v>
      </c>
      <c r="K1118" s="4" t="s">
        <v>77</v>
      </c>
    </row>
    <row r="1119" customFormat="false" ht="15" hidden="false" customHeight="false" outlineLevel="0" collapsed="false">
      <c r="A1119" s="4" t="s">
        <v>1392</v>
      </c>
      <c r="B1119" s="17" t="n">
        <v>45878</v>
      </c>
      <c r="C1119" s="4" t="n">
        <v>12</v>
      </c>
      <c r="D1119" s="4" t="s">
        <v>70</v>
      </c>
      <c r="E1119" s="4" t="s">
        <v>74</v>
      </c>
      <c r="F1119" s="4" t="s">
        <v>75</v>
      </c>
      <c r="G1119" s="4" t="n">
        <v>2</v>
      </c>
      <c r="H1119" s="4" t="n">
        <v>220</v>
      </c>
      <c r="I1119" s="18" t="n">
        <v>0.15</v>
      </c>
      <c r="J1119" s="4" t="s">
        <v>76</v>
      </c>
      <c r="K1119" s="4" t="s">
        <v>77</v>
      </c>
    </row>
    <row r="1120" customFormat="false" ht="15" hidden="false" customHeight="false" outlineLevel="0" collapsed="false">
      <c r="A1120" s="4" t="s">
        <v>1393</v>
      </c>
      <c r="B1120" s="17" t="n">
        <v>45878</v>
      </c>
      <c r="C1120" s="4" t="n">
        <v>15</v>
      </c>
      <c r="D1120" s="4" t="s">
        <v>73</v>
      </c>
      <c r="E1120" s="4" t="s">
        <v>79</v>
      </c>
      <c r="F1120" s="4" t="s">
        <v>135</v>
      </c>
      <c r="G1120" s="4" t="n">
        <v>1</v>
      </c>
      <c r="H1120" s="4" t="n">
        <v>130</v>
      </c>
      <c r="I1120" s="18" t="n">
        <v>0.1</v>
      </c>
      <c r="J1120" s="4" t="s">
        <v>67</v>
      </c>
      <c r="K1120" s="4" t="s">
        <v>71</v>
      </c>
    </row>
    <row r="1121" customFormat="false" ht="15" hidden="false" customHeight="false" outlineLevel="0" collapsed="false">
      <c r="A1121" s="4" t="s">
        <v>1394</v>
      </c>
      <c r="B1121" s="17" t="n">
        <v>45878</v>
      </c>
      <c r="C1121" s="4" t="n">
        <v>18</v>
      </c>
      <c r="D1121" s="4" t="s">
        <v>64</v>
      </c>
      <c r="E1121" s="4" t="s">
        <v>99</v>
      </c>
      <c r="F1121" s="4" t="s">
        <v>109</v>
      </c>
      <c r="G1121" s="4" t="n">
        <v>2</v>
      </c>
      <c r="H1121" s="4" t="n">
        <v>130</v>
      </c>
      <c r="I1121" s="18" t="n">
        <v>0</v>
      </c>
      <c r="J1121" s="4" t="s">
        <v>67</v>
      </c>
      <c r="K1121" s="4" t="s">
        <v>77</v>
      </c>
    </row>
    <row r="1122" customFormat="false" ht="15" hidden="false" customHeight="false" outlineLevel="0" collapsed="false">
      <c r="A1122" s="4" t="s">
        <v>1395</v>
      </c>
      <c r="B1122" s="17" t="n">
        <v>45879</v>
      </c>
      <c r="C1122" s="4" t="n">
        <v>7</v>
      </c>
      <c r="D1122" s="4" t="s">
        <v>70</v>
      </c>
      <c r="E1122" s="4" t="s">
        <v>65</v>
      </c>
      <c r="F1122" s="4" t="s">
        <v>94</v>
      </c>
      <c r="G1122" s="4" t="n">
        <v>1</v>
      </c>
      <c r="H1122" s="4" t="n">
        <v>150</v>
      </c>
      <c r="I1122" s="18" t="n">
        <v>0</v>
      </c>
      <c r="J1122" s="4" t="s">
        <v>76</v>
      </c>
      <c r="K1122" s="4" t="s">
        <v>68</v>
      </c>
    </row>
    <row r="1123" customFormat="false" ht="15" hidden="false" customHeight="false" outlineLevel="0" collapsed="false">
      <c r="A1123" s="4" t="s">
        <v>1396</v>
      </c>
      <c r="B1123" s="17" t="n">
        <v>45879</v>
      </c>
      <c r="C1123" s="4" t="n">
        <v>8</v>
      </c>
      <c r="D1123" s="4" t="s">
        <v>70</v>
      </c>
      <c r="E1123" s="4" t="s">
        <v>65</v>
      </c>
      <c r="F1123" s="4" t="s">
        <v>66</v>
      </c>
      <c r="G1123" s="4" t="n">
        <v>-1</v>
      </c>
      <c r="H1123" s="4" t="n">
        <v>120</v>
      </c>
      <c r="I1123" s="18" t="n">
        <v>0</v>
      </c>
      <c r="J1123" s="4" t="s">
        <v>67</v>
      </c>
      <c r="K1123" s="4" t="s">
        <v>68</v>
      </c>
    </row>
    <row r="1124" customFormat="false" ht="15" hidden="false" customHeight="false" outlineLevel="0" collapsed="false">
      <c r="A1124" s="4" t="s">
        <v>1397</v>
      </c>
      <c r="B1124" s="17" t="n">
        <v>45879</v>
      </c>
      <c r="C1124" s="4" t="n">
        <v>15</v>
      </c>
      <c r="D1124" s="4" t="s">
        <v>70</v>
      </c>
      <c r="E1124" s="4" t="s">
        <v>99</v>
      </c>
      <c r="F1124" s="4" t="s">
        <v>109</v>
      </c>
      <c r="G1124" s="4" t="n">
        <v>2</v>
      </c>
      <c r="H1124" s="4" t="n">
        <v>130</v>
      </c>
      <c r="I1124" s="18" t="n">
        <v>0.05</v>
      </c>
      <c r="J1124" s="4" t="s">
        <v>290</v>
      </c>
      <c r="K1124" s="4" t="s">
        <v>82</v>
      </c>
    </row>
    <row r="1125" customFormat="false" ht="15" hidden="false" customHeight="false" outlineLevel="0" collapsed="false">
      <c r="A1125" s="4" t="s">
        <v>1398</v>
      </c>
      <c r="B1125" s="17" t="n">
        <v>45880</v>
      </c>
      <c r="C1125" s="4" t="n">
        <v>7</v>
      </c>
      <c r="D1125" s="4" t="s">
        <v>70</v>
      </c>
      <c r="E1125" s="4" t="s">
        <v>65</v>
      </c>
      <c r="F1125" s="4" t="s">
        <v>94</v>
      </c>
      <c r="G1125" s="4" t="n">
        <v>4</v>
      </c>
      <c r="H1125" s="4" t="n">
        <v>150</v>
      </c>
      <c r="I1125" s="18" t="n">
        <v>0</v>
      </c>
      <c r="J1125" s="4" t="s">
        <v>76</v>
      </c>
      <c r="K1125" s="4" t="s">
        <v>68</v>
      </c>
    </row>
    <row r="1126" customFormat="false" ht="15" hidden="false" customHeight="false" outlineLevel="0" collapsed="false">
      <c r="A1126" s="4" t="s">
        <v>1399</v>
      </c>
      <c r="B1126" s="4" t="s">
        <v>1400</v>
      </c>
      <c r="C1126" s="4" t="n">
        <v>8</v>
      </c>
      <c r="D1126" s="4" t="s">
        <v>64</v>
      </c>
      <c r="E1126" s="4" t="s">
        <v>79</v>
      </c>
      <c r="F1126" s="4" t="s">
        <v>80</v>
      </c>
      <c r="G1126" s="4" t="n">
        <v>2</v>
      </c>
      <c r="H1126" s="4" t="n">
        <v>160</v>
      </c>
      <c r="I1126" s="18" t="n">
        <v>0</v>
      </c>
      <c r="J1126" s="4" t="s">
        <v>76</v>
      </c>
      <c r="K1126" s="4" t="s">
        <v>68</v>
      </c>
    </row>
    <row r="1127" customFormat="false" ht="15" hidden="false" customHeight="false" outlineLevel="0" collapsed="false">
      <c r="A1127" s="4" t="s">
        <v>1401</v>
      </c>
      <c r="B1127" s="17" t="n">
        <v>45880</v>
      </c>
      <c r="C1127" s="4" t="n">
        <v>11</v>
      </c>
      <c r="D1127" s="4" t="s">
        <v>73</v>
      </c>
      <c r="E1127" s="4" t="s">
        <v>74</v>
      </c>
      <c r="F1127" s="4" t="s">
        <v>139</v>
      </c>
      <c r="G1127" s="4" t="n">
        <v>1</v>
      </c>
      <c r="H1127" s="4" t="n">
        <v>260</v>
      </c>
      <c r="I1127" s="18" t="n">
        <v>0</v>
      </c>
      <c r="J1127" s="4" t="s">
        <v>88</v>
      </c>
      <c r="K1127" s="4" t="s">
        <v>77</v>
      </c>
    </row>
    <row r="1128" customFormat="false" ht="15" hidden="false" customHeight="false" outlineLevel="0" collapsed="false">
      <c r="A1128" s="4" t="s">
        <v>1402</v>
      </c>
      <c r="B1128" s="17" t="n">
        <v>45880</v>
      </c>
      <c r="C1128" s="4" t="n">
        <v>16</v>
      </c>
      <c r="D1128" s="4" t="s">
        <v>98</v>
      </c>
      <c r="E1128" s="4" t="s">
        <v>79</v>
      </c>
      <c r="F1128" s="4" t="s">
        <v>135</v>
      </c>
      <c r="G1128" s="4" t="n">
        <v>2</v>
      </c>
      <c r="H1128" s="4" t="n">
        <v>130</v>
      </c>
      <c r="I1128" s="18" t="n">
        <v>0</v>
      </c>
      <c r="J1128" s="4" t="s">
        <v>67</v>
      </c>
      <c r="K1128" s="4" t="s">
        <v>77</v>
      </c>
    </row>
    <row r="1129" customFormat="false" ht="15" hidden="false" customHeight="false" outlineLevel="0" collapsed="false">
      <c r="A1129" s="4" t="s">
        <v>1403</v>
      </c>
      <c r="B1129" s="17" t="n">
        <v>45880</v>
      </c>
      <c r="C1129" s="4" t="n">
        <v>16</v>
      </c>
      <c r="D1129" s="4" t="s">
        <v>64</v>
      </c>
      <c r="E1129" s="4" t="s">
        <v>99</v>
      </c>
      <c r="F1129" s="4" t="s">
        <v>102</v>
      </c>
      <c r="G1129" s="4" t="n">
        <v>3</v>
      </c>
      <c r="H1129" s="4" t="n">
        <v>140</v>
      </c>
      <c r="I1129" s="18" t="n">
        <v>0</v>
      </c>
      <c r="J1129" s="4" t="s">
        <v>88</v>
      </c>
      <c r="K1129" s="4" t="s">
        <v>77</v>
      </c>
    </row>
    <row r="1130" customFormat="false" ht="15" hidden="false" customHeight="false" outlineLevel="0" collapsed="false">
      <c r="A1130" s="4" t="s">
        <v>1404</v>
      </c>
      <c r="B1130" s="17" t="n">
        <v>45881</v>
      </c>
      <c r="C1130" s="4" t="n">
        <v>8</v>
      </c>
      <c r="D1130" s="4" t="s">
        <v>70</v>
      </c>
      <c r="E1130" s="4" t="s">
        <v>99</v>
      </c>
      <c r="F1130" s="4" t="s">
        <v>1405</v>
      </c>
      <c r="G1130" s="4" t="n">
        <v>2</v>
      </c>
      <c r="H1130" s="4" t="n">
        <v>110</v>
      </c>
      <c r="I1130" s="18" t="n">
        <v>0</v>
      </c>
      <c r="J1130" s="4" t="s">
        <v>112</v>
      </c>
      <c r="K1130" s="4" t="s">
        <v>77</v>
      </c>
    </row>
    <row r="1131" customFormat="false" ht="15" hidden="false" customHeight="false" outlineLevel="0" collapsed="false">
      <c r="A1131" s="4" t="s">
        <v>1406</v>
      </c>
      <c r="B1131" s="17" t="n">
        <v>45881</v>
      </c>
      <c r="C1131" s="4" t="n">
        <v>9</v>
      </c>
      <c r="D1131" s="4" t="s">
        <v>172</v>
      </c>
      <c r="E1131" s="4" t="s">
        <v>79</v>
      </c>
      <c r="F1131" s="4" t="s">
        <v>148</v>
      </c>
      <c r="G1131" s="4" t="n">
        <v>1</v>
      </c>
      <c r="H1131" s="4" t="n">
        <v>120</v>
      </c>
      <c r="I1131" s="18" t="n">
        <v>0</v>
      </c>
      <c r="J1131" s="4" t="s">
        <v>81</v>
      </c>
      <c r="K1131" s="4" t="s">
        <v>68</v>
      </c>
    </row>
    <row r="1132" customFormat="false" ht="15" hidden="false" customHeight="false" outlineLevel="0" collapsed="false">
      <c r="A1132" s="4" t="s">
        <v>1407</v>
      </c>
      <c r="B1132" s="17" t="n">
        <v>45881</v>
      </c>
      <c r="C1132" s="4" t="n">
        <v>12</v>
      </c>
      <c r="D1132" s="4" t="s">
        <v>64</v>
      </c>
      <c r="E1132" s="4" t="s">
        <v>84</v>
      </c>
      <c r="F1132" s="4" t="s">
        <v>114</v>
      </c>
      <c r="G1132" s="4" t="n">
        <v>4</v>
      </c>
      <c r="H1132" s="4" t="n">
        <v>85</v>
      </c>
      <c r="I1132" s="18" t="n">
        <v>0.2</v>
      </c>
      <c r="J1132" s="4" t="s">
        <v>67</v>
      </c>
      <c r="K1132" s="4" t="s">
        <v>71</v>
      </c>
    </row>
    <row r="1133" customFormat="false" ht="15" hidden="false" customHeight="false" outlineLevel="0" collapsed="false">
      <c r="A1133" s="4" t="s">
        <v>1408</v>
      </c>
      <c r="B1133" s="4" t="s">
        <v>1409</v>
      </c>
      <c r="C1133" s="4" t="n">
        <v>15</v>
      </c>
      <c r="D1133" s="4" t="s">
        <v>70</v>
      </c>
      <c r="E1133" s="4" t="s">
        <v>79</v>
      </c>
      <c r="F1133" s="4" t="s">
        <v>148</v>
      </c>
      <c r="G1133" s="4" t="n">
        <v>1</v>
      </c>
      <c r="H1133" s="4" t="n">
        <v>120</v>
      </c>
      <c r="I1133" s="18" t="n">
        <v>0</v>
      </c>
      <c r="J1133" s="4" t="s">
        <v>76</v>
      </c>
      <c r="K1133" s="4" t="s">
        <v>68</v>
      </c>
    </row>
    <row r="1134" customFormat="false" ht="15" hidden="false" customHeight="false" outlineLevel="0" collapsed="false">
      <c r="A1134" s="4" t="s">
        <v>1410</v>
      </c>
      <c r="B1134" s="17" t="n">
        <v>45881</v>
      </c>
      <c r="C1134" s="4" t="n">
        <v>17</v>
      </c>
      <c r="D1134" s="4" t="s">
        <v>64</v>
      </c>
      <c r="E1134" s="4" t="s">
        <v>65</v>
      </c>
      <c r="F1134" s="4" t="s">
        <v>705</v>
      </c>
      <c r="G1134" s="4" t="n">
        <v>1</v>
      </c>
      <c r="H1134" s="4" t="n">
        <v>170</v>
      </c>
      <c r="I1134" s="18" t="n">
        <v>0</v>
      </c>
      <c r="J1134" s="4" t="s">
        <v>81</v>
      </c>
      <c r="K1134" s="4" t="s">
        <v>77</v>
      </c>
    </row>
    <row r="1135" customFormat="false" ht="15" hidden="false" customHeight="false" outlineLevel="0" collapsed="false">
      <c r="A1135" s="4" t="s">
        <v>1411</v>
      </c>
      <c r="B1135" s="17" t="n">
        <v>45881</v>
      </c>
      <c r="C1135" s="4" t="n">
        <v>18</v>
      </c>
      <c r="D1135" s="4" t="s">
        <v>70</v>
      </c>
      <c r="E1135" s="4" t="s">
        <v>65</v>
      </c>
      <c r="F1135" s="4" t="s">
        <v>94</v>
      </c>
      <c r="G1135" s="4" t="n">
        <v>1</v>
      </c>
      <c r="H1135" s="4" t="n">
        <v>150</v>
      </c>
      <c r="I1135" s="18" t="n">
        <v>0.1</v>
      </c>
      <c r="J1135" s="4" t="s">
        <v>67</v>
      </c>
      <c r="K1135" s="4" t="s">
        <v>71</v>
      </c>
    </row>
    <row r="1136" customFormat="false" ht="15" hidden="false" customHeight="false" outlineLevel="0" collapsed="false">
      <c r="A1136" s="4" t="s">
        <v>1412</v>
      </c>
      <c r="B1136" s="4" t="s">
        <v>1413</v>
      </c>
      <c r="C1136" s="4" t="n">
        <v>8</v>
      </c>
      <c r="D1136" s="4" t="s">
        <v>73</v>
      </c>
      <c r="E1136" s="4" t="s">
        <v>65</v>
      </c>
      <c r="F1136" s="4" t="s">
        <v>236</v>
      </c>
      <c r="G1136" s="4" t="n">
        <v>2</v>
      </c>
      <c r="H1136" s="4" t="n">
        <v>150</v>
      </c>
      <c r="I1136" s="18" t="n">
        <v>0</v>
      </c>
      <c r="J1136" s="4" t="s">
        <v>81</v>
      </c>
      <c r="K1136" s="4" t="s">
        <v>68</v>
      </c>
    </row>
    <row r="1137" customFormat="false" ht="15" hidden="false" customHeight="false" outlineLevel="0" collapsed="false">
      <c r="A1137" s="4" t="s">
        <v>1414</v>
      </c>
      <c r="B1137" s="4" t="s">
        <v>1413</v>
      </c>
      <c r="C1137" s="4" t="n">
        <v>10</v>
      </c>
      <c r="D1137" s="4" t="s">
        <v>64</v>
      </c>
      <c r="E1137" s="4" t="s">
        <v>99</v>
      </c>
      <c r="F1137" s="4" t="s">
        <v>133</v>
      </c>
      <c r="G1137" s="4" t="n">
        <v>3</v>
      </c>
      <c r="H1137" s="4" t="n">
        <v>90</v>
      </c>
      <c r="I1137" s="18" t="n">
        <v>0</v>
      </c>
      <c r="J1137" s="4" t="s">
        <v>76</v>
      </c>
      <c r="K1137" s="4" t="s">
        <v>77</v>
      </c>
    </row>
    <row r="1138" customFormat="false" ht="15" hidden="false" customHeight="false" outlineLevel="0" collapsed="false">
      <c r="A1138" s="4" t="s">
        <v>1415</v>
      </c>
      <c r="B1138" s="17" t="n">
        <v>45882</v>
      </c>
      <c r="C1138" s="4" t="n">
        <v>12</v>
      </c>
      <c r="D1138" s="4" t="s">
        <v>64</v>
      </c>
      <c r="E1138" s="4" t="s">
        <v>84</v>
      </c>
      <c r="F1138" s="4" t="s">
        <v>114</v>
      </c>
      <c r="G1138" s="4" t="n">
        <v>1</v>
      </c>
      <c r="H1138" s="4" t="n">
        <v>85</v>
      </c>
      <c r="I1138" s="18" t="n">
        <v>0.1</v>
      </c>
      <c r="J1138" s="4" t="s">
        <v>81</v>
      </c>
      <c r="K1138" s="4" t="s">
        <v>71</v>
      </c>
    </row>
    <row r="1139" customFormat="false" ht="15" hidden="false" customHeight="false" outlineLevel="0" collapsed="false">
      <c r="A1139" s="4" t="s">
        <v>1416</v>
      </c>
      <c r="B1139" s="17" t="n">
        <v>45882</v>
      </c>
      <c r="C1139" s="4" t="n">
        <v>13</v>
      </c>
      <c r="D1139" s="4" t="s">
        <v>98</v>
      </c>
      <c r="E1139" s="4" t="s">
        <v>99</v>
      </c>
      <c r="F1139" s="4" t="s">
        <v>109</v>
      </c>
      <c r="G1139" s="4" t="n">
        <v>1</v>
      </c>
      <c r="H1139" s="4" t="n">
        <v>130</v>
      </c>
      <c r="I1139" s="18" t="n">
        <v>0.15</v>
      </c>
      <c r="J1139" s="4" t="s">
        <v>76</v>
      </c>
      <c r="K1139" s="4" t="s">
        <v>71</v>
      </c>
    </row>
    <row r="1140" customFormat="false" ht="15" hidden="false" customHeight="false" outlineLevel="0" collapsed="false">
      <c r="A1140" s="4" t="s">
        <v>1417</v>
      </c>
      <c r="B1140" s="17" t="n">
        <v>45882</v>
      </c>
      <c r="C1140" s="4" t="n">
        <v>13</v>
      </c>
      <c r="D1140" s="4" t="s">
        <v>64</v>
      </c>
      <c r="E1140" s="4" t="s">
        <v>84</v>
      </c>
      <c r="F1140" s="4" t="s">
        <v>85</v>
      </c>
      <c r="G1140" s="4" t="n">
        <v>1</v>
      </c>
      <c r="H1140" s="4" t="n">
        <v>150</v>
      </c>
      <c r="I1140" s="18" t="n">
        <v>0</v>
      </c>
      <c r="J1140" s="4" t="s">
        <v>67</v>
      </c>
      <c r="K1140" s="4" t="s">
        <v>77</v>
      </c>
    </row>
    <row r="1141" customFormat="false" ht="15" hidden="false" customHeight="false" outlineLevel="0" collapsed="false">
      <c r="A1141" s="4" t="s">
        <v>1418</v>
      </c>
      <c r="B1141" s="17" t="n">
        <v>45882</v>
      </c>
      <c r="C1141" s="4" t="n">
        <v>14</v>
      </c>
      <c r="D1141" s="4" t="s">
        <v>70</v>
      </c>
      <c r="E1141" s="4" t="s">
        <v>99</v>
      </c>
      <c r="F1141" s="4" t="s">
        <v>102</v>
      </c>
      <c r="G1141" s="4" t="n">
        <v>2</v>
      </c>
      <c r="H1141" s="4" t="n">
        <v>140</v>
      </c>
      <c r="I1141" s="18" t="n">
        <v>0.05</v>
      </c>
      <c r="J1141" s="4" t="s">
        <v>76</v>
      </c>
      <c r="K1141" s="4" t="s">
        <v>82</v>
      </c>
    </row>
    <row r="1142" customFormat="false" ht="15" hidden="false" customHeight="false" outlineLevel="0" collapsed="false">
      <c r="A1142" s="4" t="s">
        <v>1419</v>
      </c>
      <c r="B1142" s="17" t="n">
        <v>45882</v>
      </c>
      <c r="C1142" s="4" t="n">
        <v>14</v>
      </c>
      <c r="D1142" s="4" t="s">
        <v>98</v>
      </c>
      <c r="E1142" s="4" t="s">
        <v>65</v>
      </c>
      <c r="F1142" s="4" t="s">
        <v>87</v>
      </c>
      <c r="G1142" s="4" t="n">
        <v>1</v>
      </c>
      <c r="H1142" s="4" t="n">
        <v>160</v>
      </c>
      <c r="I1142" s="18" t="n">
        <v>0</v>
      </c>
      <c r="J1142" s="4" t="s">
        <v>81</v>
      </c>
      <c r="K1142" s="4" t="s">
        <v>68</v>
      </c>
    </row>
    <row r="1143" customFormat="false" ht="15" hidden="false" customHeight="false" outlineLevel="0" collapsed="false">
      <c r="A1143" s="4" t="s">
        <v>1420</v>
      </c>
      <c r="B1143" s="17" t="n">
        <v>45883</v>
      </c>
      <c r="C1143" s="4" t="n">
        <v>10</v>
      </c>
      <c r="D1143" s="4" t="s">
        <v>64</v>
      </c>
      <c r="E1143" s="4" t="s">
        <v>364</v>
      </c>
      <c r="F1143" s="4" t="s">
        <v>106</v>
      </c>
      <c r="G1143" s="4" t="n">
        <v>2</v>
      </c>
      <c r="H1143" s="4" t="n">
        <v>60</v>
      </c>
      <c r="I1143" s="18" t="n">
        <v>0</v>
      </c>
      <c r="J1143" s="4" t="s">
        <v>76</v>
      </c>
      <c r="K1143" s="4" t="s">
        <v>68</v>
      </c>
    </row>
    <row r="1144" customFormat="false" ht="15" hidden="false" customHeight="false" outlineLevel="0" collapsed="false">
      <c r="A1144" s="4" t="s">
        <v>1421</v>
      </c>
      <c r="B1144" s="17" t="n">
        <v>45883</v>
      </c>
      <c r="C1144" s="4" t="n">
        <v>11</v>
      </c>
      <c r="D1144" s="4" t="s">
        <v>166</v>
      </c>
      <c r="E1144" s="4" t="s">
        <v>99</v>
      </c>
      <c r="F1144" s="4" t="s">
        <v>252</v>
      </c>
      <c r="G1144" s="4" t="n">
        <v>1</v>
      </c>
      <c r="H1144" s="4" t="n">
        <v>130</v>
      </c>
      <c r="I1144" s="18" t="n">
        <v>0</v>
      </c>
      <c r="J1144" s="4" t="s">
        <v>67</v>
      </c>
      <c r="K1144" s="4" t="s">
        <v>77</v>
      </c>
    </row>
    <row r="1145" customFormat="false" ht="15" hidden="false" customHeight="false" outlineLevel="0" collapsed="false">
      <c r="A1145" s="4" t="s">
        <v>1422</v>
      </c>
      <c r="B1145" s="17" t="n">
        <v>45883</v>
      </c>
      <c r="C1145" s="4" t="n">
        <v>11</v>
      </c>
      <c r="D1145" s="4" t="s">
        <v>73</v>
      </c>
      <c r="E1145" s="4" t="s">
        <v>74</v>
      </c>
      <c r="F1145" s="4" t="s">
        <v>75</v>
      </c>
      <c r="G1145" s="4" t="n">
        <v>2</v>
      </c>
      <c r="H1145" s="4" t="n">
        <v>220</v>
      </c>
      <c r="I1145" s="18" t="n">
        <v>0.1</v>
      </c>
      <c r="J1145" s="4" t="s">
        <v>81</v>
      </c>
      <c r="K1145" s="4" t="s">
        <v>71</v>
      </c>
    </row>
    <row r="1146" customFormat="false" ht="15" hidden="false" customHeight="false" outlineLevel="0" collapsed="false">
      <c r="A1146" s="4" t="s">
        <v>1423</v>
      </c>
      <c r="B1146" s="17" t="n">
        <v>45883</v>
      </c>
      <c r="C1146" s="4" t="n">
        <v>12</v>
      </c>
      <c r="D1146" s="4" t="s">
        <v>64</v>
      </c>
      <c r="E1146" s="4" t="s">
        <v>84</v>
      </c>
      <c r="F1146" s="4" t="s">
        <v>85</v>
      </c>
      <c r="G1146" s="4" t="n">
        <v>1</v>
      </c>
      <c r="H1146" s="4" t="n">
        <v>150</v>
      </c>
      <c r="I1146" s="18" t="n">
        <v>0.1</v>
      </c>
      <c r="J1146" s="4" t="s">
        <v>67</v>
      </c>
      <c r="K1146" s="4" t="s">
        <v>71</v>
      </c>
    </row>
    <row r="1147" customFormat="false" ht="15" hidden="false" customHeight="false" outlineLevel="0" collapsed="false">
      <c r="A1147" s="4" t="s">
        <v>1424</v>
      </c>
      <c r="B1147" s="17" t="n">
        <v>45883</v>
      </c>
      <c r="C1147" s="4" t="n">
        <v>12</v>
      </c>
      <c r="D1147" s="4" t="s">
        <v>64</v>
      </c>
      <c r="E1147" s="4" t="s">
        <v>99</v>
      </c>
      <c r="F1147" s="4" t="s">
        <v>109</v>
      </c>
      <c r="G1147" s="4" t="n">
        <v>4</v>
      </c>
      <c r="H1147" s="4" t="n">
        <v>130</v>
      </c>
      <c r="I1147" s="18" t="n">
        <v>0.05</v>
      </c>
      <c r="J1147" s="4" t="s">
        <v>76</v>
      </c>
      <c r="K1147" s="4" t="s">
        <v>82</v>
      </c>
    </row>
    <row r="1148" customFormat="false" ht="15" hidden="false" customHeight="false" outlineLevel="0" collapsed="false">
      <c r="A1148" s="4" t="s">
        <v>1425</v>
      </c>
      <c r="B1148" s="17" t="n">
        <v>45883</v>
      </c>
      <c r="C1148" s="4" t="n">
        <v>17</v>
      </c>
      <c r="D1148" s="4" t="s">
        <v>70</v>
      </c>
      <c r="E1148" s="4" t="s">
        <v>99</v>
      </c>
      <c r="F1148" s="4" t="s">
        <v>109</v>
      </c>
      <c r="G1148" s="4" t="n">
        <v>4</v>
      </c>
      <c r="H1148" s="4" t="n">
        <v>130</v>
      </c>
      <c r="I1148" s="18" t="n">
        <v>0.15</v>
      </c>
      <c r="J1148" s="4" t="s">
        <v>67</v>
      </c>
      <c r="K1148" s="4" t="s">
        <v>82</v>
      </c>
    </row>
    <row r="1149" customFormat="false" ht="15" hidden="false" customHeight="false" outlineLevel="0" collapsed="false">
      <c r="A1149" s="4" t="s">
        <v>1426</v>
      </c>
      <c r="B1149" s="17" t="n">
        <v>45884</v>
      </c>
      <c r="C1149" s="4" t="n">
        <v>7</v>
      </c>
      <c r="D1149" s="4" t="s">
        <v>70</v>
      </c>
      <c r="E1149" s="4" t="s">
        <v>65</v>
      </c>
      <c r="F1149" s="4" t="s">
        <v>94</v>
      </c>
      <c r="G1149" s="4" t="n">
        <v>1</v>
      </c>
      <c r="H1149" s="4" t="n">
        <v>150</v>
      </c>
      <c r="I1149" s="18" t="n">
        <v>0.05</v>
      </c>
      <c r="J1149" s="4" t="s">
        <v>81</v>
      </c>
      <c r="K1149" s="4" t="s">
        <v>82</v>
      </c>
    </row>
    <row r="1150" customFormat="false" ht="15" hidden="false" customHeight="false" outlineLevel="0" collapsed="false">
      <c r="A1150" s="4" t="s">
        <v>1427</v>
      </c>
      <c r="B1150" s="4" t="s">
        <v>1428</v>
      </c>
      <c r="C1150" s="4" t="n">
        <v>9</v>
      </c>
      <c r="D1150" s="4" t="s">
        <v>70</v>
      </c>
      <c r="E1150" s="4" t="s">
        <v>79</v>
      </c>
      <c r="F1150" s="4" t="s">
        <v>135</v>
      </c>
      <c r="G1150" s="4" t="n">
        <v>1</v>
      </c>
      <c r="H1150" s="4" t="n">
        <v>130</v>
      </c>
      <c r="I1150" s="18" t="n">
        <v>0</v>
      </c>
      <c r="J1150" s="4" t="s">
        <v>76</v>
      </c>
      <c r="K1150" s="4" t="s">
        <v>68</v>
      </c>
    </row>
    <row r="1151" customFormat="false" ht="15" hidden="false" customHeight="false" outlineLevel="0" collapsed="false">
      <c r="A1151" s="4" t="s">
        <v>1429</v>
      </c>
      <c r="B1151" s="17" t="n">
        <v>45884</v>
      </c>
      <c r="C1151" s="4" t="n">
        <v>12</v>
      </c>
      <c r="D1151" s="4" t="s">
        <v>73</v>
      </c>
      <c r="E1151" s="4" t="s">
        <v>99</v>
      </c>
      <c r="F1151" s="4" t="s">
        <v>100</v>
      </c>
      <c r="G1151" s="4" t="n">
        <v>4</v>
      </c>
      <c r="H1151" s="4" t="n">
        <v>110</v>
      </c>
      <c r="I1151" s="18" t="n">
        <v>0.1</v>
      </c>
      <c r="J1151" s="4" t="s">
        <v>67</v>
      </c>
      <c r="K1151" s="4" t="s">
        <v>71</v>
      </c>
    </row>
    <row r="1152" customFormat="false" ht="15" hidden="false" customHeight="false" outlineLevel="0" collapsed="false">
      <c r="A1152" s="4" t="s">
        <v>1430</v>
      </c>
      <c r="B1152" s="17" t="n">
        <v>45884</v>
      </c>
      <c r="C1152" s="4" t="n">
        <v>17</v>
      </c>
      <c r="D1152" s="4" t="s">
        <v>64</v>
      </c>
      <c r="E1152" s="4" t="s">
        <v>79</v>
      </c>
      <c r="F1152" s="4" t="s">
        <v>148</v>
      </c>
      <c r="G1152" s="4" t="n">
        <v>1</v>
      </c>
      <c r="H1152" s="4" t="n">
        <v>120</v>
      </c>
      <c r="I1152" s="18" t="n">
        <v>0.05</v>
      </c>
      <c r="J1152" s="4" t="s">
        <v>81</v>
      </c>
    </row>
    <row r="1153" customFormat="false" ht="15" hidden="false" customHeight="false" outlineLevel="0" collapsed="false">
      <c r="A1153" s="4" t="s">
        <v>1431</v>
      </c>
      <c r="B1153" s="4" t="s">
        <v>1432</v>
      </c>
      <c r="C1153" s="4" t="n">
        <v>18</v>
      </c>
      <c r="D1153" s="4" t="s">
        <v>70</v>
      </c>
      <c r="E1153" s="4" t="s">
        <v>99</v>
      </c>
      <c r="F1153" s="4" t="s">
        <v>102</v>
      </c>
      <c r="G1153" s="4" t="n">
        <v>1</v>
      </c>
      <c r="H1153" s="4" t="n">
        <v>140</v>
      </c>
      <c r="I1153" s="18" t="n">
        <v>0</v>
      </c>
      <c r="J1153" s="4" t="s">
        <v>67</v>
      </c>
      <c r="K1153" s="4" t="s">
        <v>77</v>
      </c>
    </row>
    <row r="1154" customFormat="false" ht="15" hidden="false" customHeight="false" outlineLevel="0" collapsed="false">
      <c r="A1154" s="4" t="s">
        <v>1433</v>
      </c>
      <c r="B1154" s="17" t="n">
        <v>45885</v>
      </c>
      <c r="C1154" s="4" t="n">
        <v>7</v>
      </c>
      <c r="D1154" s="4" t="s">
        <v>187</v>
      </c>
      <c r="E1154" s="4" t="s">
        <v>65</v>
      </c>
      <c r="F1154" s="4" t="s">
        <v>94</v>
      </c>
      <c r="G1154" s="4" t="n">
        <v>1</v>
      </c>
      <c r="H1154" s="4" t="n">
        <v>150</v>
      </c>
      <c r="I1154" s="18" t="n">
        <v>0.1</v>
      </c>
      <c r="J1154" s="4" t="s">
        <v>67</v>
      </c>
      <c r="K1154" s="4" t="s">
        <v>71</v>
      </c>
    </row>
    <row r="1155" customFormat="false" ht="15" hidden="false" customHeight="false" outlineLevel="0" collapsed="false">
      <c r="A1155" s="4" t="s">
        <v>1434</v>
      </c>
      <c r="B1155" s="17" t="n">
        <v>45885</v>
      </c>
      <c r="C1155" s="4" t="n">
        <v>7</v>
      </c>
      <c r="D1155" s="4" t="s">
        <v>64</v>
      </c>
      <c r="E1155" s="4" t="s">
        <v>99</v>
      </c>
      <c r="F1155" s="4" t="s">
        <v>100</v>
      </c>
      <c r="G1155" s="4" t="n">
        <v>2</v>
      </c>
      <c r="H1155" s="4" t="n">
        <v>110</v>
      </c>
      <c r="I1155" s="18" t="n">
        <v>0</v>
      </c>
      <c r="J1155" s="4" t="s">
        <v>112</v>
      </c>
      <c r="K1155" s="4" t="s">
        <v>68</v>
      </c>
    </row>
    <row r="1156" customFormat="false" ht="15" hidden="false" customHeight="false" outlineLevel="0" collapsed="false">
      <c r="A1156" s="4" t="s">
        <v>1434</v>
      </c>
      <c r="B1156" s="17" t="n">
        <v>45885</v>
      </c>
      <c r="C1156" s="4" t="n">
        <v>7</v>
      </c>
      <c r="D1156" s="4" t="s">
        <v>64</v>
      </c>
      <c r="E1156" s="4" t="s">
        <v>99</v>
      </c>
      <c r="F1156" s="4" t="s">
        <v>100</v>
      </c>
      <c r="G1156" s="4" t="n">
        <v>2</v>
      </c>
      <c r="H1156" s="4" t="n">
        <v>110</v>
      </c>
      <c r="I1156" s="18" t="n">
        <v>0</v>
      </c>
      <c r="J1156" s="4" t="s">
        <v>112</v>
      </c>
      <c r="K1156" s="4" t="s">
        <v>68</v>
      </c>
    </row>
    <row r="1157" customFormat="false" ht="15" hidden="false" customHeight="false" outlineLevel="0" collapsed="false">
      <c r="A1157" s="4" t="s">
        <v>1435</v>
      </c>
      <c r="B1157" s="17" t="n">
        <v>45885</v>
      </c>
      <c r="C1157" s="4" t="n">
        <v>10</v>
      </c>
      <c r="D1157" s="4" t="s">
        <v>98</v>
      </c>
      <c r="E1157" s="4" t="s">
        <v>99</v>
      </c>
      <c r="F1157" s="4" t="s">
        <v>539</v>
      </c>
      <c r="G1157" s="4" t="n">
        <v>1</v>
      </c>
      <c r="H1157" s="4" t="n">
        <v>130</v>
      </c>
      <c r="I1157" s="18" t="n">
        <v>0</v>
      </c>
      <c r="J1157" s="4" t="s">
        <v>76</v>
      </c>
      <c r="K1157" s="4" t="s">
        <v>68</v>
      </c>
    </row>
    <row r="1158" customFormat="false" ht="15" hidden="false" customHeight="false" outlineLevel="0" collapsed="false">
      <c r="A1158" s="4" t="s">
        <v>1436</v>
      </c>
      <c r="B1158" s="17" t="n">
        <v>45885</v>
      </c>
      <c r="C1158" s="4" t="n">
        <v>11</v>
      </c>
      <c r="D1158" s="4" t="s">
        <v>70</v>
      </c>
      <c r="E1158" s="4" t="s">
        <v>84</v>
      </c>
      <c r="F1158" s="4" t="s">
        <v>743</v>
      </c>
      <c r="G1158" s="4" t="n">
        <v>2</v>
      </c>
      <c r="H1158" s="4" t="n">
        <v>85</v>
      </c>
      <c r="I1158" s="18" t="n">
        <v>0</v>
      </c>
      <c r="J1158" s="4" t="s">
        <v>81</v>
      </c>
      <c r="K1158" s="4" t="s">
        <v>77</v>
      </c>
    </row>
    <row r="1159" customFormat="false" ht="15" hidden="false" customHeight="false" outlineLevel="0" collapsed="false">
      <c r="A1159" s="4" t="s">
        <v>1437</v>
      </c>
      <c r="B1159" s="17" t="n">
        <v>45885</v>
      </c>
      <c r="C1159" s="4" t="n">
        <v>13</v>
      </c>
      <c r="D1159" s="4" t="s">
        <v>70</v>
      </c>
      <c r="E1159" s="4" t="s">
        <v>74</v>
      </c>
      <c r="F1159" s="4" t="s">
        <v>139</v>
      </c>
      <c r="G1159" s="4" t="n">
        <v>1</v>
      </c>
      <c r="H1159" s="4" t="n">
        <v>260</v>
      </c>
      <c r="I1159" s="18" t="n">
        <v>0.1</v>
      </c>
      <c r="J1159" s="4" t="s">
        <v>67</v>
      </c>
      <c r="K1159" s="4" t="s">
        <v>71</v>
      </c>
    </row>
    <row r="1160" customFormat="false" ht="15" hidden="false" customHeight="false" outlineLevel="0" collapsed="false">
      <c r="A1160" s="4" t="s">
        <v>1438</v>
      </c>
      <c r="B1160" s="4" t="s">
        <v>1439</v>
      </c>
      <c r="C1160" s="4" t="n">
        <v>13</v>
      </c>
      <c r="D1160" s="4" t="s">
        <v>64</v>
      </c>
      <c r="E1160" s="4" t="s">
        <v>99</v>
      </c>
      <c r="F1160" s="4" t="s">
        <v>109</v>
      </c>
      <c r="G1160" s="4" t="n">
        <v>1</v>
      </c>
      <c r="H1160" s="4" t="n">
        <v>130</v>
      </c>
      <c r="I1160" s="18" t="n">
        <v>0.05</v>
      </c>
      <c r="J1160" s="4" t="s">
        <v>76</v>
      </c>
      <c r="K1160" s="4" t="s">
        <v>82</v>
      </c>
    </row>
    <row r="1161" customFormat="false" ht="15" hidden="false" customHeight="false" outlineLevel="0" collapsed="false">
      <c r="A1161" s="4" t="s">
        <v>1440</v>
      </c>
      <c r="B1161" s="17" t="n">
        <v>45885</v>
      </c>
      <c r="C1161" s="4" t="n">
        <v>16</v>
      </c>
      <c r="D1161" s="4" t="s">
        <v>70</v>
      </c>
      <c r="E1161" s="4" t="s">
        <v>99</v>
      </c>
      <c r="F1161" s="4" t="s">
        <v>100</v>
      </c>
      <c r="G1161" s="4" t="n">
        <v>1</v>
      </c>
      <c r="H1161" s="4" t="n">
        <v>110</v>
      </c>
      <c r="I1161" s="18" t="n">
        <v>0</v>
      </c>
      <c r="J1161" s="4" t="s">
        <v>76</v>
      </c>
      <c r="K1161" s="4" t="s">
        <v>68</v>
      </c>
    </row>
    <row r="1162" customFormat="false" ht="15" hidden="false" customHeight="false" outlineLevel="0" collapsed="false">
      <c r="A1162" s="4" t="s">
        <v>1441</v>
      </c>
      <c r="B1162" s="17" t="n">
        <v>45886</v>
      </c>
      <c r="C1162" s="4" t="n">
        <v>8</v>
      </c>
      <c r="D1162" s="4" t="s">
        <v>73</v>
      </c>
      <c r="E1162" s="4" t="s">
        <v>65</v>
      </c>
      <c r="F1162" s="4" t="s">
        <v>121</v>
      </c>
      <c r="G1162" s="4" t="n">
        <v>2</v>
      </c>
      <c r="H1162" s="4" t="n">
        <v>170</v>
      </c>
      <c r="I1162" s="18" t="n">
        <v>0</v>
      </c>
      <c r="J1162" s="4" t="s">
        <v>76</v>
      </c>
      <c r="K1162" s="4" t="s">
        <v>68</v>
      </c>
    </row>
    <row r="1163" customFormat="false" ht="15" hidden="false" customHeight="false" outlineLevel="0" collapsed="false">
      <c r="A1163" s="4" t="s">
        <v>1442</v>
      </c>
      <c r="B1163" s="17" t="n">
        <v>45886</v>
      </c>
      <c r="C1163" s="4" t="n">
        <v>9</v>
      </c>
      <c r="D1163" s="4" t="s">
        <v>70</v>
      </c>
      <c r="E1163" s="4" t="s">
        <v>65</v>
      </c>
      <c r="F1163" s="4" t="s">
        <v>121</v>
      </c>
      <c r="G1163" s="4" t="n">
        <v>1</v>
      </c>
      <c r="H1163" s="4" t="n">
        <v>170</v>
      </c>
      <c r="I1163" s="18" t="n">
        <v>0.05</v>
      </c>
      <c r="J1163" s="4" t="s">
        <v>81</v>
      </c>
      <c r="K1163" s="4" t="s">
        <v>82</v>
      </c>
    </row>
    <row r="1164" customFormat="false" ht="15" hidden="false" customHeight="false" outlineLevel="0" collapsed="false">
      <c r="A1164" s="4" t="s">
        <v>1443</v>
      </c>
      <c r="B1164" s="17" t="n">
        <v>45887</v>
      </c>
      <c r="C1164" s="4" t="n">
        <v>9</v>
      </c>
      <c r="D1164" s="4" t="s">
        <v>96</v>
      </c>
      <c r="E1164" s="4" t="s">
        <v>84</v>
      </c>
      <c r="F1164" s="4" t="s">
        <v>85</v>
      </c>
      <c r="G1164" s="4" t="n">
        <v>3</v>
      </c>
      <c r="H1164" s="4" t="n">
        <v>150</v>
      </c>
      <c r="I1164" s="18" t="n">
        <v>0</v>
      </c>
      <c r="J1164" s="4" t="s">
        <v>81</v>
      </c>
      <c r="K1164" s="4" t="s">
        <v>68</v>
      </c>
    </row>
    <row r="1165" customFormat="false" ht="15" hidden="false" customHeight="false" outlineLevel="0" collapsed="false">
      <c r="A1165" s="4" t="s">
        <v>1444</v>
      </c>
      <c r="B1165" s="17" t="n">
        <v>45887</v>
      </c>
      <c r="C1165" s="4" t="n">
        <v>11</v>
      </c>
      <c r="D1165" s="4" t="s">
        <v>64</v>
      </c>
      <c r="E1165" s="4" t="s">
        <v>99</v>
      </c>
      <c r="F1165" s="4" t="s">
        <v>133</v>
      </c>
      <c r="G1165" s="4" t="n">
        <v>1</v>
      </c>
      <c r="H1165" s="4" t="n">
        <v>90</v>
      </c>
      <c r="I1165" s="18" t="n">
        <v>0</v>
      </c>
      <c r="J1165" s="4" t="s">
        <v>81</v>
      </c>
      <c r="K1165" s="4" t="s">
        <v>68</v>
      </c>
    </row>
    <row r="1166" customFormat="false" ht="15" hidden="false" customHeight="false" outlineLevel="0" collapsed="false">
      <c r="A1166" s="4" t="s">
        <v>1445</v>
      </c>
      <c r="B1166" s="17" t="n">
        <v>45887</v>
      </c>
      <c r="C1166" s="4" t="n">
        <v>16</v>
      </c>
      <c r="D1166" s="4" t="s">
        <v>73</v>
      </c>
      <c r="E1166" s="4" t="s">
        <v>65</v>
      </c>
      <c r="F1166" s="4" t="s">
        <v>66</v>
      </c>
      <c r="G1166" s="4" t="n">
        <v>1</v>
      </c>
      <c r="H1166" s="4" t="n">
        <v>120</v>
      </c>
      <c r="I1166" s="18" t="n">
        <v>0.05</v>
      </c>
      <c r="J1166" s="4" t="s">
        <v>81</v>
      </c>
      <c r="K1166" s="4" t="s">
        <v>82</v>
      </c>
    </row>
    <row r="1167" customFormat="false" ht="15" hidden="false" customHeight="false" outlineLevel="0" collapsed="false">
      <c r="A1167" s="4" t="s">
        <v>1445</v>
      </c>
      <c r="B1167" s="17" t="n">
        <v>45887</v>
      </c>
      <c r="C1167" s="4" t="n">
        <v>16</v>
      </c>
      <c r="D1167" s="4" t="s">
        <v>73</v>
      </c>
      <c r="E1167" s="4" t="s">
        <v>65</v>
      </c>
      <c r="F1167" s="4" t="s">
        <v>66</v>
      </c>
      <c r="G1167" s="4" t="n">
        <v>1</v>
      </c>
      <c r="H1167" s="4" t="n">
        <v>120</v>
      </c>
      <c r="I1167" s="18" t="n">
        <v>0.05</v>
      </c>
      <c r="J1167" s="4" t="s">
        <v>81</v>
      </c>
      <c r="K1167" s="4" t="s">
        <v>82</v>
      </c>
    </row>
    <row r="1168" customFormat="false" ht="15" hidden="false" customHeight="false" outlineLevel="0" collapsed="false">
      <c r="A1168" s="4" t="s">
        <v>1446</v>
      </c>
      <c r="B1168" s="17" t="n">
        <v>45887</v>
      </c>
      <c r="C1168" s="4" t="n">
        <v>19</v>
      </c>
      <c r="D1168" s="4" t="s">
        <v>64</v>
      </c>
      <c r="E1168" s="4" t="s">
        <v>65</v>
      </c>
      <c r="F1168" s="4" t="s">
        <v>94</v>
      </c>
      <c r="G1168" s="4" t="n">
        <v>3</v>
      </c>
      <c r="H1168" s="4" t="n">
        <v>150</v>
      </c>
      <c r="I1168" s="18" t="n">
        <v>0</v>
      </c>
      <c r="J1168" s="4" t="s">
        <v>112</v>
      </c>
      <c r="K1168" s="4" t="s">
        <v>68</v>
      </c>
    </row>
    <row r="1169" customFormat="false" ht="15" hidden="false" customHeight="false" outlineLevel="0" collapsed="false">
      <c r="A1169" s="4" t="s">
        <v>1447</v>
      </c>
      <c r="B1169" s="17" t="n">
        <v>45888</v>
      </c>
      <c r="C1169" s="4" t="n">
        <v>7</v>
      </c>
      <c r="D1169" s="4" t="s">
        <v>98</v>
      </c>
      <c r="E1169" s="4" t="s">
        <v>65</v>
      </c>
      <c r="F1169" s="4" t="s">
        <v>66</v>
      </c>
      <c r="G1169" s="4" t="n">
        <v>2</v>
      </c>
      <c r="H1169" s="4" t="n">
        <v>120</v>
      </c>
      <c r="I1169" s="18" t="n">
        <v>0.1</v>
      </c>
      <c r="J1169" s="4" t="s">
        <v>112</v>
      </c>
      <c r="K1169" s="4" t="s">
        <v>71</v>
      </c>
    </row>
    <row r="1170" customFormat="false" ht="15" hidden="false" customHeight="false" outlineLevel="0" collapsed="false">
      <c r="A1170" s="4" t="s">
        <v>1448</v>
      </c>
      <c r="B1170" s="17" t="n">
        <v>45888</v>
      </c>
      <c r="C1170" s="4" t="n">
        <v>7</v>
      </c>
      <c r="D1170" s="4" t="s">
        <v>70</v>
      </c>
      <c r="E1170" s="4" t="s">
        <v>79</v>
      </c>
      <c r="F1170" s="4" t="s">
        <v>80</v>
      </c>
      <c r="G1170" s="4" t="n">
        <v>2</v>
      </c>
      <c r="H1170" s="4" t="n">
        <v>160</v>
      </c>
      <c r="I1170" s="18" t="n">
        <v>0</v>
      </c>
      <c r="J1170" s="4" t="s">
        <v>81</v>
      </c>
      <c r="K1170" s="4" t="s">
        <v>68</v>
      </c>
    </row>
    <row r="1171" customFormat="false" ht="15" hidden="false" customHeight="false" outlineLevel="0" collapsed="false">
      <c r="A1171" s="4" t="s">
        <v>1449</v>
      </c>
      <c r="B1171" s="17" t="n">
        <v>45888</v>
      </c>
      <c r="C1171" s="4" t="n">
        <v>8</v>
      </c>
      <c r="D1171" s="4" t="s">
        <v>70</v>
      </c>
      <c r="E1171" s="4" t="s">
        <v>84</v>
      </c>
      <c r="F1171" s="4" t="s">
        <v>106</v>
      </c>
      <c r="G1171" s="4" t="n">
        <v>3</v>
      </c>
      <c r="H1171" s="4" t="n">
        <v>60</v>
      </c>
      <c r="I1171" s="18" t="n">
        <v>0</v>
      </c>
      <c r="J1171" s="4" t="s">
        <v>88</v>
      </c>
      <c r="K1171" s="4" t="s">
        <v>77</v>
      </c>
    </row>
    <row r="1172" customFormat="false" ht="15" hidden="false" customHeight="false" outlineLevel="0" collapsed="false">
      <c r="A1172" s="4" t="s">
        <v>1450</v>
      </c>
      <c r="B1172" s="17" t="n">
        <v>45888</v>
      </c>
      <c r="C1172" s="4" t="n">
        <v>9</v>
      </c>
      <c r="D1172" s="4" t="s">
        <v>73</v>
      </c>
      <c r="E1172" s="4" t="s">
        <v>99</v>
      </c>
      <c r="F1172" s="4" t="s">
        <v>109</v>
      </c>
      <c r="G1172" s="4" t="n">
        <v>1</v>
      </c>
      <c r="H1172" s="4" t="n">
        <v>130</v>
      </c>
      <c r="I1172" s="18" t="n">
        <v>0.1</v>
      </c>
      <c r="J1172" s="4" t="s">
        <v>88</v>
      </c>
      <c r="K1172" s="4" t="s">
        <v>71</v>
      </c>
    </row>
    <row r="1173" customFormat="false" ht="15" hidden="false" customHeight="false" outlineLevel="0" collapsed="false">
      <c r="A1173" s="4" t="s">
        <v>1451</v>
      </c>
      <c r="B1173" s="17" t="n">
        <v>45888</v>
      </c>
      <c r="C1173" s="4" t="n">
        <v>12</v>
      </c>
      <c r="D1173" s="4" t="s">
        <v>70</v>
      </c>
      <c r="E1173" s="4" t="s">
        <v>74</v>
      </c>
      <c r="F1173" s="4" t="s">
        <v>75</v>
      </c>
      <c r="G1173" s="4" t="n">
        <v>2</v>
      </c>
      <c r="H1173" s="4" t="n">
        <v>220</v>
      </c>
      <c r="I1173" s="18" t="n">
        <v>0</v>
      </c>
      <c r="J1173" s="4" t="s">
        <v>76</v>
      </c>
      <c r="K1173" s="4" t="s">
        <v>68</v>
      </c>
    </row>
    <row r="1174" customFormat="false" ht="15" hidden="false" customHeight="false" outlineLevel="0" collapsed="false">
      <c r="A1174" s="4" t="s">
        <v>1452</v>
      </c>
      <c r="B1174" s="17" t="n">
        <v>45888</v>
      </c>
      <c r="C1174" s="4" t="n">
        <v>13</v>
      </c>
      <c r="D1174" s="4" t="s">
        <v>189</v>
      </c>
      <c r="E1174" s="4" t="s">
        <v>99</v>
      </c>
      <c r="F1174" s="4" t="s">
        <v>133</v>
      </c>
      <c r="G1174" s="4" t="n">
        <v>1</v>
      </c>
      <c r="H1174" s="4" t="n">
        <v>90</v>
      </c>
      <c r="I1174" s="18" t="n">
        <v>0</v>
      </c>
      <c r="J1174" s="4" t="s">
        <v>112</v>
      </c>
      <c r="K1174" s="4" t="s">
        <v>77</v>
      </c>
    </row>
    <row r="1175" customFormat="false" ht="15" hidden="false" customHeight="false" outlineLevel="0" collapsed="false">
      <c r="A1175" s="4" t="s">
        <v>1453</v>
      </c>
      <c r="B1175" s="4" t="s">
        <v>1454</v>
      </c>
      <c r="C1175" s="4" t="n">
        <v>17</v>
      </c>
      <c r="D1175" s="4" t="s">
        <v>70</v>
      </c>
      <c r="E1175" s="4" t="s">
        <v>99</v>
      </c>
      <c r="F1175" s="4" t="s">
        <v>133</v>
      </c>
      <c r="G1175" s="4" t="n">
        <v>4</v>
      </c>
      <c r="H1175" s="4" t="n">
        <v>90</v>
      </c>
      <c r="I1175" s="18" t="n">
        <v>0</v>
      </c>
      <c r="J1175" s="4" t="s">
        <v>76</v>
      </c>
      <c r="K1175" s="4" t="s">
        <v>68</v>
      </c>
    </row>
    <row r="1176" customFormat="false" ht="15" hidden="false" customHeight="false" outlineLevel="0" collapsed="false">
      <c r="A1176" s="4" t="s">
        <v>1455</v>
      </c>
      <c r="B1176" s="17" t="n">
        <v>45888</v>
      </c>
      <c r="C1176" s="4" t="n">
        <v>19</v>
      </c>
      <c r="D1176" s="4" t="s">
        <v>166</v>
      </c>
      <c r="E1176" s="4" t="s">
        <v>79</v>
      </c>
      <c r="F1176" s="4" t="s">
        <v>148</v>
      </c>
      <c r="G1176" s="4" t="n">
        <v>4</v>
      </c>
      <c r="H1176" s="4" t="n">
        <v>120</v>
      </c>
      <c r="I1176" s="18" t="n">
        <v>0.05</v>
      </c>
      <c r="J1176" s="4" t="s">
        <v>76</v>
      </c>
      <c r="K1176" s="4" t="s">
        <v>82</v>
      </c>
    </row>
    <row r="1177" customFormat="false" ht="15" hidden="false" customHeight="false" outlineLevel="0" collapsed="false">
      <c r="A1177" s="4" t="s">
        <v>1456</v>
      </c>
      <c r="B1177" s="4" t="s">
        <v>1457</v>
      </c>
      <c r="C1177" s="4" t="n">
        <v>9</v>
      </c>
      <c r="D1177" s="4" t="s">
        <v>73</v>
      </c>
      <c r="E1177" s="4" t="s">
        <v>79</v>
      </c>
      <c r="F1177" s="4" t="s">
        <v>80</v>
      </c>
      <c r="G1177" s="4" t="n">
        <v>1</v>
      </c>
      <c r="H1177" s="4" t="n">
        <v>160</v>
      </c>
      <c r="I1177" s="18" t="n">
        <v>0</v>
      </c>
      <c r="J1177" s="4" t="s">
        <v>88</v>
      </c>
      <c r="K1177" s="4" t="s">
        <v>68</v>
      </c>
    </row>
    <row r="1178" customFormat="false" ht="15" hidden="false" customHeight="false" outlineLevel="0" collapsed="false">
      <c r="A1178" s="4" t="s">
        <v>1458</v>
      </c>
      <c r="B1178" s="17" t="n">
        <v>45889</v>
      </c>
      <c r="C1178" s="4" t="n">
        <v>11</v>
      </c>
      <c r="D1178" s="4" t="s">
        <v>73</v>
      </c>
      <c r="E1178" s="4" t="s">
        <v>74</v>
      </c>
      <c r="F1178" s="4" t="s">
        <v>91</v>
      </c>
      <c r="G1178" s="4" t="n">
        <v>1</v>
      </c>
      <c r="H1178" s="4" t="n">
        <v>200</v>
      </c>
      <c r="I1178" s="18" t="n">
        <v>0.05</v>
      </c>
      <c r="J1178" s="4" t="s">
        <v>112</v>
      </c>
      <c r="K1178" s="4" t="s">
        <v>82</v>
      </c>
    </row>
    <row r="1179" customFormat="false" ht="15" hidden="false" customHeight="false" outlineLevel="0" collapsed="false">
      <c r="A1179" s="4" t="s">
        <v>1459</v>
      </c>
      <c r="B1179" s="17" t="n">
        <v>45889</v>
      </c>
      <c r="C1179" s="4" t="n">
        <v>11</v>
      </c>
      <c r="D1179" s="4" t="s">
        <v>73</v>
      </c>
      <c r="E1179" s="4" t="s">
        <v>350</v>
      </c>
      <c r="F1179" s="4" t="s">
        <v>75</v>
      </c>
      <c r="G1179" s="4" t="n">
        <v>1</v>
      </c>
      <c r="H1179" s="4" t="n">
        <v>220</v>
      </c>
      <c r="I1179" s="18" t="n">
        <v>0</v>
      </c>
      <c r="J1179" s="4" t="s">
        <v>76</v>
      </c>
      <c r="K1179" s="4" t="s">
        <v>68</v>
      </c>
    </row>
    <row r="1180" customFormat="false" ht="15" hidden="false" customHeight="false" outlineLevel="0" collapsed="false">
      <c r="A1180" s="4" t="s">
        <v>1460</v>
      </c>
      <c r="B1180" s="17" t="n">
        <v>45889</v>
      </c>
      <c r="C1180" s="4" t="n">
        <v>16</v>
      </c>
      <c r="D1180" s="4" t="s">
        <v>64</v>
      </c>
      <c r="E1180" s="4" t="s">
        <v>65</v>
      </c>
      <c r="F1180" s="4" t="s">
        <v>121</v>
      </c>
      <c r="G1180" s="4" t="n">
        <v>1</v>
      </c>
      <c r="H1180" s="4" t="n">
        <v>170</v>
      </c>
      <c r="I1180" s="18" t="n">
        <v>0</v>
      </c>
      <c r="J1180" s="4" t="s">
        <v>112</v>
      </c>
      <c r="K1180" s="4" t="s">
        <v>68</v>
      </c>
    </row>
    <row r="1181" customFormat="false" ht="15" hidden="false" customHeight="false" outlineLevel="0" collapsed="false">
      <c r="A1181" s="4" t="s">
        <v>1461</v>
      </c>
      <c r="B1181" s="17" t="n">
        <v>45889</v>
      </c>
      <c r="C1181" s="4" t="n">
        <v>18</v>
      </c>
      <c r="D1181" s="4" t="s">
        <v>64</v>
      </c>
      <c r="E1181" s="4" t="s">
        <v>99</v>
      </c>
      <c r="F1181" s="4" t="s">
        <v>133</v>
      </c>
      <c r="G1181" s="4" t="n">
        <v>1</v>
      </c>
      <c r="H1181" s="4" t="n">
        <v>90</v>
      </c>
      <c r="I1181" s="18" t="n">
        <v>0</v>
      </c>
      <c r="J1181" s="4" t="s">
        <v>67</v>
      </c>
      <c r="K1181" s="4" t="s">
        <v>68</v>
      </c>
    </row>
    <row r="1182" customFormat="false" ht="15" hidden="false" customHeight="false" outlineLevel="0" collapsed="false">
      <c r="A1182" s="4" t="s">
        <v>1462</v>
      </c>
      <c r="B1182" s="17" t="n">
        <v>45889</v>
      </c>
      <c r="C1182" s="4" t="n">
        <v>19</v>
      </c>
      <c r="D1182" s="4" t="s">
        <v>73</v>
      </c>
      <c r="E1182" s="4" t="s">
        <v>84</v>
      </c>
      <c r="F1182" s="4" t="s">
        <v>117</v>
      </c>
      <c r="G1182" s="4" t="n">
        <v>1</v>
      </c>
      <c r="H1182" s="4" t="n">
        <v>95</v>
      </c>
      <c r="I1182" s="18" t="n">
        <v>0.1</v>
      </c>
      <c r="J1182" s="4" t="s">
        <v>76</v>
      </c>
      <c r="K1182" s="4" t="s">
        <v>71</v>
      </c>
    </row>
    <row r="1183" customFormat="false" ht="15" hidden="false" customHeight="false" outlineLevel="0" collapsed="false">
      <c r="A1183" s="4" t="s">
        <v>1463</v>
      </c>
      <c r="B1183" s="17" t="n">
        <v>45890</v>
      </c>
      <c r="C1183" s="4" t="n">
        <v>8</v>
      </c>
      <c r="D1183" s="4" t="s">
        <v>64</v>
      </c>
      <c r="E1183" s="4" t="s">
        <v>302</v>
      </c>
      <c r="F1183" s="4" t="s">
        <v>102</v>
      </c>
      <c r="G1183" s="4" t="n">
        <v>2</v>
      </c>
      <c r="H1183" s="4" t="n">
        <v>140</v>
      </c>
      <c r="J1183" s="4" t="s">
        <v>112</v>
      </c>
      <c r="K1183" s="4" t="s">
        <v>71</v>
      </c>
    </row>
    <row r="1184" customFormat="false" ht="15" hidden="false" customHeight="false" outlineLevel="0" collapsed="false">
      <c r="A1184" s="4" t="s">
        <v>1464</v>
      </c>
      <c r="B1184" s="17" t="n">
        <v>45890</v>
      </c>
      <c r="C1184" s="4" t="n">
        <v>9</v>
      </c>
      <c r="D1184" s="4" t="s">
        <v>64</v>
      </c>
      <c r="E1184" s="4" t="s">
        <v>65</v>
      </c>
      <c r="F1184" s="4" t="s">
        <v>66</v>
      </c>
      <c r="G1184" s="4" t="n">
        <v>4</v>
      </c>
      <c r="H1184" s="4" t="n">
        <v>120</v>
      </c>
      <c r="I1184" s="18" t="n">
        <v>0.05</v>
      </c>
      <c r="J1184" s="4" t="s">
        <v>290</v>
      </c>
      <c r="K1184" s="4" t="s">
        <v>82</v>
      </c>
    </row>
    <row r="1185" customFormat="false" ht="15" hidden="false" customHeight="false" outlineLevel="0" collapsed="false">
      <c r="A1185" s="4" t="s">
        <v>1465</v>
      </c>
      <c r="B1185" s="17" t="n">
        <v>45890</v>
      </c>
      <c r="C1185" s="4" t="n">
        <v>12</v>
      </c>
      <c r="D1185" s="4" t="s">
        <v>98</v>
      </c>
      <c r="E1185" s="4" t="s">
        <v>65</v>
      </c>
      <c r="F1185" s="4" t="s">
        <v>910</v>
      </c>
      <c r="G1185" s="4" t="n">
        <v>1</v>
      </c>
      <c r="H1185" s="4" t="n">
        <v>170</v>
      </c>
      <c r="I1185" s="18" t="n">
        <v>0.1</v>
      </c>
      <c r="J1185" s="4" t="s">
        <v>81</v>
      </c>
      <c r="K1185" s="4" t="s">
        <v>71</v>
      </c>
    </row>
    <row r="1186" customFormat="false" ht="15" hidden="false" customHeight="false" outlineLevel="0" collapsed="false">
      <c r="A1186" s="4" t="s">
        <v>1466</v>
      </c>
      <c r="B1186" s="17" t="n">
        <v>45890</v>
      </c>
      <c r="C1186" s="4" t="n">
        <v>12</v>
      </c>
      <c r="D1186" s="4" t="s">
        <v>341</v>
      </c>
      <c r="E1186" s="4" t="s">
        <v>99</v>
      </c>
      <c r="F1186" s="4" t="s">
        <v>100</v>
      </c>
      <c r="G1186" s="4" t="n">
        <v>1</v>
      </c>
      <c r="H1186" s="4" t="n">
        <v>110</v>
      </c>
      <c r="I1186" s="18" t="n">
        <v>0</v>
      </c>
      <c r="J1186" s="4" t="s">
        <v>88</v>
      </c>
      <c r="K1186" s="4" t="s">
        <v>77</v>
      </c>
    </row>
    <row r="1187" customFormat="false" ht="15" hidden="false" customHeight="false" outlineLevel="0" collapsed="false">
      <c r="A1187" s="4" t="s">
        <v>1467</v>
      </c>
      <c r="B1187" s="17" t="n">
        <v>45891</v>
      </c>
      <c r="C1187" s="4" t="n">
        <v>11</v>
      </c>
      <c r="D1187" s="4" t="s">
        <v>938</v>
      </c>
      <c r="E1187" s="4" t="s">
        <v>99</v>
      </c>
      <c r="F1187" s="4" t="s">
        <v>102</v>
      </c>
      <c r="G1187" s="4" t="n">
        <v>1</v>
      </c>
      <c r="H1187" s="4" t="n">
        <v>140</v>
      </c>
      <c r="I1187" s="18" t="n">
        <v>0</v>
      </c>
      <c r="J1187" s="4" t="s">
        <v>81</v>
      </c>
      <c r="K1187" s="4" t="s">
        <v>77</v>
      </c>
    </row>
    <row r="1188" customFormat="false" ht="15" hidden="false" customHeight="false" outlineLevel="0" collapsed="false">
      <c r="A1188" s="4" t="s">
        <v>1468</v>
      </c>
      <c r="B1188" s="17" t="n">
        <v>45891</v>
      </c>
      <c r="C1188" s="4" t="n">
        <v>12</v>
      </c>
      <c r="D1188" s="4" t="s">
        <v>98</v>
      </c>
      <c r="E1188" s="4" t="s">
        <v>99</v>
      </c>
      <c r="F1188" s="4" t="s">
        <v>102</v>
      </c>
      <c r="G1188" s="4" t="n">
        <v>4</v>
      </c>
      <c r="H1188" s="4" t="n">
        <v>140</v>
      </c>
      <c r="I1188" s="18" t="n">
        <v>0</v>
      </c>
      <c r="J1188" s="4" t="s">
        <v>67</v>
      </c>
      <c r="K1188" s="4" t="s">
        <v>68</v>
      </c>
    </row>
    <row r="1189" customFormat="false" ht="15" hidden="false" customHeight="false" outlineLevel="0" collapsed="false">
      <c r="A1189" s="4" t="s">
        <v>1469</v>
      </c>
      <c r="B1189" s="4" t="s">
        <v>1470</v>
      </c>
      <c r="C1189" s="4" t="n">
        <v>14</v>
      </c>
      <c r="D1189" s="4" t="s">
        <v>335</v>
      </c>
      <c r="E1189" s="4" t="s">
        <v>65</v>
      </c>
      <c r="F1189" s="4" t="s">
        <v>121</v>
      </c>
      <c r="G1189" s="4" t="n">
        <v>1</v>
      </c>
      <c r="H1189" s="4" t="n">
        <v>170</v>
      </c>
      <c r="I1189" s="18" t="n">
        <v>0.1</v>
      </c>
      <c r="J1189" s="4" t="s">
        <v>76</v>
      </c>
      <c r="K1189" s="4" t="s">
        <v>71</v>
      </c>
    </row>
    <row r="1190" customFormat="false" ht="15" hidden="false" customHeight="false" outlineLevel="0" collapsed="false">
      <c r="A1190" s="4" t="s">
        <v>1471</v>
      </c>
      <c r="B1190" s="17" t="n">
        <v>45891</v>
      </c>
      <c r="C1190" s="4" t="n">
        <v>16</v>
      </c>
      <c r="D1190" s="4" t="s">
        <v>64</v>
      </c>
      <c r="E1190" s="4" t="s">
        <v>65</v>
      </c>
      <c r="F1190" s="4" t="s">
        <v>121</v>
      </c>
      <c r="G1190" s="4" t="n">
        <v>1</v>
      </c>
      <c r="H1190" s="4" t="n">
        <v>170</v>
      </c>
      <c r="I1190" s="18" t="n">
        <v>0</v>
      </c>
      <c r="J1190" s="4" t="s">
        <v>81</v>
      </c>
      <c r="K1190" s="4" t="s">
        <v>68</v>
      </c>
    </row>
    <row r="1191" customFormat="false" ht="15" hidden="false" customHeight="false" outlineLevel="0" collapsed="false">
      <c r="A1191" s="4" t="s">
        <v>1472</v>
      </c>
      <c r="B1191" s="17" t="n">
        <v>45891</v>
      </c>
      <c r="C1191" s="4" t="n">
        <v>18</v>
      </c>
      <c r="D1191" s="4" t="s">
        <v>70</v>
      </c>
      <c r="E1191" s="4" t="s">
        <v>65</v>
      </c>
      <c r="F1191" s="4" t="s">
        <v>121</v>
      </c>
      <c r="G1191" s="4" t="n">
        <v>1</v>
      </c>
      <c r="H1191" s="4" t="n">
        <v>170</v>
      </c>
      <c r="I1191" s="18" t="n">
        <v>0</v>
      </c>
      <c r="J1191" s="4" t="s">
        <v>81</v>
      </c>
      <c r="K1191" s="4" t="s">
        <v>77</v>
      </c>
    </row>
    <row r="1192" customFormat="false" ht="15" hidden="false" customHeight="false" outlineLevel="0" collapsed="false">
      <c r="A1192" s="4" t="s">
        <v>1473</v>
      </c>
      <c r="B1192" s="17" t="n">
        <v>45891</v>
      </c>
      <c r="C1192" s="4" t="n">
        <v>18</v>
      </c>
      <c r="D1192" s="4" t="s">
        <v>70</v>
      </c>
      <c r="E1192" s="4" t="s">
        <v>99</v>
      </c>
      <c r="F1192" s="4" t="s">
        <v>109</v>
      </c>
      <c r="G1192" s="4" t="n">
        <v>2</v>
      </c>
      <c r="H1192" s="4" t="n">
        <v>130</v>
      </c>
      <c r="I1192" s="18" t="n">
        <v>0</v>
      </c>
      <c r="J1192" s="4" t="s">
        <v>67</v>
      </c>
      <c r="K1192" s="4" t="s">
        <v>77</v>
      </c>
    </row>
    <row r="1193" customFormat="false" ht="15" hidden="false" customHeight="false" outlineLevel="0" collapsed="false">
      <c r="A1193" s="4" t="s">
        <v>1474</v>
      </c>
      <c r="B1193" s="17" t="n">
        <v>45891</v>
      </c>
      <c r="C1193" s="4" t="n">
        <v>20</v>
      </c>
      <c r="D1193" s="4" t="s">
        <v>64</v>
      </c>
      <c r="E1193" s="4" t="s">
        <v>79</v>
      </c>
      <c r="F1193" s="4" t="s">
        <v>80</v>
      </c>
      <c r="G1193" s="4" t="n">
        <v>1</v>
      </c>
      <c r="H1193" s="4" t="n">
        <v>160</v>
      </c>
      <c r="I1193" s="18" t="n">
        <v>0</v>
      </c>
      <c r="J1193" s="4" t="s">
        <v>67</v>
      </c>
      <c r="K1193" s="4" t="s">
        <v>77</v>
      </c>
    </row>
    <row r="1194" customFormat="false" ht="15" hidden="false" customHeight="false" outlineLevel="0" collapsed="false">
      <c r="A1194" s="4" t="s">
        <v>1475</v>
      </c>
      <c r="B1194" s="4" t="s">
        <v>1476</v>
      </c>
      <c r="C1194" s="4" t="n">
        <v>7</v>
      </c>
      <c r="D1194" s="4" t="s">
        <v>73</v>
      </c>
      <c r="E1194" s="4" t="s">
        <v>99</v>
      </c>
      <c r="F1194" s="4" t="s">
        <v>100</v>
      </c>
      <c r="G1194" s="4" t="n">
        <v>1</v>
      </c>
      <c r="H1194" s="4" t="n">
        <v>110</v>
      </c>
      <c r="I1194" s="18" t="n">
        <v>0.15</v>
      </c>
      <c r="J1194" s="4" t="s">
        <v>76</v>
      </c>
      <c r="K1194" s="4" t="s">
        <v>77</v>
      </c>
    </row>
    <row r="1195" customFormat="false" ht="15" hidden="false" customHeight="false" outlineLevel="0" collapsed="false">
      <c r="A1195" s="4" t="s">
        <v>1477</v>
      </c>
      <c r="B1195" s="17" t="n">
        <v>45892</v>
      </c>
      <c r="C1195" s="4" t="n">
        <v>10</v>
      </c>
      <c r="D1195" s="4" t="s">
        <v>70</v>
      </c>
      <c r="E1195" s="4" t="s">
        <v>65</v>
      </c>
      <c r="F1195" s="4" t="s">
        <v>94</v>
      </c>
      <c r="G1195" s="4" t="n">
        <v>1</v>
      </c>
      <c r="H1195" s="4" t="n">
        <v>150</v>
      </c>
      <c r="J1195" s="4" t="s">
        <v>88</v>
      </c>
      <c r="K1195" s="4" t="s">
        <v>77</v>
      </c>
    </row>
    <row r="1196" customFormat="false" ht="15" hidden="false" customHeight="false" outlineLevel="0" collapsed="false">
      <c r="A1196" s="4" t="s">
        <v>1478</v>
      </c>
      <c r="B1196" s="17" t="n">
        <v>45892</v>
      </c>
      <c r="C1196" s="4" t="n">
        <v>13</v>
      </c>
      <c r="D1196" s="4" t="s">
        <v>98</v>
      </c>
      <c r="E1196" s="4" t="s">
        <v>74</v>
      </c>
      <c r="F1196" s="4" t="s">
        <v>91</v>
      </c>
      <c r="G1196" s="4" t="n">
        <v>3</v>
      </c>
      <c r="H1196" s="4" t="n">
        <v>200</v>
      </c>
      <c r="I1196" s="18" t="n">
        <v>0</v>
      </c>
      <c r="J1196" s="4" t="s">
        <v>67</v>
      </c>
      <c r="K1196" s="4" t="s">
        <v>68</v>
      </c>
    </row>
    <row r="1197" customFormat="false" ht="15" hidden="false" customHeight="false" outlineLevel="0" collapsed="false">
      <c r="A1197" s="4" t="s">
        <v>1479</v>
      </c>
      <c r="B1197" s="17" t="n">
        <v>45892</v>
      </c>
      <c r="C1197" s="4" t="n">
        <v>16</v>
      </c>
      <c r="D1197" s="4" t="s">
        <v>64</v>
      </c>
      <c r="E1197" s="4" t="s">
        <v>99</v>
      </c>
      <c r="F1197" s="4" t="s">
        <v>102</v>
      </c>
      <c r="G1197" s="4" t="n">
        <v>1</v>
      </c>
      <c r="H1197" s="4" t="n">
        <v>140</v>
      </c>
      <c r="I1197" s="18" t="n">
        <v>0</v>
      </c>
      <c r="J1197" s="4" t="s">
        <v>81</v>
      </c>
      <c r="K1197" s="4" t="s">
        <v>68</v>
      </c>
    </row>
    <row r="1198" customFormat="false" ht="15" hidden="false" customHeight="false" outlineLevel="0" collapsed="false">
      <c r="A1198" s="4" t="s">
        <v>1480</v>
      </c>
      <c r="B1198" s="4" t="s">
        <v>1476</v>
      </c>
      <c r="C1198" s="4" t="n">
        <v>16</v>
      </c>
      <c r="D1198" s="4" t="s">
        <v>98</v>
      </c>
      <c r="E1198" s="4" t="s">
        <v>65</v>
      </c>
      <c r="F1198" s="4" t="s">
        <v>1481</v>
      </c>
      <c r="G1198" s="4" t="n">
        <v>1</v>
      </c>
      <c r="H1198" s="4" t="n">
        <v>120</v>
      </c>
      <c r="I1198" s="18" t="n">
        <v>0.1</v>
      </c>
      <c r="J1198" s="4" t="s">
        <v>81</v>
      </c>
      <c r="K1198" s="4" t="s">
        <v>71</v>
      </c>
    </row>
    <row r="1199" customFormat="false" ht="15" hidden="false" customHeight="false" outlineLevel="0" collapsed="false">
      <c r="A1199" s="4" t="s">
        <v>1482</v>
      </c>
      <c r="B1199" s="17" t="n">
        <v>45892</v>
      </c>
      <c r="C1199" s="4" t="n">
        <v>16</v>
      </c>
      <c r="D1199" s="4" t="s">
        <v>73</v>
      </c>
      <c r="E1199" s="4" t="s">
        <v>99</v>
      </c>
      <c r="F1199" s="4" t="s">
        <v>109</v>
      </c>
      <c r="G1199" s="4" t="n">
        <v>4</v>
      </c>
      <c r="H1199" s="4" t="n">
        <v>130</v>
      </c>
      <c r="I1199" s="18" t="n">
        <v>0.1</v>
      </c>
      <c r="J1199" s="4" t="s">
        <v>76</v>
      </c>
      <c r="K1199" s="4" t="s">
        <v>71</v>
      </c>
    </row>
    <row r="1200" customFormat="false" ht="15" hidden="false" customHeight="false" outlineLevel="0" collapsed="false">
      <c r="A1200" s="4" t="s">
        <v>1483</v>
      </c>
      <c r="B1200" s="17" t="n">
        <v>45893</v>
      </c>
      <c r="C1200" s="4" t="n">
        <v>7</v>
      </c>
      <c r="D1200" s="4" t="s">
        <v>73</v>
      </c>
      <c r="E1200" s="4" t="s">
        <v>99</v>
      </c>
      <c r="F1200" s="4" t="s">
        <v>102</v>
      </c>
      <c r="G1200" s="4" t="n">
        <v>2</v>
      </c>
      <c r="H1200" s="4" t="n">
        <v>140</v>
      </c>
      <c r="I1200" s="18" t="n">
        <v>0.1</v>
      </c>
      <c r="J1200" s="4" t="s">
        <v>81</v>
      </c>
      <c r="K1200" s="4" t="s">
        <v>71</v>
      </c>
    </row>
    <row r="1201" customFormat="false" ht="15" hidden="false" customHeight="false" outlineLevel="0" collapsed="false">
      <c r="A1201" s="4" t="s">
        <v>1484</v>
      </c>
      <c r="B1201" s="17" t="n">
        <v>45893</v>
      </c>
      <c r="C1201" s="4" t="n">
        <v>8</v>
      </c>
      <c r="D1201" s="4" t="s">
        <v>70</v>
      </c>
      <c r="E1201" s="4" t="s">
        <v>74</v>
      </c>
      <c r="F1201" s="4" t="s">
        <v>91</v>
      </c>
      <c r="H1201" s="4" t="n">
        <v>200</v>
      </c>
      <c r="I1201" s="18" t="n">
        <v>0</v>
      </c>
      <c r="J1201" s="4" t="s">
        <v>67</v>
      </c>
      <c r="K1201" s="4" t="s">
        <v>68</v>
      </c>
    </row>
    <row r="1202" customFormat="false" ht="15" hidden="false" customHeight="false" outlineLevel="0" collapsed="false">
      <c r="A1202" s="4" t="s">
        <v>1485</v>
      </c>
      <c r="B1202" s="17" t="n">
        <v>45893</v>
      </c>
      <c r="C1202" s="4" t="n">
        <v>9</v>
      </c>
      <c r="D1202" s="4" t="s">
        <v>70</v>
      </c>
      <c r="E1202" s="4" t="s">
        <v>65</v>
      </c>
      <c r="F1202" s="4" t="s">
        <v>94</v>
      </c>
      <c r="G1202" s="4" t="n">
        <v>1</v>
      </c>
      <c r="H1202" s="4" t="n">
        <v>150</v>
      </c>
      <c r="I1202" s="18" t="n">
        <v>0.05</v>
      </c>
      <c r="J1202" s="4" t="s">
        <v>81</v>
      </c>
      <c r="K1202" s="4" t="s">
        <v>82</v>
      </c>
    </row>
    <row r="1203" customFormat="false" ht="15" hidden="false" customHeight="false" outlineLevel="0" collapsed="false">
      <c r="A1203" s="4" t="s">
        <v>1486</v>
      </c>
      <c r="B1203" s="17" t="n">
        <v>45893</v>
      </c>
      <c r="C1203" s="4" t="n">
        <v>11</v>
      </c>
      <c r="D1203" s="4" t="s">
        <v>64</v>
      </c>
      <c r="E1203" s="4" t="s">
        <v>99</v>
      </c>
      <c r="F1203" s="4" t="s">
        <v>100</v>
      </c>
      <c r="G1203" s="4" t="n">
        <v>2</v>
      </c>
      <c r="H1203" s="4" t="n">
        <v>110</v>
      </c>
      <c r="I1203" s="18" t="n">
        <v>0.1</v>
      </c>
      <c r="J1203" s="4" t="s">
        <v>81</v>
      </c>
      <c r="K1203" s="4" t="s">
        <v>68</v>
      </c>
    </row>
    <row r="1204" customFormat="false" ht="15" hidden="false" customHeight="false" outlineLevel="0" collapsed="false">
      <c r="A1204" s="4" t="s">
        <v>1487</v>
      </c>
      <c r="B1204" s="4" t="s">
        <v>1488</v>
      </c>
      <c r="C1204" s="4" t="n">
        <v>7</v>
      </c>
      <c r="D1204" s="4" t="s">
        <v>64</v>
      </c>
      <c r="E1204" s="4" t="s">
        <v>99</v>
      </c>
      <c r="F1204" s="4" t="s">
        <v>102</v>
      </c>
      <c r="G1204" s="4" t="n">
        <v>3</v>
      </c>
      <c r="H1204" s="4" t="n">
        <v>140</v>
      </c>
      <c r="I1204" s="18" t="n">
        <v>0</v>
      </c>
      <c r="J1204" s="4" t="s">
        <v>88</v>
      </c>
      <c r="K1204" s="4" t="s">
        <v>77</v>
      </c>
    </row>
    <row r="1205" customFormat="false" ht="15" hidden="false" customHeight="false" outlineLevel="0" collapsed="false">
      <c r="A1205" s="4" t="s">
        <v>1489</v>
      </c>
      <c r="B1205" s="17" t="n">
        <v>45894</v>
      </c>
      <c r="C1205" s="4" t="n">
        <v>7</v>
      </c>
      <c r="D1205" s="4" t="s">
        <v>64</v>
      </c>
      <c r="E1205" s="4" t="s">
        <v>79</v>
      </c>
      <c r="F1205" s="4" t="s">
        <v>148</v>
      </c>
      <c r="G1205" s="4" t="n">
        <v>2</v>
      </c>
      <c r="H1205" s="4" t="n">
        <v>120</v>
      </c>
      <c r="I1205" s="18" t="n">
        <v>0</v>
      </c>
      <c r="J1205" s="4" t="s">
        <v>88</v>
      </c>
      <c r="K1205" s="4" t="s">
        <v>77</v>
      </c>
    </row>
    <row r="1206" customFormat="false" ht="15" hidden="false" customHeight="false" outlineLevel="0" collapsed="false">
      <c r="A1206" s="4" t="s">
        <v>1490</v>
      </c>
      <c r="B1206" s="4" t="s">
        <v>1491</v>
      </c>
      <c r="C1206" s="4" t="n">
        <v>9</v>
      </c>
      <c r="D1206" s="4" t="s">
        <v>172</v>
      </c>
      <c r="E1206" s="4" t="s">
        <v>99</v>
      </c>
      <c r="F1206" s="4" t="s">
        <v>100</v>
      </c>
      <c r="G1206" s="4" t="n">
        <v>1</v>
      </c>
      <c r="H1206" s="4" t="n">
        <v>110</v>
      </c>
      <c r="I1206" s="18" t="n">
        <v>0.1</v>
      </c>
      <c r="J1206" s="4" t="s">
        <v>81</v>
      </c>
      <c r="K1206" s="4" t="s">
        <v>71</v>
      </c>
    </row>
    <row r="1207" customFormat="false" ht="15" hidden="false" customHeight="false" outlineLevel="0" collapsed="false">
      <c r="A1207" s="4" t="s">
        <v>1492</v>
      </c>
      <c r="B1207" s="17" t="n">
        <v>45894</v>
      </c>
      <c r="C1207" s="4" t="n">
        <v>10</v>
      </c>
      <c r="D1207" s="4" t="s">
        <v>70</v>
      </c>
      <c r="E1207" s="4" t="s">
        <v>99</v>
      </c>
      <c r="F1207" s="4" t="s">
        <v>102</v>
      </c>
      <c r="G1207" s="4" t="n">
        <v>1</v>
      </c>
      <c r="H1207" s="4" t="n">
        <v>140</v>
      </c>
      <c r="I1207" s="18" t="n">
        <v>0.05</v>
      </c>
      <c r="J1207" s="4" t="s">
        <v>67</v>
      </c>
      <c r="K1207" s="4" t="s">
        <v>82</v>
      </c>
    </row>
    <row r="1208" customFormat="false" ht="15" hidden="false" customHeight="false" outlineLevel="0" collapsed="false">
      <c r="A1208" s="4" t="s">
        <v>1493</v>
      </c>
      <c r="B1208" s="17" t="n">
        <v>45894</v>
      </c>
      <c r="C1208" s="4" t="n">
        <v>11</v>
      </c>
      <c r="D1208" s="4" t="s">
        <v>64</v>
      </c>
      <c r="E1208" s="4" t="s">
        <v>84</v>
      </c>
      <c r="F1208" s="4" t="s">
        <v>85</v>
      </c>
      <c r="G1208" s="4" t="n">
        <v>1</v>
      </c>
      <c r="H1208" s="4" t="n">
        <v>150</v>
      </c>
      <c r="I1208" s="18" t="n">
        <v>0.1</v>
      </c>
      <c r="J1208" s="4" t="s">
        <v>67</v>
      </c>
      <c r="K1208" s="4" t="s">
        <v>71</v>
      </c>
    </row>
    <row r="1209" customFormat="false" ht="15" hidden="false" customHeight="false" outlineLevel="0" collapsed="false">
      <c r="A1209" s="4" t="s">
        <v>1494</v>
      </c>
      <c r="B1209" s="17" t="n">
        <v>45894</v>
      </c>
      <c r="C1209" s="4" t="n">
        <v>12</v>
      </c>
      <c r="D1209" s="4" t="s">
        <v>73</v>
      </c>
      <c r="E1209" s="4" t="s">
        <v>79</v>
      </c>
      <c r="F1209" s="4" t="s">
        <v>148</v>
      </c>
      <c r="G1209" s="4" t="n">
        <v>2</v>
      </c>
      <c r="H1209" s="4" t="n">
        <v>120</v>
      </c>
      <c r="I1209" s="18" t="n">
        <v>0</v>
      </c>
      <c r="J1209" s="4" t="s">
        <v>67</v>
      </c>
      <c r="K1209" s="4" t="s">
        <v>68</v>
      </c>
    </row>
    <row r="1210" customFormat="false" ht="15" hidden="false" customHeight="false" outlineLevel="0" collapsed="false">
      <c r="A1210" s="4" t="s">
        <v>1495</v>
      </c>
      <c r="B1210" s="17" t="n">
        <v>45894</v>
      </c>
      <c r="C1210" s="4" t="n">
        <v>12</v>
      </c>
      <c r="D1210" s="4" t="s">
        <v>70</v>
      </c>
      <c r="E1210" s="4" t="s">
        <v>99</v>
      </c>
      <c r="F1210" s="4" t="s">
        <v>109</v>
      </c>
      <c r="G1210" s="4" t="n">
        <v>1</v>
      </c>
      <c r="H1210" s="4" t="n">
        <v>130</v>
      </c>
      <c r="I1210" s="18" t="n">
        <v>0.05</v>
      </c>
      <c r="J1210" s="4" t="s">
        <v>81</v>
      </c>
      <c r="K1210" s="4" t="s">
        <v>82</v>
      </c>
    </row>
    <row r="1211" customFormat="false" ht="15" hidden="false" customHeight="false" outlineLevel="0" collapsed="false">
      <c r="A1211" s="4" t="s">
        <v>1496</v>
      </c>
      <c r="B1211" s="17" t="n">
        <v>45894</v>
      </c>
      <c r="C1211" s="4" t="n">
        <v>16</v>
      </c>
      <c r="D1211" s="4" t="s">
        <v>70</v>
      </c>
      <c r="E1211" s="4" t="s">
        <v>79</v>
      </c>
      <c r="F1211" s="4" t="s">
        <v>80</v>
      </c>
      <c r="G1211" s="4" t="n">
        <v>4</v>
      </c>
      <c r="H1211" s="4" t="n">
        <v>160</v>
      </c>
      <c r="I1211" s="18" t="n">
        <v>0.1</v>
      </c>
      <c r="J1211" s="4" t="s">
        <v>81</v>
      </c>
      <c r="K1211" s="4" t="s">
        <v>82</v>
      </c>
    </row>
    <row r="1212" customFormat="false" ht="15" hidden="false" customHeight="false" outlineLevel="0" collapsed="false">
      <c r="A1212" s="4" t="s">
        <v>1497</v>
      </c>
      <c r="B1212" s="17" t="n">
        <v>45894</v>
      </c>
      <c r="C1212" s="4" t="n">
        <v>16</v>
      </c>
      <c r="D1212" s="4" t="s">
        <v>64</v>
      </c>
      <c r="E1212" s="4" t="s">
        <v>403</v>
      </c>
      <c r="F1212" s="4" t="s">
        <v>409</v>
      </c>
      <c r="G1212" s="4" t="n">
        <v>1</v>
      </c>
      <c r="H1212" s="4" t="n">
        <v>110</v>
      </c>
      <c r="I1212" s="18" t="n">
        <v>0.1</v>
      </c>
      <c r="J1212" s="4" t="s">
        <v>81</v>
      </c>
      <c r="K1212" s="4" t="s">
        <v>71</v>
      </c>
    </row>
    <row r="1213" customFormat="false" ht="15" hidden="false" customHeight="false" outlineLevel="0" collapsed="false">
      <c r="A1213" s="4" t="s">
        <v>1498</v>
      </c>
      <c r="B1213" s="17" t="n">
        <v>45895</v>
      </c>
      <c r="C1213" s="4" t="n">
        <v>9</v>
      </c>
      <c r="D1213" s="4" t="s">
        <v>73</v>
      </c>
      <c r="E1213" s="4" t="s">
        <v>65</v>
      </c>
      <c r="F1213" s="4" t="s">
        <v>87</v>
      </c>
      <c r="G1213" s="4" t="n">
        <v>3</v>
      </c>
      <c r="H1213" s="4" t="n">
        <v>160</v>
      </c>
      <c r="I1213" s="18" t="n">
        <v>0</v>
      </c>
      <c r="J1213" s="4" t="s">
        <v>112</v>
      </c>
      <c r="K1213" s="4" t="s">
        <v>77</v>
      </c>
    </row>
    <row r="1214" customFormat="false" ht="15" hidden="false" customHeight="false" outlineLevel="0" collapsed="false">
      <c r="A1214" s="4" t="s">
        <v>1499</v>
      </c>
      <c r="B1214" s="4" t="s">
        <v>1500</v>
      </c>
      <c r="C1214" s="4" t="n">
        <v>13</v>
      </c>
      <c r="D1214" s="4" t="s">
        <v>335</v>
      </c>
      <c r="E1214" s="4" t="s">
        <v>74</v>
      </c>
      <c r="F1214" s="4" t="s">
        <v>75</v>
      </c>
      <c r="G1214" s="4" t="n">
        <v>4</v>
      </c>
      <c r="H1214" s="4" t="n">
        <v>220</v>
      </c>
      <c r="I1214" s="18" t="n">
        <v>0.05</v>
      </c>
      <c r="J1214" s="4" t="s">
        <v>81</v>
      </c>
      <c r="K1214" s="4" t="s">
        <v>82</v>
      </c>
    </row>
    <row r="1215" customFormat="false" ht="15" hidden="false" customHeight="false" outlineLevel="0" collapsed="false">
      <c r="A1215" s="4" t="s">
        <v>1501</v>
      </c>
      <c r="B1215" s="17" t="n">
        <v>45895</v>
      </c>
      <c r="C1215" s="4" t="n">
        <v>14</v>
      </c>
      <c r="D1215" s="4" t="s">
        <v>70</v>
      </c>
      <c r="E1215" s="4" t="s">
        <v>99</v>
      </c>
      <c r="F1215" s="4" t="s">
        <v>133</v>
      </c>
      <c r="G1215" s="4" t="n">
        <v>4</v>
      </c>
      <c r="H1215" s="4" t="n">
        <v>90</v>
      </c>
      <c r="I1215" s="18" t="n">
        <v>0.05</v>
      </c>
      <c r="K1215" s="4" t="s">
        <v>82</v>
      </c>
    </row>
    <row r="1216" customFormat="false" ht="15" hidden="false" customHeight="false" outlineLevel="0" collapsed="false">
      <c r="A1216" s="4" t="s">
        <v>1502</v>
      </c>
      <c r="B1216" s="17" t="n">
        <v>45896</v>
      </c>
      <c r="C1216" s="4" t="n">
        <v>8</v>
      </c>
      <c r="D1216" s="4" t="s">
        <v>73</v>
      </c>
      <c r="E1216" s="4" t="s">
        <v>79</v>
      </c>
      <c r="F1216" s="4" t="s">
        <v>80</v>
      </c>
      <c r="G1216" s="4" t="n">
        <v>1</v>
      </c>
      <c r="H1216" s="4" t="n">
        <v>160</v>
      </c>
      <c r="I1216" s="18" t="n">
        <v>0.1</v>
      </c>
      <c r="J1216" s="4" t="s">
        <v>81</v>
      </c>
      <c r="K1216" s="4" t="s">
        <v>71</v>
      </c>
    </row>
    <row r="1217" customFormat="false" ht="15" hidden="false" customHeight="false" outlineLevel="0" collapsed="false">
      <c r="A1217" s="4" t="s">
        <v>1503</v>
      </c>
      <c r="B1217" s="17" t="n">
        <v>45896</v>
      </c>
      <c r="C1217" s="4" t="n">
        <v>9</v>
      </c>
      <c r="D1217" s="4" t="s">
        <v>70</v>
      </c>
      <c r="E1217" s="4" t="s">
        <v>65</v>
      </c>
      <c r="F1217" s="4" t="s">
        <v>121</v>
      </c>
      <c r="G1217" s="4" t="n">
        <v>3</v>
      </c>
      <c r="H1217" s="4" t="n">
        <v>170</v>
      </c>
      <c r="I1217" s="18" t="n">
        <v>0.05</v>
      </c>
      <c r="J1217" s="4" t="s">
        <v>76</v>
      </c>
      <c r="K1217" s="4" t="s">
        <v>82</v>
      </c>
    </row>
    <row r="1218" customFormat="false" ht="15" hidden="false" customHeight="false" outlineLevel="0" collapsed="false">
      <c r="A1218" s="4" t="s">
        <v>1504</v>
      </c>
      <c r="B1218" s="17" t="n">
        <v>45896</v>
      </c>
      <c r="C1218" s="4" t="n">
        <v>9</v>
      </c>
      <c r="D1218" s="4" t="s">
        <v>70</v>
      </c>
      <c r="E1218" s="4" t="s">
        <v>79</v>
      </c>
      <c r="F1218" s="4" t="s">
        <v>148</v>
      </c>
      <c r="G1218" s="4" t="n">
        <v>3</v>
      </c>
      <c r="H1218" s="4" t="n">
        <v>120</v>
      </c>
      <c r="I1218" s="18" t="n">
        <v>0</v>
      </c>
      <c r="J1218" s="4" t="s">
        <v>81</v>
      </c>
      <c r="K1218" s="4" t="s">
        <v>68</v>
      </c>
    </row>
    <row r="1219" customFormat="false" ht="15" hidden="false" customHeight="false" outlineLevel="0" collapsed="false">
      <c r="A1219" s="4" t="s">
        <v>1505</v>
      </c>
      <c r="B1219" s="17" t="n">
        <v>45896</v>
      </c>
      <c r="C1219" s="4" t="n">
        <v>12</v>
      </c>
      <c r="D1219" s="4" t="s">
        <v>64</v>
      </c>
      <c r="E1219" s="4" t="s">
        <v>65</v>
      </c>
      <c r="F1219" s="4" t="s">
        <v>94</v>
      </c>
      <c r="G1219" s="4" t="n">
        <v>1</v>
      </c>
      <c r="H1219" s="4" t="n">
        <v>150</v>
      </c>
      <c r="I1219" s="18" t="n">
        <v>0.1</v>
      </c>
      <c r="J1219" s="4" t="s">
        <v>81</v>
      </c>
      <c r="K1219" s="4" t="s">
        <v>82</v>
      </c>
    </row>
    <row r="1220" customFormat="false" ht="15" hidden="false" customHeight="false" outlineLevel="0" collapsed="false">
      <c r="A1220" s="4" t="s">
        <v>1506</v>
      </c>
      <c r="B1220" s="17" t="n">
        <v>45896</v>
      </c>
      <c r="C1220" s="4" t="n">
        <v>12</v>
      </c>
      <c r="D1220" s="4" t="s">
        <v>64</v>
      </c>
      <c r="E1220" s="4" t="s">
        <v>99</v>
      </c>
      <c r="F1220" s="4" t="s">
        <v>100</v>
      </c>
      <c r="G1220" s="4" t="n">
        <v>1</v>
      </c>
      <c r="H1220" s="4" t="n">
        <v>110</v>
      </c>
      <c r="I1220" s="18" t="n">
        <v>0</v>
      </c>
      <c r="J1220" s="4" t="s">
        <v>81</v>
      </c>
      <c r="K1220" s="4" t="s">
        <v>68</v>
      </c>
    </row>
    <row r="1221" customFormat="false" ht="15" hidden="false" customHeight="false" outlineLevel="0" collapsed="false">
      <c r="A1221" s="4" t="s">
        <v>1507</v>
      </c>
      <c r="B1221" s="4" t="s">
        <v>1508</v>
      </c>
      <c r="C1221" s="4" t="n">
        <v>15</v>
      </c>
      <c r="D1221" s="4" t="s">
        <v>70</v>
      </c>
      <c r="E1221" s="4" t="s">
        <v>79</v>
      </c>
      <c r="F1221" s="4" t="s">
        <v>80</v>
      </c>
      <c r="G1221" s="4" t="n">
        <v>1</v>
      </c>
      <c r="H1221" s="4" t="n">
        <v>160</v>
      </c>
      <c r="I1221" s="18" t="n">
        <v>0.1</v>
      </c>
      <c r="J1221" s="4" t="s">
        <v>67</v>
      </c>
      <c r="K1221" s="4" t="s">
        <v>71</v>
      </c>
    </row>
    <row r="1222" customFormat="false" ht="15" hidden="false" customHeight="false" outlineLevel="0" collapsed="false">
      <c r="A1222" s="4" t="s">
        <v>1509</v>
      </c>
      <c r="B1222" s="17" t="n">
        <v>45896</v>
      </c>
      <c r="C1222" s="4" t="n">
        <v>19</v>
      </c>
      <c r="D1222" s="4" t="s">
        <v>73</v>
      </c>
      <c r="E1222" s="4" t="s">
        <v>99</v>
      </c>
      <c r="F1222" s="4" t="s">
        <v>102</v>
      </c>
      <c r="G1222" s="4" t="n">
        <v>1</v>
      </c>
      <c r="H1222" s="4" t="n">
        <v>140</v>
      </c>
      <c r="I1222" s="18" t="n">
        <v>0</v>
      </c>
      <c r="J1222" s="4" t="s">
        <v>76</v>
      </c>
      <c r="K1222" s="4" t="s">
        <v>77</v>
      </c>
    </row>
    <row r="1223" customFormat="false" ht="15" hidden="false" customHeight="false" outlineLevel="0" collapsed="false">
      <c r="A1223" s="4" t="s">
        <v>1510</v>
      </c>
      <c r="B1223" s="17" t="n">
        <v>45897</v>
      </c>
      <c r="C1223" s="4" t="n">
        <v>7</v>
      </c>
      <c r="D1223" s="4" t="s">
        <v>98</v>
      </c>
      <c r="E1223" s="4" t="s">
        <v>99</v>
      </c>
      <c r="F1223" s="4" t="s">
        <v>109</v>
      </c>
      <c r="G1223" s="4" t="n">
        <v>2</v>
      </c>
      <c r="H1223" s="4" t="n">
        <v>130</v>
      </c>
      <c r="I1223" s="18" t="n">
        <v>0</v>
      </c>
      <c r="J1223" s="4" t="s">
        <v>88</v>
      </c>
      <c r="K1223" s="4" t="s">
        <v>68</v>
      </c>
    </row>
    <row r="1224" customFormat="false" ht="15" hidden="false" customHeight="false" outlineLevel="0" collapsed="false">
      <c r="A1224" s="4" t="s">
        <v>1511</v>
      </c>
      <c r="B1224" s="17" t="n">
        <v>45897</v>
      </c>
      <c r="C1224" s="4" t="n">
        <v>8</v>
      </c>
      <c r="D1224" s="4" t="s">
        <v>187</v>
      </c>
      <c r="E1224" s="4" t="s">
        <v>74</v>
      </c>
      <c r="F1224" s="4" t="s">
        <v>75</v>
      </c>
      <c r="G1224" s="4" t="n">
        <v>1</v>
      </c>
      <c r="H1224" s="4" t="n">
        <v>220</v>
      </c>
      <c r="I1224" s="18" t="n">
        <v>0</v>
      </c>
      <c r="J1224" s="4" t="s">
        <v>76</v>
      </c>
    </row>
    <row r="1225" customFormat="false" ht="15" hidden="false" customHeight="false" outlineLevel="0" collapsed="false">
      <c r="A1225" s="4" t="s">
        <v>1512</v>
      </c>
      <c r="B1225" s="17" t="n">
        <v>45897</v>
      </c>
      <c r="C1225" s="4" t="n">
        <v>9</v>
      </c>
      <c r="D1225" s="4" t="s">
        <v>64</v>
      </c>
      <c r="E1225" s="4" t="s">
        <v>99</v>
      </c>
      <c r="F1225" s="4" t="s">
        <v>100</v>
      </c>
      <c r="G1225" s="4" t="n">
        <v>2</v>
      </c>
      <c r="H1225" s="4" t="n">
        <v>110</v>
      </c>
      <c r="I1225" s="18" t="n">
        <v>0.1</v>
      </c>
      <c r="J1225" s="4" t="s">
        <v>88</v>
      </c>
      <c r="K1225" s="4" t="s">
        <v>71</v>
      </c>
    </row>
    <row r="1226" customFormat="false" ht="15" hidden="false" customHeight="false" outlineLevel="0" collapsed="false">
      <c r="A1226" s="4" t="s">
        <v>1513</v>
      </c>
      <c r="B1226" s="17" t="n">
        <v>45897</v>
      </c>
      <c r="C1226" s="4" t="n">
        <v>14</v>
      </c>
      <c r="D1226" s="4" t="s">
        <v>70</v>
      </c>
      <c r="E1226" s="4" t="s">
        <v>65</v>
      </c>
      <c r="F1226" s="4" t="s">
        <v>87</v>
      </c>
      <c r="G1226" s="4" t="n">
        <v>2</v>
      </c>
      <c r="H1226" s="4" t="n">
        <v>160</v>
      </c>
      <c r="I1226" s="18" t="n">
        <v>0</v>
      </c>
      <c r="J1226" s="4" t="s">
        <v>81</v>
      </c>
      <c r="K1226" s="4" t="s">
        <v>68</v>
      </c>
    </row>
    <row r="1227" customFormat="false" ht="15" hidden="false" customHeight="false" outlineLevel="0" collapsed="false">
      <c r="A1227" s="4" t="s">
        <v>1514</v>
      </c>
      <c r="B1227" s="17" t="n">
        <v>45897</v>
      </c>
      <c r="C1227" s="4" t="n">
        <v>16</v>
      </c>
      <c r="D1227" s="4" t="s">
        <v>70</v>
      </c>
      <c r="E1227" s="4" t="s">
        <v>84</v>
      </c>
      <c r="F1227" s="4" t="s">
        <v>117</v>
      </c>
      <c r="G1227" s="4" t="n">
        <v>3</v>
      </c>
      <c r="H1227" s="4" t="n">
        <v>95</v>
      </c>
      <c r="I1227" s="18" t="n">
        <v>0.2</v>
      </c>
      <c r="J1227" s="4" t="s">
        <v>67</v>
      </c>
      <c r="K1227" s="4" t="s">
        <v>82</v>
      </c>
    </row>
    <row r="1228" customFormat="false" ht="15" hidden="false" customHeight="false" outlineLevel="0" collapsed="false">
      <c r="A1228" s="4" t="s">
        <v>1515</v>
      </c>
      <c r="B1228" s="17" t="n">
        <v>45898</v>
      </c>
      <c r="C1228" s="4" t="n">
        <v>8</v>
      </c>
      <c r="D1228" s="4" t="s">
        <v>70</v>
      </c>
      <c r="E1228" s="4" t="s">
        <v>99</v>
      </c>
      <c r="F1228" s="4" t="s">
        <v>109</v>
      </c>
      <c r="G1228" s="4" t="n">
        <v>1</v>
      </c>
      <c r="H1228" s="4" t="n">
        <v>130</v>
      </c>
      <c r="I1228" s="18" t="n">
        <v>0</v>
      </c>
      <c r="J1228" s="4" t="s">
        <v>76</v>
      </c>
      <c r="K1228" s="4" t="s">
        <v>68</v>
      </c>
    </row>
    <row r="1229" customFormat="false" ht="15" hidden="false" customHeight="false" outlineLevel="0" collapsed="false">
      <c r="A1229" s="4" t="s">
        <v>1516</v>
      </c>
      <c r="B1229" s="17" t="n">
        <v>45898</v>
      </c>
      <c r="C1229" s="4" t="n">
        <v>9</v>
      </c>
      <c r="D1229" s="4" t="s">
        <v>70</v>
      </c>
      <c r="E1229" s="4" t="s">
        <v>65</v>
      </c>
      <c r="F1229" s="4" t="s">
        <v>87</v>
      </c>
      <c r="G1229" s="4" t="n">
        <v>1</v>
      </c>
      <c r="H1229" s="4" t="n">
        <v>160</v>
      </c>
      <c r="I1229" s="18" t="n">
        <v>0</v>
      </c>
      <c r="J1229" s="4" t="s">
        <v>81</v>
      </c>
      <c r="K1229" s="4" t="s">
        <v>77</v>
      </c>
    </row>
    <row r="1230" customFormat="false" ht="15" hidden="false" customHeight="false" outlineLevel="0" collapsed="false">
      <c r="A1230" s="4" t="s">
        <v>1517</v>
      </c>
      <c r="B1230" s="17" t="n">
        <v>45898</v>
      </c>
      <c r="C1230" s="4" t="n">
        <v>12</v>
      </c>
      <c r="D1230" s="4" t="s">
        <v>64</v>
      </c>
      <c r="E1230" s="4" t="s">
        <v>79</v>
      </c>
      <c r="F1230" s="4" t="s">
        <v>135</v>
      </c>
      <c r="G1230" s="4" t="n">
        <v>4</v>
      </c>
      <c r="H1230" s="4" t="n">
        <v>130</v>
      </c>
      <c r="I1230" s="18" t="n">
        <v>0</v>
      </c>
      <c r="J1230" s="4" t="s">
        <v>81</v>
      </c>
      <c r="K1230" s="4" t="s">
        <v>68</v>
      </c>
    </row>
    <row r="1231" customFormat="false" ht="15" hidden="false" customHeight="false" outlineLevel="0" collapsed="false">
      <c r="A1231" s="4" t="s">
        <v>1518</v>
      </c>
      <c r="B1231" s="17" t="n">
        <v>45898</v>
      </c>
      <c r="C1231" s="4" t="n">
        <v>12</v>
      </c>
      <c r="D1231" s="4" t="s">
        <v>70</v>
      </c>
      <c r="E1231" s="4" t="s">
        <v>74</v>
      </c>
      <c r="F1231" s="4" t="s">
        <v>75</v>
      </c>
      <c r="G1231" s="4" t="n">
        <v>3</v>
      </c>
      <c r="H1231" s="4" t="n">
        <v>220</v>
      </c>
      <c r="I1231" s="18" t="n">
        <v>0</v>
      </c>
      <c r="J1231" s="4" t="s">
        <v>76</v>
      </c>
      <c r="K1231" s="4" t="s">
        <v>77</v>
      </c>
    </row>
    <row r="1232" customFormat="false" ht="15" hidden="false" customHeight="false" outlineLevel="0" collapsed="false">
      <c r="A1232" s="4" t="s">
        <v>1519</v>
      </c>
      <c r="B1232" s="17" t="n">
        <v>45898</v>
      </c>
      <c r="C1232" s="4" t="n">
        <v>12</v>
      </c>
      <c r="D1232" s="4" t="s">
        <v>73</v>
      </c>
      <c r="E1232" s="4" t="s">
        <v>99</v>
      </c>
      <c r="F1232" s="4" t="s">
        <v>102</v>
      </c>
      <c r="G1232" s="4" t="n">
        <v>1</v>
      </c>
      <c r="H1232" s="4" t="n">
        <v>140</v>
      </c>
      <c r="I1232" s="18" t="n">
        <v>0</v>
      </c>
      <c r="J1232" s="4" t="s">
        <v>67</v>
      </c>
      <c r="K1232" s="4" t="s">
        <v>68</v>
      </c>
    </row>
    <row r="1233" customFormat="false" ht="15" hidden="false" customHeight="false" outlineLevel="0" collapsed="false">
      <c r="A1233" s="4" t="s">
        <v>1520</v>
      </c>
      <c r="B1233" s="17" t="n">
        <v>45898</v>
      </c>
      <c r="C1233" s="4" t="n">
        <v>12</v>
      </c>
      <c r="D1233" s="4" t="s">
        <v>70</v>
      </c>
      <c r="E1233" s="4" t="s">
        <v>65</v>
      </c>
      <c r="F1233" s="4" t="s">
        <v>87</v>
      </c>
      <c r="G1233" s="4" t="n">
        <v>3</v>
      </c>
      <c r="H1233" s="4" t="n">
        <v>160</v>
      </c>
      <c r="I1233" s="18" t="n">
        <v>0</v>
      </c>
      <c r="J1233" s="4" t="s">
        <v>81</v>
      </c>
      <c r="K1233" s="4" t="s">
        <v>68</v>
      </c>
    </row>
    <row r="1234" customFormat="false" ht="15" hidden="false" customHeight="false" outlineLevel="0" collapsed="false">
      <c r="A1234" s="4" t="s">
        <v>1521</v>
      </c>
      <c r="B1234" s="17" t="n">
        <v>45898</v>
      </c>
      <c r="C1234" s="4" t="n">
        <v>12</v>
      </c>
      <c r="D1234" s="4" t="s">
        <v>73</v>
      </c>
      <c r="E1234" s="4" t="s">
        <v>99</v>
      </c>
      <c r="F1234" s="4" t="s">
        <v>102</v>
      </c>
      <c r="G1234" s="4" t="n">
        <v>1</v>
      </c>
      <c r="H1234" s="4" t="n">
        <v>140</v>
      </c>
      <c r="I1234" s="18" t="n">
        <v>0</v>
      </c>
      <c r="J1234" s="4" t="s">
        <v>81</v>
      </c>
      <c r="K1234" s="4" t="s">
        <v>68</v>
      </c>
    </row>
    <row r="1235" customFormat="false" ht="15" hidden="false" customHeight="false" outlineLevel="0" collapsed="false">
      <c r="A1235" s="4" t="s">
        <v>1522</v>
      </c>
      <c r="B1235" s="17" t="n">
        <v>45899</v>
      </c>
      <c r="C1235" s="4" t="n">
        <v>7</v>
      </c>
      <c r="D1235" s="4" t="s">
        <v>98</v>
      </c>
      <c r="E1235" s="4" t="s">
        <v>339</v>
      </c>
      <c r="F1235" s="4" t="s">
        <v>80</v>
      </c>
      <c r="G1235" s="4" t="n">
        <v>1</v>
      </c>
      <c r="H1235" s="4" t="n">
        <v>160</v>
      </c>
      <c r="I1235" s="18" t="n">
        <v>0</v>
      </c>
      <c r="J1235" s="4" t="s">
        <v>76</v>
      </c>
      <c r="K1235" s="4" t="s">
        <v>68</v>
      </c>
    </row>
    <row r="1236" customFormat="false" ht="15" hidden="false" customHeight="false" outlineLevel="0" collapsed="false">
      <c r="A1236" s="4" t="s">
        <v>1523</v>
      </c>
      <c r="B1236" s="17" t="n">
        <v>45899</v>
      </c>
      <c r="C1236" s="4" t="n">
        <v>8</v>
      </c>
      <c r="D1236" s="4" t="s">
        <v>70</v>
      </c>
      <c r="E1236" s="4" t="s">
        <v>65</v>
      </c>
      <c r="F1236" s="4" t="s">
        <v>87</v>
      </c>
      <c r="G1236" s="4" t="n">
        <v>4</v>
      </c>
      <c r="H1236" s="4" t="n">
        <v>160</v>
      </c>
      <c r="I1236" s="18" t="n">
        <v>0.05</v>
      </c>
      <c r="J1236" s="4" t="s">
        <v>67</v>
      </c>
      <c r="K1236" s="4" t="s">
        <v>82</v>
      </c>
    </row>
    <row r="1237" customFormat="false" ht="15" hidden="false" customHeight="false" outlineLevel="0" collapsed="false">
      <c r="A1237" s="4" t="s">
        <v>1524</v>
      </c>
      <c r="B1237" s="4" t="s">
        <v>1525</v>
      </c>
      <c r="C1237" s="4" t="n">
        <v>9</v>
      </c>
      <c r="D1237" s="4" t="s">
        <v>64</v>
      </c>
      <c r="E1237" s="4" t="s">
        <v>99</v>
      </c>
      <c r="F1237" s="4" t="s">
        <v>100</v>
      </c>
      <c r="G1237" s="4" t="n">
        <v>1</v>
      </c>
      <c r="H1237" s="4" t="n">
        <v>110</v>
      </c>
      <c r="I1237" s="18" t="n">
        <v>0</v>
      </c>
      <c r="J1237" s="4" t="s">
        <v>67</v>
      </c>
      <c r="K1237" s="4" t="s">
        <v>68</v>
      </c>
    </row>
    <row r="1238" customFormat="false" ht="15" hidden="false" customHeight="false" outlineLevel="0" collapsed="false">
      <c r="A1238" s="4" t="s">
        <v>1526</v>
      </c>
      <c r="B1238" s="17" t="n">
        <v>45899</v>
      </c>
      <c r="C1238" s="4" t="n">
        <v>13</v>
      </c>
      <c r="D1238" s="4" t="s">
        <v>98</v>
      </c>
      <c r="E1238" s="4" t="s">
        <v>84</v>
      </c>
      <c r="F1238" s="4" t="s">
        <v>85</v>
      </c>
      <c r="G1238" s="4" t="n">
        <v>1</v>
      </c>
      <c r="H1238" s="4" t="n">
        <v>150</v>
      </c>
      <c r="I1238" s="18" t="n">
        <v>0</v>
      </c>
      <c r="J1238" s="4" t="s">
        <v>81</v>
      </c>
      <c r="K1238" s="4" t="s">
        <v>68</v>
      </c>
    </row>
    <row r="1239" customFormat="false" ht="15" hidden="false" customHeight="false" outlineLevel="0" collapsed="false">
      <c r="A1239" s="4" t="s">
        <v>1527</v>
      </c>
      <c r="B1239" s="17" t="n">
        <v>45899</v>
      </c>
      <c r="C1239" s="4" t="n">
        <v>16</v>
      </c>
      <c r="D1239" s="4" t="s">
        <v>98</v>
      </c>
      <c r="E1239" s="4" t="s">
        <v>99</v>
      </c>
      <c r="F1239" s="4" t="s">
        <v>100</v>
      </c>
      <c r="G1239" s="4" t="n">
        <v>1</v>
      </c>
      <c r="H1239" s="4" t="n">
        <v>110</v>
      </c>
      <c r="I1239" s="18" t="n">
        <v>0.1</v>
      </c>
      <c r="J1239" s="4" t="s">
        <v>81</v>
      </c>
      <c r="K1239" s="4" t="s">
        <v>71</v>
      </c>
    </row>
    <row r="1240" customFormat="false" ht="15" hidden="false" customHeight="false" outlineLevel="0" collapsed="false">
      <c r="A1240" s="4" t="s">
        <v>1528</v>
      </c>
      <c r="B1240" s="17" t="n">
        <v>45899</v>
      </c>
      <c r="C1240" s="4" t="n">
        <v>17</v>
      </c>
      <c r="D1240" s="4" t="s">
        <v>70</v>
      </c>
      <c r="E1240" s="4" t="s">
        <v>65</v>
      </c>
      <c r="F1240" s="4" t="s">
        <v>66</v>
      </c>
      <c r="G1240" s="4" t="n">
        <v>2</v>
      </c>
      <c r="H1240" s="4" t="n">
        <v>120</v>
      </c>
      <c r="I1240" s="18" t="n">
        <v>0</v>
      </c>
      <c r="J1240" s="4" t="s">
        <v>67</v>
      </c>
      <c r="K1240" s="4" t="s">
        <v>68</v>
      </c>
    </row>
    <row r="1241" customFormat="false" ht="15" hidden="false" customHeight="false" outlineLevel="0" collapsed="false">
      <c r="A1241" s="4" t="s">
        <v>1529</v>
      </c>
      <c r="B1241" s="17" t="n">
        <v>45899</v>
      </c>
      <c r="C1241" s="4" t="n">
        <v>20</v>
      </c>
      <c r="D1241" s="4" t="s">
        <v>64</v>
      </c>
      <c r="E1241" s="4" t="s">
        <v>99</v>
      </c>
      <c r="F1241" s="4" t="s">
        <v>109</v>
      </c>
      <c r="G1241" s="4" t="n">
        <v>1</v>
      </c>
      <c r="H1241" s="4" t="n">
        <v>130</v>
      </c>
      <c r="I1241" s="18" t="n">
        <v>0</v>
      </c>
      <c r="J1241" s="4" t="s">
        <v>290</v>
      </c>
      <c r="K1241" s="4" t="s">
        <v>77</v>
      </c>
    </row>
    <row r="1242" customFormat="false" ht="15" hidden="false" customHeight="false" outlineLevel="0" collapsed="false">
      <c r="A1242" s="4" t="s">
        <v>1530</v>
      </c>
      <c r="B1242" s="17" t="n">
        <v>45900</v>
      </c>
      <c r="C1242" s="4" t="n">
        <v>9</v>
      </c>
      <c r="D1242" s="4" t="s">
        <v>73</v>
      </c>
      <c r="E1242" s="4" t="s">
        <v>84</v>
      </c>
      <c r="F1242" s="4" t="s">
        <v>85</v>
      </c>
      <c r="G1242" s="4" t="n">
        <v>1</v>
      </c>
      <c r="H1242" s="4" t="n">
        <v>150</v>
      </c>
      <c r="I1242" s="18" t="n">
        <v>0</v>
      </c>
      <c r="J1242" s="4" t="s">
        <v>76</v>
      </c>
      <c r="K1242" s="4" t="s">
        <v>77</v>
      </c>
    </row>
    <row r="1243" customFormat="false" ht="15" hidden="false" customHeight="false" outlineLevel="0" collapsed="false">
      <c r="A1243" s="4" t="s">
        <v>1531</v>
      </c>
      <c r="B1243" s="17" t="n">
        <v>45900</v>
      </c>
      <c r="C1243" s="4" t="n">
        <v>10</v>
      </c>
      <c r="D1243" s="4" t="s">
        <v>64</v>
      </c>
      <c r="E1243" s="4" t="s">
        <v>99</v>
      </c>
      <c r="F1243" s="4" t="s">
        <v>133</v>
      </c>
      <c r="G1243" s="4" t="n">
        <v>2</v>
      </c>
      <c r="H1243" s="4" t="n">
        <v>90</v>
      </c>
      <c r="I1243" s="18" t="n">
        <v>0.1</v>
      </c>
      <c r="J1243" s="4" t="s">
        <v>67</v>
      </c>
      <c r="K1243" s="4" t="s">
        <v>71</v>
      </c>
    </row>
    <row r="1244" customFormat="false" ht="15" hidden="false" customHeight="false" outlineLevel="0" collapsed="false">
      <c r="A1244" s="4" t="s">
        <v>1532</v>
      </c>
      <c r="B1244" s="17" t="n">
        <v>45900</v>
      </c>
      <c r="C1244" s="4" t="n">
        <v>13</v>
      </c>
      <c r="D1244" s="4" t="s">
        <v>64</v>
      </c>
      <c r="E1244" s="4" t="s">
        <v>84</v>
      </c>
      <c r="F1244" s="4" t="s">
        <v>1533</v>
      </c>
      <c r="G1244" s="4" t="n">
        <v>1</v>
      </c>
      <c r="H1244" s="4" t="n">
        <v>85</v>
      </c>
      <c r="I1244" s="18" t="n">
        <v>0.2</v>
      </c>
      <c r="J1244" s="4" t="s">
        <v>67</v>
      </c>
      <c r="K1244" s="4" t="s">
        <v>77</v>
      </c>
    </row>
    <row r="1245" customFormat="false" ht="15" hidden="false" customHeight="false" outlineLevel="0" collapsed="false">
      <c r="A1245" s="4" t="s">
        <v>1534</v>
      </c>
      <c r="B1245" s="17" t="n">
        <v>45900</v>
      </c>
      <c r="C1245" s="4" t="n">
        <v>16</v>
      </c>
      <c r="D1245" s="4" t="s">
        <v>98</v>
      </c>
      <c r="E1245" s="4" t="s">
        <v>99</v>
      </c>
      <c r="F1245" s="4" t="s">
        <v>100</v>
      </c>
      <c r="G1245" s="4" t="n">
        <v>1</v>
      </c>
      <c r="H1245" s="4" t="n">
        <v>110</v>
      </c>
      <c r="I1245" s="18" t="n">
        <v>0.1</v>
      </c>
      <c r="J1245" s="4" t="s">
        <v>81</v>
      </c>
      <c r="K1245" s="4" t="s">
        <v>71</v>
      </c>
    </row>
    <row r="1246" customFormat="false" ht="15" hidden="false" customHeight="false" outlineLevel="0" collapsed="false">
      <c r="A1246" s="4" t="s">
        <v>1535</v>
      </c>
      <c r="B1246" s="17" t="n">
        <v>45900</v>
      </c>
      <c r="C1246" s="4" t="n">
        <v>19</v>
      </c>
      <c r="D1246" s="4" t="s">
        <v>70</v>
      </c>
      <c r="E1246" s="4" t="s">
        <v>84</v>
      </c>
      <c r="F1246" s="4" t="s">
        <v>85</v>
      </c>
      <c r="G1246" s="4" t="n">
        <v>1</v>
      </c>
      <c r="H1246" s="4" t="n">
        <v>150</v>
      </c>
      <c r="I1246" s="18" t="n">
        <v>0.15</v>
      </c>
      <c r="J1246" s="4" t="s">
        <v>112</v>
      </c>
      <c r="K1246" s="4" t="s">
        <v>71</v>
      </c>
    </row>
    <row r="1247" customFormat="false" ht="15" hidden="false" customHeight="false" outlineLevel="0" collapsed="false">
      <c r="A1247" s="4" t="s">
        <v>1536</v>
      </c>
      <c r="B1247" s="17" t="n">
        <v>45901</v>
      </c>
      <c r="C1247" s="4" t="n">
        <v>7</v>
      </c>
      <c r="D1247" s="4" t="s">
        <v>70</v>
      </c>
      <c r="E1247" s="4" t="s">
        <v>84</v>
      </c>
      <c r="F1247" s="4" t="s">
        <v>117</v>
      </c>
      <c r="G1247" s="4" t="n">
        <v>1</v>
      </c>
      <c r="H1247" s="4" t="n">
        <v>95</v>
      </c>
      <c r="I1247" s="18" t="n">
        <v>0</v>
      </c>
      <c r="J1247" s="4" t="s">
        <v>88</v>
      </c>
      <c r="K1247" s="4" t="s">
        <v>68</v>
      </c>
    </row>
    <row r="1248" customFormat="false" ht="15" hidden="false" customHeight="false" outlineLevel="0" collapsed="false">
      <c r="A1248" s="4" t="s">
        <v>1537</v>
      </c>
      <c r="B1248" s="17" t="n">
        <v>45901</v>
      </c>
      <c r="C1248" s="4" t="n">
        <v>8</v>
      </c>
      <c r="D1248" s="4" t="s">
        <v>70</v>
      </c>
      <c r="E1248" s="4" t="s">
        <v>99</v>
      </c>
      <c r="F1248" s="4" t="s">
        <v>102</v>
      </c>
      <c r="G1248" s="4" t="n">
        <v>2</v>
      </c>
      <c r="H1248" s="4" t="n">
        <v>140</v>
      </c>
      <c r="I1248" s="18" t="n">
        <v>0.1</v>
      </c>
      <c r="J1248" s="4" t="s">
        <v>81</v>
      </c>
      <c r="K1248" s="4" t="s">
        <v>71</v>
      </c>
    </row>
    <row r="1249" customFormat="false" ht="15" hidden="false" customHeight="false" outlineLevel="0" collapsed="false">
      <c r="A1249" s="4" t="s">
        <v>1538</v>
      </c>
      <c r="B1249" s="17" t="n">
        <v>45901</v>
      </c>
      <c r="C1249" s="4" t="n">
        <v>9</v>
      </c>
      <c r="D1249" s="4" t="s">
        <v>70</v>
      </c>
      <c r="E1249" s="4" t="s">
        <v>65</v>
      </c>
      <c r="F1249" s="4" t="s">
        <v>66</v>
      </c>
      <c r="G1249" s="4" t="n">
        <v>2</v>
      </c>
      <c r="H1249" s="4" t="n">
        <v>120</v>
      </c>
      <c r="I1249" s="18" t="n">
        <v>0</v>
      </c>
      <c r="J1249" s="4" t="s">
        <v>76</v>
      </c>
      <c r="K1249" s="4" t="s">
        <v>68</v>
      </c>
    </row>
    <row r="1250" customFormat="false" ht="15" hidden="false" customHeight="false" outlineLevel="0" collapsed="false">
      <c r="A1250" s="4" t="s">
        <v>1539</v>
      </c>
      <c r="B1250" s="17" t="n">
        <v>45901</v>
      </c>
      <c r="C1250" s="4" t="n">
        <v>9</v>
      </c>
      <c r="D1250" s="4" t="s">
        <v>70</v>
      </c>
      <c r="E1250" s="4" t="s">
        <v>65</v>
      </c>
      <c r="F1250" s="4" t="s">
        <v>87</v>
      </c>
      <c r="G1250" s="4" t="n">
        <v>1</v>
      </c>
      <c r="H1250" s="4" t="n">
        <v>160</v>
      </c>
      <c r="I1250" s="18" t="n">
        <v>0</v>
      </c>
      <c r="J1250" s="4" t="s">
        <v>81</v>
      </c>
      <c r="K1250" s="4" t="s">
        <v>68</v>
      </c>
    </row>
    <row r="1251" customFormat="false" ht="15" hidden="false" customHeight="false" outlineLevel="0" collapsed="false">
      <c r="A1251" s="4" t="s">
        <v>1540</v>
      </c>
      <c r="B1251" s="4" t="s">
        <v>1541</v>
      </c>
      <c r="C1251" s="4" t="n">
        <v>10</v>
      </c>
      <c r="D1251" s="4" t="s">
        <v>70</v>
      </c>
      <c r="E1251" s="4" t="s">
        <v>65</v>
      </c>
      <c r="F1251" s="4" t="s">
        <v>94</v>
      </c>
      <c r="G1251" s="4" t="n">
        <v>1</v>
      </c>
      <c r="H1251" s="4" t="n">
        <v>150</v>
      </c>
      <c r="I1251" s="18" t="n">
        <v>0</v>
      </c>
      <c r="J1251" s="4" t="s">
        <v>67</v>
      </c>
      <c r="K1251" s="4" t="s">
        <v>68</v>
      </c>
    </row>
    <row r="1252" customFormat="false" ht="15" hidden="false" customHeight="false" outlineLevel="0" collapsed="false">
      <c r="A1252" s="4" t="s">
        <v>1542</v>
      </c>
      <c r="B1252" s="17" t="n">
        <v>45901</v>
      </c>
      <c r="C1252" s="4" t="n">
        <v>16</v>
      </c>
      <c r="D1252" s="4" t="s">
        <v>166</v>
      </c>
      <c r="E1252" s="4" t="s">
        <v>99</v>
      </c>
      <c r="F1252" s="4" t="s">
        <v>102</v>
      </c>
      <c r="G1252" s="4" t="n">
        <v>1</v>
      </c>
      <c r="H1252" s="4" t="n">
        <v>140</v>
      </c>
      <c r="I1252" s="18" t="n">
        <v>0</v>
      </c>
      <c r="J1252" s="4" t="s">
        <v>67</v>
      </c>
      <c r="K1252" s="4" t="s">
        <v>68</v>
      </c>
    </row>
    <row r="1253" customFormat="false" ht="15" hidden="false" customHeight="false" outlineLevel="0" collapsed="false">
      <c r="A1253" s="4" t="s">
        <v>1543</v>
      </c>
      <c r="B1253" s="17" t="n">
        <v>45901</v>
      </c>
      <c r="C1253" s="4" t="n">
        <v>18</v>
      </c>
      <c r="D1253" s="4" t="s">
        <v>64</v>
      </c>
      <c r="E1253" s="4" t="s">
        <v>99</v>
      </c>
      <c r="F1253" s="4" t="s">
        <v>102</v>
      </c>
      <c r="G1253" s="4" t="n">
        <v>1</v>
      </c>
      <c r="H1253" s="4" t="n">
        <v>140</v>
      </c>
      <c r="J1253" s="4" t="s">
        <v>76</v>
      </c>
      <c r="K1253" s="4" t="s">
        <v>77</v>
      </c>
    </row>
    <row r="1254" customFormat="false" ht="15" hidden="false" customHeight="false" outlineLevel="0" collapsed="false">
      <c r="A1254" s="4" t="s">
        <v>1544</v>
      </c>
      <c r="B1254" s="17" t="n">
        <v>45902</v>
      </c>
      <c r="C1254" s="4" t="n">
        <v>7</v>
      </c>
      <c r="D1254" s="4" t="s">
        <v>64</v>
      </c>
      <c r="E1254" s="4" t="s">
        <v>99</v>
      </c>
      <c r="F1254" s="4" t="s">
        <v>102</v>
      </c>
      <c r="G1254" s="4" t="n">
        <v>1</v>
      </c>
      <c r="H1254" s="4" t="n">
        <v>140</v>
      </c>
      <c r="I1254" s="18" t="n">
        <v>0.05</v>
      </c>
      <c r="J1254" s="4" t="s">
        <v>67</v>
      </c>
      <c r="K1254" s="4" t="s">
        <v>82</v>
      </c>
    </row>
    <row r="1255" customFormat="false" ht="15" hidden="false" customHeight="false" outlineLevel="0" collapsed="false">
      <c r="A1255" s="4" t="s">
        <v>1545</v>
      </c>
      <c r="B1255" s="17" t="n">
        <v>45902</v>
      </c>
      <c r="C1255" s="4" t="n">
        <v>9</v>
      </c>
      <c r="D1255" s="4" t="s">
        <v>64</v>
      </c>
      <c r="E1255" s="4" t="s">
        <v>84</v>
      </c>
      <c r="F1255" s="4" t="s">
        <v>114</v>
      </c>
      <c r="G1255" s="4" t="n">
        <v>1</v>
      </c>
      <c r="H1255" s="4" t="n">
        <v>85</v>
      </c>
      <c r="I1255" s="18" t="n">
        <v>0</v>
      </c>
      <c r="J1255" s="4" t="s">
        <v>67</v>
      </c>
      <c r="K1255" s="4" t="s">
        <v>77</v>
      </c>
    </row>
    <row r="1256" customFormat="false" ht="15" hidden="false" customHeight="false" outlineLevel="0" collapsed="false">
      <c r="A1256" s="4" t="s">
        <v>1546</v>
      </c>
      <c r="B1256" s="17" t="n">
        <v>45902</v>
      </c>
      <c r="C1256" s="4" t="n">
        <v>10</v>
      </c>
      <c r="D1256" s="4" t="s">
        <v>70</v>
      </c>
      <c r="E1256" s="4" t="s">
        <v>99</v>
      </c>
      <c r="F1256" s="4" t="s">
        <v>100</v>
      </c>
      <c r="G1256" s="4" t="n">
        <v>1</v>
      </c>
      <c r="H1256" s="4" t="n">
        <v>110</v>
      </c>
      <c r="I1256" s="18" t="n">
        <v>0.1</v>
      </c>
      <c r="J1256" s="4" t="s">
        <v>81</v>
      </c>
      <c r="K1256" s="4" t="s">
        <v>71</v>
      </c>
    </row>
    <row r="1257" customFormat="false" ht="15" hidden="false" customHeight="false" outlineLevel="0" collapsed="false">
      <c r="A1257" s="4" t="s">
        <v>1547</v>
      </c>
      <c r="B1257" s="17" t="n">
        <v>45902</v>
      </c>
      <c r="C1257" s="4" t="n">
        <v>16</v>
      </c>
      <c r="D1257" s="4" t="s">
        <v>70</v>
      </c>
      <c r="E1257" s="4" t="s">
        <v>84</v>
      </c>
      <c r="F1257" s="4" t="s">
        <v>117</v>
      </c>
      <c r="G1257" s="4" t="n">
        <v>1</v>
      </c>
      <c r="H1257" s="4" t="n">
        <v>95</v>
      </c>
      <c r="I1257" s="18" t="n">
        <v>0.05</v>
      </c>
      <c r="J1257" s="4" t="s">
        <v>290</v>
      </c>
      <c r="K1257" s="4" t="s">
        <v>82</v>
      </c>
    </row>
    <row r="1258" customFormat="false" ht="15" hidden="false" customHeight="false" outlineLevel="0" collapsed="false">
      <c r="A1258" s="4" t="s">
        <v>1548</v>
      </c>
      <c r="B1258" s="17" t="n">
        <v>45902</v>
      </c>
      <c r="C1258" s="4" t="n">
        <v>16</v>
      </c>
      <c r="D1258" s="4" t="s">
        <v>73</v>
      </c>
      <c r="E1258" s="4" t="s">
        <v>74</v>
      </c>
      <c r="F1258" s="4" t="s">
        <v>91</v>
      </c>
      <c r="G1258" s="4" t="n">
        <v>1</v>
      </c>
      <c r="H1258" s="4" t="n">
        <v>200</v>
      </c>
      <c r="I1258" s="18" t="n">
        <v>0</v>
      </c>
      <c r="J1258" s="4" t="s">
        <v>67</v>
      </c>
      <c r="K1258" s="4" t="s">
        <v>68</v>
      </c>
    </row>
    <row r="1259" customFormat="false" ht="15" hidden="false" customHeight="false" outlineLevel="0" collapsed="false">
      <c r="A1259" s="4" t="s">
        <v>1549</v>
      </c>
      <c r="B1259" s="17" t="n">
        <v>45902</v>
      </c>
      <c r="C1259" s="4" t="n">
        <v>16</v>
      </c>
      <c r="D1259" s="4" t="s">
        <v>73</v>
      </c>
      <c r="E1259" s="4" t="s">
        <v>99</v>
      </c>
      <c r="F1259" s="4" t="s">
        <v>109</v>
      </c>
      <c r="G1259" s="4" t="n">
        <v>2</v>
      </c>
      <c r="H1259" s="4" t="n">
        <v>130</v>
      </c>
      <c r="I1259" s="18" t="n">
        <v>0.05</v>
      </c>
      <c r="J1259" s="4" t="s">
        <v>112</v>
      </c>
      <c r="K1259" s="4" t="s">
        <v>82</v>
      </c>
    </row>
    <row r="1260" customFormat="false" ht="15" hidden="false" customHeight="false" outlineLevel="0" collapsed="false">
      <c r="A1260" s="4" t="s">
        <v>1550</v>
      </c>
      <c r="B1260" s="17" t="n">
        <v>45903</v>
      </c>
      <c r="C1260" s="4" t="n">
        <v>7</v>
      </c>
      <c r="D1260" s="4" t="s">
        <v>70</v>
      </c>
      <c r="E1260" s="4" t="s">
        <v>84</v>
      </c>
      <c r="F1260" s="4" t="s">
        <v>117</v>
      </c>
      <c r="G1260" s="4" t="n">
        <v>3</v>
      </c>
      <c r="H1260" s="4" t="n">
        <v>95</v>
      </c>
      <c r="I1260" s="18" t="n">
        <v>0</v>
      </c>
      <c r="J1260" s="4" t="s">
        <v>112</v>
      </c>
      <c r="K1260" s="4" t="s">
        <v>77</v>
      </c>
    </row>
    <row r="1261" customFormat="false" ht="15" hidden="false" customHeight="false" outlineLevel="0" collapsed="false">
      <c r="A1261" s="4" t="s">
        <v>1551</v>
      </c>
      <c r="B1261" s="17" t="n">
        <v>45903</v>
      </c>
      <c r="C1261" s="4" t="n">
        <v>7</v>
      </c>
      <c r="D1261" s="4" t="s">
        <v>73</v>
      </c>
      <c r="E1261" s="4" t="s">
        <v>79</v>
      </c>
      <c r="F1261" s="4" t="s">
        <v>148</v>
      </c>
      <c r="G1261" s="4" t="n">
        <v>1</v>
      </c>
      <c r="H1261" s="4" t="n">
        <v>120</v>
      </c>
      <c r="I1261" s="18" t="n">
        <v>0</v>
      </c>
      <c r="J1261" s="4" t="s">
        <v>81</v>
      </c>
      <c r="K1261" s="4" t="s">
        <v>77</v>
      </c>
    </row>
    <row r="1262" customFormat="false" ht="15" hidden="false" customHeight="false" outlineLevel="0" collapsed="false">
      <c r="A1262" s="4" t="s">
        <v>1552</v>
      </c>
      <c r="B1262" s="17" t="n">
        <v>45903</v>
      </c>
      <c r="C1262" s="4" t="n">
        <v>8</v>
      </c>
      <c r="D1262" s="4" t="s">
        <v>70</v>
      </c>
      <c r="E1262" s="4" t="s">
        <v>79</v>
      </c>
      <c r="F1262" s="4" t="s">
        <v>80</v>
      </c>
      <c r="G1262" s="4" t="n">
        <v>2</v>
      </c>
      <c r="H1262" s="4" t="n">
        <v>160</v>
      </c>
      <c r="I1262" s="18" t="n">
        <v>0</v>
      </c>
      <c r="J1262" s="4" t="s">
        <v>76</v>
      </c>
      <c r="K1262" s="4" t="s">
        <v>68</v>
      </c>
    </row>
    <row r="1263" customFormat="false" ht="15" hidden="false" customHeight="false" outlineLevel="0" collapsed="false">
      <c r="A1263" s="4" t="s">
        <v>1553</v>
      </c>
      <c r="B1263" s="17" t="n">
        <v>45903</v>
      </c>
      <c r="C1263" s="4" t="n">
        <v>12</v>
      </c>
      <c r="D1263" s="4" t="s">
        <v>166</v>
      </c>
      <c r="E1263" s="4" t="s">
        <v>99</v>
      </c>
      <c r="F1263" s="4" t="s">
        <v>109</v>
      </c>
      <c r="G1263" s="4" t="n">
        <v>1</v>
      </c>
      <c r="H1263" s="4" t="n">
        <v>130</v>
      </c>
      <c r="I1263" s="18" t="n">
        <v>0.1</v>
      </c>
      <c r="K1263" s="4" t="s">
        <v>71</v>
      </c>
    </row>
    <row r="1264" customFormat="false" ht="15" hidden="false" customHeight="false" outlineLevel="0" collapsed="false">
      <c r="A1264" s="4" t="s">
        <v>1554</v>
      </c>
      <c r="B1264" s="17" t="n">
        <v>45903</v>
      </c>
      <c r="C1264" s="4" t="n">
        <v>13</v>
      </c>
      <c r="D1264" s="4" t="s">
        <v>70</v>
      </c>
      <c r="E1264" s="4" t="s">
        <v>99</v>
      </c>
      <c r="F1264" s="4" t="s">
        <v>102</v>
      </c>
      <c r="G1264" s="4" t="n">
        <v>-3</v>
      </c>
      <c r="H1264" s="4" t="n">
        <v>140</v>
      </c>
      <c r="I1264" s="18" t="n">
        <v>0.15</v>
      </c>
      <c r="J1264" s="4" t="s">
        <v>76</v>
      </c>
      <c r="K1264" s="4" t="s">
        <v>77</v>
      </c>
    </row>
    <row r="1265" customFormat="false" ht="15" hidden="false" customHeight="false" outlineLevel="0" collapsed="false">
      <c r="A1265" s="4" t="s">
        <v>1555</v>
      </c>
      <c r="B1265" s="17" t="n">
        <v>45903</v>
      </c>
      <c r="C1265" s="4" t="n">
        <v>16</v>
      </c>
      <c r="D1265" s="4" t="s">
        <v>70</v>
      </c>
      <c r="E1265" s="4" t="s">
        <v>99</v>
      </c>
      <c r="F1265" s="4" t="s">
        <v>109</v>
      </c>
      <c r="G1265" s="4" t="n">
        <v>1</v>
      </c>
      <c r="H1265" s="4" t="n">
        <v>130</v>
      </c>
      <c r="I1265" s="18" t="n">
        <v>0.1</v>
      </c>
      <c r="J1265" s="4" t="s">
        <v>67</v>
      </c>
      <c r="K1265" s="4" t="s">
        <v>71</v>
      </c>
    </row>
    <row r="1266" customFormat="false" ht="15" hidden="false" customHeight="false" outlineLevel="0" collapsed="false">
      <c r="A1266" s="4" t="s">
        <v>1556</v>
      </c>
      <c r="B1266" s="17" t="n">
        <v>45903</v>
      </c>
      <c r="C1266" s="4" t="n">
        <v>16</v>
      </c>
      <c r="D1266" s="4" t="s">
        <v>64</v>
      </c>
      <c r="E1266" s="4" t="s">
        <v>65</v>
      </c>
      <c r="F1266" s="4" t="s">
        <v>121</v>
      </c>
      <c r="G1266" s="4" t="n">
        <v>1</v>
      </c>
      <c r="H1266" s="4" t="n">
        <v>170</v>
      </c>
      <c r="I1266" s="18" t="n">
        <v>0</v>
      </c>
      <c r="J1266" s="4" t="s">
        <v>81</v>
      </c>
      <c r="K1266" s="4" t="s">
        <v>77</v>
      </c>
    </row>
    <row r="1267" customFormat="false" ht="15" hidden="false" customHeight="false" outlineLevel="0" collapsed="false">
      <c r="A1267" s="4" t="s">
        <v>1557</v>
      </c>
      <c r="B1267" s="17" t="n">
        <v>45904</v>
      </c>
      <c r="C1267" s="4" t="n">
        <v>7</v>
      </c>
      <c r="D1267" s="4" t="s">
        <v>73</v>
      </c>
      <c r="E1267" s="4" t="s">
        <v>99</v>
      </c>
      <c r="F1267" s="4" t="s">
        <v>102</v>
      </c>
      <c r="G1267" s="4" t="n">
        <v>1</v>
      </c>
      <c r="H1267" s="4" t="n">
        <v>140</v>
      </c>
      <c r="I1267" s="18" t="n">
        <v>0</v>
      </c>
      <c r="J1267" s="4" t="s">
        <v>76</v>
      </c>
      <c r="K1267" s="4" t="s">
        <v>68</v>
      </c>
    </row>
    <row r="1268" customFormat="false" ht="15" hidden="false" customHeight="false" outlineLevel="0" collapsed="false">
      <c r="A1268" s="4" t="s">
        <v>1558</v>
      </c>
      <c r="B1268" s="17" t="n">
        <v>45904</v>
      </c>
      <c r="C1268" s="4" t="n">
        <v>15</v>
      </c>
      <c r="D1268" s="4" t="s">
        <v>98</v>
      </c>
      <c r="E1268" s="4" t="s">
        <v>84</v>
      </c>
      <c r="F1268" s="4" t="s">
        <v>114</v>
      </c>
      <c r="G1268" s="4" t="n">
        <v>1</v>
      </c>
      <c r="H1268" s="4" t="n">
        <v>85</v>
      </c>
      <c r="I1268" s="18" t="n">
        <v>0.05</v>
      </c>
      <c r="J1268" s="4" t="s">
        <v>76</v>
      </c>
      <c r="K1268" s="4" t="s">
        <v>82</v>
      </c>
    </row>
    <row r="1269" customFormat="false" ht="15" hidden="false" customHeight="false" outlineLevel="0" collapsed="false">
      <c r="A1269" s="4" t="s">
        <v>1559</v>
      </c>
      <c r="B1269" s="17" t="n">
        <v>45904</v>
      </c>
      <c r="C1269" s="4" t="n">
        <v>15</v>
      </c>
      <c r="D1269" s="4" t="s">
        <v>64</v>
      </c>
      <c r="E1269" s="4" t="s">
        <v>84</v>
      </c>
      <c r="F1269" s="4" t="s">
        <v>114</v>
      </c>
      <c r="G1269" s="4" t="n">
        <v>1</v>
      </c>
      <c r="H1269" s="4" t="n">
        <v>85</v>
      </c>
      <c r="I1269" s="18" t="n">
        <v>0</v>
      </c>
      <c r="J1269" s="4" t="s">
        <v>81</v>
      </c>
      <c r="K1269" s="4" t="s">
        <v>68</v>
      </c>
    </row>
    <row r="1270" customFormat="false" ht="15" hidden="false" customHeight="false" outlineLevel="0" collapsed="false">
      <c r="A1270" s="4" t="s">
        <v>1560</v>
      </c>
      <c r="B1270" s="4" t="s">
        <v>1561</v>
      </c>
      <c r="C1270" s="4" t="n">
        <v>15</v>
      </c>
      <c r="D1270" s="4" t="s">
        <v>70</v>
      </c>
      <c r="E1270" s="4" t="s">
        <v>65</v>
      </c>
      <c r="F1270" s="4" t="s">
        <v>87</v>
      </c>
      <c r="G1270" s="4" t="n">
        <v>1</v>
      </c>
      <c r="H1270" s="4" t="n">
        <v>160</v>
      </c>
      <c r="I1270" s="18" t="n">
        <v>0.1</v>
      </c>
      <c r="J1270" s="4" t="s">
        <v>76</v>
      </c>
      <c r="K1270" s="4" t="s">
        <v>71</v>
      </c>
    </row>
    <row r="1271" customFormat="false" ht="15" hidden="false" customHeight="false" outlineLevel="0" collapsed="false">
      <c r="A1271" s="4" t="s">
        <v>1562</v>
      </c>
      <c r="B1271" s="17" t="n">
        <v>45904</v>
      </c>
      <c r="C1271" s="4" t="n">
        <v>17</v>
      </c>
      <c r="D1271" s="4" t="s">
        <v>73</v>
      </c>
      <c r="E1271" s="4" t="s">
        <v>99</v>
      </c>
      <c r="F1271" s="4" t="s">
        <v>100</v>
      </c>
      <c r="G1271" s="4" t="n">
        <v>2</v>
      </c>
      <c r="H1271" s="4" t="n">
        <v>110</v>
      </c>
      <c r="I1271" s="18" t="n">
        <v>0.05</v>
      </c>
      <c r="J1271" s="4" t="s">
        <v>81</v>
      </c>
      <c r="K1271" s="4" t="s">
        <v>82</v>
      </c>
    </row>
    <row r="1272" customFormat="false" ht="15" hidden="false" customHeight="false" outlineLevel="0" collapsed="false">
      <c r="A1272" s="4" t="s">
        <v>1563</v>
      </c>
      <c r="B1272" s="17" t="n">
        <v>45904</v>
      </c>
      <c r="C1272" s="4" t="n">
        <v>18</v>
      </c>
      <c r="D1272" s="4" t="s">
        <v>70</v>
      </c>
      <c r="E1272" s="4" t="s">
        <v>74</v>
      </c>
      <c r="F1272" s="4" t="s">
        <v>139</v>
      </c>
      <c r="G1272" s="4" t="n">
        <v>1</v>
      </c>
      <c r="H1272" s="4" t="n">
        <v>260</v>
      </c>
      <c r="J1272" s="4" t="s">
        <v>81</v>
      </c>
      <c r="K1272" s="4" t="s">
        <v>68</v>
      </c>
    </row>
    <row r="1273" customFormat="false" ht="15" hidden="false" customHeight="false" outlineLevel="0" collapsed="false">
      <c r="A1273" s="4" t="s">
        <v>1564</v>
      </c>
      <c r="B1273" s="17" t="n">
        <v>45904</v>
      </c>
      <c r="C1273" s="4" t="n">
        <v>19</v>
      </c>
      <c r="D1273" s="4" t="s">
        <v>225</v>
      </c>
      <c r="E1273" s="4" t="s">
        <v>84</v>
      </c>
      <c r="F1273" s="4" t="s">
        <v>85</v>
      </c>
      <c r="G1273" s="4" t="n">
        <v>1</v>
      </c>
      <c r="H1273" s="4" t="n">
        <v>150</v>
      </c>
      <c r="I1273" s="18" t="n">
        <v>0</v>
      </c>
      <c r="J1273" s="4" t="s">
        <v>67</v>
      </c>
      <c r="K1273" s="4" t="s">
        <v>68</v>
      </c>
    </row>
    <row r="1274" customFormat="false" ht="15" hidden="false" customHeight="false" outlineLevel="0" collapsed="false">
      <c r="A1274" s="4" t="s">
        <v>1565</v>
      </c>
      <c r="B1274" s="17" t="n">
        <v>45905</v>
      </c>
      <c r="C1274" s="4" t="n">
        <v>16</v>
      </c>
      <c r="D1274" s="4" t="s">
        <v>64</v>
      </c>
      <c r="E1274" s="4" t="s">
        <v>65</v>
      </c>
      <c r="F1274" s="4" t="s">
        <v>94</v>
      </c>
      <c r="G1274" s="4" t="n">
        <v>1</v>
      </c>
      <c r="H1274" s="4" t="n">
        <v>150</v>
      </c>
      <c r="I1274" s="18" t="n">
        <v>0</v>
      </c>
      <c r="J1274" s="4" t="s">
        <v>67</v>
      </c>
      <c r="K1274" s="4" t="s">
        <v>68</v>
      </c>
    </row>
    <row r="1275" customFormat="false" ht="15" hidden="false" customHeight="false" outlineLevel="0" collapsed="false">
      <c r="A1275" s="4" t="s">
        <v>1566</v>
      </c>
      <c r="B1275" s="17" t="n">
        <v>45905</v>
      </c>
      <c r="C1275" s="4" t="n">
        <v>16</v>
      </c>
      <c r="D1275" s="4" t="s">
        <v>70</v>
      </c>
      <c r="E1275" s="4" t="s">
        <v>84</v>
      </c>
      <c r="F1275" s="4" t="s">
        <v>106</v>
      </c>
      <c r="G1275" s="4" t="n">
        <v>1</v>
      </c>
      <c r="H1275" s="4" t="n">
        <v>60</v>
      </c>
      <c r="I1275" s="18" t="n">
        <v>0.05</v>
      </c>
      <c r="J1275" s="4" t="s">
        <v>67</v>
      </c>
      <c r="K1275" s="4" t="s">
        <v>82</v>
      </c>
    </row>
    <row r="1276" customFormat="false" ht="15" hidden="false" customHeight="false" outlineLevel="0" collapsed="false">
      <c r="A1276" s="4" t="s">
        <v>1567</v>
      </c>
      <c r="B1276" s="17" t="n">
        <v>45905</v>
      </c>
      <c r="C1276" s="4" t="n">
        <v>16</v>
      </c>
      <c r="D1276" s="4" t="s">
        <v>70</v>
      </c>
      <c r="E1276" s="4" t="s">
        <v>462</v>
      </c>
      <c r="F1276" s="4" t="s">
        <v>121</v>
      </c>
      <c r="G1276" s="4" t="n">
        <v>2</v>
      </c>
      <c r="H1276" s="4" t="n">
        <v>170</v>
      </c>
      <c r="I1276" s="18" t="n">
        <v>0</v>
      </c>
      <c r="J1276" s="4" t="s">
        <v>81</v>
      </c>
      <c r="K1276" s="4" t="s">
        <v>68</v>
      </c>
    </row>
    <row r="1277" customFormat="false" ht="15" hidden="false" customHeight="false" outlineLevel="0" collapsed="false">
      <c r="A1277" s="4" t="s">
        <v>1568</v>
      </c>
      <c r="B1277" s="17" t="n">
        <v>45905</v>
      </c>
      <c r="C1277" s="4" t="n">
        <v>17</v>
      </c>
      <c r="D1277" s="4" t="s">
        <v>70</v>
      </c>
      <c r="E1277" s="4" t="s">
        <v>65</v>
      </c>
      <c r="F1277" s="4" t="s">
        <v>94</v>
      </c>
      <c r="G1277" s="4" t="n">
        <v>2</v>
      </c>
      <c r="H1277" s="4" t="n">
        <v>150</v>
      </c>
      <c r="I1277" s="18" t="n">
        <v>0</v>
      </c>
      <c r="J1277" s="4" t="s">
        <v>76</v>
      </c>
      <c r="K1277" s="4" t="s">
        <v>68</v>
      </c>
    </row>
    <row r="1278" customFormat="false" ht="15" hidden="false" customHeight="false" outlineLevel="0" collapsed="false">
      <c r="A1278" s="4" t="s">
        <v>1569</v>
      </c>
      <c r="B1278" s="17" t="n">
        <v>45906</v>
      </c>
      <c r="C1278" s="4" t="n">
        <v>7</v>
      </c>
      <c r="D1278" s="4" t="s">
        <v>73</v>
      </c>
      <c r="E1278" s="4" t="s">
        <v>99</v>
      </c>
      <c r="F1278" s="4" t="s">
        <v>102</v>
      </c>
      <c r="G1278" s="4" t="n">
        <v>1</v>
      </c>
      <c r="H1278" s="4" t="n">
        <v>140</v>
      </c>
      <c r="I1278" s="18" t="n">
        <v>0</v>
      </c>
      <c r="J1278" s="4" t="s">
        <v>76</v>
      </c>
      <c r="K1278" s="4" t="s">
        <v>77</v>
      </c>
    </row>
    <row r="1279" customFormat="false" ht="15" hidden="false" customHeight="false" outlineLevel="0" collapsed="false">
      <c r="A1279" s="4" t="s">
        <v>1570</v>
      </c>
      <c r="B1279" s="17" t="n">
        <v>45906</v>
      </c>
      <c r="C1279" s="4" t="n">
        <v>10</v>
      </c>
      <c r="D1279" s="4" t="s">
        <v>70</v>
      </c>
      <c r="E1279" s="4" t="s">
        <v>65</v>
      </c>
      <c r="F1279" s="4" t="s">
        <v>94</v>
      </c>
      <c r="G1279" s="4" t="n">
        <v>1</v>
      </c>
      <c r="H1279" s="4" t="n">
        <v>150</v>
      </c>
      <c r="I1279" s="18" t="n">
        <v>0</v>
      </c>
      <c r="J1279" s="4" t="s">
        <v>67</v>
      </c>
      <c r="K1279" s="4" t="s">
        <v>68</v>
      </c>
    </row>
    <row r="1280" customFormat="false" ht="15" hidden="false" customHeight="false" outlineLevel="0" collapsed="false">
      <c r="A1280" s="4" t="s">
        <v>1571</v>
      </c>
      <c r="B1280" s="17" t="n">
        <v>45906</v>
      </c>
      <c r="C1280" s="4" t="n">
        <v>11</v>
      </c>
      <c r="D1280" s="4" t="s">
        <v>73</v>
      </c>
      <c r="E1280" s="4" t="s">
        <v>159</v>
      </c>
      <c r="F1280" s="4" t="s">
        <v>91</v>
      </c>
      <c r="G1280" s="4" t="n">
        <v>1</v>
      </c>
      <c r="H1280" s="4" t="n">
        <v>200</v>
      </c>
      <c r="I1280" s="18" t="n">
        <v>0.05</v>
      </c>
      <c r="J1280" s="4" t="s">
        <v>76</v>
      </c>
      <c r="K1280" s="4" t="s">
        <v>82</v>
      </c>
    </row>
    <row r="1281" customFormat="false" ht="15" hidden="false" customHeight="false" outlineLevel="0" collapsed="false">
      <c r="A1281" s="4" t="s">
        <v>1572</v>
      </c>
      <c r="B1281" s="4" t="s">
        <v>1573</v>
      </c>
      <c r="C1281" s="4" t="n">
        <v>12</v>
      </c>
      <c r="D1281" s="4" t="s">
        <v>98</v>
      </c>
      <c r="E1281" s="4" t="s">
        <v>65</v>
      </c>
      <c r="F1281" s="4" t="s">
        <v>87</v>
      </c>
      <c r="G1281" s="4" t="n">
        <v>2</v>
      </c>
      <c r="H1281" s="4" t="n">
        <v>160</v>
      </c>
      <c r="I1281" s="18" t="n">
        <v>0</v>
      </c>
      <c r="J1281" s="4" t="s">
        <v>81</v>
      </c>
      <c r="K1281" s="4" t="s">
        <v>68</v>
      </c>
    </row>
    <row r="1282" customFormat="false" ht="15" hidden="false" customHeight="false" outlineLevel="0" collapsed="false">
      <c r="A1282" s="4" t="s">
        <v>1574</v>
      </c>
      <c r="B1282" s="17" t="n">
        <v>45906</v>
      </c>
      <c r="C1282" s="4" t="n">
        <v>16</v>
      </c>
      <c r="D1282" s="4" t="s">
        <v>64</v>
      </c>
      <c r="E1282" s="4" t="s">
        <v>84</v>
      </c>
      <c r="F1282" s="4" t="s">
        <v>117</v>
      </c>
      <c r="G1282" s="4" t="n">
        <v>1</v>
      </c>
      <c r="H1282" s="4" t="n">
        <v>95</v>
      </c>
      <c r="I1282" s="18" t="n">
        <v>0</v>
      </c>
      <c r="J1282" s="4" t="s">
        <v>76</v>
      </c>
      <c r="K1282" s="4" t="s">
        <v>77</v>
      </c>
    </row>
    <row r="1283" customFormat="false" ht="15" hidden="false" customHeight="false" outlineLevel="0" collapsed="false">
      <c r="A1283" s="4" t="s">
        <v>1575</v>
      </c>
      <c r="B1283" s="4" t="s">
        <v>1573</v>
      </c>
      <c r="C1283" s="4" t="n">
        <v>18</v>
      </c>
      <c r="D1283" s="4" t="s">
        <v>98</v>
      </c>
      <c r="E1283" s="4" t="s">
        <v>79</v>
      </c>
      <c r="F1283" s="4" t="s">
        <v>264</v>
      </c>
      <c r="G1283" s="4" t="n">
        <v>1</v>
      </c>
      <c r="H1283" s="4" t="n">
        <v>120</v>
      </c>
      <c r="I1283" s="18" t="n">
        <v>0</v>
      </c>
      <c r="J1283" s="4" t="s">
        <v>112</v>
      </c>
      <c r="K1283" s="4" t="s">
        <v>68</v>
      </c>
    </row>
    <row r="1284" customFormat="false" ht="15" hidden="false" customHeight="false" outlineLevel="0" collapsed="false">
      <c r="A1284" s="4" t="s">
        <v>1576</v>
      </c>
      <c r="B1284" s="17" t="n">
        <v>45907</v>
      </c>
      <c r="C1284" s="4" t="n">
        <v>12</v>
      </c>
      <c r="D1284" s="4" t="s">
        <v>73</v>
      </c>
      <c r="E1284" s="4" t="s">
        <v>79</v>
      </c>
      <c r="F1284" s="4" t="s">
        <v>148</v>
      </c>
      <c r="G1284" s="4" t="n">
        <v>1</v>
      </c>
      <c r="H1284" s="4" t="n">
        <v>120</v>
      </c>
      <c r="I1284" s="18" t="n">
        <v>0.15</v>
      </c>
      <c r="K1284" s="4" t="s">
        <v>82</v>
      </c>
    </row>
    <row r="1285" customFormat="false" ht="15" hidden="false" customHeight="false" outlineLevel="0" collapsed="false">
      <c r="A1285" s="4" t="s">
        <v>1577</v>
      </c>
      <c r="B1285" s="17" t="n">
        <v>45907</v>
      </c>
      <c r="C1285" s="4" t="n">
        <v>16</v>
      </c>
      <c r="D1285" s="4" t="s">
        <v>64</v>
      </c>
      <c r="E1285" s="4" t="s">
        <v>65</v>
      </c>
      <c r="F1285" s="4" t="s">
        <v>66</v>
      </c>
      <c r="G1285" s="4" t="n">
        <v>1</v>
      </c>
      <c r="H1285" s="4" t="n">
        <v>120</v>
      </c>
      <c r="I1285" s="18" t="n">
        <v>0.15</v>
      </c>
      <c r="J1285" s="4" t="s">
        <v>67</v>
      </c>
      <c r="K1285" s="4" t="s">
        <v>77</v>
      </c>
    </row>
    <row r="1286" customFormat="false" ht="15" hidden="false" customHeight="false" outlineLevel="0" collapsed="false">
      <c r="A1286" s="4" t="s">
        <v>1578</v>
      </c>
      <c r="B1286" s="17" t="n">
        <v>45907</v>
      </c>
      <c r="C1286" s="4" t="n">
        <v>19</v>
      </c>
      <c r="D1286" s="4" t="s">
        <v>64</v>
      </c>
      <c r="E1286" s="4" t="s">
        <v>84</v>
      </c>
      <c r="F1286" s="4" t="s">
        <v>117</v>
      </c>
      <c r="G1286" s="4" t="n">
        <v>2</v>
      </c>
      <c r="H1286" s="4" t="n">
        <v>95</v>
      </c>
      <c r="I1286" s="18" t="n">
        <v>0</v>
      </c>
      <c r="J1286" s="4" t="s">
        <v>67</v>
      </c>
      <c r="K1286" s="4" t="s">
        <v>68</v>
      </c>
    </row>
    <row r="1287" customFormat="false" ht="15" hidden="false" customHeight="false" outlineLevel="0" collapsed="false">
      <c r="A1287" s="4" t="s">
        <v>1579</v>
      </c>
      <c r="B1287" s="17" t="n">
        <v>45908</v>
      </c>
      <c r="C1287" s="4" t="n">
        <v>8</v>
      </c>
      <c r="D1287" s="4" t="s">
        <v>73</v>
      </c>
      <c r="E1287" s="4" t="s">
        <v>65</v>
      </c>
      <c r="F1287" s="4" t="s">
        <v>94</v>
      </c>
      <c r="G1287" s="4" t="n">
        <v>2</v>
      </c>
      <c r="H1287" s="4" t="n">
        <v>150</v>
      </c>
      <c r="I1287" s="18" t="n">
        <v>0</v>
      </c>
      <c r="J1287" s="4" t="s">
        <v>81</v>
      </c>
      <c r="K1287" s="4" t="s">
        <v>77</v>
      </c>
    </row>
    <row r="1288" customFormat="false" ht="15" hidden="false" customHeight="false" outlineLevel="0" collapsed="false">
      <c r="A1288" s="4" t="s">
        <v>1580</v>
      </c>
      <c r="B1288" s="17" t="n">
        <v>45908</v>
      </c>
      <c r="C1288" s="4" t="n">
        <v>11</v>
      </c>
      <c r="D1288" s="4" t="s">
        <v>98</v>
      </c>
      <c r="E1288" s="4" t="s">
        <v>65</v>
      </c>
      <c r="F1288" s="4" t="s">
        <v>94</v>
      </c>
      <c r="G1288" s="4" t="n">
        <v>1</v>
      </c>
      <c r="H1288" s="4" t="n">
        <v>150</v>
      </c>
      <c r="I1288" s="18" t="n">
        <v>0.1</v>
      </c>
      <c r="J1288" s="4" t="s">
        <v>76</v>
      </c>
      <c r="K1288" s="4" t="s">
        <v>71</v>
      </c>
    </row>
    <row r="1289" customFormat="false" ht="15" hidden="false" customHeight="false" outlineLevel="0" collapsed="false">
      <c r="A1289" s="4" t="s">
        <v>1581</v>
      </c>
      <c r="B1289" s="17" t="n">
        <v>45908</v>
      </c>
      <c r="C1289" s="4" t="n">
        <v>12</v>
      </c>
      <c r="D1289" s="4" t="s">
        <v>166</v>
      </c>
      <c r="E1289" s="4" t="s">
        <v>99</v>
      </c>
      <c r="F1289" s="4" t="s">
        <v>100</v>
      </c>
      <c r="G1289" s="4" t="n">
        <v>1</v>
      </c>
      <c r="H1289" s="4" t="n">
        <v>110</v>
      </c>
      <c r="I1289" s="18" t="n">
        <v>0.15</v>
      </c>
      <c r="J1289" s="4" t="s">
        <v>76</v>
      </c>
      <c r="K1289" s="4" t="s">
        <v>71</v>
      </c>
    </row>
    <row r="1290" customFormat="false" ht="15" hidden="false" customHeight="false" outlineLevel="0" collapsed="false">
      <c r="A1290" s="4" t="s">
        <v>1582</v>
      </c>
      <c r="B1290" s="17" t="n">
        <v>45908</v>
      </c>
      <c r="C1290" s="4" t="n">
        <v>18</v>
      </c>
      <c r="D1290" s="4" t="s">
        <v>70</v>
      </c>
      <c r="E1290" s="4" t="s">
        <v>84</v>
      </c>
      <c r="F1290" s="4" t="s">
        <v>106</v>
      </c>
      <c r="G1290" s="4" t="n">
        <v>1</v>
      </c>
      <c r="H1290" s="4" t="n">
        <v>60</v>
      </c>
      <c r="I1290" s="18" t="n">
        <v>0</v>
      </c>
      <c r="J1290" s="4" t="s">
        <v>81</v>
      </c>
      <c r="K1290" s="4" t="s">
        <v>68</v>
      </c>
    </row>
    <row r="1291" customFormat="false" ht="15" hidden="false" customHeight="false" outlineLevel="0" collapsed="false">
      <c r="A1291" s="4" t="s">
        <v>1583</v>
      </c>
      <c r="B1291" s="17" t="n">
        <v>45909</v>
      </c>
      <c r="C1291" s="4" t="n">
        <v>8</v>
      </c>
      <c r="D1291" s="4" t="s">
        <v>64</v>
      </c>
      <c r="E1291" s="4" t="s">
        <v>99</v>
      </c>
      <c r="F1291" s="4" t="s">
        <v>109</v>
      </c>
      <c r="G1291" s="4" t="n">
        <v>2</v>
      </c>
      <c r="H1291" s="4" t="n">
        <v>130</v>
      </c>
      <c r="I1291" s="18" t="n">
        <v>0.05</v>
      </c>
      <c r="J1291" s="4" t="s">
        <v>81</v>
      </c>
      <c r="K1291" s="4" t="s">
        <v>82</v>
      </c>
    </row>
    <row r="1292" customFormat="false" ht="15" hidden="false" customHeight="false" outlineLevel="0" collapsed="false">
      <c r="A1292" s="4" t="s">
        <v>1584</v>
      </c>
      <c r="B1292" s="17" t="n">
        <v>45909</v>
      </c>
      <c r="C1292" s="4" t="n">
        <v>9</v>
      </c>
      <c r="D1292" s="4" t="s">
        <v>70</v>
      </c>
      <c r="E1292" s="4" t="s">
        <v>84</v>
      </c>
      <c r="F1292" s="4" t="s">
        <v>114</v>
      </c>
      <c r="G1292" s="4" t="n">
        <v>2</v>
      </c>
      <c r="H1292" s="4" t="n">
        <v>85</v>
      </c>
      <c r="I1292" s="18" t="n">
        <v>0.15</v>
      </c>
      <c r="J1292" s="4" t="s">
        <v>81</v>
      </c>
      <c r="K1292" s="4" t="s">
        <v>68</v>
      </c>
    </row>
    <row r="1293" customFormat="false" ht="15" hidden="false" customHeight="false" outlineLevel="0" collapsed="false">
      <c r="A1293" s="4" t="s">
        <v>1585</v>
      </c>
      <c r="B1293" s="4" t="s">
        <v>1586</v>
      </c>
      <c r="C1293" s="4" t="n">
        <v>10</v>
      </c>
      <c r="D1293" s="4" t="s">
        <v>70</v>
      </c>
      <c r="E1293" s="4" t="s">
        <v>65</v>
      </c>
      <c r="F1293" s="4" t="s">
        <v>705</v>
      </c>
      <c r="G1293" s="4" t="n">
        <v>1</v>
      </c>
      <c r="H1293" s="4" t="n">
        <v>170</v>
      </c>
      <c r="I1293" s="18" t="n">
        <v>0.1</v>
      </c>
      <c r="J1293" s="4" t="s">
        <v>81</v>
      </c>
      <c r="K1293" s="4" t="s">
        <v>71</v>
      </c>
    </row>
    <row r="1294" customFormat="false" ht="15" hidden="false" customHeight="false" outlineLevel="0" collapsed="false">
      <c r="A1294" s="4" t="s">
        <v>1587</v>
      </c>
      <c r="B1294" s="17" t="n">
        <v>45909</v>
      </c>
      <c r="C1294" s="4" t="n">
        <v>13</v>
      </c>
      <c r="D1294" s="4" t="s">
        <v>64</v>
      </c>
      <c r="E1294" s="4" t="s">
        <v>364</v>
      </c>
      <c r="F1294" s="4" t="s">
        <v>85</v>
      </c>
      <c r="G1294" s="4" t="n">
        <v>-2</v>
      </c>
      <c r="H1294" s="4" t="n">
        <v>150</v>
      </c>
      <c r="I1294" s="18" t="n">
        <v>0</v>
      </c>
      <c r="J1294" s="4" t="s">
        <v>76</v>
      </c>
      <c r="K1294" s="4" t="s">
        <v>77</v>
      </c>
    </row>
    <row r="1295" customFormat="false" ht="15" hidden="false" customHeight="false" outlineLevel="0" collapsed="false">
      <c r="A1295" s="4" t="s">
        <v>1588</v>
      </c>
      <c r="B1295" s="17" t="n">
        <v>45909</v>
      </c>
      <c r="C1295" s="4" t="n">
        <v>19</v>
      </c>
      <c r="D1295" s="4" t="s">
        <v>64</v>
      </c>
      <c r="E1295" s="4" t="s">
        <v>84</v>
      </c>
      <c r="F1295" s="4" t="s">
        <v>85</v>
      </c>
      <c r="G1295" s="4" t="n">
        <v>1</v>
      </c>
      <c r="H1295" s="4" t="n">
        <v>150</v>
      </c>
      <c r="I1295" s="18" t="n">
        <v>0.1</v>
      </c>
      <c r="J1295" s="4" t="s">
        <v>67</v>
      </c>
      <c r="K1295" s="4" t="s">
        <v>77</v>
      </c>
    </row>
    <row r="1296" customFormat="false" ht="15" hidden="false" customHeight="false" outlineLevel="0" collapsed="false">
      <c r="A1296" s="4" t="s">
        <v>1589</v>
      </c>
      <c r="B1296" s="17" t="n">
        <v>45910</v>
      </c>
      <c r="C1296" s="4" t="n">
        <v>12</v>
      </c>
      <c r="D1296" s="4" t="s">
        <v>70</v>
      </c>
      <c r="E1296" s="4" t="s">
        <v>99</v>
      </c>
      <c r="F1296" s="4" t="s">
        <v>102</v>
      </c>
      <c r="G1296" s="4" t="n">
        <v>1</v>
      </c>
      <c r="H1296" s="4" t="n">
        <v>140</v>
      </c>
      <c r="I1296" s="18" t="n">
        <v>0</v>
      </c>
      <c r="J1296" s="4" t="s">
        <v>67</v>
      </c>
      <c r="K1296" s="4" t="s">
        <v>68</v>
      </c>
    </row>
    <row r="1297" customFormat="false" ht="15" hidden="false" customHeight="false" outlineLevel="0" collapsed="false">
      <c r="A1297" s="4" t="s">
        <v>1590</v>
      </c>
      <c r="B1297" s="17" t="n">
        <v>45910</v>
      </c>
      <c r="C1297" s="4" t="n">
        <v>16</v>
      </c>
      <c r="D1297" s="4" t="s">
        <v>98</v>
      </c>
      <c r="E1297" s="4" t="s">
        <v>84</v>
      </c>
      <c r="F1297" s="4" t="s">
        <v>117</v>
      </c>
      <c r="G1297" s="4" t="n">
        <v>2</v>
      </c>
      <c r="H1297" s="4" t="n">
        <v>95</v>
      </c>
      <c r="I1297" s="18" t="n">
        <v>0.1</v>
      </c>
      <c r="J1297" s="4" t="s">
        <v>81</v>
      </c>
      <c r="K1297" s="4" t="s">
        <v>71</v>
      </c>
    </row>
    <row r="1298" customFormat="false" ht="15" hidden="false" customHeight="false" outlineLevel="0" collapsed="false">
      <c r="A1298" s="4" t="s">
        <v>1591</v>
      </c>
      <c r="B1298" s="17" t="n">
        <v>45910</v>
      </c>
      <c r="C1298" s="4" t="n">
        <v>16</v>
      </c>
      <c r="D1298" s="4" t="s">
        <v>70</v>
      </c>
      <c r="E1298" s="4" t="s">
        <v>65</v>
      </c>
      <c r="F1298" s="4" t="s">
        <v>121</v>
      </c>
      <c r="G1298" s="4" t="n">
        <v>2</v>
      </c>
      <c r="H1298" s="4" t="n">
        <v>170</v>
      </c>
      <c r="I1298" s="18" t="n">
        <v>0</v>
      </c>
      <c r="J1298" s="4" t="s">
        <v>76</v>
      </c>
      <c r="K1298" s="4" t="s">
        <v>77</v>
      </c>
    </row>
    <row r="1299" customFormat="false" ht="15" hidden="false" customHeight="false" outlineLevel="0" collapsed="false">
      <c r="A1299" s="4" t="s">
        <v>1592</v>
      </c>
      <c r="B1299" s="4" t="s">
        <v>1593</v>
      </c>
      <c r="C1299" s="4" t="n">
        <v>18</v>
      </c>
      <c r="D1299" s="4" t="s">
        <v>73</v>
      </c>
      <c r="E1299" s="4" t="s">
        <v>99</v>
      </c>
      <c r="F1299" s="4" t="s">
        <v>100</v>
      </c>
      <c r="G1299" s="4" t="n">
        <v>2</v>
      </c>
      <c r="H1299" s="4" t="n">
        <v>110</v>
      </c>
      <c r="I1299" s="18" t="n">
        <v>0</v>
      </c>
      <c r="J1299" s="4" t="s">
        <v>81</v>
      </c>
      <c r="K1299" s="4" t="s">
        <v>77</v>
      </c>
    </row>
    <row r="1300" customFormat="false" ht="15" hidden="false" customHeight="false" outlineLevel="0" collapsed="false">
      <c r="A1300" s="4" t="s">
        <v>1594</v>
      </c>
      <c r="B1300" s="17" t="n">
        <v>45910</v>
      </c>
      <c r="C1300" s="4" t="n">
        <v>18</v>
      </c>
      <c r="D1300" s="4" t="s">
        <v>73</v>
      </c>
      <c r="E1300" s="4" t="s">
        <v>99</v>
      </c>
      <c r="F1300" s="4" t="s">
        <v>100</v>
      </c>
      <c r="G1300" s="4" t="n">
        <v>4</v>
      </c>
      <c r="H1300" s="4" t="n">
        <v>110</v>
      </c>
      <c r="I1300" s="18" t="n">
        <v>0.1</v>
      </c>
      <c r="J1300" s="4" t="s">
        <v>76</v>
      </c>
      <c r="K1300" s="4" t="s">
        <v>71</v>
      </c>
    </row>
    <row r="1301" customFormat="false" ht="15" hidden="false" customHeight="false" outlineLevel="0" collapsed="false">
      <c r="A1301" s="4" t="s">
        <v>1595</v>
      </c>
      <c r="B1301" s="17" t="n">
        <v>45910</v>
      </c>
      <c r="C1301" s="4" t="n">
        <v>20</v>
      </c>
      <c r="D1301" s="4" t="s">
        <v>70</v>
      </c>
      <c r="E1301" s="4" t="s">
        <v>65</v>
      </c>
      <c r="F1301" s="4" t="s">
        <v>87</v>
      </c>
      <c r="G1301" s="4" t="n">
        <v>2</v>
      </c>
      <c r="H1301" s="4" t="n">
        <v>160</v>
      </c>
      <c r="I1301" s="18" t="n">
        <v>0.1</v>
      </c>
      <c r="J1301" s="4" t="s">
        <v>103</v>
      </c>
      <c r="K1301" s="4" t="s">
        <v>77</v>
      </c>
    </row>
    <row r="1302" customFormat="false" ht="15" hidden="false" customHeight="false" outlineLevel="0" collapsed="false">
      <c r="A1302" s="4" t="s">
        <v>1596</v>
      </c>
      <c r="B1302" s="17" t="n">
        <v>45910</v>
      </c>
      <c r="C1302" s="4" t="n">
        <v>20</v>
      </c>
      <c r="D1302" s="4" t="s">
        <v>64</v>
      </c>
      <c r="E1302" s="4" t="s">
        <v>74</v>
      </c>
      <c r="F1302" s="4" t="s">
        <v>139</v>
      </c>
      <c r="G1302" s="4" t="n">
        <v>3</v>
      </c>
      <c r="H1302" s="4" t="n">
        <v>260</v>
      </c>
      <c r="I1302" s="18" t="n">
        <v>0</v>
      </c>
      <c r="J1302" s="4" t="s">
        <v>76</v>
      </c>
      <c r="K1302" s="4" t="s">
        <v>68</v>
      </c>
    </row>
    <row r="1303" customFormat="false" ht="15" hidden="false" customHeight="false" outlineLevel="0" collapsed="false">
      <c r="A1303" s="4" t="s">
        <v>1597</v>
      </c>
      <c r="B1303" s="17" t="n">
        <v>45911</v>
      </c>
      <c r="C1303" s="4" t="n">
        <v>8</v>
      </c>
      <c r="D1303" s="4" t="s">
        <v>98</v>
      </c>
      <c r="E1303" s="4" t="s">
        <v>99</v>
      </c>
      <c r="F1303" s="4" t="s">
        <v>102</v>
      </c>
      <c r="G1303" s="4" t="n">
        <v>4</v>
      </c>
      <c r="H1303" s="4" t="n">
        <v>140</v>
      </c>
      <c r="I1303" s="18" t="n">
        <v>0.1</v>
      </c>
      <c r="J1303" s="4" t="s">
        <v>67</v>
      </c>
      <c r="K1303" s="4" t="s">
        <v>71</v>
      </c>
    </row>
    <row r="1304" customFormat="false" ht="15" hidden="false" customHeight="false" outlineLevel="0" collapsed="false">
      <c r="A1304" s="4" t="s">
        <v>1598</v>
      </c>
      <c r="B1304" s="17" t="n">
        <v>45911</v>
      </c>
      <c r="C1304" s="4" t="n">
        <v>10</v>
      </c>
      <c r="D1304" s="4" t="s">
        <v>70</v>
      </c>
      <c r="E1304" s="4" t="s">
        <v>99</v>
      </c>
      <c r="F1304" s="4" t="s">
        <v>100</v>
      </c>
      <c r="G1304" s="4" t="n">
        <v>4</v>
      </c>
      <c r="H1304" s="4" t="n">
        <v>110</v>
      </c>
      <c r="I1304" s="18" t="n">
        <v>0</v>
      </c>
      <c r="J1304" s="4" t="s">
        <v>81</v>
      </c>
      <c r="K1304" s="4" t="s">
        <v>77</v>
      </c>
    </row>
    <row r="1305" customFormat="false" ht="15" hidden="false" customHeight="false" outlineLevel="0" collapsed="false">
      <c r="A1305" s="4" t="s">
        <v>1599</v>
      </c>
      <c r="B1305" s="17" t="n">
        <v>45911</v>
      </c>
      <c r="C1305" s="4" t="n">
        <v>13</v>
      </c>
      <c r="D1305" s="4" t="s">
        <v>70</v>
      </c>
      <c r="E1305" s="4" t="s">
        <v>84</v>
      </c>
      <c r="F1305" s="4" t="s">
        <v>114</v>
      </c>
      <c r="G1305" s="4" t="n">
        <v>2</v>
      </c>
      <c r="H1305" s="4" t="n">
        <v>85</v>
      </c>
      <c r="I1305" s="18" t="n">
        <v>0</v>
      </c>
      <c r="J1305" s="4" t="s">
        <v>67</v>
      </c>
      <c r="K1305" s="4" t="s">
        <v>77</v>
      </c>
    </row>
    <row r="1306" customFormat="false" ht="15" hidden="false" customHeight="false" outlineLevel="0" collapsed="false">
      <c r="A1306" s="4" t="s">
        <v>1600</v>
      </c>
      <c r="B1306" s="17" t="n">
        <v>45912</v>
      </c>
      <c r="C1306" s="4" t="n">
        <v>13</v>
      </c>
      <c r="D1306" s="4" t="s">
        <v>70</v>
      </c>
      <c r="E1306" s="4" t="s">
        <v>65</v>
      </c>
      <c r="F1306" s="4" t="s">
        <v>121</v>
      </c>
      <c r="G1306" s="4" t="n">
        <v>1</v>
      </c>
      <c r="H1306" s="4" t="n">
        <v>170</v>
      </c>
      <c r="I1306" s="18" t="n">
        <v>0.05</v>
      </c>
      <c r="J1306" s="4" t="s">
        <v>67</v>
      </c>
      <c r="K1306" s="4" t="s">
        <v>82</v>
      </c>
    </row>
    <row r="1307" customFormat="false" ht="15" hidden="false" customHeight="false" outlineLevel="0" collapsed="false">
      <c r="A1307" s="4" t="s">
        <v>1601</v>
      </c>
      <c r="B1307" s="17" t="n">
        <v>45912</v>
      </c>
      <c r="C1307" s="4" t="n">
        <v>16</v>
      </c>
      <c r="D1307" s="4" t="s">
        <v>119</v>
      </c>
      <c r="E1307" s="4" t="s">
        <v>99</v>
      </c>
      <c r="F1307" s="4" t="s">
        <v>109</v>
      </c>
      <c r="G1307" s="4" t="n">
        <v>1</v>
      </c>
      <c r="H1307" s="4" t="n">
        <v>130</v>
      </c>
      <c r="I1307" s="18" t="n">
        <v>0.1</v>
      </c>
      <c r="J1307" s="4" t="s">
        <v>67</v>
      </c>
      <c r="K1307" s="4" t="s">
        <v>71</v>
      </c>
    </row>
    <row r="1308" customFormat="false" ht="15" hidden="false" customHeight="false" outlineLevel="0" collapsed="false">
      <c r="A1308" s="4" t="s">
        <v>1602</v>
      </c>
      <c r="B1308" s="17" t="n">
        <v>45912</v>
      </c>
      <c r="C1308" s="4" t="n">
        <v>17</v>
      </c>
      <c r="D1308" s="4" t="s">
        <v>70</v>
      </c>
      <c r="E1308" s="4" t="s">
        <v>84</v>
      </c>
      <c r="F1308" s="4" t="s">
        <v>117</v>
      </c>
      <c r="G1308" s="4" t="n">
        <v>1</v>
      </c>
      <c r="H1308" s="4" t="n">
        <v>95</v>
      </c>
      <c r="I1308" s="18" t="n">
        <v>0</v>
      </c>
      <c r="J1308" s="4" t="s">
        <v>81</v>
      </c>
      <c r="K1308" s="4" t="s">
        <v>77</v>
      </c>
    </row>
    <row r="1309" customFormat="false" ht="15" hidden="false" customHeight="false" outlineLevel="0" collapsed="false">
      <c r="A1309" s="4" t="s">
        <v>1603</v>
      </c>
      <c r="B1309" s="4" t="s">
        <v>1604</v>
      </c>
      <c r="C1309" s="4" t="n">
        <v>19</v>
      </c>
      <c r="D1309" s="4" t="s">
        <v>64</v>
      </c>
      <c r="E1309" s="4" t="s">
        <v>65</v>
      </c>
      <c r="F1309" s="4" t="s">
        <v>87</v>
      </c>
      <c r="G1309" s="4" t="n">
        <v>2</v>
      </c>
      <c r="H1309" s="4" t="n">
        <v>160</v>
      </c>
      <c r="I1309" s="18" t="n">
        <v>0</v>
      </c>
      <c r="J1309" s="4" t="s">
        <v>67</v>
      </c>
      <c r="K1309" s="4" t="s">
        <v>68</v>
      </c>
    </row>
    <row r="1310" customFormat="false" ht="15" hidden="false" customHeight="false" outlineLevel="0" collapsed="false">
      <c r="A1310" s="4" t="s">
        <v>1605</v>
      </c>
      <c r="B1310" s="17" t="n">
        <v>45913</v>
      </c>
      <c r="C1310" s="4" t="n">
        <v>8</v>
      </c>
      <c r="D1310" s="4" t="s">
        <v>64</v>
      </c>
      <c r="E1310" s="4" t="s">
        <v>99</v>
      </c>
      <c r="F1310" s="4" t="s">
        <v>102</v>
      </c>
      <c r="G1310" s="4" t="n">
        <v>1</v>
      </c>
      <c r="H1310" s="4" t="n">
        <v>140</v>
      </c>
      <c r="I1310" s="18" t="n">
        <v>0.15</v>
      </c>
      <c r="J1310" s="4" t="s">
        <v>81</v>
      </c>
      <c r="K1310" s="4" t="s">
        <v>82</v>
      </c>
    </row>
    <row r="1311" customFormat="false" ht="15" hidden="false" customHeight="false" outlineLevel="0" collapsed="false">
      <c r="A1311" s="4" t="s">
        <v>1606</v>
      </c>
      <c r="B1311" s="17" t="n">
        <v>45913</v>
      </c>
      <c r="C1311" s="4" t="n">
        <v>11</v>
      </c>
      <c r="D1311" s="4" t="s">
        <v>183</v>
      </c>
      <c r="E1311" s="4" t="s">
        <v>164</v>
      </c>
      <c r="F1311" s="4" t="s">
        <v>102</v>
      </c>
      <c r="G1311" s="4" t="n">
        <v>1</v>
      </c>
      <c r="H1311" s="4" t="n">
        <v>140</v>
      </c>
      <c r="I1311" s="18" t="n">
        <v>0</v>
      </c>
      <c r="J1311" s="4" t="s">
        <v>67</v>
      </c>
      <c r="K1311" s="4" t="s">
        <v>68</v>
      </c>
    </row>
    <row r="1312" customFormat="false" ht="15" hidden="false" customHeight="false" outlineLevel="0" collapsed="false">
      <c r="A1312" s="4" t="s">
        <v>1607</v>
      </c>
      <c r="B1312" s="17" t="n">
        <v>45913</v>
      </c>
      <c r="C1312" s="4" t="n">
        <v>13</v>
      </c>
      <c r="D1312" s="4" t="s">
        <v>64</v>
      </c>
      <c r="E1312" s="4" t="s">
        <v>99</v>
      </c>
      <c r="F1312" s="4" t="s">
        <v>102</v>
      </c>
      <c r="G1312" s="4" t="n">
        <v>2</v>
      </c>
      <c r="H1312" s="4" t="n">
        <v>140</v>
      </c>
      <c r="I1312" s="18" t="n">
        <v>0.1</v>
      </c>
      <c r="J1312" s="4" t="s">
        <v>76</v>
      </c>
      <c r="K1312" s="4" t="s">
        <v>82</v>
      </c>
    </row>
    <row r="1313" customFormat="false" ht="15" hidden="false" customHeight="false" outlineLevel="0" collapsed="false">
      <c r="A1313" s="4" t="s">
        <v>1608</v>
      </c>
      <c r="B1313" s="17" t="n">
        <v>45913</v>
      </c>
      <c r="C1313" s="4" t="n">
        <v>15</v>
      </c>
      <c r="D1313" s="4" t="s">
        <v>70</v>
      </c>
      <c r="E1313" s="4" t="s">
        <v>84</v>
      </c>
      <c r="F1313" s="4" t="s">
        <v>117</v>
      </c>
      <c r="G1313" s="4" t="n">
        <v>2</v>
      </c>
      <c r="H1313" s="4" t="n">
        <v>95</v>
      </c>
      <c r="I1313" s="18" t="n">
        <v>0.05</v>
      </c>
      <c r="J1313" s="4" t="s">
        <v>76</v>
      </c>
      <c r="K1313" s="4" t="s">
        <v>82</v>
      </c>
    </row>
    <row r="1314" customFormat="false" ht="15" hidden="false" customHeight="false" outlineLevel="0" collapsed="false">
      <c r="A1314" s="4" t="s">
        <v>1609</v>
      </c>
      <c r="B1314" s="17" t="n">
        <v>45913</v>
      </c>
      <c r="C1314" s="4" t="n">
        <v>17</v>
      </c>
      <c r="D1314" s="4" t="s">
        <v>172</v>
      </c>
      <c r="E1314" s="4" t="s">
        <v>462</v>
      </c>
      <c r="F1314" s="4" t="s">
        <v>66</v>
      </c>
      <c r="G1314" s="4" t="n">
        <v>2</v>
      </c>
      <c r="H1314" s="4" t="n">
        <v>120</v>
      </c>
      <c r="I1314" s="18" t="n">
        <v>0</v>
      </c>
      <c r="J1314" s="4" t="s">
        <v>88</v>
      </c>
      <c r="K1314" s="4" t="s">
        <v>68</v>
      </c>
    </row>
    <row r="1315" customFormat="false" ht="15" hidden="false" customHeight="false" outlineLevel="0" collapsed="false">
      <c r="A1315" s="4" t="s">
        <v>1610</v>
      </c>
      <c r="B1315" s="4" t="s">
        <v>1611</v>
      </c>
      <c r="C1315" s="4" t="n">
        <v>12</v>
      </c>
      <c r="D1315" s="4" t="s">
        <v>64</v>
      </c>
      <c r="E1315" s="4" t="s">
        <v>99</v>
      </c>
      <c r="F1315" s="4" t="s">
        <v>100</v>
      </c>
      <c r="G1315" s="4" t="n">
        <v>3</v>
      </c>
      <c r="H1315" s="4" t="n">
        <v>110</v>
      </c>
      <c r="I1315" s="18" t="n">
        <v>0.05</v>
      </c>
      <c r="J1315" s="4" t="s">
        <v>67</v>
      </c>
      <c r="K1315" s="4" t="s">
        <v>82</v>
      </c>
    </row>
    <row r="1316" customFormat="false" ht="15" hidden="false" customHeight="false" outlineLevel="0" collapsed="false">
      <c r="A1316" s="4" t="s">
        <v>1612</v>
      </c>
      <c r="B1316" s="4" t="s">
        <v>1613</v>
      </c>
      <c r="C1316" s="4" t="n">
        <v>16</v>
      </c>
      <c r="D1316" s="4" t="s">
        <v>73</v>
      </c>
      <c r="E1316" s="4" t="s">
        <v>99</v>
      </c>
      <c r="F1316" s="4" t="s">
        <v>100</v>
      </c>
      <c r="G1316" s="4" t="n">
        <v>1</v>
      </c>
      <c r="H1316" s="4" t="n">
        <v>110</v>
      </c>
      <c r="I1316" s="18" t="n">
        <v>0</v>
      </c>
      <c r="J1316" s="4" t="s">
        <v>76</v>
      </c>
      <c r="K1316" s="4" t="s">
        <v>77</v>
      </c>
    </row>
    <row r="1317" customFormat="false" ht="15" hidden="false" customHeight="false" outlineLevel="0" collapsed="false">
      <c r="A1317" s="4" t="s">
        <v>1614</v>
      </c>
      <c r="B1317" s="17" t="n">
        <v>45914</v>
      </c>
      <c r="C1317" s="4" t="n">
        <v>17</v>
      </c>
      <c r="D1317" s="4" t="s">
        <v>64</v>
      </c>
      <c r="E1317" s="4" t="s">
        <v>84</v>
      </c>
      <c r="F1317" s="4" t="s">
        <v>114</v>
      </c>
      <c r="G1317" s="4" t="n">
        <v>1</v>
      </c>
      <c r="H1317" s="4" t="n">
        <v>85</v>
      </c>
      <c r="I1317" s="18" t="n">
        <v>0.1</v>
      </c>
      <c r="J1317" s="4" t="s">
        <v>67</v>
      </c>
      <c r="K1317" s="4" t="s">
        <v>71</v>
      </c>
    </row>
    <row r="1318" customFormat="false" ht="15" hidden="false" customHeight="false" outlineLevel="0" collapsed="false">
      <c r="A1318" s="4" t="s">
        <v>1615</v>
      </c>
      <c r="B1318" s="17" t="n">
        <v>45915</v>
      </c>
      <c r="C1318" s="4" t="n">
        <v>8</v>
      </c>
      <c r="D1318" s="4" t="s">
        <v>64</v>
      </c>
      <c r="E1318" s="4" t="s">
        <v>84</v>
      </c>
      <c r="F1318" s="4" t="s">
        <v>114</v>
      </c>
      <c r="G1318" s="4" t="n">
        <v>2</v>
      </c>
      <c r="H1318" s="4" t="n">
        <v>85</v>
      </c>
      <c r="I1318" s="18" t="n">
        <v>0.05</v>
      </c>
      <c r="J1318" s="4" t="s">
        <v>81</v>
      </c>
      <c r="K1318" s="4" t="s">
        <v>82</v>
      </c>
    </row>
    <row r="1319" customFormat="false" ht="15" hidden="false" customHeight="false" outlineLevel="0" collapsed="false">
      <c r="A1319" s="4" t="s">
        <v>1616</v>
      </c>
      <c r="B1319" s="17" t="n">
        <v>45915</v>
      </c>
      <c r="C1319" s="4" t="n">
        <v>9</v>
      </c>
      <c r="D1319" s="4" t="s">
        <v>70</v>
      </c>
      <c r="E1319" s="4" t="s">
        <v>302</v>
      </c>
      <c r="F1319" s="4" t="s">
        <v>102</v>
      </c>
      <c r="G1319" s="4" t="n">
        <v>2</v>
      </c>
      <c r="H1319" s="4" t="n">
        <v>140</v>
      </c>
      <c r="I1319" s="18" t="n">
        <v>0.05</v>
      </c>
      <c r="J1319" s="4" t="s">
        <v>81</v>
      </c>
      <c r="K1319" s="4" t="s">
        <v>82</v>
      </c>
    </row>
    <row r="1320" customFormat="false" ht="15" hidden="false" customHeight="false" outlineLevel="0" collapsed="false">
      <c r="A1320" s="4" t="s">
        <v>1617</v>
      </c>
      <c r="B1320" s="4" t="s">
        <v>1618</v>
      </c>
      <c r="C1320" s="4" t="n">
        <v>14</v>
      </c>
      <c r="D1320" s="4" t="s">
        <v>73</v>
      </c>
      <c r="E1320" s="4" t="s">
        <v>65</v>
      </c>
      <c r="F1320" s="4" t="s">
        <v>121</v>
      </c>
      <c r="G1320" s="4" t="n">
        <v>1</v>
      </c>
      <c r="H1320" s="4" t="n">
        <v>170</v>
      </c>
      <c r="I1320" s="18" t="n">
        <v>0</v>
      </c>
      <c r="J1320" s="4" t="s">
        <v>67</v>
      </c>
      <c r="K1320" s="4" t="s">
        <v>68</v>
      </c>
    </row>
    <row r="1321" customFormat="false" ht="15" hidden="false" customHeight="false" outlineLevel="0" collapsed="false">
      <c r="A1321" s="4" t="s">
        <v>1619</v>
      </c>
      <c r="B1321" s="17" t="n">
        <v>45915</v>
      </c>
      <c r="C1321" s="4" t="n">
        <v>16</v>
      </c>
      <c r="D1321" s="4" t="s">
        <v>64</v>
      </c>
      <c r="E1321" s="4" t="s">
        <v>84</v>
      </c>
      <c r="F1321" s="4" t="s">
        <v>85</v>
      </c>
      <c r="G1321" s="4" t="n">
        <v>1</v>
      </c>
      <c r="H1321" s="4" t="n">
        <v>150</v>
      </c>
      <c r="I1321" s="18" t="n">
        <v>0.05</v>
      </c>
      <c r="J1321" s="4" t="s">
        <v>67</v>
      </c>
      <c r="K1321" s="4" t="s">
        <v>82</v>
      </c>
    </row>
    <row r="1322" customFormat="false" ht="15" hidden="false" customHeight="false" outlineLevel="0" collapsed="false">
      <c r="A1322" s="4" t="s">
        <v>1620</v>
      </c>
      <c r="B1322" s="17" t="n">
        <v>45915</v>
      </c>
      <c r="C1322" s="4" t="n">
        <v>17</v>
      </c>
      <c r="D1322" s="4" t="s">
        <v>64</v>
      </c>
      <c r="E1322" s="4" t="s">
        <v>65</v>
      </c>
      <c r="F1322" s="4" t="s">
        <v>66</v>
      </c>
      <c r="G1322" s="4" t="n">
        <v>2</v>
      </c>
      <c r="H1322" s="4" t="n">
        <v>120</v>
      </c>
      <c r="I1322" s="18" t="n">
        <v>0.1</v>
      </c>
      <c r="J1322" s="4" t="s">
        <v>67</v>
      </c>
      <c r="K1322" s="4" t="s">
        <v>71</v>
      </c>
    </row>
    <row r="1323" customFormat="false" ht="15" hidden="false" customHeight="false" outlineLevel="0" collapsed="false">
      <c r="A1323" s="4" t="s">
        <v>1621</v>
      </c>
      <c r="B1323" s="17" t="n">
        <v>45916</v>
      </c>
      <c r="C1323" s="4" t="n">
        <v>9</v>
      </c>
      <c r="D1323" s="4" t="s">
        <v>70</v>
      </c>
      <c r="E1323" s="4" t="s">
        <v>65</v>
      </c>
      <c r="F1323" s="4" t="s">
        <v>121</v>
      </c>
      <c r="G1323" s="4" t="n">
        <v>1</v>
      </c>
      <c r="H1323" s="4" t="n">
        <v>170</v>
      </c>
      <c r="I1323" s="18" t="n">
        <v>0</v>
      </c>
      <c r="J1323" s="4" t="s">
        <v>67</v>
      </c>
      <c r="K1323" s="4" t="s">
        <v>68</v>
      </c>
    </row>
    <row r="1324" customFormat="false" ht="15" hidden="false" customHeight="false" outlineLevel="0" collapsed="false">
      <c r="A1324" s="4" t="s">
        <v>1622</v>
      </c>
      <c r="B1324" s="4" t="s">
        <v>1623</v>
      </c>
      <c r="C1324" s="4" t="n">
        <v>11</v>
      </c>
      <c r="D1324" s="4" t="s">
        <v>64</v>
      </c>
      <c r="E1324" s="4" t="s">
        <v>84</v>
      </c>
      <c r="F1324" s="4" t="s">
        <v>85</v>
      </c>
      <c r="G1324" s="4" t="n">
        <v>1</v>
      </c>
      <c r="H1324" s="4" t="n">
        <v>150</v>
      </c>
      <c r="I1324" s="18" t="n">
        <v>0.1</v>
      </c>
      <c r="J1324" s="4" t="s">
        <v>76</v>
      </c>
      <c r="K1324" s="4" t="s">
        <v>71</v>
      </c>
    </row>
    <row r="1325" customFormat="false" ht="15" hidden="false" customHeight="false" outlineLevel="0" collapsed="false">
      <c r="A1325" s="4" t="s">
        <v>1624</v>
      </c>
      <c r="B1325" s="17" t="n">
        <v>45916</v>
      </c>
      <c r="C1325" s="4" t="n">
        <v>14</v>
      </c>
      <c r="D1325" s="4" t="s">
        <v>73</v>
      </c>
      <c r="E1325" s="4" t="s">
        <v>74</v>
      </c>
      <c r="F1325" s="4" t="s">
        <v>139</v>
      </c>
      <c r="G1325" s="4" t="n">
        <v>2</v>
      </c>
      <c r="H1325" s="4" t="n">
        <v>260</v>
      </c>
      <c r="I1325" s="18" t="n">
        <v>0</v>
      </c>
      <c r="J1325" s="4" t="s">
        <v>67</v>
      </c>
      <c r="K1325" s="4" t="s">
        <v>68</v>
      </c>
    </row>
    <row r="1326" customFormat="false" ht="15" hidden="false" customHeight="false" outlineLevel="0" collapsed="false">
      <c r="A1326" s="4" t="s">
        <v>1625</v>
      </c>
      <c r="B1326" s="17" t="n">
        <v>45916</v>
      </c>
      <c r="C1326" s="4" t="n">
        <v>15</v>
      </c>
      <c r="D1326" s="4" t="s">
        <v>70</v>
      </c>
      <c r="E1326" s="4" t="s">
        <v>79</v>
      </c>
      <c r="F1326" s="4" t="s">
        <v>80</v>
      </c>
      <c r="G1326" s="4" t="n">
        <v>1</v>
      </c>
      <c r="H1326" s="4" t="n">
        <v>160</v>
      </c>
      <c r="I1326" s="18" t="n">
        <v>0</v>
      </c>
      <c r="J1326" s="4" t="s">
        <v>67</v>
      </c>
      <c r="K1326" s="4" t="s">
        <v>68</v>
      </c>
    </row>
    <row r="1327" customFormat="false" ht="15" hidden="false" customHeight="false" outlineLevel="0" collapsed="false">
      <c r="A1327" s="4" t="s">
        <v>1626</v>
      </c>
      <c r="B1327" s="17" t="n">
        <v>45916</v>
      </c>
      <c r="C1327" s="4" t="n">
        <v>15</v>
      </c>
      <c r="D1327" s="4" t="s">
        <v>73</v>
      </c>
      <c r="E1327" s="4" t="s">
        <v>99</v>
      </c>
      <c r="F1327" s="4" t="s">
        <v>102</v>
      </c>
      <c r="G1327" s="4" t="n">
        <v>1</v>
      </c>
      <c r="H1327" s="4" t="n">
        <v>140</v>
      </c>
      <c r="I1327" s="18" t="n">
        <v>0</v>
      </c>
      <c r="J1327" s="4" t="s">
        <v>67</v>
      </c>
      <c r="K1327" s="4" t="s">
        <v>68</v>
      </c>
    </row>
    <row r="1328" customFormat="false" ht="15" hidden="false" customHeight="false" outlineLevel="0" collapsed="false">
      <c r="A1328" s="4" t="s">
        <v>1627</v>
      </c>
      <c r="B1328" s="17" t="n">
        <v>45916</v>
      </c>
      <c r="C1328" s="4" t="n">
        <v>18</v>
      </c>
      <c r="D1328" s="4" t="s">
        <v>70</v>
      </c>
      <c r="E1328" s="4" t="s">
        <v>99</v>
      </c>
      <c r="F1328" s="4" t="s">
        <v>102</v>
      </c>
      <c r="G1328" s="4" t="n">
        <v>1</v>
      </c>
      <c r="H1328" s="4" t="n">
        <v>140</v>
      </c>
      <c r="I1328" s="18" t="n">
        <v>0</v>
      </c>
      <c r="J1328" s="4" t="s">
        <v>88</v>
      </c>
      <c r="K1328" s="4" t="s">
        <v>68</v>
      </c>
    </row>
    <row r="1329" customFormat="false" ht="15" hidden="false" customHeight="false" outlineLevel="0" collapsed="false">
      <c r="A1329" s="4" t="s">
        <v>1628</v>
      </c>
      <c r="B1329" s="17" t="n">
        <v>45917</v>
      </c>
      <c r="C1329" s="4" t="n">
        <v>11</v>
      </c>
      <c r="D1329" s="4" t="s">
        <v>73</v>
      </c>
      <c r="E1329" s="4" t="s">
        <v>74</v>
      </c>
      <c r="F1329" s="4" t="s">
        <v>91</v>
      </c>
      <c r="G1329" s="4" t="n">
        <v>1</v>
      </c>
      <c r="H1329" s="4" t="n">
        <v>200</v>
      </c>
      <c r="I1329" s="18" t="n">
        <v>0</v>
      </c>
      <c r="J1329" s="4" t="s">
        <v>81</v>
      </c>
      <c r="K1329" s="4" t="s">
        <v>77</v>
      </c>
    </row>
    <row r="1330" customFormat="false" ht="15" hidden="false" customHeight="false" outlineLevel="0" collapsed="false">
      <c r="A1330" s="4" t="s">
        <v>1629</v>
      </c>
      <c r="B1330" s="17" t="n">
        <v>45917</v>
      </c>
      <c r="C1330" s="4" t="n">
        <v>12</v>
      </c>
      <c r="D1330" s="4" t="s">
        <v>70</v>
      </c>
      <c r="E1330" s="4" t="s">
        <v>504</v>
      </c>
      <c r="F1330" s="4" t="s">
        <v>106</v>
      </c>
      <c r="G1330" s="4" t="n">
        <v>2</v>
      </c>
      <c r="H1330" s="4" t="n">
        <v>60</v>
      </c>
      <c r="I1330" s="18" t="n">
        <v>0.05</v>
      </c>
      <c r="J1330" s="4" t="s">
        <v>67</v>
      </c>
      <c r="K1330" s="4" t="s">
        <v>82</v>
      </c>
    </row>
    <row r="1331" customFormat="false" ht="15" hidden="false" customHeight="false" outlineLevel="0" collapsed="false">
      <c r="A1331" s="4" t="s">
        <v>1630</v>
      </c>
      <c r="B1331" s="17" t="n">
        <v>45917</v>
      </c>
      <c r="C1331" s="4" t="n">
        <v>12</v>
      </c>
      <c r="D1331" s="4" t="s">
        <v>64</v>
      </c>
      <c r="E1331" s="4" t="s">
        <v>84</v>
      </c>
      <c r="F1331" s="4" t="s">
        <v>85</v>
      </c>
      <c r="G1331" s="4" t="n">
        <v>1</v>
      </c>
      <c r="H1331" s="4" t="n">
        <v>150</v>
      </c>
      <c r="I1331" s="18" t="n">
        <v>0.05</v>
      </c>
      <c r="J1331" s="4" t="s">
        <v>81</v>
      </c>
      <c r="K1331" s="4" t="s">
        <v>82</v>
      </c>
    </row>
    <row r="1332" customFormat="false" ht="15" hidden="false" customHeight="false" outlineLevel="0" collapsed="false">
      <c r="A1332" s="4" t="s">
        <v>1631</v>
      </c>
      <c r="B1332" s="4" t="s">
        <v>1632</v>
      </c>
      <c r="C1332" s="4" t="n">
        <v>16</v>
      </c>
      <c r="D1332" s="4" t="s">
        <v>424</v>
      </c>
      <c r="E1332" s="4" t="s">
        <v>74</v>
      </c>
      <c r="F1332" s="4" t="s">
        <v>139</v>
      </c>
      <c r="G1332" s="4" t="n">
        <v>1</v>
      </c>
      <c r="H1332" s="4" t="n">
        <v>260</v>
      </c>
      <c r="I1332" s="18" t="n">
        <v>0</v>
      </c>
      <c r="J1332" s="4" t="s">
        <v>67</v>
      </c>
      <c r="K1332" s="4" t="s">
        <v>68</v>
      </c>
    </row>
    <row r="1333" customFormat="false" ht="15" hidden="false" customHeight="false" outlineLevel="0" collapsed="false">
      <c r="A1333" s="4" t="s">
        <v>1633</v>
      </c>
      <c r="B1333" s="17" t="n">
        <v>45917</v>
      </c>
      <c r="C1333" s="4" t="n">
        <v>16</v>
      </c>
      <c r="D1333" s="4" t="s">
        <v>98</v>
      </c>
      <c r="E1333" s="4" t="s">
        <v>65</v>
      </c>
      <c r="F1333" s="4" t="s">
        <v>87</v>
      </c>
      <c r="G1333" s="4" t="n">
        <v>1</v>
      </c>
      <c r="H1333" s="4" t="n">
        <v>160</v>
      </c>
      <c r="I1333" s="18" t="n">
        <v>0</v>
      </c>
      <c r="J1333" s="4" t="s">
        <v>76</v>
      </c>
      <c r="K1333" s="4" t="s">
        <v>77</v>
      </c>
    </row>
    <row r="1334" customFormat="false" ht="15" hidden="false" customHeight="false" outlineLevel="0" collapsed="false">
      <c r="A1334" s="4" t="s">
        <v>1634</v>
      </c>
      <c r="B1334" s="17" t="n">
        <v>45917</v>
      </c>
      <c r="C1334" s="4" t="n">
        <v>19</v>
      </c>
      <c r="D1334" s="4" t="s">
        <v>64</v>
      </c>
      <c r="E1334" s="4" t="s">
        <v>99</v>
      </c>
      <c r="F1334" s="4" t="s">
        <v>100</v>
      </c>
      <c r="G1334" s="4" t="n">
        <v>1</v>
      </c>
      <c r="H1334" s="4" t="n">
        <v>110</v>
      </c>
      <c r="I1334" s="18" t="n">
        <v>0</v>
      </c>
      <c r="J1334" s="4" t="s">
        <v>81</v>
      </c>
      <c r="K1334" s="4" t="s">
        <v>68</v>
      </c>
    </row>
    <row r="1335" customFormat="false" ht="15" hidden="false" customHeight="false" outlineLevel="0" collapsed="false">
      <c r="A1335" s="4" t="s">
        <v>1635</v>
      </c>
      <c r="B1335" s="17" t="n">
        <v>45917</v>
      </c>
      <c r="C1335" s="4" t="n">
        <v>20</v>
      </c>
      <c r="D1335" s="4" t="s">
        <v>98</v>
      </c>
      <c r="E1335" s="4" t="s">
        <v>84</v>
      </c>
      <c r="F1335" s="4" t="s">
        <v>117</v>
      </c>
      <c r="G1335" s="4" t="n">
        <v>2</v>
      </c>
      <c r="H1335" s="4" t="n">
        <v>95</v>
      </c>
      <c r="I1335" s="18" t="n">
        <v>0.1</v>
      </c>
      <c r="J1335" s="4" t="s">
        <v>67</v>
      </c>
      <c r="K1335" s="4" t="s">
        <v>71</v>
      </c>
    </row>
    <row r="1336" customFormat="false" ht="15" hidden="false" customHeight="false" outlineLevel="0" collapsed="false">
      <c r="A1336" s="4" t="s">
        <v>1636</v>
      </c>
      <c r="B1336" s="17" t="n">
        <v>45918</v>
      </c>
      <c r="C1336" s="4" t="n">
        <v>9</v>
      </c>
      <c r="D1336" s="4" t="s">
        <v>70</v>
      </c>
      <c r="E1336" s="4" t="s">
        <v>65</v>
      </c>
      <c r="F1336" s="4" t="s">
        <v>66</v>
      </c>
      <c r="G1336" s="4" t="n">
        <v>1</v>
      </c>
      <c r="H1336" s="4" t="n">
        <v>120</v>
      </c>
      <c r="I1336" s="18" t="n">
        <v>0.1</v>
      </c>
      <c r="J1336" s="4" t="s">
        <v>81</v>
      </c>
      <c r="K1336" s="4" t="s">
        <v>68</v>
      </c>
    </row>
    <row r="1337" customFormat="false" ht="15" hidden="false" customHeight="false" outlineLevel="0" collapsed="false">
      <c r="A1337" s="4" t="s">
        <v>1637</v>
      </c>
      <c r="B1337" s="4" t="s">
        <v>1638</v>
      </c>
      <c r="C1337" s="4" t="n">
        <v>13</v>
      </c>
      <c r="D1337" s="4" t="s">
        <v>73</v>
      </c>
      <c r="E1337" s="4" t="s">
        <v>99</v>
      </c>
      <c r="F1337" s="4" t="s">
        <v>109</v>
      </c>
      <c r="G1337" s="4" t="n">
        <v>1</v>
      </c>
      <c r="H1337" s="4" t="n">
        <v>130</v>
      </c>
      <c r="I1337" s="18" t="n">
        <v>0.1</v>
      </c>
      <c r="J1337" s="4" t="s">
        <v>81</v>
      </c>
      <c r="K1337" s="4" t="s">
        <v>71</v>
      </c>
    </row>
    <row r="1338" customFormat="false" ht="15" hidden="false" customHeight="false" outlineLevel="0" collapsed="false">
      <c r="A1338" s="4" t="s">
        <v>1639</v>
      </c>
      <c r="B1338" s="4" t="s">
        <v>1638</v>
      </c>
      <c r="C1338" s="4" t="n">
        <v>17</v>
      </c>
      <c r="D1338" s="4" t="s">
        <v>938</v>
      </c>
      <c r="E1338" s="4" t="s">
        <v>99</v>
      </c>
      <c r="F1338" s="4" t="s">
        <v>102</v>
      </c>
      <c r="G1338" s="4" t="n">
        <v>2</v>
      </c>
      <c r="H1338" s="4" t="n">
        <v>140</v>
      </c>
      <c r="I1338" s="18" t="n">
        <v>0</v>
      </c>
      <c r="J1338" s="4" t="s">
        <v>112</v>
      </c>
      <c r="K1338" s="4" t="s">
        <v>68</v>
      </c>
    </row>
    <row r="1339" customFormat="false" ht="15" hidden="false" customHeight="false" outlineLevel="0" collapsed="false">
      <c r="A1339" s="4" t="s">
        <v>1640</v>
      </c>
      <c r="B1339" s="17" t="n">
        <v>45919</v>
      </c>
      <c r="C1339" s="4" t="n">
        <v>8</v>
      </c>
      <c r="D1339" s="4" t="s">
        <v>64</v>
      </c>
      <c r="E1339" s="4" t="s">
        <v>74</v>
      </c>
      <c r="F1339" s="4" t="s">
        <v>139</v>
      </c>
      <c r="G1339" s="4" t="n">
        <v>1</v>
      </c>
      <c r="H1339" s="4" t="n">
        <v>260</v>
      </c>
      <c r="I1339" s="18" t="n">
        <v>0</v>
      </c>
      <c r="J1339" s="4" t="s">
        <v>76</v>
      </c>
      <c r="K1339" s="4" t="s">
        <v>68</v>
      </c>
    </row>
    <row r="1340" customFormat="false" ht="15" hidden="false" customHeight="false" outlineLevel="0" collapsed="false">
      <c r="A1340" s="4" t="s">
        <v>1641</v>
      </c>
      <c r="B1340" s="17" t="n">
        <v>45919</v>
      </c>
      <c r="C1340" s="4" t="n">
        <v>11</v>
      </c>
      <c r="D1340" s="4" t="s">
        <v>98</v>
      </c>
      <c r="E1340" s="4" t="s">
        <v>65</v>
      </c>
      <c r="F1340" s="4" t="s">
        <v>486</v>
      </c>
      <c r="G1340" s="4" t="n">
        <v>3</v>
      </c>
      <c r="H1340" s="4" t="n">
        <v>150</v>
      </c>
      <c r="I1340" s="18" t="n">
        <v>0</v>
      </c>
      <c r="J1340" s="4" t="s">
        <v>81</v>
      </c>
      <c r="K1340" s="4" t="s">
        <v>68</v>
      </c>
    </row>
    <row r="1341" customFormat="false" ht="15" hidden="false" customHeight="false" outlineLevel="0" collapsed="false">
      <c r="A1341" s="4" t="s">
        <v>1642</v>
      </c>
      <c r="B1341" s="17" t="n">
        <v>45919</v>
      </c>
      <c r="C1341" s="4" t="n">
        <v>11</v>
      </c>
      <c r="D1341" s="4" t="s">
        <v>119</v>
      </c>
      <c r="E1341" s="4" t="s">
        <v>99</v>
      </c>
      <c r="F1341" s="4" t="s">
        <v>133</v>
      </c>
      <c r="G1341" s="4" t="n">
        <v>1</v>
      </c>
      <c r="H1341" s="4" t="n">
        <v>90</v>
      </c>
      <c r="I1341" s="18" t="n">
        <v>0.1</v>
      </c>
      <c r="J1341" s="4" t="s">
        <v>76</v>
      </c>
      <c r="K1341" s="4" t="s">
        <v>71</v>
      </c>
    </row>
    <row r="1342" customFormat="false" ht="15" hidden="false" customHeight="false" outlineLevel="0" collapsed="false">
      <c r="A1342" s="4" t="s">
        <v>1643</v>
      </c>
      <c r="B1342" s="4" t="s">
        <v>1644</v>
      </c>
      <c r="C1342" s="4" t="n">
        <v>16</v>
      </c>
      <c r="D1342" s="4" t="s">
        <v>64</v>
      </c>
      <c r="E1342" s="4" t="s">
        <v>84</v>
      </c>
      <c r="F1342" s="4" t="s">
        <v>106</v>
      </c>
      <c r="G1342" s="4" t="n">
        <v>2</v>
      </c>
      <c r="H1342" s="4" t="n">
        <v>60</v>
      </c>
      <c r="I1342" s="18" t="n">
        <v>0.1</v>
      </c>
      <c r="J1342" s="4" t="s">
        <v>88</v>
      </c>
      <c r="K1342" s="4" t="s">
        <v>71</v>
      </c>
    </row>
    <row r="1343" customFormat="false" ht="15" hidden="false" customHeight="false" outlineLevel="0" collapsed="false">
      <c r="A1343" s="4" t="s">
        <v>1645</v>
      </c>
      <c r="B1343" s="17" t="n">
        <v>45919</v>
      </c>
      <c r="C1343" s="4" t="n">
        <v>17</v>
      </c>
      <c r="D1343" s="4" t="s">
        <v>64</v>
      </c>
      <c r="E1343" s="4" t="s">
        <v>65</v>
      </c>
      <c r="F1343" s="4" t="s">
        <v>87</v>
      </c>
      <c r="G1343" s="4" t="n">
        <v>1</v>
      </c>
      <c r="H1343" s="4" t="n">
        <v>160</v>
      </c>
      <c r="I1343" s="18" t="n">
        <v>0.1</v>
      </c>
      <c r="J1343" s="4" t="s">
        <v>67</v>
      </c>
      <c r="K1343" s="4" t="s">
        <v>71</v>
      </c>
    </row>
    <row r="1344" customFormat="false" ht="15" hidden="false" customHeight="false" outlineLevel="0" collapsed="false">
      <c r="A1344" s="4" t="s">
        <v>1646</v>
      </c>
      <c r="B1344" s="17" t="n">
        <v>45920</v>
      </c>
      <c r="C1344" s="4" t="n">
        <v>8</v>
      </c>
      <c r="D1344" s="4" t="s">
        <v>424</v>
      </c>
      <c r="E1344" s="4" t="s">
        <v>65</v>
      </c>
      <c r="F1344" s="4" t="s">
        <v>66</v>
      </c>
      <c r="G1344" s="4" t="n">
        <v>1</v>
      </c>
      <c r="H1344" s="4" t="n">
        <v>120</v>
      </c>
      <c r="I1344" s="18" t="n">
        <v>0.15</v>
      </c>
      <c r="J1344" s="4" t="s">
        <v>88</v>
      </c>
      <c r="K1344" s="4" t="s">
        <v>71</v>
      </c>
    </row>
    <row r="1345" customFormat="false" ht="15" hidden="false" customHeight="false" outlineLevel="0" collapsed="false">
      <c r="A1345" s="4" t="s">
        <v>1647</v>
      </c>
      <c r="B1345" s="17" t="n">
        <v>45920</v>
      </c>
      <c r="C1345" s="4" t="n">
        <v>9</v>
      </c>
      <c r="D1345" s="4" t="s">
        <v>70</v>
      </c>
      <c r="E1345" s="4" t="s">
        <v>65</v>
      </c>
      <c r="F1345" s="4" t="s">
        <v>87</v>
      </c>
      <c r="G1345" s="4" t="n">
        <v>3</v>
      </c>
      <c r="H1345" s="4" t="n">
        <v>160</v>
      </c>
      <c r="I1345" s="18" t="n">
        <v>0</v>
      </c>
      <c r="J1345" s="4" t="s">
        <v>67</v>
      </c>
      <c r="K1345" s="4" t="s">
        <v>77</v>
      </c>
    </row>
    <row r="1346" customFormat="false" ht="15" hidden="false" customHeight="false" outlineLevel="0" collapsed="false">
      <c r="A1346" s="4" t="s">
        <v>1648</v>
      </c>
      <c r="B1346" s="17" t="n">
        <v>45920</v>
      </c>
      <c r="C1346" s="4" t="n">
        <v>15</v>
      </c>
      <c r="D1346" s="4" t="s">
        <v>70</v>
      </c>
      <c r="E1346" s="4" t="s">
        <v>65</v>
      </c>
      <c r="F1346" s="4" t="s">
        <v>121</v>
      </c>
      <c r="G1346" s="4" t="n">
        <v>2</v>
      </c>
      <c r="H1346" s="4" t="n">
        <v>170</v>
      </c>
      <c r="I1346" s="18" t="n">
        <v>0</v>
      </c>
      <c r="J1346" s="4" t="s">
        <v>76</v>
      </c>
      <c r="K1346" s="4" t="s">
        <v>77</v>
      </c>
    </row>
    <row r="1347" customFormat="false" ht="15" hidden="false" customHeight="false" outlineLevel="0" collapsed="false">
      <c r="A1347" s="4" t="s">
        <v>1649</v>
      </c>
      <c r="B1347" s="4" t="s">
        <v>1650</v>
      </c>
      <c r="C1347" s="4" t="n">
        <v>16</v>
      </c>
      <c r="D1347" s="4" t="s">
        <v>98</v>
      </c>
      <c r="E1347" s="4" t="s">
        <v>84</v>
      </c>
      <c r="F1347" s="4" t="s">
        <v>117</v>
      </c>
      <c r="G1347" s="4" t="n">
        <v>1</v>
      </c>
      <c r="H1347" s="4" t="n">
        <v>95</v>
      </c>
      <c r="I1347" s="18" t="n">
        <v>0</v>
      </c>
      <c r="J1347" s="4" t="s">
        <v>81</v>
      </c>
      <c r="K1347" s="4" t="s">
        <v>68</v>
      </c>
    </row>
    <row r="1348" customFormat="false" ht="15" hidden="false" customHeight="false" outlineLevel="0" collapsed="false">
      <c r="A1348" s="4" t="s">
        <v>1651</v>
      </c>
      <c r="B1348" s="17" t="n">
        <v>45920</v>
      </c>
      <c r="C1348" s="4" t="n">
        <v>16</v>
      </c>
      <c r="D1348" s="4" t="s">
        <v>64</v>
      </c>
      <c r="E1348" s="4" t="s">
        <v>99</v>
      </c>
      <c r="F1348" s="4" t="s">
        <v>102</v>
      </c>
      <c r="G1348" s="4" t="n">
        <v>2</v>
      </c>
      <c r="H1348" s="4" t="n">
        <v>140</v>
      </c>
      <c r="I1348" s="18" t="n">
        <v>0.1</v>
      </c>
      <c r="K1348" s="4" t="s">
        <v>82</v>
      </c>
    </row>
    <row r="1349" customFormat="false" ht="15" hidden="false" customHeight="false" outlineLevel="0" collapsed="false">
      <c r="A1349" s="4" t="s">
        <v>1652</v>
      </c>
      <c r="B1349" s="17" t="n">
        <v>45921</v>
      </c>
      <c r="C1349" s="4" t="n">
        <v>9</v>
      </c>
      <c r="D1349" s="4" t="s">
        <v>98</v>
      </c>
      <c r="E1349" s="4" t="s">
        <v>99</v>
      </c>
      <c r="F1349" s="4" t="s">
        <v>102</v>
      </c>
      <c r="G1349" s="4" t="n">
        <v>1</v>
      </c>
      <c r="H1349" s="4" t="n">
        <v>140</v>
      </c>
      <c r="I1349" s="18" t="n">
        <v>0.05</v>
      </c>
      <c r="J1349" s="4" t="s">
        <v>67</v>
      </c>
      <c r="K1349" s="4" t="s">
        <v>82</v>
      </c>
    </row>
    <row r="1350" customFormat="false" ht="15" hidden="false" customHeight="false" outlineLevel="0" collapsed="false">
      <c r="A1350" s="4" t="s">
        <v>1653</v>
      </c>
      <c r="B1350" s="17" t="n">
        <v>45921</v>
      </c>
      <c r="C1350" s="4" t="n">
        <v>14</v>
      </c>
      <c r="D1350" s="4" t="s">
        <v>98</v>
      </c>
      <c r="E1350" s="4" t="s">
        <v>99</v>
      </c>
      <c r="F1350" s="4" t="s">
        <v>100</v>
      </c>
      <c r="G1350" s="4" t="n">
        <v>1</v>
      </c>
      <c r="H1350" s="4" t="n">
        <v>110</v>
      </c>
      <c r="I1350" s="18" t="n">
        <v>0</v>
      </c>
      <c r="J1350" s="4" t="s">
        <v>88</v>
      </c>
      <c r="K1350" s="4" t="s">
        <v>68</v>
      </c>
    </row>
    <row r="1351" customFormat="false" ht="15" hidden="false" customHeight="false" outlineLevel="0" collapsed="false">
      <c r="A1351" s="4" t="s">
        <v>1654</v>
      </c>
      <c r="B1351" s="17" t="n">
        <v>45922</v>
      </c>
      <c r="C1351" s="4" t="n">
        <v>10</v>
      </c>
      <c r="D1351" s="4" t="s">
        <v>70</v>
      </c>
      <c r="E1351" s="4" t="s">
        <v>65</v>
      </c>
      <c r="F1351" s="4" t="s">
        <v>94</v>
      </c>
      <c r="G1351" s="4" t="n">
        <v>2</v>
      </c>
      <c r="H1351" s="4" t="n">
        <v>150</v>
      </c>
      <c r="I1351" s="18" t="n">
        <v>0</v>
      </c>
      <c r="J1351" s="4" t="s">
        <v>67</v>
      </c>
      <c r="K1351" s="4" t="s">
        <v>77</v>
      </c>
    </row>
    <row r="1352" customFormat="false" ht="15" hidden="false" customHeight="false" outlineLevel="0" collapsed="false">
      <c r="A1352" s="4" t="s">
        <v>1655</v>
      </c>
      <c r="B1352" s="17" t="n">
        <v>45922</v>
      </c>
      <c r="C1352" s="4" t="n">
        <v>11</v>
      </c>
      <c r="D1352" s="4" t="s">
        <v>70</v>
      </c>
      <c r="E1352" s="4" t="s">
        <v>926</v>
      </c>
      <c r="F1352" s="4" t="s">
        <v>106</v>
      </c>
      <c r="G1352" s="4" t="n">
        <v>1</v>
      </c>
      <c r="H1352" s="4" t="n">
        <v>60</v>
      </c>
      <c r="I1352" s="18" t="n">
        <v>0</v>
      </c>
      <c r="J1352" s="4" t="s">
        <v>81</v>
      </c>
      <c r="K1352" s="4" t="s">
        <v>68</v>
      </c>
    </row>
    <row r="1353" customFormat="false" ht="15" hidden="false" customHeight="false" outlineLevel="0" collapsed="false">
      <c r="A1353" s="4" t="s">
        <v>1656</v>
      </c>
      <c r="B1353" s="17" t="n">
        <v>45922</v>
      </c>
      <c r="C1353" s="4" t="n">
        <v>12</v>
      </c>
      <c r="D1353" s="4" t="s">
        <v>70</v>
      </c>
      <c r="E1353" s="4" t="s">
        <v>99</v>
      </c>
      <c r="F1353" s="4" t="s">
        <v>102</v>
      </c>
      <c r="G1353" s="4" t="n">
        <v>3</v>
      </c>
      <c r="H1353" s="4" t="n">
        <v>140</v>
      </c>
      <c r="I1353" s="18" t="n">
        <v>0</v>
      </c>
      <c r="J1353" s="4" t="s">
        <v>67</v>
      </c>
      <c r="K1353" s="4" t="s">
        <v>77</v>
      </c>
    </row>
    <row r="1354" customFormat="false" ht="15" hidden="false" customHeight="false" outlineLevel="0" collapsed="false">
      <c r="A1354" s="4" t="s">
        <v>1657</v>
      </c>
      <c r="B1354" s="17" t="n">
        <v>45922</v>
      </c>
      <c r="C1354" s="4" t="n">
        <v>19</v>
      </c>
      <c r="D1354" s="4" t="s">
        <v>70</v>
      </c>
      <c r="E1354" s="4" t="s">
        <v>65</v>
      </c>
      <c r="F1354" s="4" t="s">
        <v>87</v>
      </c>
      <c r="G1354" s="4" t="n">
        <v>2</v>
      </c>
      <c r="H1354" s="4" t="n">
        <v>160</v>
      </c>
      <c r="I1354" s="18" t="n">
        <v>0</v>
      </c>
      <c r="J1354" s="4" t="s">
        <v>81</v>
      </c>
      <c r="K1354" s="4" t="s">
        <v>77</v>
      </c>
    </row>
    <row r="1355" customFormat="false" ht="15" hidden="false" customHeight="false" outlineLevel="0" collapsed="false">
      <c r="A1355" s="4" t="s">
        <v>1658</v>
      </c>
      <c r="B1355" s="17" t="n">
        <v>45922</v>
      </c>
      <c r="C1355" s="4" t="n">
        <v>19</v>
      </c>
      <c r="D1355" s="4" t="s">
        <v>166</v>
      </c>
      <c r="E1355" s="4" t="s">
        <v>84</v>
      </c>
      <c r="F1355" s="4" t="s">
        <v>1070</v>
      </c>
      <c r="G1355" s="4" t="n">
        <v>1</v>
      </c>
      <c r="H1355" s="4" t="n">
        <v>95</v>
      </c>
      <c r="I1355" s="18" t="n">
        <v>0</v>
      </c>
      <c r="J1355" s="4" t="s">
        <v>81</v>
      </c>
      <c r="K1355" s="4" t="s">
        <v>77</v>
      </c>
    </row>
    <row r="1356" customFormat="false" ht="15" hidden="false" customHeight="false" outlineLevel="0" collapsed="false">
      <c r="A1356" s="4" t="s">
        <v>1659</v>
      </c>
      <c r="B1356" s="17" t="n">
        <v>45923</v>
      </c>
      <c r="C1356" s="4" t="n">
        <v>9</v>
      </c>
      <c r="D1356" s="4" t="s">
        <v>98</v>
      </c>
      <c r="E1356" s="4" t="s">
        <v>65</v>
      </c>
      <c r="F1356" s="4" t="s">
        <v>121</v>
      </c>
      <c r="H1356" s="4" t="n">
        <v>170</v>
      </c>
      <c r="I1356" s="18" t="n">
        <v>0.1</v>
      </c>
      <c r="J1356" s="4" t="s">
        <v>103</v>
      </c>
      <c r="K1356" s="4" t="s">
        <v>71</v>
      </c>
    </row>
    <row r="1357" customFormat="false" ht="15" hidden="false" customHeight="false" outlineLevel="0" collapsed="false">
      <c r="A1357" s="4" t="s">
        <v>1660</v>
      </c>
      <c r="B1357" s="4" t="s">
        <v>1661</v>
      </c>
      <c r="C1357" s="4" t="n">
        <v>12</v>
      </c>
      <c r="D1357" s="4" t="s">
        <v>119</v>
      </c>
      <c r="E1357" s="4" t="s">
        <v>99</v>
      </c>
      <c r="F1357" s="4" t="s">
        <v>100</v>
      </c>
      <c r="G1357" s="4" t="n">
        <v>1</v>
      </c>
      <c r="H1357" s="4" t="n">
        <v>110</v>
      </c>
      <c r="I1357" s="18" t="n">
        <v>0.1</v>
      </c>
      <c r="J1357" s="4" t="s">
        <v>273</v>
      </c>
      <c r="K1357" s="4" t="s">
        <v>71</v>
      </c>
    </row>
    <row r="1358" customFormat="false" ht="15" hidden="false" customHeight="false" outlineLevel="0" collapsed="false">
      <c r="A1358" s="4" t="s">
        <v>1662</v>
      </c>
      <c r="B1358" s="17" t="n">
        <v>45923</v>
      </c>
      <c r="C1358" s="4" t="n">
        <v>13</v>
      </c>
      <c r="D1358" s="4" t="s">
        <v>73</v>
      </c>
      <c r="E1358" s="4" t="s">
        <v>65</v>
      </c>
      <c r="F1358" s="4" t="s">
        <v>94</v>
      </c>
      <c r="G1358" s="4" t="n">
        <v>1</v>
      </c>
      <c r="H1358" s="4" t="n">
        <v>150</v>
      </c>
      <c r="I1358" s="18" t="n">
        <v>0</v>
      </c>
      <c r="J1358" s="4" t="s">
        <v>67</v>
      </c>
      <c r="K1358" s="4" t="s">
        <v>77</v>
      </c>
    </row>
    <row r="1359" customFormat="false" ht="15" hidden="false" customHeight="false" outlineLevel="0" collapsed="false">
      <c r="A1359" s="4" t="s">
        <v>1663</v>
      </c>
      <c r="B1359" s="17" t="n">
        <v>45923</v>
      </c>
      <c r="C1359" s="4" t="n">
        <v>19</v>
      </c>
      <c r="D1359" s="4" t="s">
        <v>64</v>
      </c>
      <c r="E1359" s="4" t="s">
        <v>79</v>
      </c>
      <c r="F1359" s="4" t="s">
        <v>80</v>
      </c>
      <c r="G1359" s="4" t="n">
        <v>4</v>
      </c>
      <c r="H1359" s="4" t="n">
        <v>160</v>
      </c>
      <c r="I1359" s="18" t="n">
        <v>0.1</v>
      </c>
      <c r="J1359" s="4" t="s">
        <v>123</v>
      </c>
      <c r="K1359" s="4" t="s">
        <v>71</v>
      </c>
    </row>
    <row r="1360" customFormat="false" ht="15" hidden="false" customHeight="false" outlineLevel="0" collapsed="false">
      <c r="A1360" s="4" t="s">
        <v>1664</v>
      </c>
      <c r="B1360" s="17" t="n">
        <v>45924</v>
      </c>
      <c r="C1360" s="4" t="n">
        <v>9</v>
      </c>
      <c r="D1360" s="4" t="s">
        <v>70</v>
      </c>
      <c r="E1360" s="4" t="s">
        <v>65</v>
      </c>
      <c r="F1360" s="4" t="s">
        <v>66</v>
      </c>
      <c r="G1360" s="4" t="n">
        <v>1</v>
      </c>
      <c r="H1360" s="4" t="n">
        <v>120</v>
      </c>
      <c r="I1360" s="18" t="n">
        <v>0.05</v>
      </c>
      <c r="J1360" s="4" t="s">
        <v>81</v>
      </c>
      <c r="K1360" s="4" t="s">
        <v>82</v>
      </c>
    </row>
    <row r="1361" customFormat="false" ht="15" hidden="false" customHeight="false" outlineLevel="0" collapsed="false">
      <c r="A1361" s="4" t="s">
        <v>1665</v>
      </c>
      <c r="B1361" s="17" t="n">
        <v>45924</v>
      </c>
      <c r="C1361" s="4" t="n">
        <v>9</v>
      </c>
      <c r="D1361" s="4" t="s">
        <v>98</v>
      </c>
      <c r="E1361" s="4" t="s">
        <v>79</v>
      </c>
      <c r="F1361" s="4" t="s">
        <v>135</v>
      </c>
      <c r="G1361" s="4" t="n">
        <v>2</v>
      </c>
      <c r="H1361" s="4" t="n">
        <v>130</v>
      </c>
      <c r="I1361" s="18" t="n">
        <v>0</v>
      </c>
      <c r="J1361" s="4" t="s">
        <v>67</v>
      </c>
      <c r="K1361" s="4" t="s">
        <v>68</v>
      </c>
    </row>
    <row r="1362" customFormat="false" ht="15" hidden="false" customHeight="false" outlineLevel="0" collapsed="false">
      <c r="A1362" s="4" t="s">
        <v>1666</v>
      </c>
      <c r="B1362" s="17" t="n">
        <v>45924</v>
      </c>
      <c r="C1362" s="4" t="n">
        <v>10</v>
      </c>
      <c r="D1362" s="4" t="s">
        <v>64</v>
      </c>
      <c r="E1362" s="4" t="s">
        <v>99</v>
      </c>
      <c r="F1362" s="4" t="s">
        <v>100</v>
      </c>
      <c r="G1362" s="4" t="n">
        <v>2</v>
      </c>
      <c r="H1362" s="4" t="n">
        <v>110</v>
      </c>
      <c r="I1362" s="18" t="n">
        <v>0</v>
      </c>
      <c r="J1362" s="4" t="s">
        <v>81</v>
      </c>
      <c r="K1362" s="4" t="s">
        <v>77</v>
      </c>
    </row>
    <row r="1363" customFormat="false" ht="15" hidden="false" customHeight="false" outlineLevel="0" collapsed="false">
      <c r="A1363" s="4" t="s">
        <v>1667</v>
      </c>
      <c r="B1363" s="17" t="n">
        <v>45924</v>
      </c>
      <c r="C1363" s="4" t="n">
        <v>12</v>
      </c>
      <c r="D1363" s="4" t="s">
        <v>98</v>
      </c>
      <c r="E1363" s="4" t="s">
        <v>99</v>
      </c>
      <c r="F1363" s="4" t="s">
        <v>109</v>
      </c>
      <c r="G1363" s="4" t="n">
        <v>2</v>
      </c>
      <c r="H1363" s="4" t="n">
        <v>130</v>
      </c>
      <c r="I1363" s="18" t="n">
        <v>0</v>
      </c>
      <c r="J1363" s="4" t="s">
        <v>76</v>
      </c>
      <c r="K1363" s="4" t="s">
        <v>68</v>
      </c>
    </row>
    <row r="1364" customFormat="false" ht="15" hidden="false" customHeight="false" outlineLevel="0" collapsed="false">
      <c r="A1364" s="4" t="s">
        <v>1668</v>
      </c>
      <c r="B1364" s="17" t="n">
        <v>45924</v>
      </c>
      <c r="C1364" s="4" t="n">
        <v>13</v>
      </c>
      <c r="D1364" s="4" t="s">
        <v>90</v>
      </c>
      <c r="E1364" s="4" t="s">
        <v>74</v>
      </c>
      <c r="F1364" s="4" t="s">
        <v>139</v>
      </c>
      <c r="G1364" s="4" t="n">
        <v>2</v>
      </c>
      <c r="H1364" s="4" t="n">
        <v>260</v>
      </c>
      <c r="I1364" s="18" t="n">
        <v>0</v>
      </c>
      <c r="J1364" s="4" t="s">
        <v>103</v>
      </c>
      <c r="K1364" s="4" t="s">
        <v>77</v>
      </c>
    </row>
    <row r="1365" customFormat="false" ht="15" hidden="false" customHeight="false" outlineLevel="0" collapsed="false">
      <c r="A1365" s="4" t="s">
        <v>1669</v>
      </c>
      <c r="B1365" s="17" t="n">
        <v>45924</v>
      </c>
      <c r="C1365" s="4" t="n">
        <v>13</v>
      </c>
      <c r="D1365" s="4" t="s">
        <v>70</v>
      </c>
      <c r="E1365" s="4" t="s">
        <v>164</v>
      </c>
      <c r="F1365" s="4" t="s">
        <v>100</v>
      </c>
      <c r="G1365" s="4" t="n">
        <v>1</v>
      </c>
      <c r="I1365" s="18" t="n">
        <v>0</v>
      </c>
      <c r="J1365" s="4" t="s">
        <v>67</v>
      </c>
      <c r="K1365" s="4" t="s">
        <v>68</v>
      </c>
    </row>
    <row r="1366" customFormat="false" ht="15" hidden="false" customHeight="false" outlineLevel="0" collapsed="false">
      <c r="A1366" s="4" t="s">
        <v>1670</v>
      </c>
      <c r="B1366" s="17" t="n">
        <v>45924</v>
      </c>
      <c r="C1366" s="4" t="n">
        <v>16</v>
      </c>
      <c r="D1366" s="4" t="s">
        <v>98</v>
      </c>
      <c r="E1366" s="4" t="s">
        <v>65</v>
      </c>
      <c r="F1366" s="4" t="s">
        <v>121</v>
      </c>
      <c r="G1366" s="4" t="n">
        <v>4</v>
      </c>
      <c r="H1366" s="4" t="n">
        <v>170</v>
      </c>
      <c r="I1366" s="18" t="n">
        <v>0.05</v>
      </c>
      <c r="J1366" s="4" t="s">
        <v>81</v>
      </c>
      <c r="K1366" s="4" t="s">
        <v>82</v>
      </c>
    </row>
    <row r="1367" customFormat="false" ht="15" hidden="false" customHeight="false" outlineLevel="0" collapsed="false">
      <c r="A1367" s="4" t="s">
        <v>1671</v>
      </c>
      <c r="B1367" s="17" t="n">
        <v>45925</v>
      </c>
      <c r="C1367" s="4" t="n">
        <v>11</v>
      </c>
      <c r="D1367" s="4" t="s">
        <v>73</v>
      </c>
      <c r="E1367" s="4" t="s">
        <v>74</v>
      </c>
      <c r="F1367" s="4" t="s">
        <v>75</v>
      </c>
      <c r="G1367" s="4" t="n">
        <v>2</v>
      </c>
      <c r="H1367" s="4" t="n">
        <v>220</v>
      </c>
      <c r="I1367" s="18" t="n">
        <v>0.15</v>
      </c>
      <c r="J1367" s="4" t="s">
        <v>88</v>
      </c>
      <c r="K1367" s="4" t="s">
        <v>77</v>
      </c>
    </row>
    <row r="1368" customFormat="false" ht="15" hidden="false" customHeight="false" outlineLevel="0" collapsed="false">
      <c r="A1368" s="4" t="s">
        <v>1672</v>
      </c>
      <c r="B1368" s="17" t="n">
        <v>45925</v>
      </c>
      <c r="C1368" s="4" t="n">
        <v>12</v>
      </c>
      <c r="D1368" s="4" t="s">
        <v>70</v>
      </c>
      <c r="E1368" s="4" t="s">
        <v>74</v>
      </c>
      <c r="F1368" s="4" t="s">
        <v>75</v>
      </c>
      <c r="G1368" s="4" t="n">
        <v>1</v>
      </c>
      <c r="H1368" s="4" t="n">
        <v>220</v>
      </c>
      <c r="I1368" s="18" t="n">
        <v>0.1</v>
      </c>
      <c r="J1368" s="4" t="s">
        <v>88</v>
      </c>
      <c r="K1368" s="4" t="s">
        <v>71</v>
      </c>
    </row>
    <row r="1369" customFormat="false" ht="15" hidden="false" customHeight="false" outlineLevel="0" collapsed="false">
      <c r="A1369" s="4" t="s">
        <v>1673</v>
      </c>
      <c r="B1369" s="4" t="s">
        <v>1674</v>
      </c>
      <c r="C1369" s="4" t="n">
        <v>14</v>
      </c>
      <c r="D1369" s="4" t="s">
        <v>70</v>
      </c>
      <c r="E1369" s="4" t="s">
        <v>65</v>
      </c>
      <c r="F1369" s="4" t="s">
        <v>121</v>
      </c>
      <c r="G1369" s="4" t="n">
        <v>3</v>
      </c>
      <c r="H1369" s="4" t="n">
        <v>170</v>
      </c>
      <c r="I1369" s="18" t="n">
        <v>0</v>
      </c>
      <c r="J1369" s="4" t="s">
        <v>76</v>
      </c>
      <c r="K1369" s="4" t="s">
        <v>68</v>
      </c>
    </row>
    <row r="1370" customFormat="false" ht="15" hidden="false" customHeight="false" outlineLevel="0" collapsed="false">
      <c r="A1370" s="4" t="s">
        <v>1675</v>
      </c>
      <c r="B1370" s="17" t="n">
        <v>45925</v>
      </c>
      <c r="C1370" s="4" t="n">
        <v>14</v>
      </c>
      <c r="D1370" s="4" t="s">
        <v>64</v>
      </c>
      <c r="E1370" s="4" t="s">
        <v>99</v>
      </c>
      <c r="F1370" s="4" t="s">
        <v>1405</v>
      </c>
      <c r="G1370" s="4" t="n">
        <v>1</v>
      </c>
      <c r="H1370" s="4" t="n">
        <v>110</v>
      </c>
      <c r="I1370" s="18" t="n">
        <v>0</v>
      </c>
      <c r="J1370" s="4" t="s">
        <v>67</v>
      </c>
      <c r="K1370" s="4" t="s">
        <v>77</v>
      </c>
    </row>
    <row r="1371" customFormat="false" ht="15" hidden="false" customHeight="false" outlineLevel="0" collapsed="false">
      <c r="A1371" s="4" t="s">
        <v>1676</v>
      </c>
      <c r="B1371" s="17" t="n">
        <v>45925</v>
      </c>
      <c r="C1371" s="4" t="n">
        <v>18</v>
      </c>
      <c r="D1371" s="4" t="s">
        <v>73</v>
      </c>
      <c r="E1371" s="4" t="s">
        <v>99</v>
      </c>
      <c r="F1371" s="4" t="s">
        <v>109</v>
      </c>
      <c r="G1371" s="4" t="n">
        <v>1</v>
      </c>
      <c r="H1371" s="4" t="n">
        <v>130</v>
      </c>
      <c r="I1371" s="18" t="n">
        <v>0.05</v>
      </c>
      <c r="J1371" s="4" t="s">
        <v>67</v>
      </c>
      <c r="K1371" s="4" t="s">
        <v>82</v>
      </c>
    </row>
    <row r="1372" customFormat="false" ht="15" hidden="false" customHeight="false" outlineLevel="0" collapsed="false">
      <c r="A1372" s="4" t="s">
        <v>1677</v>
      </c>
      <c r="B1372" s="17" t="n">
        <v>45926</v>
      </c>
      <c r="C1372" s="4" t="n">
        <v>12</v>
      </c>
      <c r="D1372" s="4" t="s">
        <v>98</v>
      </c>
      <c r="E1372" s="4" t="s">
        <v>65</v>
      </c>
      <c r="F1372" s="4" t="s">
        <v>94</v>
      </c>
      <c r="G1372" s="4" t="n">
        <v>1</v>
      </c>
      <c r="H1372" s="4" t="n">
        <v>150</v>
      </c>
      <c r="I1372" s="18" t="n">
        <v>0.1</v>
      </c>
      <c r="J1372" s="4" t="s">
        <v>76</v>
      </c>
      <c r="K1372" s="4" t="s">
        <v>71</v>
      </c>
    </row>
    <row r="1373" customFormat="false" ht="15" hidden="false" customHeight="false" outlineLevel="0" collapsed="false">
      <c r="A1373" s="4" t="s">
        <v>1678</v>
      </c>
      <c r="B1373" s="17" t="n">
        <v>45927</v>
      </c>
      <c r="C1373" s="4" t="n">
        <v>13</v>
      </c>
      <c r="D1373" s="4" t="s">
        <v>70</v>
      </c>
      <c r="E1373" s="4" t="s">
        <v>99</v>
      </c>
      <c r="F1373" s="4" t="s">
        <v>100</v>
      </c>
      <c r="G1373" s="4" t="n">
        <v>1</v>
      </c>
      <c r="H1373" s="4" t="n">
        <v>110</v>
      </c>
      <c r="I1373" s="18" t="n">
        <v>0</v>
      </c>
      <c r="J1373" s="4" t="s">
        <v>81</v>
      </c>
      <c r="K1373" s="4" t="s">
        <v>68</v>
      </c>
    </row>
    <row r="1374" customFormat="false" ht="15" hidden="false" customHeight="false" outlineLevel="0" collapsed="false">
      <c r="A1374" s="4" t="s">
        <v>1679</v>
      </c>
      <c r="B1374" s="17" t="n">
        <v>45927</v>
      </c>
      <c r="C1374" s="4" t="n">
        <v>14</v>
      </c>
      <c r="D1374" s="4" t="s">
        <v>98</v>
      </c>
      <c r="E1374" s="4" t="s">
        <v>99</v>
      </c>
      <c r="F1374" s="4" t="s">
        <v>100</v>
      </c>
      <c r="G1374" s="4" t="n">
        <v>1</v>
      </c>
      <c r="H1374" s="4" t="n">
        <v>110</v>
      </c>
      <c r="I1374" s="18" t="n">
        <v>0.05</v>
      </c>
      <c r="J1374" s="4" t="s">
        <v>67</v>
      </c>
      <c r="K1374" s="4" t="s">
        <v>82</v>
      </c>
    </row>
    <row r="1375" customFormat="false" ht="15" hidden="false" customHeight="false" outlineLevel="0" collapsed="false">
      <c r="A1375" s="4" t="s">
        <v>1680</v>
      </c>
      <c r="B1375" s="17" t="n">
        <v>45927</v>
      </c>
      <c r="C1375" s="4" t="n">
        <v>19</v>
      </c>
      <c r="D1375" s="4" t="s">
        <v>98</v>
      </c>
      <c r="E1375" s="4" t="s">
        <v>79</v>
      </c>
      <c r="F1375" s="4" t="s">
        <v>148</v>
      </c>
      <c r="G1375" s="4" t="n">
        <v>1</v>
      </c>
      <c r="H1375" s="4" t="n">
        <v>120</v>
      </c>
      <c r="I1375" s="18" t="n">
        <v>0</v>
      </c>
      <c r="J1375" s="4" t="s">
        <v>81</v>
      </c>
      <c r="K1375" s="4" t="s">
        <v>77</v>
      </c>
    </row>
    <row r="1376" customFormat="false" ht="15" hidden="false" customHeight="false" outlineLevel="0" collapsed="false">
      <c r="A1376" s="4" t="s">
        <v>1681</v>
      </c>
      <c r="B1376" s="17" t="n">
        <v>45928</v>
      </c>
      <c r="C1376" s="4" t="n">
        <v>9</v>
      </c>
      <c r="D1376" s="4" t="s">
        <v>64</v>
      </c>
      <c r="E1376" s="4" t="s">
        <v>79</v>
      </c>
      <c r="F1376" s="4" t="s">
        <v>80</v>
      </c>
      <c r="G1376" s="4" t="n">
        <v>2</v>
      </c>
      <c r="H1376" s="4" t="n">
        <v>160</v>
      </c>
      <c r="I1376" s="18" t="n">
        <v>0</v>
      </c>
      <c r="J1376" s="4" t="s">
        <v>81</v>
      </c>
      <c r="K1376" s="4" t="s">
        <v>68</v>
      </c>
    </row>
    <row r="1377" customFormat="false" ht="15" hidden="false" customHeight="false" outlineLevel="0" collapsed="false">
      <c r="A1377" s="4" t="s">
        <v>1682</v>
      </c>
      <c r="B1377" s="17" t="n">
        <v>45928</v>
      </c>
      <c r="C1377" s="4" t="n">
        <v>9</v>
      </c>
      <c r="D1377" s="4" t="s">
        <v>70</v>
      </c>
      <c r="E1377" s="4" t="s">
        <v>99</v>
      </c>
      <c r="F1377" s="4" t="s">
        <v>100</v>
      </c>
      <c r="G1377" s="4" t="n">
        <v>3</v>
      </c>
      <c r="H1377" s="4" t="n">
        <v>110</v>
      </c>
      <c r="I1377" s="18" t="n">
        <v>0</v>
      </c>
      <c r="J1377" s="4" t="s">
        <v>268</v>
      </c>
      <c r="K1377" s="4" t="s">
        <v>68</v>
      </c>
    </row>
    <row r="1378" customFormat="false" ht="15" hidden="false" customHeight="false" outlineLevel="0" collapsed="false">
      <c r="A1378" s="4" t="s">
        <v>1683</v>
      </c>
      <c r="B1378" s="17" t="n">
        <v>45928</v>
      </c>
      <c r="C1378" s="4" t="n">
        <v>10</v>
      </c>
      <c r="D1378" s="4" t="s">
        <v>70</v>
      </c>
      <c r="E1378" s="4" t="s">
        <v>99</v>
      </c>
      <c r="F1378" s="4" t="s">
        <v>102</v>
      </c>
      <c r="G1378" s="4" t="n">
        <v>3</v>
      </c>
      <c r="H1378" s="4" t="n">
        <v>140</v>
      </c>
      <c r="I1378" s="18" t="n">
        <v>0</v>
      </c>
      <c r="J1378" s="4" t="s">
        <v>81</v>
      </c>
      <c r="K1378" s="4" t="s">
        <v>68</v>
      </c>
    </row>
    <row r="1379" customFormat="false" ht="15" hidden="false" customHeight="false" outlineLevel="0" collapsed="false">
      <c r="A1379" s="4" t="s">
        <v>1684</v>
      </c>
      <c r="B1379" s="17" t="n">
        <v>45928</v>
      </c>
      <c r="C1379" s="4" t="n">
        <v>13</v>
      </c>
      <c r="D1379" s="4" t="s">
        <v>90</v>
      </c>
      <c r="E1379" s="4" t="s">
        <v>79</v>
      </c>
      <c r="F1379" s="4" t="s">
        <v>148</v>
      </c>
      <c r="G1379" s="4" t="n">
        <v>4</v>
      </c>
      <c r="H1379" s="4" t="n">
        <v>120</v>
      </c>
      <c r="I1379" s="18" t="n">
        <v>0.15</v>
      </c>
      <c r="J1379" s="4" t="s">
        <v>67</v>
      </c>
      <c r="K1379" s="4" t="s">
        <v>71</v>
      </c>
    </row>
    <row r="1380" customFormat="false" ht="15" hidden="false" customHeight="false" outlineLevel="0" collapsed="false">
      <c r="A1380" s="4" t="s">
        <v>1685</v>
      </c>
      <c r="B1380" s="17" t="n">
        <v>45929</v>
      </c>
      <c r="C1380" s="4" t="n">
        <v>7</v>
      </c>
      <c r="D1380" s="4" t="s">
        <v>64</v>
      </c>
      <c r="E1380" s="4" t="s">
        <v>84</v>
      </c>
      <c r="F1380" s="4" t="s">
        <v>106</v>
      </c>
      <c r="G1380" s="4" t="n">
        <v>1</v>
      </c>
      <c r="H1380" s="4" t="n">
        <v>60</v>
      </c>
      <c r="I1380" s="18" t="n">
        <v>0.1</v>
      </c>
      <c r="J1380" s="4" t="s">
        <v>76</v>
      </c>
      <c r="K1380" s="4" t="s">
        <v>71</v>
      </c>
    </row>
    <row r="1381" customFormat="false" ht="15" hidden="false" customHeight="false" outlineLevel="0" collapsed="false">
      <c r="A1381" s="4" t="s">
        <v>1686</v>
      </c>
      <c r="B1381" s="17" t="n">
        <v>45929</v>
      </c>
      <c r="C1381" s="4" t="n">
        <v>9</v>
      </c>
      <c r="D1381" s="4" t="s">
        <v>98</v>
      </c>
      <c r="E1381" s="4" t="s">
        <v>79</v>
      </c>
      <c r="F1381" s="4" t="s">
        <v>135</v>
      </c>
      <c r="G1381" s="4" t="n">
        <v>-1</v>
      </c>
      <c r="H1381" s="4" t="n">
        <v>130</v>
      </c>
      <c r="I1381" s="18" t="n">
        <v>0.1</v>
      </c>
      <c r="J1381" s="4" t="s">
        <v>81</v>
      </c>
      <c r="K1381" s="4" t="s">
        <v>71</v>
      </c>
    </row>
    <row r="1382" customFormat="false" ht="15" hidden="false" customHeight="false" outlineLevel="0" collapsed="false">
      <c r="A1382" s="4" t="s">
        <v>1687</v>
      </c>
      <c r="B1382" s="4" t="s">
        <v>1688</v>
      </c>
      <c r="C1382" s="4" t="n">
        <v>14</v>
      </c>
      <c r="D1382" s="4" t="s">
        <v>424</v>
      </c>
      <c r="E1382" s="4" t="s">
        <v>65</v>
      </c>
      <c r="F1382" s="4" t="s">
        <v>87</v>
      </c>
      <c r="G1382" s="4" t="n">
        <v>1</v>
      </c>
      <c r="H1382" s="4" t="n">
        <v>160</v>
      </c>
      <c r="I1382" s="18" t="n">
        <v>0.05</v>
      </c>
      <c r="J1382" s="4" t="s">
        <v>67</v>
      </c>
      <c r="K1382" s="4" t="s">
        <v>82</v>
      </c>
    </row>
    <row r="1383" customFormat="false" ht="15" hidden="false" customHeight="false" outlineLevel="0" collapsed="false">
      <c r="A1383" s="4" t="s">
        <v>1689</v>
      </c>
      <c r="B1383" s="4" t="s">
        <v>1690</v>
      </c>
      <c r="C1383" s="4" t="n">
        <v>7</v>
      </c>
      <c r="D1383" s="4" t="s">
        <v>73</v>
      </c>
      <c r="E1383" s="4" t="s">
        <v>74</v>
      </c>
      <c r="F1383" s="4" t="s">
        <v>75</v>
      </c>
      <c r="G1383" s="4" t="n">
        <v>1</v>
      </c>
      <c r="H1383" s="4" t="n">
        <v>220</v>
      </c>
      <c r="I1383" s="18" t="n">
        <v>0</v>
      </c>
      <c r="J1383" s="4" t="s">
        <v>67</v>
      </c>
      <c r="K1383" s="4" t="s">
        <v>68</v>
      </c>
    </row>
    <row r="1384" customFormat="false" ht="15" hidden="false" customHeight="false" outlineLevel="0" collapsed="false">
      <c r="A1384" s="4" t="s">
        <v>1691</v>
      </c>
      <c r="B1384" s="17" t="n">
        <v>45930</v>
      </c>
      <c r="C1384" s="4" t="n">
        <v>8</v>
      </c>
      <c r="D1384" s="4" t="s">
        <v>73</v>
      </c>
      <c r="E1384" s="4" t="s">
        <v>99</v>
      </c>
      <c r="F1384" s="4" t="s">
        <v>100</v>
      </c>
      <c r="G1384" s="4" t="n">
        <v>1</v>
      </c>
      <c r="H1384" s="4" t="n">
        <v>110</v>
      </c>
      <c r="I1384" s="18" t="n">
        <v>0</v>
      </c>
      <c r="J1384" s="4" t="s">
        <v>76</v>
      </c>
      <c r="K1384" s="4" t="s">
        <v>77</v>
      </c>
    </row>
    <row r="1385" customFormat="false" ht="15" hidden="false" customHeight="false" outlineLevel="0" collapsed="false">
      <c r="A1385" s="4" t="s">
        <v>1692</v>
      </c>
      <c r="B1385" s="17" t="n">
        <v>45930</v>
      </c>
      <c r="C1385" s="4" t="n">
        <v>9</v>
      </c>
      <c r="D1385" s="4" t="s">
        <v>64</v>
      </c>
      <c r="E1385" s="4" t="s">
        <v>99</v>
      </c>
      <c r="F1385" s="4" t="s">
        <v>109</v>
      </c>
      <c r="G1385" s="4" t="n">
        <v>2</v>
      </c>
      <c r="H1385" s="4" t="n">
        <v>130</v>
      </c>
      <c r="I1385" s="18" t="n">
        <v>0.1</v>
      </c>
      <c r="J1385" s="4" t="s">
        <v>88</v>
      </c>
      <c r="K1385" s="4" t="s">
        <v>71</v>
      </c>
    </row>
    <row r="1386" customFormat="false" ht="15" hidden="false" customHeight="false" outlineLevel="0" collapsed="false">
      <c r="A1386" s="4" t="s">
        <v>1693</v>
      </c>
      <c r="B1386" s="17" t="n">
        <v>45930</v>
      </c>
      <c r="C1386" s="4" t="n">
        <v>10</v>
      </c>
      <c r="D1386" s="4" t="s">
        <v>64</v>
      </c>
      <c r="E1386" s="4" t="s">
        <v>65</v>
      </c>
      <c r="F1386" s="4" t="s">
        <v>66</v>
      </c>
      <c r="G1386" s="4" t="n">
        <v>3</v>
      </c>
      <c r="H1386" s="4" t="n">
        <v>120</v>
      </c>
      <c r="I1386" s="18" t="n">
        <v>0</v>
      </c>
      <c r="J1386" s="4" t="s">
        <v>76</v>
      </c>
      <c r="K1386" s="4" t="s">
        <v>68</v>
      </c>
    </row>
    <row r="1387" customFormat="false" ht="15" hidden="false" customHeight="false" outlineLevel="0" collapsed="false">
      <c r="A1387" s="4" t="s">
        <v>1694</v>
      </c>
      <c r="B1387" s="17" t="n">
        <v>45930</v>
      </c>
      <c r="C1387" s="4" t="n">
        <v>11</v>
      </c>
      <c r="D1387" s="4" t="s">
        <v>98</v>
      </c>
      <c r="E1387" s="4" t="s">
        <v>74</v>
      </c>
      <c r="F1387" s="4" t="s">
        <v>75</v>
      </c>
      <c r="G1387" s="4" t="n">
        <v>3</v>
      </c>
      <c r="H1387" s="4" t="n">
        <v>220</v>
      </c>
      <c r="I1387" s="18" t="n">
        <v>0</v>
      </c>
      <c r="J1387" s="4" t="s">
        <v>81</v>
      </c>
      <c r="K1387" s="4" t="s">
        <v>68</v>
      </c>
    </row>
    <row r="1388" customFormat="false" ht="15" hidden="false" customHeight="false" outlineLevel="0" collapsed="false">
      <c r="A1388" s="4" t="s">
        <v>1695</v>
      </c>
      <c r="B1388" s="17" t="n">
        <v>45930</v>
      </c>
      <c r="C1388" s="4" t="n">
        <v>14</v>
      </c>
      <c r="D1388" s="4" t="s">
        <v>70</v>
      </c>
      <c r="E1388" s="4" t="s">
        <v>99</v>
      </c>
      <c r="F1388" s="4" t="s">
        <v>102</v>
      </c>
      <c r="H1388" s="4" t="n">
        <v>140</v>
      </c>
      <c r="I1388" s="18" t="n">
        <v>0.05</v>
      </c>
      <c r="J1388" s="4" t="s">
        <v>81</v>
      </c>
      <c r="K1388" s="4" t="s">
        <v>82</v>
      </c>
    </row>
    <row r="1389" customFormat="false" ht="15" hidden="false" customHeight="false" outlineLevel="0" collapsed="false">
      <c r="A1389" s="4" t="s">
        <v>1696</v>
      </c>
      <c r="B1389" s="17" t="n">
        <v>45930</v>
      </c>
      <c r="C1389" s="4" t="n">
        <v>15</v>
      </c>
      <c r="D1389" s="4" t="s">
        <v>73</v>
      </c>
      <c r="E1389" s="4" t="s">
        <v>84</v>
      </c>
      <c r="F1389" s="4" t="s">
        <v>106</v>
      </c>
      <c r="G1389" s="4" t="n">
        <v>2</v>
      </c>
      <c r="H1389" s="4" t="n">
        <v>60</v>
      </c>
      <c r="I1389" s="18" t="n">
        <v>0</v>
      </c>
      <c r="J1389" s="4" t="s">
        <v>76</v>
      </c>
      <c r="K1389" s="4" t="s">
        <v>68</v>
      </c>
    </row>
    <row r="1390" customFormat="false" ht="15" hidden="false" customHeight="false" outlineLevel="0" collapsed="false">
      <c r="A1390" s="4" t="s">
        <v>1697</v>
      </c>
      <c r="B1390" s="17" t="n">
        <v>45930</v>
      </c>
      <c r="C1390" s="4" t="n">
        <v>15</v>
      </c>
      <c r="D1390" s="4" t="s">
        <v>70</v>
      </c>
      <c r="E1390" s="4" t="s">
        <v>99</v>
      </c>
      <c r="F1390" s="4" t="s">
        <v>102</v>
      </c>
      <c r="G1390" s="4" t="n">
        <v>1</v>
      </c>
      <c r="H1390" s="4" t="n">
        <v>140</v>
      </c>
      <c r="I1390" s="18" t="n">
        <v>0.05</v>
      </c>
      <c r="J1390" s="4" t="s">
        <v>81</v>
      </c>
      <c r="K1390" s="4" t="s">
        <v>82</v>
      </c>
    </row>
    <row r="1391" customFormat="false" ht="15" hidden="false" customHeight="false" outlineLevel="0" collapsed="false">
      <c r="A1391" s="4" t="s">
        <v>1698</v>
      </c>
      <c r="B1391" s="4" t="s">
        <v>1699</v>
      </c>
      <c r="C1391" s="4" t="n">
        <v>7</v>
      </c>
      <c r="D1391" s="4" t="s">
        <v>70</v>
      </c>
      <c r="E1391" s="4" t="s">
        <v>65</v>
      </c>
      <c r="F1391" s="4" t="s">
        <v>121</v>
      </c>
      <c r="G1391" s="4" t="n">
        <v>1</v>
      </c>
      <c r="H1391" s="4" t="n">
        <v>170</v>
      </c>
      <c r="I1391" s="18" t="n">
        <v>0.1</v>
      </c>
      <c r="J1391" s="4" t="s">
        <v>81</v>
      </c>
      <c r="K1391" s="4" t="s">
        <v>71</v>
      </c>
    </row>
    <row r="1392" customFormat="false" ht="15" hidden="false" customHeight="false" outlineLevel="0" collapsed="false">
      <c r="A1392" s="4" t="s">
        <v>1700</v>
      </c>
      <c r="B1392" s="17" t="n">
        <v>45931</v>
      </c>
      <c r="C1392" s="4" t="n">
        <v>8</v>
      </c>
      <c r="D1392" s="4" t="s">
        <v>70</v>
      </c>
      <c r="E1392" s="4" t="s">
        <v>74</v>
      </c>
      <c r="F1392" s="4" t="s">
        <v>1701</v>
      </c>
      <c r="G1392" s="4" t="n">
        <v>1</v>
      </c>
      <c r="H1392" s="4" t="n">
        <v>220</v>
      </c>
      <c r="I1392" s="18" t="n">
        <v>0</v>
      </c>
      <c r="J1392" s="4" t="s">
        <v>81</v>
      </c>
      <c r="K1392" s="4" t="s">
        <v>68</v>
      </c>
    </row>
    <row r="1393" customFormat="false" ht="15" hidden="false" customHeight="false" outlineLevel="0" collapsed="false">
      <c r="A1393" s="4" t="s">
        <v>1702</v>
      </c>
      <c r="B1393" s="17" t="n">
        <v>45931</v>
      </c>
      <c r="C1393" s="4" t="n">
        <v>9</v>
      </c>
      <c r="D1393" s="4" t="s">
        <v>73</v>
      </c>
      <c r="E1393" s="4" t="s">
        <v>65</v>
      </c>
      <c r="F1393" s="4" t="s">
        <v>573</v>
      </c>
      <c r="G1393" s="4" t="n">
        <v>1</v>
      </c>
      <c r="H1393" s="4" t="n">
        <v>120</v>
      </c>
      <c r="I1393" s="18" t="n">
        <v>0</v>
      </c>
      <c r="J1393" s="4" t="s">
        <v>88</v>
      </c>
      <c r="K1393" s="4" t="s">
        <v>77</v>
      </c>
    </row>
    <row r="1394" customFormat="false" ht="15" hidden="false" customHeight="false" outlineLevel="0" collapsed="false">
      <c r="A1394" s="4" t="s">
        <v>1703</v>
      </c>
      <c r="B1394" s="17" t="n">
        <v>45931</v>
      </c>
      <c r="C1394" s="4" t="n">
        <v>13</v>
      </c>
      <c r="D1394" s="4" t="s">
        <v>70</v>
      </c>
      <c r="E1394" s="4" t="s">
        <v>65</v>
      </c>
      <c r="F1394" s="4" t="s">
        <v>87</v>
      </c>
      <c r="G1394" s="4" t="n">
        <v>1</v>
      </c>
      <c r="H1394" s="4" t="n">
        <v>160</v>
      </c>
      <c r="I1394" s="18" t="n">
        <v>0.1</v>
      </c>
      <c r="J1394" s="4" t="s">
        <v>81</v>
      </c>
      <c r="K1394" s="4" t="s">
        <v>71</v>
      </c>
    </row>
    <row r="1395" customFormat="false" ht="15" hidden="false" customHeight="false" outlineLevel="0" collapsed="false">
      <c r="A1395" s="4" t="s">
        <v>1704</v>
      </c>
      <c r="B1395" s="17" t="n">
        <v>45932</v>
      </c>
      <c r="C1395" s="4" t="n">
        <v>8</v>
      </c>
      <c r="D1395" s="4" t="s">
        <v>70</v>
      </c>
      <c r="E1395" s="4" t="s">
        <v>99</v>
      </c>
      <c r="F1395" s="4" t="s">
        <v>100</v>
      </c>
      <c r="G1395" s="4" t="n">
        <v>4</v>
      </c>
      <c r="H1395" s="4" t="n">
        <v>110</v>
      </c>
      <c r="I1395" s="18" t="n">
        <v>0</v>
      </c>
      <c r="J1395" s="4" t="s">
        <v>67</v>
      </c>
      <c r="K1395" s="4" t="s">
        <v>77</v>
      </c>
    </row>
    <row r="1396" customFormat="false" ht="15" hidden="false" customHeight="false" outlineLevel="0" collapsed="false">
      <c r="A1396" s="4" t="s">
        <v>1705</v>
      </c>
      <c r="B1396" s="17" t="n">
        <v>45932</v>
      </c>
      <c r="C1396" s="4" t="n">
        <v>8</v>
      </c>
      <c r="D1396" s="4" t="s">
        <v>98</v>
      </c>
      <c r="E1396" s="4" t="s">
        <v>65</v>
      </c>
      <c r="F1396" s="4" t="s">
        <v>87</v>
      </c>
      <c r="G1396" s="4" t="n">
        <v>2</v>
      </c>
      <c r="H1396" s="4" t="n">
        <v>160</v>
      </c>
      <c r="I1396" s="18" t="n">
        <v>0</v>
      </c>
      <c r="J1396" s="4" t="s">
        <v>76</v>
      </c>
      <c r="K1396" s="4" t="s">
        <v>68</v>
      </c>
    </row>
    <row r="1397" customFormat="false" ht="15" hidden="false" customHeight="false" outlineLevel="0" collapsed="false">
      <c r="A1397" s="4" t="s">
        <v>1706</v>
      </c>
      <c r="B1397" s="17" t="n">
        <v>45932</v>
      </c>
      <c r="C1397" s="4" t="n">
        <v>12</v>
      </c>
      <c r="D1397" s="4" t="s">
        <v>70</v>
      </c>
      <c r="E1397" s="4" t="s">
        <v>99</v>
      </c>
      <c r="F1397" s="4" t="s">
        <v>102</v>
      </c>
      <c r="G1397" s="4" t="n">
        <v>2</v>
      </c>
      <c r="H1397" s="4" t="n">
        <v>140</v>
      </c>
      <c r="I1397" s="18" t="n">
        <v>0</v>
      </c>
      <c r="J1397" s="4" t="s">
        <v>266</v>
      </c>
      <c r="K1397" s="4" t="s">
        <v>68</v>
      </c>
    </row>
    <row r="1398" customFormat="false" ht="15" hidden="false" customHeight="false" outlineLevel="0" collapsed="false">
      <c r="A1398" s="4" t="s">
        <v>1707</v>
      </c>
      <c r="B1398" s="17" t="n">
        <v>45933</v>
      </c>
      <c r="C1398" s="4" t="n">
        <v>9</v>
      </c>
      <c r="D1398" s="4" t="s">
        <v>70</v>
      </c>
      <c r="E1398" s="4" t="s">
        <v>84</v>
      </c>
      <c r="F1398" s="4" t="s">
        <v>106</v>
      </c>
      <c r="G1398" s="4" t="n">
        <v>3</v>
      </c>
      <c r="H1398" s="4" t="n">
        <v>60</v>
      </c>
      <c r="J1398" s="4" t="s">
        <v>81</v>
      </c>
      <c r="K1398" s="4" t="s">
        <v>77</v>
      </c>
    </row>
    <row r="1399" customFormat="false" ht="15" hidden="false" customHeight="false" outlineLevel="0" collapsed="false">
      <c r="A1399" s="4" t="s">
        <v>1708</v>
      </c>
      <c r="B1399" s="4" t="s">
        <v>1709</v>
      </c>
      <c r="C1399" s="4" t="n">
        <v>9</v>
      </c>
      <c r="D1399" s="4" t="s">
        <v>64</v>
      </c>
      <c r="E1399" s="4" t="s">
        <v>99</v>
      </c>
      <c r="F1399" s="4" t="s">
        <v>100</v>
      </c>
      <c r="G1399" s="4" t="n">
        <v>1</v>
      </c>
      <c r="H1399" s="4" t="n">
        <v>110</v>
      </c>
      <c r="I1399" s="18" t="n">
        <v>0</v>
      </c>
      <c r="J1399" s="4" t="s">
        <v>260</v>
      </c>
      <c r="K1399" s="4" t="s">
        <v>77</v>
      </c>
    </row>
    <row r="1400" customFormat="false" ht="15" hidden="false" customHeight="false" outlineLevel="0" collapsed="false">
      <c r="A1400" s="4" t="s">
        <v>1710</v>
      </c>
      <c r="B1400" s="17" t="n">
        <v>45933</v>
      </c>
      <c r="C1400" s="4" t="n">
        <v>10</v>
      </c>
      <c r="D1400" s="4" t="s">
        <v>64</v>
      </c>
      <c r="E1400" s="4" t="s">
        <v>65</v>
      </c>
      <c r="F1400" s="4" t="s">
        <v>453</v>
      </c>
      <c r="G1400" s="4" t="n">
        <v>1</v>
      </c>
      <c r="H1400" s="4" t="n">
        <v>160</v>
      </c>
      <c r="I1400" s="18" t="n">
        <v>0</v>
      </c>
      <c r="J1400" s="4" t="s">
        <v>81</v>
      </c>
      <c r="K1400" s="4" t="s">
        <v>77</v>
      </c>
    </row>
    <row r="1401" customFormat="false" ht="15" hidden="false" customHeight="false" outlineLevel="0" collapsed="false">
      <c r="A1401" s="4" t="s">
        <v>1711</v>
      </c>
      <c r="B1401" s="17" t="n">
        <v>45933</v>
      </c>
      <c r="C1401" s="4" t="n">
        <v>11</v>
      </c>
      <c r="D1401" s="4" t="s">
        <v>73</v>
      </c>
      <c r="E1401" s="4" t="s">
        <v>79</v>
      </c>
      <c r="F1401" s="4" t="s">
        <v>148</v>
      </c>
      <c r="G1401" s="4" t="n">
        <v>3</v>
      </c>
      <c r="H1401" s="4" t="n">
        <v>120</v>
      </c>
      <c r="I1401" s="18" t="n">
        <v>0.1</v>
      </c>
      <c r="J1401" s="4" t="s">
        <v>76</v>
      </c>
      <c r="K1401" s="4" t="s">
        <v>71</v>
      </c>
    </row>
    <row r="1402" customFormat="false" ht="15" hidden="false" customHeight="false" outlineLevel="0" collapsed="false">
      <c r="A1402" s="4" t="s">
        <v>1712</v>
      </c>
      <c r="B1402" s="4" t="s">
        <v>1709</v>
      </c>
      <c r="C1402" s="4" t="n">
        <v>17</v>
      </c>
      <c r="D1402" s="4" t="s">
        <v>70</v>
      </c>
      <c r="E1402" s="4" t="s">
        <v>65</v>
      </c>
      <c r="F1402" s="4" t="s">
        <v>94</v>
      </c>
      <c r="G1402" s="4" t="n">
        <v>2</v>
      </c>
      <c r="I1402" s="18" t="n">
        <v>0.15</v>
      </c>
      <c r="J1402" s="4" t="s">
        <v>67</v>
      </c>
      <c r="K1402" s="4" t="s">
        <v>82</v>
      </c>
    </row>
    <row r="1403" customFormat="false" ht="15" hidden="false" customHeight="false" outlineLevel="0" collapsed="false">
      <c r="A1403" s="4" t="s">
        <v>1713</v>
      </c>
      <c r="B1403" s="17" t="n">
        <v>45934</v>
      </c>
      <c r="C1403" s="4" t="n">
        <v>8</v>
      </c>
      <c r="D1403" s="4" t="s">
        <v>70</v>
      </c>
      <c r="E1403" s="4" t="s">
        <v>99</v>
      </c>
      <c r="F1403" s="4" t="s">
        <v>102</v>
      </c>
      <c r="G1403" s="4" t="n">
        <v>1</v>
      </c>
      <c r="H1403" s="4" t="n">
        <v>140</v>
      </c>
      <c r="I1403" s="18" t="n">
        <v>0.05</v>
      </c>
      <c r="J1403" s="4" t="s">
        <v>81</v>
      </c>
      <c r="K1403" s="4" t="s">
        <v>82</v>
      </c>
    </row>
    <row r="1404" customFormat="false" ht="15" hidden="false" customHeight="false" outlineLevel="0" collapsed="false">
      <c r="A1404" s="4" t="s">
        <v>1714</v>
      </c>
      <c r="B1404" s="17" t="n">
        <v>45934</v>
      </c>
      <c r="C1404" s="4" t="n">
        <v>9</v>
      </c>
      <c r="D1404" s="4" t="s">
        <v>64</v>
      </c>
      <c r="E1404" s="4" t="s">
        <v>74</v>
      </c>
      <c r="F1404" s="4" t="s">
        <v>91</v>
      </c>
      <c r="G1404" s="4" t="n">
        <v>1</v>
      </c>
      <c r="H1404" s="4" t="n">
        <v>200</v>
      </c>
      <c r="I1404" s="18" t="n">
        <v>0.1</v>
      </c>
      <c r="J1404" s="4" t="s">
        <v>76</v>
      </c>
      <c r="K1404" s="4" t="s">
        <v>71</v>
      </c>
    </row>
    <row r="1405" customFormat="false" ht="15" hidden="false" customHeight="false" outlineLevel="0" collapsed="false">
      <c r="A1405" s="4" t="s">
        <v>1715</v>
      </c>
      <c r="B1405" s="17" t="n">
        <v>45934</v>
      </c>
      <c r="C1405" s="4" t="n">
        <v>10</v>
      </c>
      <c r="D1405" s="4" t="s">
        <v>70</v>
      </c>
      <c r="E1405" s="4" t="s">
        <v>74</v>
      </c>
      <c r="F1405" s="4" t="s">
        <v>139</v>
      </c>
      <c r="G1405" s="4" t="n">
        <v>1</v>
      </c>
      <c r="H1405" s="4" t="n">
        <v>260</v>
      </c>
      <c r="I1405" s="18" t="n">
        <v>0</v>
      </c>
      <c r="J1405" s="4" t="s">
        <v>67</v>
      </c>
      <c r="K1405" s="4" t="s">
        <v>77</v>
      </c>
    </row>
    <row r="1406" customFormat="false" ht="15" hidden="false" customHeight="false" outlineLevel="0" collapsed="false">
      <c r="A1406" s="4" t="s">
        <v>1716</v>
      </c>
      <c r="B1406" s="17" t="n">
        <v>45934</v>
      </c>
      <c r="C1406" s="4" t="n">
        <v>15</v>
      </c>
      <c r="D1406" s="4" t="s">
        <v>225</v>
      </c>
      <c r="E1406" s="4" t="s">
        <v>99</v>
      </c>
      <c r="F1406" s="4" t="s">
        <v>133</v>
      </c>
      <c r="G1406" s="4" t="n">
        <v>1</v>
      </c>
      <c r="H1406" s="4" t="n">
        <v>90</v>
      </c>
      <c r="I1406" s="18" t="n">
        <v>0</v>
      </c>
      <c r="J1406" s="4" t="s">
        <v>76</v>
      </c>
      <c r="K1406" s="4" t="s">
        <v>68</v>
      </c>
    </row>
    <row r="1407" customFormat="false" ht="15" hidden="false" customHeight="false" outlineLevel="0" collapsed="false">
      <c r="A1407" s="4" t="s">
        <v>1717</v>
      </c>
      <c r="B1407" s="17" t="n">
        <v>45935</v>
      </c>
      <c r="C1407" s="4" t="n">
        <v>9</v>
      </c>
      <c r="D1407" s="4" t="s">
        <v>70</v>
      </c>
      <c r="E1407" s="4" t="s">
        <v>84</v>
      </c>
      <c r="F1407" s="4" t="s">
        <v>117</v>
      </c>
      <c r="G1407" s="4" t="n">
        <v>2</v>
      </c>
      <c r="H1407" s="4" t="n">
        <v>95</v>
      </c>
      <c r="I1407" s="18" t="n">
        <v>0</v>
      </c>
      <c r="J1407" s="4" t="s">
        <v>67</v>
      </c>
      <c r="K1407" s="4" t="s">
        <v>68</v>
      </c>
    </row>
    <row r="1408" customFormat="false" ht="15" hidden="false" customHeight="false" outlineLevel="0" collapsed="false">
      <c r="A1408" s="4" t="s">
        <v>1718</v>
      </c>
      <c r="B1408" s="17" t="n">
        <v>45935</v>
      </c>
      <c r="C1408" s="4" t="n">
        <v>11</v>
      </c>
      <c r="D1408" s="4" t="s">
        <v>98</v>
      </c>
      <c r="E1408" s="4" t="s">
        <v>1035</v>
      </c>
      <c r="F1408" s="4" t="s">
        <v>148</v>
      </c>
      <c r="G1408" s="4" t="n">
        <v>2</v>
      </c>
      <c r="H1408" s="4" t="n">
        <v>120</v>
      </c>
      <c r="I1408" s="18" t="n">
        <v>0.05</v>
      </c>
      <c r="J1408" s="4" t="s">
        <v>88</v>
      </c>
      <c r="K1408" s="4" t="s">
        <v>82</v>
      </c>
    </row>
    <row r="1409" customFormat="false" ht="15" hidden="false" customHeight="false" outlineLevel="0" collapsed="false">
      <c r="A1409" s="4" t="s">
        <v>1719</v>
      </c>
      <c r="B1409" s="17" t="n">
        <v>45935</v>
      </c>
      <c r="C1409" s="4" t="n">
        <v>15</v>
      </c>
      <c r="D1409" s="4" t="s">
        <v>70</v>
      </c>
      <c r="E1409" s="4" t="s">
        <v>99</v>
      </c>
      <c r="F1409" s="4" t="s">
        <v>539</v>
      </c>
      <c r="H1409" s="4" t="n">
        <v>130</v>
      </c>
      <c r="I1409" s="18" t="n">
        <v>0</v>
      </c>
      <c r="J1409" s="4" t="s">
        <v>67</v>
      </c>
      <c r="K1409" s="4" t="s">
        <v>77</v>
      </c>
    </row>
    <row r="1410" customFormat="false" ht="15" hidden="false" customHeight="false" outlineLevel="0" collapsed="false">
      <c r="A1410" s="4" t="s">
        <v>1720</v>
      </c>
      <c r="B1410" s="17" t="n">
        <v>45935</v>
      </c>
      <c r="C1410" s="4" t="n">
        <v>15</v>
      </c>
      <c r="D1410" s="4" t="s">
        <v>335</v>
      </c>
      <c r="E1410" s="4" t="s">
        <v>79</v>
      </c>
      <c r="F1410" s="4" t="s">
        <v>148</v>
      </c>
      <c r="G1410" s="4" t="n">
        <v>2</v>
      </c>
      <c r="H1410" s="4" t="n">
        <v>120</v>
      </c>
      <c r="I1410" s="18" t="n">
        <v>0.05</v>
      </c>
      <c r="J1410" s="4" t="s">
        <v>81</v>
      </c>
      <c r="K1410" s="4" t="s">
        <v>82</v>
      </c>
    </row>
    <row r="1411" customFormat="false" ht="15" hidden="false" customHeight="false" outlineLevel="0" collapsed="false">
      <c r="A1411" s="4" t="s">
        <v>1721</v>
      </c>
      <c r="B1411" s="17" t="n">
        <v>45936</v>
      </c>
      <c r="C1411" s="4" t="n">
        <v>11</v>
      </c>
      <c r="D1411" s="4" t="s">
        <v>73</v>
      </c>
      <c r="E1411" s="4" t="s">
        <v>79</v>
      </c>
      <c r="F1411" s="4" t="s">
        <v>80</v>
      </c>
      <c r="G1411" s="4" t="n">
        <v>1</v>
      </c>
      <c r="H1411" s="4" t="n">
        <v>160</v>
      </c>
      <c r="I1411" s="18" t="n">
        <v>0.1</v>
      </c>
      <c r="J1411" s="4" t="s">
        <v>67</v>
      </c>
      <c r="K1411" s="4" t="s">
        <v>71</v>
      </c>
    </row>
    <row r="1412" customFormat="false" ht="15" hidden="false" customHeight="false" outlineLevel="0" collapsed="false">
      <c r="A1412" s="4" t="s">
        <v>1722</v>
      </c>
      <c r="B1412" s="17" t="n">
        <v>45936</v>
      </c>
      <c r="C1412" s="4" t="n">
        <v>12</v>
      </c>
      <c r="D1412" s="4" t="s">
        <v>64</v>
      </c>
      <c r="E1412" s="4" t="s">
        <v>65</v>
      </c>
      <c r="F1412" s="4" t="s">
        <v>486</v>
      </c>
      <c r="G1412" s="4" t="n">
        <v>1</v>
      </c>
      <c r="I1412" s="18" t="n">
        <v>0</v>
      </c>
      <c r="J1412" s="4" t="s">
        <v>81</v>
      </c>
      <c r="K1412" s="4" t="s">
        <v>68</v>
      </c>
    </row>
    <row r="1413" customFormat="false" ht="15" hidden="false" customHeight="false" outlineLevel="0" collapsed="false">
      <c r="A1413" s="4" t="s">
        <v>1723</v>
      </c>
      <c r="B1413" s="17" t="n">
        <v>45936</v>
      </c>
      <c r="C1413" s="4" t="n">
        <v>13</v>
      </c>
      <c r="D1413" s="4" t="s">
        <v>73</v>
      </c>
      <c r="E1413" s="4" t="s">
        <v>99</v>
      </c>
      <c r="F1413" s="4" t="s">
        <v>109</v>
      </c>
      <c r="G1413" s="4" t="n">
        <v>2</v>
      </c>
      <c r="H1413" s="4" t="n">
        <v>130</v>
      </c>
      <c r="I1413" s="18" t="n">
        <v>0.1</v>
      </c>
      <c r="J1413" s="4" t="s">
        <v>81</v>
      </c>
      <c r="K1413" s="4" t="s">
        <v>71</v>
      </c>
    </row>
    <row r="1414" customFormat="false" ht="15" hidden="false" customHeight="false" outlineLevel="0" collapsed="false">
      <c r="A1414" s="4" t="s">
        <v>1724</v>
      </c>
      <c r="B1414" s="17" t="n">
        <v>45937</v>
      </c>
      <c r="C1414" s="4" t="n">
        <v>7</v>
      </c>
      <c r="D1414" s="4" t="s">
        <v>70</v>
      </c>
      <c r="E1414" s="4" t="s">
        <v>99</v>
      </c>
      <c r="F1414" s="4" t="s">
        <v>109</v>
      </c>
      <c r="G1414" s="4" t="n">
        <v>1</v>
      </c>
      <c r="H1414" s="4" t="n">
        <v>130</v>
      </c>
      <c r="I1414" s="18" t="n">
        <v>0.05</v>
      </c>
      <c r="J1414" s="4" t="s">
        <v>81</v>
      </c>
      <c r="K1414" s="4" t="s">
        <v>82</v>
      </c>
    </row>
    <row r="1415" customFormat="false" ht="15" hidden="false" customHeight="false" outlineLevel="0" collapsed="false">
      <c r="A1415" s="4" t="s">
        <v>1725</v>
      </c>
      <c r="B1415" s="4" t="s">
        <v>1726</v>
      </c>
      <c r="C1415" s="4" t="n">
        <v>7</v>
      </c>
      <c r="D1415" s="4" t="s">
        <v>70</v>
      </c>
      <c r="E1415" s="4" t="s">
        <v>84</v>
      </c>
      <c r="F1415" s="4" t="s">
        <v>106</v>
      </c>
      <c r="G1415" s="4" t="n">
        <v>1</v>
      </c>
      <c r="H1415" s="4" t="n">
        <v>60</v>
      </c>
      <c r="I1415" s="18" t="n">
        <v>0.1</v>
      </c>
      <c r="J1415" s="4" t="s">
        <v>81</v>
      </c>
      <c r="K1415" s="4" t="s">
        <v>71</v>
      </c>
    </row>
    <row r="1416" customFormat="false" ht="15" hidden="false" customHeight="false" outlineLevel="0" collapsed="false">
      <c r="A1416" s="4" t="s">
        <v>1727</v>
      </c>
      <c r="B1416" s="17" t="n">
        <v>45937</v>
      </c>
      <c r="C1416" s="4" t="n">
        <v>8</v>
      </c>
      <c r="D1416" s="4" t="s">
        <v>64</v>
      </c>
      <c r="E1416" s="4" t="s">
        <v>84</v>
      </c>
      <c r="F1416" s="4" t="s">
        <v>114</v>
      </c>
      <c r="G1416" s="4" t="n">
        <v>2</v>
      </c>
      <c r="H1416" s="4" t="n">
        <v>85</v>
      </c>
      <c r="I1416" s="18" t="n">
        <v>0</v>
      </c>
      <c r="J1416" s="4" t="s">
        <v>81</v>
      </c>
      <c r="K1416" s="4" t="s">
        <v>68</v>
      </c>
    </row>
    <row r="1417" customFormat="false" ht="15" hidden="false" customHeight="false" outlineLevel="0" collapsed="false">
      <c r="A1417" s="4" t="s">
        <v>1728</v>
      </c>
      <c r="B1417" s="17" t="n">
        <v>45937</v>
      </c>
      <c r="C1417" s="4" t="n">
        <v>8</v>
      </c>
      <c r="D1417" s="4" t="s">
        <v>341</v>
      </c>
      <c r="E1417" s="4" t="s">
        <v>74</v>
      </c>
      <c r="F1417" s="4" t="s">
        <v>139</v>
      </c>
      <c r="G1417" s="4" t="n">
        <v>1</v>
      </c>
      <c r="H1417" s="4" t="n">
        <v>260</v>
      </c>
      <c r="I1417" s="18" t="n">
        <v>0</v>
      </c>
      <c r="K1417" s="4" t="s">
        <v>68</v>
      </c>
    </row>
    <row r="1418" customFormat="false" ht="15" hidden="false" customHeight="false" outlineLevel="0" collapsed="false">
      <c r="A1418" s="4" t="s">
        <v>1729</v>
      </c>
      <c r="B1418" s="17" t="n">
        <v>45937</v>
      </c>
      <c r="C1418" s="4" t="n">
        <v>10</v>
      </c>
      <c r="D1418" s="4" t="s">
        <v>70</v>
      </c>
      <c r="E1418" s="4" t="s">
        <v>99</v>
      </c>
      <c r="F1418" s="4" t="s">
        <v>109</v>
      </c>
      <c r="G1418" s="4" t="n">
        <v>1</v>
      </c>
      <c r="H1418" s="4" t="n">
        <v>130</v>
      </c>
      <c r="I1418" s="18" t="n">
        <v>0.05</v>
      </c>
      <c r="J1418" s="4" t="s">
        <v>67</v>
      </c>
      <c r="K1418" s="4" t="s">
        <v>82</v>
      </c>
    </row>
    <row r="1419" customFormat="false" ht="15" hidden="false" customHeight="false" outlineLevel="0" collapsed="false">
      <c r="A1419" s="4" t="s">
        <v>1730</v>
      </c>
      <c r="B1419" s="17" t="n">
        <v>45937</v>
      </c>
      <c r="C1419" s="4" t="n">
        <v>11</v>
      </c>
      <c r="D1419" s="4" t="s">
        <v>70</v>
      </c>
      <c r="E1419" s="4" t="s">
        <v>65</v>
      </c>
      <c r="F1419" s="4" t="s">
        <v>66</v>
      </c>
      <c r="G1419" s="4" t="n">
        <v>1</v>
      </c>
      <c r="H1419" s="4" t="n">
        <v>120</v>
      </c>
      <c r="I1419" s="18" t="n">
        <v>0.05</v>
      </c>
      <c r="J1419" s="4" t="s">
        <v>67</v>
      </c>
      <c r="K1419" s="4" t="s">
        <v>82</v>
      </c>
    </row>
    <row r="1420" customFormat="false" ht="15" hidden="false" customHeight="false" outlineLevel="0" collapsed="false">
      <c r="A1420" s="4" t="s">
        <v>1731</v>
      </c>
      <c r="B1420" s="17" t="n">
        <v>45937</v>
      </c>
      <c r="C1420" s="4" t="n">
        <v>12</v>
      </c>
      <c r="D1420" s="4" t="s">
        <v>64</v>
      </c>
      <c r="E1420" s="4" t="s">
        <v>99</v>
      </c>
      <c r="F1420" s="4" t="s">
        <v>100</v>
      </c>
      <c r="G1420" s="4" t="n">
        <v>3</v>
      </c>
      <c r="H1420" s="4" t="n">
        <v>110</v>
      </c>
      <c r="I1420" s="18" t="n">
        <v>0</v>
      </c>
      <c r="J1420" s="4" t="s">
        <v>76</v>
      </c>
      <c r="K1420" s="4" t="s">
        <v>68</v>
      </c>
    </row>
    <row r="1421" customFormat="false" ht="15" hidden="false" customHeight="false" outlineLevel="0" collapsed="false">
      <c r="A1421" s="4" t="s">
        <v>1732</v>
      </c>
      <c r="B1421" s="17" t="n">
        <v>45937</v>
      </c>
      <c r="C1421" s="4" t="n">
        <v>15</v>
      </c>
      <c r="D1421" s="4" t="s">
        <v>98</v>
      </c>
      <c r="E1421" s="4" t="s">
        <v>99</v>
      </c>
      <c r="F1421" s="4" t="s">
        <v>102</v>
      </c>
      <c r="G1421" s="4" t="n">
        <v>1</v>
      </c>
      <c r="H1421" s="4" t="n">
        <v>140</v>
      </c>
      <c r="I1421" s="18" t="n">
        <v>0.1</v>
      </c>
      <c r="J1421" s="4" t="s">
        <v>76</v>
      </c>
      <c r="K1421" s="4" t="s">
        <v>71</v>
      </c>
    </row>
    <row r="1422" customFormat="false" ht="15" hidden="false" customHeight="false" outlineLevel="0" collapsed="false">
      <c r="A1422" s="4" t="s">
        <v>1733</v>
      </c>
      <c r="B1422" s="17" t="n">
        <v>45937</v>
      </c>
      <c r="C1422" s="4" t="n">
        <v>16</v>
      </c>
      <c r="D1422" s="4" t="s">
        <v>73</v>
      </c>
      <c r="E1422" s="4" t="s">
        <v>65</v>
      </c>
      <c r="F1422" s="4" t="s">
        <v>121</v>
      </c>
      <c r="G1422" s="4" t="n">
        <v>2</v>
      </c>
      <c r="H1422" s="4" t="n">
        <v>170</v>
      </c>
      <c r="I1422" s="18" t="n">
        <v>0.1</v>
      </c>
      <c r="J1422" s="4" t="s">
        <v>67</v>
      </c>
      <c r="K1422" s="4" t="s">
        <v>71</v>
      </c>
    </row>
    <row r="1423" customFormat="false" ht="15" hidden="false" customHeight="false" outlineLevel="0" collapsed="false">
      <c r="A1423" s="4" t="s">
        <v>1734</v>
      </c>
      <c r="B1423" s="17" t="n">
        <v>45937</v>
      </c>
      <c r="C1423" s="4" t="n">
        <v>20</v>
      </c>
      <c r="D1423" s="4" t="s">
        <v>73</v>
      </c>
      <c r="E1423" s="4" t="s">
        <v>462</v>
      </c>
      <c r="F1423" s="4" t="s">
        <v>94</v>
      </c>
      <c r="G1423" s="4" t="n">
        <v>1</v>
      </c>
      <c r="H1423" s="4" t="n">
        <v>150</v>
      </c>
      <c r="I1423" s="18" t="n">
        <v>0</v>
      </c>
      <c r="J1423" s="4" t="s">
        <v>76</v>
      </c>
      <c r="K1423" s="4" t="s">
        <v>68</v>
      </c>
    </row>
    <row r="1424" customFormat="false" ht="15" hidden="false" customHeight="false" outlineLevel="0" collapsed="false">
      <c r="A1424" s="4" t="s">
        <v>1735</v>
      </c>
      <c r="B1424" s="17" t="n">
        <v>45938</v>
      </c>
      <c r="C1424" s="4" t="n">
        <v>9</v>
      </c>
      <c r="D1424" s="4" t="s">
        <v>70</v>
      </c>
      <c r="E1424" s="4" t="s">
        <v>99</v>
      </c>
      <c r="F1424" s="4" t="s">
        <v>102</v>
      </c>
      <c r="G1424" s="4" t="n">
        <v>1</v>
      </c>
      <c r="H1424" s="4" t="n">
        <v>140</v>
      </c>
      <c r="I1424" s="18" t="n">
        <v>0</v>
      </c>
      <c r="J1424" s="4" t="s">
        <v>665</v>
      </c>
      <c r="K1424" s="4" t="s">
        <v>68</v>
      </c>
    </row>
    <row r="1425" customFormat="false" ht="15" hidden="false" customHeight="false" outlineLevel="0" collapsed="false">
      <c r="A1425" s="4" t="s">
        <v>1736</v>
      </c>
      <c r="B1425" s="17" t="n">
        <v>45938</v>
      </c>
      <c r="C1425" s="4" t="n">
        <v>9</v>
      </c>
      <c r="D1425" s="4" t="s">
        <v>90</v>
      </c>
      <c r="E1425" s="4" t="s">
        <v>74</v>
      </c>
      <c r="F1425" s="4" t="s">
        <v>75</v>
      </c>
      <c r="G1425" s="4" t="n">
        <v>1</v>
      </c>
      <c r="H1425" s="4" t="n">
        <v>220</v>
      </c>
      <c r="I1425" s="18" t="n">
        <v>0</v>
      </c>
      <c r="J1425" s="4" t="s">
        <v>81</v>
      </c>
      <c r="K1425" s="4" t="s">
        <v>68</v>
      </c>
    </row>
    <row r="1426" customFormat="false" ht="15" hidden="false" customHeight="false" outlineLevel="0" collapsed="false">
      <c r="A1426" s="4" t="s">
        <v>1737</v>
      </c>
      <c r="B1426" s="17" t="n">
        <v>45938</v>
      </c>
      <c r="C1426" s="4" t="n">
        <v>14</v>
      </c>
      <c r="D1426" s="4" t="s">
        <v>64</v>
      </c>
      <c r="E1426" s="4" t="s">
        <v>84</v>
      </c>
      <c r="F1426" s="4" t="s">
        <v>114</v>
      </c>
      <c r="G1426" s="4" t="n">
        <v>1</v>
      </c>
      <c r="H1426" s="4" t="n">
        <v>85</v>
      </c>
      <c r="I1426" s="18" t="n">
        <v>0</v>
      </c>
      <c r="J1426" s="4" t="s">
        <v>81</v>
      </c>
      <c r="K1426" s="4" t="s">
        <v>77</v>
      </c>
    </row>
    <row r="1427" customFormat="false" ht="15" hidden="false" customHeight="false" outlineLevel="0" collapsed="false">
      <c r="A1427" s="4" t="s">
        <v>1738</v>
      </c>
      <c r="B1427" s="17" t="n">
        <v>45938</v>
      </c>
      <c r="C1427" s="4" t="n">
        <v>15</v>
      </c>
      <c r="D1427" s="4" t="s">
        <v>424</v>
      </c>
      <c r="E1427" s="4" t="s">
        <v>79</v>
      </c>
      <c r="F1427" s="4" t="s">
        <v>148</v>
      </c>
      <c r="G1427" s="4" t="n">
        <v>2</v>
      </c>
      <c r="H1427" s="4" t="n">
        <v>120</v>
      </c>
      <c r="J1427" s="4" t="s">
        <v>273</v>
      </c>
      <c r="K1427" s="4" t="s">
        <v>68</v>
      </c>
    </row>
    <row r="1428" customFormat="false" ht="15" hidden="false" customHeight="false" outlineLevel="0" collapsed="false">
      <c r="A1428" s="4" t="s">
        <v>1739</v>
      </c>
      <c r="B1428" s="17" t="n">
        <v>45938</v>
      </c>
      <c r="C1428" s="4" t="n">
        <v>15</v>
      </c>
      <c r="D1428" s="4" t="s">
        <v>98</v>
      </c>
      <c r="E1428" s="4" t="s">
        <v>350</v>
      </c>
      <c r="F1428" s="4" t="s">
        <v>91</v>
      </c>
      <c r="G1428" s="4" t="n">
        <v>1</v>
      </c>
      <c r="H1428" s="4" t="n">
        <v>200</v>
      </c>
      <c r="I1428" s="18" t="n">
        <v>0</v>
      </c>
      <c r="J1428" s="4" t="s">
        <v>67</v>
      </c>
      <c r="K1428" s="4" t="s">
        <v>77</v>
      </c>
    </row>
    <row r="1429" customFormat="false" ht="15" hidden="false" customHeight="false" outlineLevel="0" collapsed="false">
      <c r="A1429" s="4" t="s">
        <v>1740</v>
      </c>
      <c r="B1429" s="17" t="n">
        <v>45938</v>
      </c>
      <c r="C1429" s="4" t="n">
        <v>16</v>
      </c>
      <c r="D1429" s="4" t="s">
        <v>64</v>
      </c>
      <c r="E1429" s="4" t="s">
        <v>99</v>
      </c>
      <c r="F1429" s="4" t="s">
        <v>133</v>
      </c>
      <c r="G1429" s="4" t="n">
        <v>2</v>
      </c>
      <c r="H1429" s="4" t="n">
        <v>90</v>
      </c>
      <c r="I1429" s="18" t="n">
        <v>0.15</v>
      </c>
      <c r="J1429" s="4" t="s">
        <v>81</v>
      </c>
      <c r="K1429" s="4" t="s">
        <v>71</v>
      </c>
    </row>
    <row r="1430" customFormat="false" ht="15" hidden="false" customHeight="false" outlineLevel="0" collapsed="false">
      <c r="A1430" s="4" t="s">
        <v>1741</v>
      </c>
      <c r="B1430" s="17" t="n">
        <v>45939</v>
      </c>
      <c r="C1430" s="4" t="n">
        <v>8</v>
      </c>
      <c r="D1430" s="4" t="s">
        <v>64</v>
      </c>
      <c r="E1430" s="4" t="s">
        <v>74</v>
      </c>
      <c r="F1430" s="4" t="s">
        <v>139</v>
      </c>
      <c r="G1430" s="4" t="n">
        <v>1</v>
      </c>
      <c r="H1430" s="4" t="n">
        <v>260</v>
      </c>
      <c r="I1430" s="18" t="n">
        <v>0.15</v>
      </c>
      <c r="J1430" s="4" t="s">
        <v>290</v>
      </c>
      <c r="K1430" s="4" t="s">
        <v>71</v>
      </c>
    </row>
    <row r="1431" customFormat="false" ht="15" hidden="false" customHeight="false" outlineLevel="0" collapsed="false">
      <c r="A1431" s="4" t="s">
        <v>1742</v>
      </c>
      <c r="B1431" s="17" t="n">
        <v>45939</v>
      </c>
      <c r="C1431" s="4" t="n">
        <v>9</v>
      </c>
      <c r="D1431" s="4" t="s">
        <v>64</v>
      </c>
      <c r="E1431" s="4" t="s">
        <v>84</v>
      </c>
      <c r="F1431" s="4" t="s">
        <v>117</v>
      </c>
      <c r="G1431" s="4" t="n">
        <v>1</v>
      </c>
      <c r="H1431" s="4" t="n">
        <v>95</v>
      </c>
      <c r="I1431" s="18" t="n">
        <v>0.05</v>
      </c>
      <c r="J1431" s="4" t="s">
        <v>81</v>
      </c>
      <c r="K1431" s="4" t="s">
        <v>82</v>
      </c>
    </row>
    <row r="1432" customFormat="false" ht="15" hidden="false" customHeight="false" outlineLevel="0" collapsed="false">
      <c r="A1432" s="4" t="s">
        <v>1743</v>
      </c>
      <c r="B1432" s="17" t="n">
        <v>45939</v>
      </c>
      <c r="C1432" s="4" t="n">
        <v>12</v>
      </c>
      <c r="D1432" s="4" t="s">
        <v>64</v>
      </c>
      <c r="E1432" s="4" t="s">
        <v>84</v>
      </c>
      <c r="F1432" s="4" t="s">
        <v>117</v>
      </c>
      <c r="G1432" s="4" t="n">
        <v>1</v>
      </c>
      <c r="H1432" s="4" t="n">
        <v>95</v>
      </c>
      <c r="I1432" s="18" t="n">
        <v>0</v>
      </c>
      <c r="J1432" s="4" t="s">
        <v>88</v>
      </c>
      <c r="K1432" s="4" t="s">
        <v>77</v>
      </c>
    </row>
    <row r="1433" customFormat="false" ht="15" hidden="false" customHeight="false" outlineLevel="0" collapsed="false">
      <c r="A1433" s="4" t="s">
        <v>1744</v>
      </c>
      <c r="B1433" s="4" t="s">
        <v>1745</v>
      </c>
      <c r="C1433" s="4" t="n">
        <v>13</v>
      </c>
      <c r="D1433" s="4" t="s">
        <v>98</v>
      </c>
      <c r="E1433" s="4" t="s">
        <v>65</v>
      </c>
      <c r="F1433" s="4" t="s">
        <v>94</v>
      </c>
      <c r="G1433" s="4" t="n">
        <v>2</v>
      </c>
      <c r="H1433" s="4" t="n">
        <v>150</v>
      </c>
      <c r="I1433" s="18" t="n">
        <v>0.15</v>
      </c>
      <c r="J1433" s="4" t="s">
        <v>76</v>
      </c>
      <c r="K1433" s="4" t="s">
        <v>68</v>
      </c>
    </row>
    <row r="1434" customFormat="false" ht="15" hidden="false" customHeight="false" outlineLevel="0" collapsed="false">
      <c r="A1434" s="4" t="s">
        <v>1744</v>
      </c>
      <c r="B1434" s="4" t="s">
        <v>1745</v>
      </c>
      <c r="C1434" s="4" t="n">
        <v>13</v>
      </c>
      <c r="D1434" s="4" t="s">
        <v>98</v>
      </c>
      <c r="E1434" s="4" t="s">
        <v>65</v>
      </c>
      <c r="F1434" s="4" t="s">
        <v>94</v>
      </c>
      <c r="G1434" s="4" t="n">
        <v>2</v>
      </c>
      <c r="H1434" s="4" t="n">
        <v>150</v>
      </c>
      <c r="I1434" s="18" t="n">
        <v>0.15</v>
      </c>
      <c r="J1434" s="4" t="s">
        <v>76</v>
      </c>
      <c r="K1434" s="4" t="s">
        <v>68</v>
      </c>
    </row>
    <row r="1435" customFormat="false" ht="15" hidden="false" customHeight="false" outlineLevel="0" collapsed="false">
      <c r="A1435" s="4" t="s">
        <v>1746</v>
      </c>
      <c r="B1435" s="17" t="n">
        <v>45939</v>
      </c>
      <c r="C1435" s="4" t="n">
        <v>13</v>
      </c>
      <c r="D1435" s="4" t="s">
        <v>98</v>
      </c>
      <c r="E1435" s="4" t="s">
        <v>65</v>
      </c>
      <c r="F1435" s="4" t="s">
        <v>87</v>
      </c>
      <c r="G1435" s="4" t="n">
        <v>2</v>
      </c>
      <c r="H1435" s="4" t="s">
        <v>715</v>
      </c>
      <c r="I1435" s="18" t="n">
        <v>0</v>
      </c>
      <c r="J1435" s="4" t="s">
        <v>88</v>
      </c>
      <c r="K1435" s="4" t="s">
        <v>68</v>
      </c>
    </row>
    <row r="1436" customFormat="false" ht="15" hidden="false" customHeight="false" outlineLevel="0" collapsed="false">
      <c r="A1436" s="4" t="s">
        <v>1747</v>
      </c>
      <c r="B1436" s="4" t="s">
        <v>1745</v>
      </c>
      <c r="C1436" s="4" t="n">
        <v>14</v>
      </c>
      <c r="D1436" s="4" t="s">
        <v>70</v>
      </c>
      <c r="E1436" s="4" t="s">
        <v>65</v>
      </c>
      <c r="F1436" s="4" t="s">
        <v>121</v>
      </c>
      <c r="G1436" s="4" t="n">
        <v>3</v>
      </c>
      <c r="H1436" s="4" t="n">
        <v>170</v>
      </c>
      <c r="I1436" s="18" t="n">
        <v>0</v>
      </c>
      <c r="J1436" s="4" t="s">
        <v>112</v>
      </c>
      <c r="K1436" s="4" t="s">
        <v>77</v>
      </c>
    </row>
    <row r="1437" customFormat="false" ht="15" hidden="false" customHeight="false" outlineLevel="0" collapsed="false">
      <c r="A1437" s="4" t="s">
        <v>1748</v>
      </c>
      <c r="B1437" s="17" t="n">
        <v>45939</v>
      </c>
      <c r="C1437" s="4" t="n">
        <v>16</v>
      </c>
      <c r="D1437" s="4" t="s">
        <v>73</v>
      </c>
      <c r="E1437" s="4" t="s">
        <v>65</v>
      </c>
      <c r="F1437" s="4" t="s">
        <v>87</v>
      </c>
      <c r="G1437" s="4" t="n">
        <v>1</v>
      </c>
      <c r="H1437" s="4" t="n">
        <v>160</v>
      </c>
      <c r="I1437" s="18" t="n">
        <v>0.05</v>
      </c>
      <c r="J1437" s="4" t="s">
        <v>67</v>
      </c>
      <c r="K1437" s="4" t="s">
        <v>82</v>
      </c>
    </row>
    <row r="1438" customFormat="false" ht="15" hidden="false" customHeight="false" outlineLevel="0" collapsed="false">
      <c r="A1438" s="4" t="s">
        <v>1749</v>
      </c>
      <c r="B1438" s="17" t="n">
        <v>45940</v>
      </c>
      <c r="C1438" s="4" t="n">
        <v>8</v>
      </c>
      <c r="D1438" s="4" t="s">
        <v>73</v>
      </c>
      <c r="E1438" s="4" t="s">
        <v>99</v>
      </c>
      <c r="F1438" s="4" t="s">
        <v>100</v>
      </c>
      <c r="G1438" s="4" t="n">
        <v>1</v>
      </c>
      <c r="H1438" s="4" t="n">
        <v>110</v>
      </c>
      <c r="I1438" s="18" t="n">
        <v>0</v>
      </c>
      <c r="J1438" s="4" t="s">
        <v>81</v>
      </c>
      <c r="K1438" s="4" t="s">
        <v>77</v>
      </c>
    </row>
    <row r="1439" customFormat="false" ht="15" hidden="false" customHeight="false" outlineLevel="0" collapsed="false">
      <c r="A1439" s="4" t="s">
        <v>1750</v>
      </c>
      <c r="B1439" s="17" t="n">
        <v>45940</v>
      </c>
      <c r="C1439" s="4" t="n">
        <v>9</v>
      </c>
      <c r="D1439" s="4" t="s">
        <v>64</v>
      </c>
      <c r="E1439" s="4" t="s">
        <v>79</v>
      </c>
      <c r="F1439" s="4" t="s">
        <v>872</v>
      </c>
      <c r="G1439" s="4" t="n">
        <v>1</v>
      </c>
      <c r="H1439" s="4" t="n">
        <v>160</v>
      </c>
      <c r="I1439" s="18" t="n">
        <v>0</v>
      </c>
      <c r="J1439" s="4" t="s">
        <v>67</v>
      </c>
      <c r="K1439" s="4" t="s">
        <v>68</v>
      </c>
    </row>
    <row r="1440" customFormat="false" ht="15" hidden="false" customHeight="false" outlineLevel="0" collapsed="false">
      <c r="A1440" s="4" t="s">
        <v>1751</v>
      </c>
      <c r="B1440" s="17" t="n">
        <v>45940</v>
      </c>
      <c r="C1440" s="4" t="n">
        <v>13</v>
      </c>
      <c r="D1440" s="4" t="s">
        <v>98</v>
      </c>
      <c r="E1440" s="4" t="s">
        <v>1082</v>
      </c>
      <c r="F1440" s="4" t="s">
        <v>264</v>
      </c>
      <c r="G1440" s="4" t="n">
        <v>1</v>
      </c>
      <c r="H1440" s="4" t="n">
        <v>120</v>
      </c>
      <c r="I1440" s="18" t="n">
        <v>0.1</v>
      </c>
      <c r="J1440" s="4" t="s">
        <v>88</v>
      </c>
      <c r="K1440" s="4" t="s">
        <v>71</v>
      </c>
    </row>
    <row r="1441" customFormat="false" ht="15" hidden="false" customHeight="false" outlineLevel="0" collapsed="false">
      <c r="A1441" s="4" t="s">
        <v>1752</v>
      </c>
      <c r="B1441" s="17" t="n">
        <v>45940</v>
      </c>
      <c r="C1441" s="4" t="n">
        <v>13</v>
      </c>
      <c r="D1441" s="4" t="s">
        <v>64</v>
      </c>
      <c r="E1441" s="4" t="s">
        <v>65</v>
      </c>
      <c r="F1441" s="4" t="s">
        <v>66</v>
      </c>
      <c r="G1441" s="4" t="n">
        <v>1</v>
      </c>
      <c r="H1441" s="4" t="n">
        <v>120</v>
      </c>
      <c r="I1441" s="18" t="n">
        <v>0.15</v>
      </c>
      <c r="J1441" s="4" t="s">
        <v>81</v>
      </c>
      <c r="K1441" s="4" t="s">
        <v>71</v>
      </c>
    </row>
    <row r="1442" customFormat="false" ht="15" hidden="false" customHeight="false" outlineLevel="0" collapsed="false">
      <c r="A1442" s="4" t="s">
        <v>1753</v>
      </c>
      <c r="B1442" s="17" t="n">
        <v>45940</v>
      </c>
      <c r="C1442" s="4" t="n">
        <v>16</v>
      </c>
      <c r="D1442" s="4" t="s">
        <v>64</v>
      </c>
      <c r="E1442" s="4" t="s">
        <v>65</v>
      </c>
      <c r="F1442" s="4" t="s">
        <v>1754</v>
      </c>
      <c r="G1442" s="4" t="n">
        <v>1</v>
      </c>
      <c r="H1442" s="4" t="n">
        <v>170</v>
      </c>
      <c r="I1442" s="18" t="n">
        <v>0.05</v>
      </c>
      <c r="J1442" s="4" t="s">
        <v>81</v>
      </c>
      <c r="K1442" s="4" t="s">
        <v>82</v>
      </c>
    </row>
    <row r="1443" customFormat="false" ht="15" hidden="false" customHeight="false" outlineLevel="0" collapsed="false">
      <c r="A1443" s="4" t="s">
        <v>1755</v>
      </c>
      <c r="B1443" s="17" t="n">
        <v>45940</v>
      </c>
      <c r="C1443" s="4" t="n">
        <v>18</v>
      </c>
      <c r="D1443" s="4" t="s">
        <v>64</v>
      </c>
      <c r="E1443" s="4" t="s">
        <v>84</v>
      </c>
      <c r="F1443" s="4" t="s">
        <v>117</v>
      </c>
      <c r="G1443" s="4" t="n">
        <v>3</v>
      </c>
      <c r="I1443" s="18" t="n">
        <v>0.1</v>
      </c>
      <c r="J1443" s="4" t="s">
        <v>76</v>
      </c>
      <c r="K1443" s="4" t="s">
        <v>71</v>
      </c>
    </row>
    <row r="1444" customFormat="false" ht="15" hidden="false" customHeight="false" outlineLevel="0" collapsed="false">
      <c r="A1444" s="4" t="s">
        <v>1755</v>
      </c>
      <c r="B1444" s="17" t="n">
        <v>45940</v>
      </c>
      <c r="C1444" s="4" t="n">
        <v>18</v>
      </c>
      <c r="D1444" s="4" t="s">
        <v>64</v>
      </c>
      <c r="E1444" s="4" t="s">
        <v>84</v>
      </c>
      <c r="F1444" s="4" t="s">
        <v>117</v>
      </c>
      <c r="G1444" s="4" t="n">
        <v>3</v>
      </c>
      <c r="I1444" s="18" t="n">
        <v>0.1</v>
      </c>
      <c r="J1444" s="4" t="s">
        <v>76</v>
      </c>
      <c r="K1444" s="4" t="s">
        <v>71</v>
      </c>
    </row>
    <row r="1445" customFormat="false" ht="15" hidden="false" customHeight="false" outlineLevel="0" collapsed="false">
      <c r="A1445" s="4" t="s">
        <v>1756</v>
      </c>
      <c r="B1445" s="17" t="n">
        <v>45941</v>
      </c>
      <c r="C1445" s="4" t="n">
        <v>7</v>
      </c>
      <c r="D1445" s="4" t="s">
        <v>70</v>
      </c>
      <c r="E1445" s="4" t="s">
        <v>99</v>
      </c>
      <c r="F1445" s="4" t="s">
        <v>102</v>
      </c>
      <c r="G1445" s="4" t="n">
        <v>4</v>
      </c>
      <c r="H1445" s="4" t="n">
        <v>140</v>
      </c>
      <c r="I1445" s="18" t="n">
        <v>0</v>
      </c>
      <c r="J1445" s="4" t="s">
        <v>67</v>
      </c>
      <c r="K1445" s="4" t="s">
        <v>77</v>
      </c>
    </row>
    <row r="1446" customFormat="false" ht="15" hidden="false" customHeight="false" outlineLevel="0" collapsed="false">
      <c r="A1446" s="4" t="s">
        <v>1757</v>
      </c>
      <c r="B1446" s="17" t="n">
        <v>45941</v>
      </c>
      <c r="C1446" s="4" t="n">
        <v>9</v>
      </c>
      <c r="D1446" s="4" t="s">
        <v>73</v>
      </c>
      <c r="E1446" s="4" t="s">
        <v>99</v>
      </c>
      <c r="F1446" s="4" t="s">
        <v>109</v>
      </c>
      <c r="G1446" s="4" t="n">
        <v>2</v>
      </c>
      <c r="H1446" s="4" t="n">
        <v>130</v>
      </c>
      <c r="I1446" s="18" t="n">
        <v>0.05</v>
      </c>
      <c r="J1446" s="4" t="s">
        <v>81</v>
      </c>
      <c r="K1446" s="4" t="s">
        <v>82</v>
      </c>
    </row>
    <row r="1447" customFormat="false" ht="15" hidden="false" customHeight="false" outlineLevel="0" collapsed="false">
      <c r="A1447" s="4" t="s">
        <v>1758</v>
      </c>
      <c r="B1447" s="17" t="n">
        <v>45941</v>
      </c>
      <c r="C1447" s="4" t="n">
        <v>17</v>
      </c>
      <c r="D1447" s="4" t="s">
        <v>70</v>
      </c>
      <c r="E1447" s="4" t="s">
        <v>99</v>
      </c>
      <c r="F1447" s="4" t="s">
        <v>102</v>
      </c>
      <c r="G1447" s="4" t="n">
        <v>2</v>
      </c>
      <c r="H1447" s="4" t="s">
        <v>1085</v>
      </c>
      <c r="I1447" s="18" t="n">
        <v>0</v>
      </c>
      <c r="J1447" s="4" t="s">
        <v>81</v>
      </c>
      <c r="K1447" s="4" t="s">
        <v>68</v>
      </c>
    </row>
    <row r="1448" customFormat="false" ht="15" hidden="false" customHeight="false" outlineLevel="0" collapsed="false">
      <c r="A1448" s="4" t="s">
        <v>1758</v>
      </c>
      <c r="B1448" s="17" t="n">
        <v>45941</v>
      </c>
      <c r="C1448" s="4" t="n">
        <v>17</v>
      </c>
      <c r="D1448" s="4" t="s">
        <v>70</v>
      </c>
      <c r="E1448" s="4" t="s">
        <v>99</v>
      </c>
      <c r="F1448" s="4" t="s">
        <v>102</v>
      </c>
      <c r="G1448" s="4" t="n">
        <v>2</v>
      </c>
      <c r="H1448" s="4" t="s">
        <v>1085</v>
      </c>
      <c r="I1448" s="18" t="n">
        <v>0</v>
      </c>
      <c r="J1448" s="4" t="s">
        <v>81</v>
      </c>
      <c r="K1448" s="4" t="s">
        <v>68</v>
      </c>
    </row>
    <row r="1449" customFormat="false" ht="15" hidden="false" customHeight="false" outlineLevel="0" collapsed="false">
      <c r="A1449" s="4" t="s">
        <v>1759</v>
      </c>
      <c r="B1449" s="17" t="n">
        <v>45941</v>
      </c>
      <c r="C1449" s="4" t="n">
        <v>19</v>
      </c>
      <c r="D1449" s="4" t="s">
        <v>98</v>
      </c>
      <c r="E1449" s="4" t="s">
        <v>65</v>
      </c>
      <c r="F1449" s="4" t="s">
        <v>121</v>
      </c>
      <c r="G1449" s="4" t="n">
        <v>1</v>
      </c>
      <c r="H1449" s="4" t="n">
        <v>170</v>
      </c>
      <c r="I1449" s="18" t="n">
        <v>0</v>
      </c>
      <c r="J1449" s="4" t="s">
        <v>76</v>
      </c>
      <c r="K1449" s="4" t="s">
        <v>68</v>
      </c>
    </row>
    <row r="1450" customFormat="false" ht="15" hidden="false" customHeight="false" outlineLevel="0" collapsed="false">
      <c r="A1450" s="4" t="s">
        <v>1760</v>
      </c>
      <c r="B1450" s="17" t="n">
        <v>45941</v>
      </c>
      <c r="C1450" s="4" t="n">
        <v>20</v>
      </c>
      <c r="D1450" s="4" t="s">
        <v>225</v>
      </c>
      <c r="E1450" s="4" t="s">
        <v>79</v>
      </c>
      <c r="F1450" s="4" t="s">
        <v>148</v>
      </c>
      <c r="G1450" s="4" t="n">
        <v>2</v>
      </c>
      <c r="H1450" s="4" t="n">
        <v>120</v>
      </c>
      <c r="I1450" s="18" t="n">
        <v>0</v>
      </c>
      <c r="J1450" s="4" t="s">
        <v>67</v>
      </c>
      <c r="K1450" s="4" t="s">
        <v>68</v>
      </c>
    </row>
    <row r="1451" customFormat="false" ht="15" hidden="false" customHeight="false" outlineLevel="0" collapsed="false">
      <c r="A1451" s="4" t="s">
        <v>1761</v>
      </c>
      <c r="B1451" s="4" t="s">
        <v>1762</v>
      </c>
      <c r="C1451" s="4" t="n">
        <v>8</v>
      </c>
      <c r="D1451" s="4" t="s">
        <v>73</v>
      </c>
      <c r="E1451" s="4" t="s">
        <v>65</v>
      </c>
      <c r="F1451" s="4" t="s">
        <v>94</v>
      </c>
      <c r="G1451" s="4" t="n">
        <v>1</v>
      </c>
      <c r="H1451" s="4" t="n">
        <v>150</v>
      </c>
      <c r="I1451" s="18" t="n">
        <v>0.1</v>
      </c>
      <c r="J1451" s="4" t="s">
        <v>67</v>
      </c>
      <c r="K1451" s="4" t="s">
        <v>71</v>
      </c>
    </row>
    <row r="1452" customFormat="false" ht="15" hidden="false" customHeight="false" outlineLevel="0" collapsed="false">
      <c r="A1452" s="4" t="s">
        <v>1763</v>
      </c>
      <c r="B1452" s="17" t="n">
        <v>45942</v>
      </c>
      <c r="C1452" s="4" t="n">
        <v>10</v>
      </c>
      <c r="D1452" s="4" t="s">
        <v>70</v>
      </c>
      <c r="E1452" s="4" t="s">
        <v>99</v>
      </c>
      <c r="F1452" s="4" t="s">
        <v>100</v>
      </c>
      <c r="G1452" s="4" t="n">
        <v>1</v>
      </c>
      <c r="H1452" s="4" t="n">
        <v>110</v>
      </c>
      <c r="I1452" s="18" t="n">
        <v>0.05</v>
      </c>
      <c r="J1452" s="4" t="s">
        <v>67</v>
      </c>
      <c r="K1452" s="4" t="s">
        <v>82</v>
      </c>
    </row>
    <row r="1453" customFormat="false" ht="15" hidden="false" customHeight="false" outlineLevel="0" collapsed="false">
      <c r="A1453" s="4" t="s">
        <v>1764</v>
      </c>
      <c r="B1453" s="17" t="n">
        <v>45942</v>
      </c>
      <c r="C1453" s="4" t="n">
        <v>12</v>
      </c>
      <c r="D1453" s="4" t="s">
        <v>70</v>
      </c>
      <c r="E1453" s="4" t="s">
        <v>79</v>
      </c>
      <c r="F1453" s="4" t="s">
        <v>148</v>
      </c>
      <c r="G1453" s="4" t="n">
        <v>1</v>
      </c>
      <c r="H1453" s="4" t="n">
        <v>120</v>
      </c>
      <c r="I1453" s="18" t="n">
        <v>0.05</v>
      </c>
      <c r="J1453" s="4" t="s">
        <v>67</v>
      </c>
      <c r="K1453" s="4" t="s">
        <v>82</v>
      </c>
    </row>
    <row r="1454" customFormat="false" ht="15" hidden="false" customHeight="false" outlineLevel="0" collapsed="false">
      <c r="A1454" s="4" t="s">
        <v>1765</v>
      </c>
      <c r="B1454" s="17" t="n">
        <v>45942</v>
      </c>
      <c r="C1454" s="4" t="n">
        <v>14</v>
      </c>
      <c r="D1454" s="4" t="s">
        <v>225</v>
      </c>
      <c r="E1454" s="4" t="s">
        <v>84</v>
      </c>
      <c r="F1454" s="4" t="s">
        <v>85</v>
      </c>
      <c r="G1454" s="4" t="n">
        <v>1</v>
      </c>
      <c r="H1454" s="4" t="n">
        <v>150</v>
      </c>
      <c r="I1454" s="18" t="n">
        <v>0.05</v>
      </c>
      <c r="J1454" s="4" t="s">
        <v>81</v>
      </c>
      <c r="K1454" s="4" t="s">
        <v>82</v>
      </c>
    </row>
    <row r="1455" customFormat="false" ht="15" hidden="false" customHeight="false" outlineLevel="0" collapsed="false">
      <c r="A1455" s="4" t="s">
        <v>1766</v>
      </c>
      <c r="B1455" s="17" t="n">
        <v>45943</v>
      </c>
      <c r="C1455" s="4" t="n">
        <v>12</v>
      </c>
      <c r="D1455" s="4" t="s">
        <v>64</v>
      </c>
      <c r="E1455" s="4" t="s">
        <v>74</v>
      </c>
      <c r="F1455" s="4" t="s">
        <v>75</v>
      </c>
      <c r="G1455" s="4" t="n">
        <v>2</v>
      </c>
      <c r="H1455" s="4" t="n">
        <v>220</v>
      </c>
      <c r="I1455" s="18" t="n">
        <v>0</v>
      </c>
      <c r="J1455" s="4" t="s">
        <v>76</v>
      </c>
      <c r="K1455" s="4" t="s">
        <v>77</v>
      </c>
    </row>
    <row r="1456" customFormat="false" ht="15" hidden="false" customHeight="false" outlineLevel="0" collapsed="false">
      <c r="A1456" s="4" t="s">
        <v>1767</v>
      </c>
      <c r="B1456" s="17" t="n">
        <v>45943</v>
      </c>
      <c r="C1456" s="4" t="n">
        <v>13</v>
      </c>
      <c r="D1456" s="4" t="s">
        <v>73</v>
      </c>
      <c r="E1456" s="4" t="s">
        <v>84</v>
      </c>
      <c r="F1456" s="4" t="s">
        <v>114</v>
      </c>
      <c r="G1456" s="4" t="n">
        <v>2</v>
      </c>
      <c r="H1456" s="4" t="n">
        <v>85</v>
      </c>
      <c r="I1456" s="18" t="n">
        <v>0</v>
      </c>
      <c r="J1456" s="4" t="s">
        <v>81</v>
      </c>
      <c r="K1456" s="4" t="s">
        <v>68</v>
      </c>
    </row>
    <row r="1457" customFormat="false" ht="15" hidden="false" customHeight="false" outlineLevel="0" collapsed="false">
      <c r="A1457" s="4" t="s">
        <v>1768</v>
      </c>
      <c r="B1457" s="4" t="s">
        <v>1769</v>
      </c>
      <c r="C1457" s="4" t="n">
        <v>19</v>
      </c>
      <c r="D1457" s="4" t="s">
        <v>70</v>
      </c>
      <c r="E1457" s="4" t="s">
        <v>79</v>
      </c>
      <c r="F1457" s="4" t="s">
        <v>135</v>
      </c>
      <c r="G1457" s="4" t="n">
        <v>2</v>
      </c>
      <c r="H1457" s="4" t="n">
        <v>130</v>
      </c>
      <c r="I1457" s="18" t="n">
        <v>0</v>
      </c>
      <c r="J1457" s="4" t="s">
        <v>268</v>
      </c>
      <c r="K1457" s="4" t="s">
        <v>77</v>
      </c>
    </row>
    <row r="1458" customFormat="false" ht="15" hidden="false" customHeight="false" outlineLevel="0" collapsed="false">
      <c r="A1458" s="4" t="s">
        <v>1770</v>
      </c>
      <c r="B1458" s="17" t="n">
        <v>45944</v>
      </c>
      <c r="C1458" s="4" t="n">
        <v>12</v>
      </c>
      <c r="D1458" s="4" t="s">
        <v>70</v>
      </c>
      <c r="E1458" s="4" t="s">
        <v>99</v>
      </c>
      <c r="F1458" s="4" t="s">
        <v>102</v>
      </c>
      <c r="G1458" s="4" t="n">
        <v>3</v>
      </c>
      <c r="H1458" s="4" t="n">
        <v>140</v>
      </c>
      <c r="I1458" s="18" t="n">
        <v>0</v>
      </c>
      <c r="J1458" s="4" t="s">
        <v>81</v>
      </c>
      <c r="K1458" s="4" t="s">
        <v>77</v>
      </c>
    </row>
    <row r="1459" customFormat="false" ht="15" hidden="false" customHeight="false" outlineLevel="0" collapsed="false">
      <c r="A1459" s="4" t="s">
        <v>1771</v>
      </c>
      <c r="B1459" s="17" t="n">
        <v>45944</v>
      </c>
      <c r="C1459" s="4" t="n">
        <v>14</v>
      </c>
      <c r="D1459" s="4" t="s">
        <v>153</v>
      </c>
      <c r="E1459" s="4" t="s">
        <v>74</v>
      </c>
      <c r="F1459" s="4" t="s">
        <v>843</v>
      </c>
      <c r="G1459" s="4" t="n">
        <v>1</v>
      </c>
      <c r="H1459" s="4" t="n">
        <v>220</v>
      </c>
      <c r="I1459" s="18" t="n">
        <v>0</v>
      </c>
      <c r="J1459" s="4" t="s">
        <v>67</v>
      </c>
      <c r="K1459" s="4" t="s">
        <v>77</v>
      </c>
    </row>
    <row r="1460" customFormat="false" ht="15" hidden="false" customHeight="false" outlineLevel="0" collapsed="false">
      <c r="A1460" s="4" t="s">
        <v>1772</v>
      </c>
      <c r="B1460" s="4" t="s">
        <v>1773</v>
      </c>
      <c r="C1460" s="4" t="n">
        <v>15</v>
      </c>
      <c r="D1460" s="4" t="s">
        <v>70</v>
      </c>
      <c r="E1460" s="4" t="s">
        <v>79</v>
      </c>
      <c r="F1460" s="4" t="s">
        <v>135</v>
      </c>
      <c r="G1460" s="4" t="n">
        <v>4</v>
      </c>
      <c r="H1460" s="4" t="n">
        <v>130</v>
      </c>
      <c r="I1460" s="18" t="n">
        <v>0</v>
      </c>
      <c r="J1460" s="4" t="s">
        <v>81</v>
      </c>
      <c r="K1460" s="4" t="s">
        <v>77</v>
      </c>
    </row>
    <row r="1461" customFormat="false" ht="15" hidden="false" customHeight="false" outlineLevel="0" collapsed="false">
      <c r="A1461" s="4" t="s">
        <v>1774</v>
      </c>
      <c r="B1461" s="17" t="n">
        <v>45944</v>
      </c>
      <c r="C1461" s="4" t="n">
        <v>16</v>
      </c>
      <c r="D1461" s="4" t="s">
        <v>73</v>
      </c>
      <c r="E1461" s="4" t="s">
        <v>79</v>
      </c>
      <c r="F1461" s="4" t="s">
        <v>135</v>
      </c>
      <c r="G1461" s="4" t="n">
        <v>2</v>
      </c>
      <c r="H1461" s="4" t="n">
        <v>130</v>
      </c>
      <c r="I1461" s="18" t="n">
        <v>0.05</v>
      </c>
      <c r="J1461" s="4" t="s">
        <v>76</v>
      </c>
      <c r="K1461" s="4" t="s">
        <v>82</v>
      </c>
    </row>
    <row r="1462" customFormat="false" ht="15" hidden="false" customHeight="false" outlineLevel="0" collapsed="false">
      <c r="A1462" s="4" t="s">
        <v>1775</v>
      </c>
      <c r="B1462" s="17" t="n">
        <v>45944</v>
      </c>
      <c r="C1462" s="4" t="n">
        <v>16</v>
      </c>
      <c r="D1462" s="4" t="s">
        <v>64</v>
      </c>
      <c r="E1462" s="4" t="s">
        <v>65</v>
      </c>
      <c r="F1462" s="4" t="s">
        <v>94</v>
      </c>
      <c r="G1462" s="4" t="n">
        <v>2</v>
      </c>
      <c r="H1462" s="4" t="n">
        <v>150</v>
      </c>
      <c r="I1462" s="18" t="n">
        <v>0.15</v>
      </c>
      <c r="J1462" s="4" t="s">
        <v>81</v>
      </c>
      <c r="K1462" s="4" t="s">
        <v>77</v>
      </c>
    </row>
    <row r="1463" customFormat="false" ht="15" hidden="false" customHeight="false" outlineLevel="0" collapsed="false">
      <c r="A1463" s="4" t="s">
        <v>1776</v>
      </c>
      <c r="B1463" s="17" t="n">
        <v>45944</v>
      </c>
      <c r="C1463" s="4" t="n">
        <v>16</v>
      </c>
      <c r="D1463" s="4" t="s">
        <v>98</v>
      </c>
      <c r="E1463" s="4" t="s">
        <v>65</v>
      </c>
      <c r="F1463" s="4" t="s">
        <v>94</v>
      </c>
      <c r="G1463" s="4" t="n">
        <v>1</v>
      </c>
      <c r="H1463" s="4" t="n">
        <v>150</v>
      </c>
      <c r="I1463" s="18" t="n">
        <v>0.05</v>
      </c>
      <c r="J1463" s="4" t="s">
        <v>103</v>
      </c>
      <c r="K1463" s="4" t="s">
        <v>82</v>
      </c>
    </row>
    <row r="1464" customFormat="false" ht="15" hidden="false" customHeight="false" outlineLevel="0" collapsed="false">
      <c r="A1464" s="4" t="s">
        <v>1777</v>
      </c>
      <c r="B1464" s="17" t="n">
        <v>45945</v>
      </c>
      <c r="C1464" s="4" t="n">
        <v>7</v>
      </c>
      <c r="D1464" s="4" t="s">
        <v>70</v>
      </c>
      <c r="E1464" s="4" t="s">
        <v>99</v>
      </c>
      <c r="F1464" s="4" t="s">
        <v>252</v>
      </c>
      <c r="G1464" s="4" t="n">
        <v>1</v>
      </c>
      <c r="H1464" s="4" t="n">
        <v>130</v>
      </c>
      <c r="I1464" s="18" t="n">
        <v>0</v>
      </c>
      <c r="J1464" s="4" t="s">
        <v>123</v>
      </c>
    </row>
    <row r="1465" customFormat="false" ht="15" hidden="false" customHeight="false" outlineLevel="0" collapsed="false">
      <c r="A1465" s="4" t="s">
        <v>1778</v>
      </c>
      <c r="B1465" s="17" t="n">
        <v>45945</v>
      </c>
      <c r="C1465" s="4" t="n">
        <v>8</v>
      </c>
      <c r="D1465" s="4" t="s">
        <v>172</v>
      </c>
      <c r="E1465" s="4" t="s">
        <v>79</v>
      </c>
      <c r="F1465" s="4" t="s">
        <v>148</v>
      </c>
      <c r="G1465" s="4" t="n">
        <v>1</v>
      </c>
      <c r="H1465" s="4" t="n">
        <v>120</v>
      </c>
      <c r="I1465" s="18" t="n">
        <v>0</v>
      </c>
      <c r="J1465" s="4" t="s">
        <v>81</v>
      </c>
      <c r="K1465" s="4" t="s">
        <v>68</v>
      </c>
    </row>
    <row r="1466" customFormat="false" ht="15" hidden="false" customHeight="false" outlineLevel="0" collapsed="false">
      <c r="A1466" s="4" t="s">
        <v>1779</v>
      </c>
      <c r="B1466" s="4" t="s">
        <v>1780</v>
      </c>
      <c r="C1466" s="4" t="n">
        <v>8</v>
      </c>
      <c r="D1466" s="4" t="s">
        <v>73</v>
      </c>
      <c r="E1466" s="4" t="s">
        <v>65</v>
      </c>
      <c r="F1466" s="4" t="s">
        <v>66</v>
      </c>
      <c r="G1466" s="4" t="n">
        <v>1</v>
      </c>
      <c r="H1466" s="4" t="n">
        <v>120</v>
      </c>
      <c r="I1466" s="18" t="n">
        <v>0.2</v>
      </c>
      <c r="J1466" s="4" t="s">
        <v>76</v>
      </c>
      <c r="K1466" s="4" t="s">
        <v>68</v>
      </c>
    </row>
    <row r="1467" customFormat="false" ht="15" hidden="false" customHeight="false" outlineLevel="0" collapsed="false">
      <c r="A1467" s="4" t="s">
        <v>1781</v>
      </c>
      <c r="B1467" s="17" t="n">
        <v>45945</v>
      </c>
      <c r="C1467" s="4" t="n">
        <v>10</v>
      </c>
      <c r="D1467" s="4" t="s">
        <v>70</v>
      </c>
      <c r="E1467" s="4" t="s">
        <v>84</v>
      </c>
      <c r="F1467" s="4" t="s">
        <v>85</v>
      </c>
      <c r="G1467" s="4" t="n">
        <v>2</v>
      </c>
      <c r="H1467" s="4" t="n">
        <v>150</v>
      </c>
      <c r="I1467" s="18" t="n">
        <v>0.05</v>
      </c>
      <c r="J1467" s="4" t="s">
        <v>67</v>
      </c>
      <c r="K1467" s="4" t="s">
        <v>82</v>
      </c>
    </row>
    <row r="1468" customFormat="false" ht="15" hidden="false" customHeight="false" outlineLevel="0" collapsed="false">
      <c r="A1468" s="4" t="s">
        <v>1782</v>
      </c>
      <c r="B1468" s="17" t="n">
        <v>45945</v>
      </c>
      <c r="C1468" s="4" t="n">
        <v>11</v>
      </c>
      <c r="D1468" s="4" t="s">
        <v>64</v>
      </c>
      <c r="E1468" s="4" t="s">
        <v>99</v>
      </c>
      <c r="F1468" s="4" t="s">
        <v>100</v>
      </c>
      <c r="G1468" s="4" t="n">
        <v>3</v>
      </c>
      <c r="H1468" s="4" t="n">
        <v>110</v>
      </c>
      <c r="I1468" s="18" t="n">
        <v>0</v>
      </c>
      <c r="J1468" s="4" t="s">
        <v>81</v>
      </c>
      <c r="K1468" s="4" t="s">
        <v>68</v>
      </c>
    </row>
    <row r="1469" customFormat="false" ht="15" hidden="false" customHeight="false" outlineLevel="0" collapsed="false">
      <c r="A1469" s="4" t="s">
        <v>1783</v>
      </c>
      <c r="B1469" s="17" t="n">
        <v>45945</v>
      </c>
      <c r="C1469" s="4" t="n">
        <v>17</v>
      </c>
      <c r="D1469" s="4" t="s">
        <v>70</v>
      </c>
      <c r="E1469" s="4" t="s">
        <v>84</v>
      </c>
      <c r="F1469" s="4" t="s">
        <v>117</v>
      </c>
      <c r="G1469" s="4" t="n">
        <v>1</v>
      </c>
      <c r="H1469" s="4" t="n">
        <v>95</v>
      </c>
      <c r="I1469" s="18" t="n">
        <v>0.05</v>
      </c>
      <c r="J1469" s="4" t="s">
        <v>81</v>
      </c>
      <c r="K1469" s="4" t="s">
        <v>82</v>
      </c>
    </row>
    <row r="1470" customFormat="false" ht="15" hidden="false" customHeight="false" outlineLevel="0" collapsed="false">
      <c r="A1470" s="4" t="s">
        <v>1784</v>
      </c>
      <c r="B1470" s="17" t="n">
        <v>45945</v>
      </c>
      <c r="C1470" s="4" t="n">
        <v>17</v>
      </c>
      <c r="D1470" s="4" t="s">
        <v>64</v>
      </c>
      <c r="E1470" s="4" t="s">
        <v>65</v>
      </c>
      <c r="F1470" s="4" t="s">
        <v>94</v>
      </c>
      <c r="G1470" s="4" t="n">
        <v>1</v>
      </c>
      <c r="H1470" s="4" t="n">
        <v>150</v>
      </c>
      <c r="I1470" s="18" t="n">
        <v>0.05</v>
      </c>
      <c r="J1470" s="4" t="s">
        <v>112</v>
      </c>
      <c r="K1470" s="4" t="s">
        <v>82</v>
      </c>
    </row>
    <row r="1471" customFormat="false" ht="15" hidden="false" customHeight="false" outlineLevel="0" collapsed="false">
      <c r="A1471" s="4" t="s">
        <v>1785</v>
      </c>
      <c r="B1471" s="17" t="n">
        <v>45945</v>
      </c>
      <c r="C1471" s="4" t="n">
        <v>17</v>
      </c>
      <c r="D1471" s="4" t="s">
        <v>73</v>
      </c>
      <c r="E1471" s="4" t="s">
        <v>99</v>
      </c>
      <c r="F1471" s="4" t="s">
        <v>133</v>
      </c>
      <c r="G1471" s="4" t="n">
        <v>1</v>
      </c>
      <c r="H1471" s="4" t="n">
        <v>90</v>
      </c>
      <c r="I1471" s="18" t="n">
        <v>0</v>
      </c>
      <c r="J1471" s="4" t="s">
        <v>81</v>
      </c>
      <c r="K1471" s="4" t="s">
        <v>68</v>
      </c>
    </row>
    <row r="1472" customFormat="false" ht="15" hidden="false" customHeight="false" outlineLevel="0" collapsed="false">
      <c r="A1472" s="4" t="s">
        <v>1786</v>
      </c>
      <c r="B1472" s="17" t="n">
        <v>45945</v>
      </c>
      <c r="C1472" s="4" t="n">
        <v>19</v>
      </c>
      <c r="D1472" s="4" t="s">
        <v>64</v>
      </c>
      <c r="E1472" s="4" t="s">
        <v>79</v>
      </c>
      <c r="F1472" s="4" t="s">
        <v>80</v>
      </c>
      <c r="G1472" s="4" t="n">
        <v>1</v>
      </c>
      <c r="H1472" s="4" t="n">
        <v>160</v>
      </c>
      <c r="I1472" s="18" t="n">
        <v>0.05</v>
      </c>
      <c r="J1472" s="4" t="s">
        <v>81</v>
      </c>
    </row>
    <row r="1473" customFormat="false" ht="15" hidden="false" customHeight="false" outlineLevel="0" collapsed="false">
      <c r="A1473" s="4" t="s">
        <v>1787</v>
      </c>
      <c r="B1473" s="17" t="n">
        <v>45946</v>
      </c>
      <c r="C1473" s="4" t="n">
        <v>7</v>
      </c>
      <c r="D1473" s="4" t="s">
        <v>73</v>
      </c>
      <c r="E1473" s="4" t="s">
        <v>84</v>
      </c>
      <c r="F1473" s="4" t="s">
        <v>114</v>
      </c>
      <c r="G1473" s="4" t="n">
        <v>2</v>
      </c>
      <c r="H1473" s="4" t="n">
        <v>85</v>
      </c>
      <c r="I1473" s="18" t="n">
        <v>0</v>
      </c>
      <c r="J1473" s="4" t="s">
        <v>81</v>
      </c>
      <c r="K1473" s="4" t="s">
        <v>77</v>
      </c>
    </row>
    <row r="1474" customFormat="false" ht="15" hidden="false" customHeight="false" outlineLevel="0" collapsed="false">
      <c r="A1474" s="4" t="s">
        <v>1788</v>
      </c>
      <c r="B1474" s="17" t="n">
        <v>45946</v>
      </c>
      <c r="C1474" s="4" t="n">
        <v>9</v>
      </c>
      <c r="D1474" s="4" t="s">
        <v>73</v>
      </c>
      <c r="E1474" s="4" t="s">
        <v>84</v>
      </c>
      <c r="F1474" s="4" t="s">
        <v>114</v>
      </c>
      <c r="G1474" s="4" t="n">
        <v>1</v>
      </c>
      <c r="H1474" s="4" t="n">
        <v>85</v>
      </c>
      <c r="I1474" s="18" t="n">
        <v>0.1</v>
      </c>
      <c r="J1474" s="4" t="s">
        <v>76</v>
      </c>
    </row>
    <row r="1475" customFormat="false" ht="15" hidden="false" customHeight="false" outlineLevel="0" collapsed="false">
      <c r="A1475" s="4" t="s">
        <v>1789</v>
      </c>
      <c r="B1475" s="17" t="n">
        <v>45946</v>
      </c>
      <c r="C1475" s="4" t="n">
        <v>10</v>
      </c>
      <c r="D1475" s="4" t="s">
        <v>70</v>
      </c>
      <c r="E1475" s="4" t="s">
        <v>65</v>
      </c>
      <c r="F1475" s="4" t="s">
        <v>94</v>
      </c>
      <c r="G1475" s="4" t="n">
        <v>1</v>
      </c>
      <c r="H1475" s="4" t="n">
        <v>150</v>
      </c>
      <c r="I1475" s="18" t="n">
        <v>0</v>
      </c>
      <c r="J1475" s="4" t="s">
        <v>81</v>
      </c>
      <c r="K1475" s="4" t="s">
        <v>68</v>
      </c>
    </row>
    <row r="1476" customFormat="false" ht="15" hidden="false" customHeight="false" outlineLevel="0" collapsed="false">
      <c r="A1476" s="4" t="s">
        <v>1790</v>
      </c>
      <c r="B1476" s="17" t="n">
        <v>45946</v>
      </c>
      <c r="C1476" s="4" t="n">
        <v>14</v>
      </c>
      <c r="D1476" s="4" t="s">
        <v>98</v>
      </c>
      <c r="E1476" s="4" t="s">
        <v>74</v>
      </c>
      <c r="F1476" s="4" t="s">
        <v>139</v>
      </c>
      <c r="G1476" s="4" t="n">
        <v>1</v>
      </c>
      <c r="H1476" s="4" t="n">
        <v>260</v>
      </c>
      <c r="I1476" s="18" t="n">
        <v>0</v>
      </c>
      <c r="J1476" s="4" t="s">
        <v>67</v>
      </c>
      <c r="K1476" s="4" t="s">
        <v>68</v>
      </c>
    </row>
    <row r="1477" customFormat="false" ht="15" hidden="false" customHeight="false" outlineLevel="0" collapsed="false">
      <c r="A1477" s="4" t="s">
        <v>1791</v>
      </c>
      <c r="B1477" s="17" t="n">
        <v>45946</v>
      </c>
      <c r="C1477" s="4" t="n">
        <v>16</v>
      </c>
      <c r="D1477" s="4" t="s">
        <v>73</v>
      </c>
      <c r="E1477" s="4" t="s">
        <v>84</v>
      </c>
      <c r="F1477" s="4" t="s">
        <v>106</v>
      </c>
      <c r="G1477" s="4" t="n">
        <v>1</v>
      </c>
      <c r="H1477" s="4" t="n">
        <v>60</v>
      </c>
      <c r="I1477" s="18" t="n">
        <v>0.05</v>
      </c>
      <c r="J1477" s="4" t="s">
        <v>81</v>
      </c>
      <c r="K1477" s="4" t="s">
        <v>82</v>
      </c>
    </row>
    <row r="1478" customFormat="false" ht="15" hidden="false" customHeight="false" outlineLevel="0" collapsed="false">
      <c r="A1478" s="4" t="s">
        <v>1792</v>
      </c>
      <c r="B1478" s="17" t="n">
        <v>45946</v>
      </c>
      <c r="C1478" s="4" t="n">
        <v>19</v>
      </c>
      <c r="D1478" s="4" t="s">
        <v>70</v>
      </c>
      <c r="E1478" s="4" t="s">
        <v>65</v>
      </c>
      <c r="F1478" s="4" t="s">
        <v>121</v>
      </c>
      <c r="G1478" s="4" t="n">
        <v>2</v>
      </c>
      <c r="H1478" s="4" t="n">
        <v>170</v>
      </c>
      <c r="I1478" s="18" t="n">
        <v>0.05</v>
      </c>
      <c r="J1478" s="4" t="s">
        <v>81</v>
      </c>
      <c r="K1478" s="4" t="s">
        <v>82</v>
      </c>
    </row>
    <row r="1479" customFormat="false" ht="15" hidden="false" customHeight="false" outlineLevel="0" collapsed="false">
      <c r="A1479" s="4" t="s">
        <v>1793</v>
      </c>
      <c r="B1479" s="17" t="n">
        <v>45947</v>
      </c>
      <c r="C1479" s="4" t="n">
        <v>12</v>
      </c>
      <c r="D1479" s="4" t="s">
        <v>73</v>
      </c>
      <c r="E1479" s="4" t="s">
        <v>74</v>
      </c>
      <c r="F1479" s="4" t="s">
        <v>91</v>
      </c>
      <c r="G1479" s="4" t="n">
        <v>1</v>
      </c>
      <c r="H1479" s="4" t="n">
        <v>200</v>
      </c>
      <c r="I1479" s="18" t="n">
        <v>0.1</v>
      </c>
      <c r="J1479" s="4" t="s">
        <v>81</v>
      </c>
      <c r="K1479" s="4" t="s">
        <v>71</v>
      </c>
    </row>
    <row r="1480" customFormat="false" ht="15" hidden="false" customHeight="false" outlineLevel="0" collapsed="false">
      <c r="A1480" s="4" t="s">
        <v>1794</v>
      </c>
      <c r="B1480" s="17" t="n">
        <v>45947</v>
      </c>
      <c r="C1480" s="4" t="n">
        <v>15</v>
      </c>
      <c r="D1480" s="4" t="s">
        <v>64</v>
      </c>
      <c r="E1480" s="4" t="s">
        <v>84</v>
      </c>
      <c r="F1480" s="4" t="s">
        <v>117</v>
      </c>
      <c r="G1480" s="4" t="n">
        <v>2</v>
      </c>
      <c r="H1480" s="4" t="n">
        <v>95</v>
      </c>
      <c r="I1480" s="18" t="n">
        <v>0</v>
      </c>
      <c r="J1480" s="4" t="s">
        <v>67</v>
      </c>
      <c r="K1480" s="4" t="s">
        <v>68</v>
      </c>
    </row>
    <row r="1481" customFormat="false" ht="15" hidden="false" customHeight="false" outlineLevel="0" collapsed="false">
      <c r="A1481" s="4" t="s">
        <v>1795</v>
      </c>
      <c r="B1481" s="4" t="s">
        <v>1796</v>
      </c>
      <c r="C1481" s="4" t="n">
        <v>18</v>
      </c>
      <c r="D1481" s="4" t="s">
        <v>98</v>
      </c>
      <c r="E1481" s="4" t="s">
        <v>65</v>
      </c>
      <c r="F1481" s="4" t="s">
        <v>66</v>
      </c>
      <c r="G1481" s="4" t="n">
        <v>4</v>
      </c>
      <c r="H1481" s="4" t="n">
        <v>120</v>
      </c>
      <c r="I1481" s="18" t="n">
        <v>0.05</v>
      </c>
      <c r="J1481" s="4" t="s">
        <v>81</v>
      </c>
      <c r="K1481" s="4" t="s">
        <v>82</v>
      </c>
    </row>
    <row r="1482" customFormat="false" ht="15" hidden="false" customHeight="false" outlineLevel="0" collapsed="false">
      <c r="A1482" s="4" t="s">
        <v>1797</v>
      </c>
      <c r="B1482" s="17" t="n">
        <v>45948</v>
      </c>
      <c r="C1482" s="4" t="n">
        <v>10</v>
      </c>
      <c r="D1482" s="4" t="s">
        <v>70</v>
      </c>
      <c r="E1482" s="4" t="s">
        <v>65</v>
      </c>
      <c r="F1482" s="4" t="s">
        <v>121</v>
      </c>
      <c r="G1482" s="4" t="n">
        <v>2</v>
      </c>
      <c r="H1482" s="4" t="n">
        <v>170</v>
      </c>
      <c r="I1482" s="18" t="n">
        <v>0</v>
      </c>
      <c r="J1482" s="4" t="s">
        <v>81</v>
      </c>
      <c r="K1482" s="4" t="s">
        <v>68</v>
      </c>
    </row>
    <row r="1483" customFormat="false" ht="15" hidden="false" customHeight="false" outlineLevel="0" collapsed="false">
      <c r="A1483" s="4" t="s">
        <v>1798</v>
      </c>
      <c r="B1483" s="17" t="n">
        <v>45948</v>
      </c>
      <c r="C1483" s="4" t="n">
        <v>13</v>
      </c>
      <c r="D1483" s="4" t="s">
        <v>70</v>
      </c>
      <c r="E1483" s="4" t="s">
        <v>99</v>
      </c>
      <c r="F1483" s="4" t="s">
        <v>109</v>
      </c>
      <c r="G1483" s="4" t="n">
        <v>1</v>
      </c>
      <c r="H1483" s="4" t="n">
        <v>130</v>
      </c>
      <c r="I1483" s="18" t="n">
        <v>0</v>
      </c>
      <c r="J1483" s="4" t="s">
        <v>67</v>
      </c>
      <c r="K1483" s="4" t="s">
        <v>68</v>
      </c>
    </row>
    <row r="1484" customFormat="false" ht="15" hidden="false" customHeight="false" outlineLevel="0" collapsed="false">
      <c r="A1484" s="4" t="s">
        <v>1799</v>
      </c>
      <c r="B1484" s="17" t="n">
        <v>45948</v>
      </c>
      <c r="C1484" s="4" t="n">
        <v>15</v>
      </c>
      <c r="D1484" s="4" t="s">
        <v>64</v>
      </c>
      <c r="E1484" s="4" t="s">
        <v>99</v>
      </c>
      <c r="F1484" s="4" t="s">
        <v>109</v>
      </c>
      <c r="G1484" s="4" t="n">
        <v>3</v>
      </c>
      <c r="H1484" s="4" t="n">
        <v>130</v>
      </c>
      <c r="I1484" s="18" t="n">
        <v>0</v>
      </c>
      <c r="J1484" s="4" t="s">
        <v>67</v>
      </c>
      <c r="K1484" s="4" t="s">
        <v>77</v>
      </c>
    </row>
    <row r="1485" customFormat="false" ht="15" hidden="false" customHeight="false" outlineLevel="0" collapsed="false">
      <c r="A1485" s="4" t="s">
        <v>1800</v>
      </c>
      <c r="B1485" s="17" t="n">
        <v>45948</v>
      </c>
      <c r="C1485" s="4" t="n">
        <v>18</v>
      </c>
      <c r="D1485" s="4" t="s">
        <v>70</v>
      </c>
      <c r="E1485" s="4" t="s">
        <v>74</v>
      </c>
      <c r="F1485" s="4" t="s">
        <v>75</v>
      </c>
      <c r="G1485" s="4" t="n">
        <v>1</v>
      </c>
      <c r="H1485" s="4" t="n">
        <v>220</v>
      </c>
      <c r="I1485" s="18" t="n">
        <v>0.1</v>
      </c>
      <c r="J1485" s="4" t="s">
        <v>67</v>
      </c>
      <c r="K1485" s="4" t="s">
        <v>71</v>
      </c>
    </row>
    <row r="1486" customFormat="false" ht="15" hidden="false" customHeight="false" outlineLevel="0" collapsed="false">
      <c r="A1486" s="4" t="s">
        <v>1801</v>
      </c>
      <c r="B1486" s="17" t="n">
        <v>45949</v>
      </c>
      <c r="C1486" s="4" t="n">
        <v>9</v>
      </c>
      <c r="D1486" s="4" t="s">
        <v>70</v>
      </c>
      <c r="E1486" s="4" t="s">
        <v>99</v>
      </c>
      <c r="F1486" s="4" t="s">
        <v>100</v>
      </c>
      <c r="G1486" s="4" t="n">
        <v>1</v>
      </c>
      <c r="H1486" s="4" t="n">
        <v>110</v>
      </c>
      <c r="I1486" s="18" t="n">
        <v>0</v>
      </c>
      <c r="J1486" s="4" t="s">
        <v>76</v>
      </c>
      <c r="K1486" s="4" t="s">
        <v>77</v>
      </c>
    </row>
    <row r="1487" customFormat="false" ht="15" hidden="false" customHeight="false" outlineLevel="0" collapsed="false">
      <c r="A1487" s="4" t="s">
        <v>1802</v>
      </c>
      <c r="B1487" s="17" t="n">
        <v>45949</v>
      </c>
      <c r="C1487" s="4" t="n">
        <v>12</v>
      </c>
      <c r="D1487" s="4" t="s">
        <v>73</v>
      </c>
      <c r="E1487" s="4" t="s">
        <v>411</v>
      </c>
      <c r="F1487" s="4" t="s">
        <v>75</v>
      </c>
      <c r="G1487" s="4" t="n">
        <v>2</v>
      </c>
      <c r="H1487" s="4" t="n">
        <v>220</v>
      </c>
      <c r="I1487" s="18" t="n">
        <v>0.2</v>
      </c>
      <c r="J1487" s="4" t="s">
        <v>67</v>
      </c>
      <c r="K1487" s="4" t="s">
        <v>71</v>
      </c>
    </row>
    <row r="1488" customFormat="false" ht="15" hidden="false" customHeight="false" outlineLevel="0" collapsed="false">
      <c r="A1488" s="4" t="s">
        <v>1803</v>
      </c>
      <c r="B1488" s="17" t="n">
        <v>45949</v>
      </c>
      <c r="C1488" s="4" t="n">
        <v>13</v>
      </c>
      <c r="D1488" s="4" t="s">
        <v>70</v>
      </c>
      <c r="E1488" s="4" t="s">
        <v>65</v>
      </c>
      <c r="F1488" s="4" t="s">
        <v>66</v>
      </c>
      <c r="G1488" s="4" t="n">
        <v>1</v>
      </c>
      <c r="H1488" s="4" t="n">
        <v>120</v>
      </c>
      <c r="I1488" s="18" t="n">
        <v>0.05</v>
      </c>
      <c r="J1488" s="4" t="s">
        <v>81</v>
      </c>
      <c r="K1488" s="4" t="s">
        <v>82</v>
      </c>
    </row>
    <row r="1489" customFormat="false" ht="15" hidden="false" customHeight="false" outlineLevel="0" collapsed="false">
      <c r="A1489" s="4" t="s">
        <v>1804</v>
      </c>
      <c r="B1489" s="17" t="n">
        <v>45949</v>
      </c>
      <c r="C1489" s="4" t="n">
        <v>14</v>
      </c>
      <c r="D1489" s="4" t="s">
        <v>70</v>
      </c>
      <c r="E1489" s="4" t="s">
        <v>99</v>
      </c>
      <c r="F1489" s="4" t="s">
        <v>102</v>
      </c>
      <c r="H1489" s="4" t="n">
        <v>140</v>
      </c>
      <c r="I1489" s="18" t="n">
        <v>0</v>
      </c>
      <c r="J1489" s="4" t="s">
        <v>67</v>
      </c>
      <c r="K1489" s="4" t="s">
        <v>68</v>
      </c>
    </row>
    <row r="1490" customFormat="false" ht="15" hidden="false" customHeight="false" outlineLevel="0" collapsed="false">
      <c r="A1490" s="4" t="s">
        <v>1805</v>
      </c>
      <c r="B1490" s="17" t="n">
        <v>45949</v>
      </c>
      <c r="C1490" s="4" t="n">
        <v>14</v>
      </c>
      <c r="D1490" s="4" t="s">
        <v>70</v>
      </c>
      <c r="E1490" s="4" t="s">
        <v>74</v>
      </c>
      <c r="F1490" s="4" t="s">
        <v>75</v>
      </c>
      <c r="G1490" s="4" t="n">
        <v>2</v>
      </c>
      <c r="H1490" s="4" t="n">
        <v>220</v>
      </c>
      <c r="I1490" s="18" t="n">
        <v>0</v>
      </c>
      <c r="J1490" s="4" t="s">
        <v>67</v>
      </c>
      <c r="K1490" s="4" t="s">
        <v>68</v>
      </c>
    </row>
    <row r="1491" customFormat="false" ht="15" hidden="false" customHeight="false" outlineLevel="0" collapsed="false">
      <c r="A1491" s="4" t="s">
        <v>1806</v>
      </c>
      <c r="B1491" s="17" t="n">
        <v>45949</v>
      </c>
      <c r="C1491" s="4" t="n">
        <v>14</v>
      </c>
      <c r="D1491" s="4" t="s">
        <v>189</v>
      </c>
      <c r="E1491" s="4" t="s">
        <v>79</v>
      </c>
      <c r="F1491" s="4" t="s">
        <v>135</v>
      </c>
      <c r="G1491" s="4" t="n">
        <v>1</v>
      </c>
      <c r="H1491" s="4" t="n">
        <v>130</v>
      </c>
      <c r="I1491" s="18" t="n">
        <v>0.15</v>
      </c>
      <c r="J1491" s="4" t="s">
        <v>112</v>
      </c>
      <c r="K1491" s="4" t="s">
        <v>71</v>
      </c>
    </row>
    <row r="1492" customFormat="false" ht="15" hidden="false" customHeight="false" outlineLevel="0" collapsed="false">
      <c r="A1492" s="4" t="s">
        <v>1807</v>
      </c>
      <c r="B1492" s="17" t="n">
        <v>45950</v>
      </c>
      <c r="C1492" s="4" t="n">
        <v>7</v>
      </c>
      <c r="D1492" s="4" t="s">
        <v>70</v>
      </c>
      <c r="E1492" s="4" t="s">
        <v>99</v>
      </c>
      <c r="F1492" s="4" t="s">
        <v>100</v>
      </c>
      <c r="G1492" s="4" t="n">
        <v>1</v>
      </c>
      <c r="H1492" s="4" t="n">
        <v>110</v>
      </c>
      <c r="I1492" s="18" t="n">
        <v>0.05</v>
      </c>
      <c r="J1492" s="4" t="s">
        <v>88</v>
      </c>
    </row>
    <row r="1493" customFormat="false" ht="15" hidden="false" customHeight="false" outlineLevel="0" collapsed="false">
      <c r="A1493" s="4" t="s">
        <v>1808</v>
      </c>
      <c r="B1493" s="17" t="n">
        <v>45950</v>
      </c>
      <c r="C1493" s="4" t="n">
        <v>10</v>
      </c>
      <c r="D1493" s="4" t="s">
        <v>166</v>
      </c>
      <c r="E1493" s="4" t="s">
        <v>65</v>
      </c>
      <c r="F1493" s="4" t="s">
        <v>94</v>
      </c>
      <c r="G1493" s="4" t="n">
        <v>3</v>
      </c>
      <c r="H1493" s="4" t="n">
        <v>150</v>
      </c>
      <c r="I1493" s="18" t="n">
        <v>0</v>
      </c>
      <c r="J1493" s="4" t="s">
        <v>67</v>
      </c>
      <c r="K1493" s="4" t="s">
        <v>77</v>
      </c>
    </row>
    <row r="1494" customFormat="false" ht="15" hidden="false" customHeight="false" outlineLevel="0" collapsed="false">
      <c r="A1494" s="4" t="s">
        <v>1809</v>
      </c>
      <c r="B1494" s="17" t="n">
        <v>45950</v>
      </c>
      <c r="C1494" s="4" t="n">
        <v>12</v>
      </c>
      <c r="D1494" s="4" t="s">
        <v>64</v>
      </c>
      <c r="E1494" s="4" t="s">
        <v>462</v>
      </c>
      <c r="F1494" s="4" t="s">
        <v>94</v>
      </c>
      <c r="G1494" s="4" t="n">
        <v>1</v>
      </c>
      <c r="H1494" s="4" t="n">
        <v>150</v>
      </c>
      <c r="I1494" s="18" t="n">
        <v>0</v>
      </c>
      <c r="J1494" s="4" t="s">
        <v>112</v>
      </c>
      <c r="K1494" s="4" t="s">
        <v>68</v>
      </c>
    </row>
    <row r="1495" customFormat="false" ht="15" hidden="false" customHeight="false" outlineLevel="0" collapsed="false">
      <c r="A1495" s="4" t="s">
        <v>1810</v>
      </c>
      <c r="B1495" s="17" t="n">
        <v>45950</v>
      </c>
      <c r="C1495" s="4" t="n">
        <v>12</v>
      </c>
      <c r="D1495" s="4" t="s">
        <v>64</v>
      </c>
      <c r="E1495" s="4" t="s">
        <v>84</v>
      </c>
      <c r="F1495" s="4" t="s">
        <v>114</v>
      </c>
      <c r="G1495" s="4" t="n">
        <v>-3</v>
      </c>
      <c r="H1495" s="4" t="n">
        <v>85</v>
      </c>
      <c r="I1495" s="18" t="n">
        <v>0</v>
      </c>
      <c r="J1495" s="4" t="s">
        <v>112</v>
      </c>
      <c r="K1495" s="4" t="s">
        <v>68</v>
      </c>
    </row>
    <row r="1496" customFormat="false" ht="15" hidden="false" customHeight="false" outlineLevel="0" collapsed="false">
      <c r="A1496" s="4" t="s">
        <v>1811</v>
      </c>
      <c r="B1496" s="17" t="n">
        <v>45950</v>
      </c>
      <c r="C1496" s="4" t="n">
        <v>13</v>
      </c>
      <c r="D1496" s="4" t="s">
        <v>73</v>
      </c>
      <c r="E1496" s="4" t="s">
        <v>99</v>
      </c>
      <c r="F1496" s="4" t="s">
        <v>109</v>
      </c>
      <c r="G1496" s="4" t="n">
        <v>1</v>
      </c>
      <c r="H1496" s="4" t="n">
        <v>130</v>
      </c>
      <c r="I1496" s="18" t="n">
        <v>0</v>
      </c>
      <c r="J1496" s="4" t="s">
        <v>67</v>
      </c>
      <c r="K1496" s="4" t="s">
        <v>77</v>
      </c>
    </row>
    <row r="1497" customFormat="false" ht="15" hidden="false" customHeight="false" outlineLevel="0" collapsed="false">
      <c r="A1497" s="4" t="s">
        <v>1812</v>
      </c>
      <c r="B1497" s="17" t="n">
        <v>45950</v>
      </c>
      <c r="C1497" s="4" t="n">
        <v>15</v>
      </c>
      <c r="D1497" s="4" t="s">
        <v>73</v>
      </c>
      <c r="E1497" s="4" t="s">
        <v>302</v>
      </c>
      <c r="F1497" s="4" t="s">
        <v>109</v>
      </c>
      <c r="G1497" s="4" t="n">
        <v>3</v>
      </c>
      <c r="H1497" s="4" t="n">
        <v>130</v>
      </c>
      <c r="I1497" s="18" t="n">
        <v>0.1</v>
      </c>
      <c r="J1497" s="4" t="s">
        <v>67</v>
      </c>
      <c r="K1497" s="4" t="s">
        <v>68</v>
      </c>
    </row>
    <row r="1498" customFormat="false" ht="15" hidden="false" customHeight="false" outlineLevel="0" collapsed="false">
      <c r="A1498" s="4" t="s">
        <v>1813</v>
      </c>
      <c r="B1498" s="17" t="n">
        <v>45950</v>
      </c>
      <c r="C1498" s="4" t="n">
        <v>16</v>
      </c>
      <c r="D1498" s="4" t="s">
        <v>70</v>
      </c>
      <c r="E1498" s="4" t="s">
        <v>99</v>
      </c>
      <c r="F1498" s="4" t="s">
        <v>1814</v>
      </c>
      <c r="G1498" s="4" t="n">
        <v>2</v>
      </c>
      <c r="H1498" s="4" t="n">
        <v>90</v>
      </c>
      <c r="I1498" s="18" t="n">
        <v>0.2</v>
      </c>
      <c r="J1498" s="4" t="s">
        <v>67</v>
      </c>
      <c r="K1498" s="4" t="s">
        <v>68</v>
      </c>
    </row>
    <row r="1499" customFormat="false" ht="15" hidden="false" customHeight="false" outlineLevel="0" collapsed="false">
      <c r="A1499" s="4" t="s">
        <v>1815</v>
      </c>
      <c r="B1499" s="17" t="n">
        <v>45951</v>
      </c>
      <c r="C1499" s="4" t="n">
        <v>8</v>
      </c>
      <c r="D1499" s="4" t="s">
        <v>73</v>
      </c>
      <c r="E1499" s="4" t="s">
        <v>99</v>
      </c>
      <c r="F1499" s="4" t="s">
        <v>109</v>
      </c>
      <c r="G1499" s="4" t="n">
        <v>2</v>
      </c>
      <c r="H1499" s="4" t="n">
        <v>130</v>
      </c>
      <c r="I1499" s="18" t="n">
        <v>0</v>
      </c>
      <c r="J1499" s="4" t="s">
        <v>76</v>
      </c>
      <c r="K1499" s="4" t="s">
        <v>68</v>
      </c>
    </row>
    <row r="1500" customFormat="false" ht="15" hidden="false" customHeight="false" outlineLevel="0" collapsed="false">
      <c r="A1500" s="4" t="s">
        <v>1816</v>
      </c>
      <c r="B1500" s="17" t="n">
        <v>45951</v>
      </c>
      <c r="C1500" s="4" t="n">
        <v>10</v>
      </c>
      <c r="D1500" s="4" t="s">
        <v>64</v>
      </c>
      <c r="E1500" s="4" t="s">
        <v>74</v>
      </c>
      <c r="F1500" s="4" t="s">
        <v>75</v>
      </c>
      <c r="G1500" s="4" t="n">
        <v>1</v>
      </c>
      <c r="H1500" s="4" t="n">
        <v>220</v>
      </c>
      <c r="I1500" s="18" t="n">
        <v>0</v>
      </c>
      <c r="J1500" s="4" t="s">
        <v>81</v>
      </c>
      <c r="K1500" s="4" t="s">
        <v>68</v>
      </c>
    </row>
    <row r="1501" customFormat="false" ht="15" hidden="false" customHeight="false" outlineLevel="0" collapsed="false">
      <c r="A1501" s="4" t="s">
        <v>1817</v>
      </c>
      <c r="B1501" s="17" t="n">
        <v>45951</v>
      </c>
      <c r="C1501" s="4" t="n">
        <v>11</v>
      </c>
      <c r="D1501" s="4" t="s">
        <v>153</v>
      </c>
      <c r="E1501" s="4" t="s">
        <v>84</v>
      </c>
      <c r="F1501" s="4" t="s">
        <v>117</v>
      </c>
      <c r="G1501" s="4" t="n">
        <v>1</v>
      </c>
      <c r="H1501" s="4" t="n">
        <v>95</v>
      </c>
      <c r="I1501" s="18" t="n">
        <v>0</v>
      </c>
      <c r="J1501" s="4" t="s">
        <v>67</v>
      </c>
      <c r="K1501" s="4" t="s">
        <v>77</v>
      </c>
    </row>
    <row r="1502" customFormat="false" ht="15" hidden="false" customHeight="false" outlineLevel="0" collapsed="false">
      <c r="A1502" s="4" t="s">
        <v>1818</v>
      </c>
      <c r="B1502" s="17" t="n">
        <v>45951</v>
      </c>
      <c r="C1502" s="4" t="n">
        <v>12</v>
      </c>
      <c r="D1502" s="4" t="s">
        <v>189</v>
      </c>
      <c r="E1502" s="4" t="s">
        <v>99</v>
      </c>
      <c r="F1502" s="4" t="s">
        <v>102</v>
      </c>
      <c r="G1502" s="4" t="n">
        <v>1</v>
      </c>
      <c r="H1502" s="4" t="n">
        <v>140</v>
      </c>
      <c r="I1502" s="18" t="n">
        <v>0</v>
      </c>
      <c r="J1502" s="4" t="s">
        <v>81</v>
      </c>
      <c r="K1502" s="4" t="s">
        <v>68</v>
      </c>
    </row>
    <row r="1503" customFormat="false" ht="15" hidden="false" customHeight="false" outlineLevel="0" collapsed="false">
      <c r="A1503" s="4" t="s">
        <v>1819</v>
      </c>
      <c r="B1503" s="17" t="n">
        <v>45951</v>
      </c>
      <c r="C1503" s="4" t="n">
        <v>15</v>
      </c>
      <c r="D1503" s="4" t="s">
        <v>64</v>
      </c>
      <c r="E1503" s="4" t="s">
        <v>84</v>
      </c>
      <c r="F1503" s="4" t="s">
        <v>117</v>
      </c>
      <c r="G1503" s="4" t="n">
        <v>1</v>
      </c>
      <c r="H1503" s="4" t="n">
        <v>95</v>
      </c>
      <c r="I1503" s="18" t="n">
        <v>0.05</v>
      </c>
      <c r="J1503" s="4" t="s">
        <v>268</v>
      </c>
      <c r="K1503" s="4" t="s">
        <v>82</v>
      </c>
    </row>
    <row r="1504" customFormat="false" ht="15" hidden="false" customHeight="false" outlineLevel="0" collapsed="false">
      <c r="A1504" s="4" t="s">
        <v>1820</v>
      </c>
      <c r="B1504" s="17" t="n">
        <v>45952</v>
      </c>
      <c r="C1504" s="4" t="n">
        <v>8</v>
      </c>
      <c r="D1504" s="4" t="s">
        <v>70</v>
      </c>
      <c r="E1504" s="4" t="s">
        <v>65</v>
      </c>
      <c r="F1504" s="4" t="s">
        <v>66</v>
      </c>
      <c r="G1504" s="4" t="n">
        <v>1</v>
      </c>
      <c r="H1504" s="4" t="n">
        <v>120</v>
      </c>
      <c r="I1504" s="18" t="n">
        <v>0</v>
      </c>
      <c r="J1504" s="4" t="s">
        <v>67</v>
      </c>
      <c r="K1504" s="4" t="s">
        <v>77</v>
      </c>
    </row>
    <row r="1505" customFormat="false" ht="15" hidden="false" customHeight="false" outlineLevel="0" collapsed="false">
      <c r="A1505" s="4" t="s">
        <v>1821</v>
      </c>
      <c r="B1505" s="17" t="n">
        <v>45952</v>
      </c>
      <c r="C1505" s="4" t="n">
        <v>9</v>
      </c>
      <c r="D1505" s="4" t="s">
        <v>73</v>
      </c>
      <c r="E1505" s="4" t="s">
        <v>65</v>
      </c>
      <c r="F1505" s="4" t="s">
        <v>121</v>
      </c>
      <c r="G1505" s="4" t="n">
        <v>1</v>
      </c>
      <c r="H1505" s="4" t="n">
        <v>170</v>
      </c>
      <c r="J1505" s="4" t="s">
        <v>67</v>
      </c>
      <c r="K1505" s="4" t="s">
        <v>82</v>
      </c>
    </row>
    <row r="1506" customFormat="false" ht="15" hidden="false" customHeight="false" outlineLevel="0" collapsed="false">
      <c r="A1506" s="4" t="s">
        <v>1822</v>
      </c>
      <c r="B1506" s="17" t="n">
        <v>45952</v>
      </c>
      <c r="C1506" s="4" t="n">
        <v>12</v>
      </c>
      <c r="D1506" s="4" t="s">
        <v>73</v>
      </c>
      <c r="E1506" s="4" t="s">
        <v>84</v>
      </c>
      <c r="F1506" s="4" t="s">
        <v>114</v>
      </c>
      <c r="G1506" s="4" t="n">
        <v>1</v>
      </c>
      <c r="H1506" s="4" t="n">
        <v>85</v>
      </c>
      <c r="I1506" s="18" t="n">
        <v>0</v>
      </c>
      <c r="J1506" s="4" t="s">
        <v>67</v>
      </c>
      <c r="K1506" s="4" t="s">
        <v>77</v>
      </c>
    </row>
    <row r="1507" customFormat="false" ht="15" hidden="false" customHeight="false" outlineLevel="0" collapsed="false">
      <c r="A1507" s="4" t="s">
        <v>1823</v>
      </c>
      <c r="B1507" s="17" t="n">
        <v>45952</v>
      </c>
      <c r="C1507" s="4" t="n">
        <v>17</v>
      </c>
      <c r="D1507" s="4" t="s">
        <v>64</v>
      </c>
      <c r="E1507" s="4" t="s">
        <v>65</v>
      </c>
      <c r="F1507" s="4" t="s">
        <v>121</v>
      </c>
      <c r="G1507" s="4" t="n">
        <v>2</v>
      </c>
      <c r="H1507" s="4" t="n">
        <v>170</v>
      </c>
      <c r="I1507" s="18" t="n">
        <v>0.15</v>
      </c>
      <c r="J1507" s="4" t="s">
        <v>67</v>
      </c>
      <c r="K1507" s="4" t="s">
        <v>77</v>
      </c>
    </row>
    <row r="1508" customFormat="false" ht="15" hidden="false" customHeight="false" outlineLevel="0" collapsed="false">
      <c r="A1508" s="4" t="s">
        <v>1824</v>
      </c>
      <c r="B1508" s="17" t="n">
        <v>45952</v>
      </c>
      <c r="C1508" s="4" t="n">
        <v>18</v>
      </c>
      <c r="D1508" s="4" t="s">
        <v>73</v>
      </c>
      <c r="E1508" s="4" t="s">
        <v>99</v>
      </c>
      <c r="F1508" s="4" t="s">
        <v>102</v>
      </c>
      <c r="G1508" s="4" t="n">
        <v>1</v>
      </c>
      <c r="H1508" s="4" t="n">
        <v>140</v>
      </c>
      <c r="I1508" s="18" t="n">
        <v>0.05</v>
      </c>
      <c r="J1508" s="4" t="s">
        <v>76</v>
      </c>
      <c r="K1508" s="4" t="s">
        <v>82</v>
      </c>
    </row>
    <row r="1509" customFormat="false" ht="15" hidden="false" customHeight="false" outlineLevel="0" collapsed="false">
      <c r="A1509" s="4" t="s">
        <v>1825</v>
      </c>
      <c r="B1509" s="17" t="n">
        <v>45952</v>
      </c>
      <c r="C1509" s="4" t="n">
        <v>19</v>
      </c>
      <c r="D1509" s="4" t="s">
        <v>64</v>
      </c>
      <c r="E1509" s="4" t="s">
        <v>74</v>
      </c>
      <c r="F1509" s="4" t="s">
        <v>139</v>
      </c>
      <c r="G1509" s="4" t="n">
        <v>1</v>
      </c>
      <c r="H1509" s="4" t="n">
        <v>260</v>
      </c>
      <c r="I1509" s="18" t="n">
        <v>0.1</v>
      </c>
      <c r="J1509" s="4" t="s">
        <v>81</v>
      </c>
      <c r="K1509" s="4" t="s">
        <v>71</v>
      </c>
    </row>
    <row r="1510" customFormat="false" ht="15" hidden="false" customHeight="false" outlineLevel="0" collapsed="false">
      <c r="A1510" s="4" t="s">
        <v>1826</v>
      </c>
      <c r="B1510" s="17" t="n">
        <v>45953</v>
      </c>
      <c r="C1510" s="4" t="n">
        <v>8</v>
      </c>
      <c r="D1510" s="4" t="s">
        <v>64</v>
      </c>
      <c r="E1510" s="4" t="s">
        <v>84</v>
      </c>
      <c r="F1510" s="4" t="s">
        <v>106</v>
      </c>
      <c r="G1510" s="4" t="n">
        <v>2</v>
      </c>
      <c r="H1510" s="4" t="n">
        <v>60</v>
      </c>
      <c r="I1510" s="18" t="n">
        <v>0</v>
      </c>
      <c r="J1510" s="4" t="s">
        <v>67</v>
      </c>
      <c r="K1510" s="4" t="s">
        <v>68</v>
      </c>
    </row>
    <row r="1511" customFormat="false" ht="15" hidden="false" customHeight="false" outlineLevel="0" collapsed="false">
      <c r="A1511" s="4" t="s">
        <v>1827</v>
      </c>
      <c r="B1511" s="17" t="n">
        <v>45953</v>
      </c>
      <c r="C1511" s="4" t="n">
        <v>12</v>
      </c>
      <c r="D1511" s="4" t="s">
        <v>73</v>
      </c>
      <c r="E1511" s="4" t="s">
        <v>1828</v>
      </c>
      <c r="F1511" s="4" t="s">
        <v>139</v>
      </c>
      <c r="G1511" s="4" t="n">
        <v>1</v>
      </c>
      <c r="H1511" s="4" t="n">
        <v>260</v>
      </c>
      <c r="I1511" s="18" t="n">
        <v>0</v>
      </c>
      <c r="J1511" s="4" t="s">
        <v>112</v>
      </c>
      <c r="K1511" s="4" t="s">
        <v>68</v>
      </c>
    </row>
    <row r="1512" customFormat="false" ht="15" hidden="false" customHeight="false" outlineLevel="0" collapsed="false">
      <c r="A1512" s="4" t="s">
        <v>1829</v>
      </c>
      <c r="B1512" s="17" t="n">
        <v>45953</v>
      </c>
      <c r="C1512" s="4" t="n">
        <v>12</v>
      </c>
      <c r="D1512" s="4" t="s">
        <v>64</v>
      </c>
      <c r="E1512" s="4" t="s">
        <v>99</v>
      </c>
      <c r="F1512" s="4" t="s">
        <v>102</v>
      </c>
      <c r="G1512" s="4" t="n">
        <v>1</v>
      </c>
      <c r="H1512" s="4" t="n">
        <v>140</v>
      </c>
      <c r="I1512" s="18" t="n">
        <v>0</v>
      </c>
      <c r="J1512" s="4" t="s">
        <v>76</v>
      </c>
      <c r="K1512" s="4" t="s">
        <v>68</v>
      </c>
    </row>
    <row r="1513" customFormat="false" ht="15" hidden="false" customHeight="false" outlineLevel="0" collapsed="false">
      <c r="A1513" s="4" t="s">
        <v>1830</v>
      </c>
      <c r="B1513" s="17" t="n">
        <v>45953</v>
      </c>
      <c r="C1513" s="4" t="n">
        <v>16</v>
      </c>
      <c r="D1513" s="4" t="s">
        <v>70</v>
      </c>
      <c r="E1513" s="4" t="s">
        <v>79</v>
      </c>
      <c r="F1513" s="4" t="s">
        <v>148</v>
      </c>
      <c r="G1513" s="4" t="n">
        <v>1</v>
      </c>
      <c r="H1513" s="4" t="n">
        <v>120</v>
      </c>
      <c r="I1513" s="18" t="n">
        <v>0</v>
      </c>
      <c r="J1513" s="4" t="s">
        <v>76</v>
      </c>
      <c r="K1513" s="4" t="s">
        <v>68</v>
      </c>
    </row>
    <row r="1514" customFormat="false" ht="15" hidden="false" customHeight="false" outlineLevel="0" collapsed="false">
      <c r="A1514" s="4" t="s">
        <v>1831</v>
      </c>
      <c r="B1514" s="17" t="n">
        <v>45954</v>
      </c>
      <c r="C1514" s="4" t="n">
        <v>8</v>
      </c>
      <c r="D1514" s="4" t="s">
        <v>98</v>
      </c>
      <c r="E1514" s="4" t="s">
        <v>99</v>
      </c>
      <c r="F1514" s="4" t="s">
        <v>133</v>
      </c>
      <c r="G1514" s="4" t="n">
        <v>2</v>
      </c>
      <c r="H1514" s="4" t="n">
        <v>90</v>
      </c>
      <c r="I1514" s="18" t="n">
        <v>0.1</v>
      </c>
      <c r="J1514" s="4" t="s">
        <v>67</v>
      </c>
      <c r="K1514" s="4" t="s">
        <v>68</v>
      </c>
    </row>
    <row r="1515" customFormat="false" ht="15" hidden="false" customHeight="false" outlineLevel="0" collapsed="false">
      <c r="A1515" s="4" t="s">
        <v>1832</v>
      </c>
      <c r="B1515" s="17" t="n">
        <v>45954</v>
      </c>
      <c r="C1515" s="4" t="n">
        <v>13</v>
      </c>
      <c r="D1515" s="4" t="s">
        <v>73</v>
      </c>
      <c r="E1515" s="4" t="s">
        <v>74</v>
      </c>
      <c r="F1515" s="4" t="s">
        <v>91</v>
      </c>
      <c r="G1515" s="4" t="n">
        <v>2</v>
      </c>
      <c r="H1515" s="4" t="n">
        <v>200</v>
      </c>
      <c r="I1515" s="18" t="n">
        <v>0</v>
      </c>
      <c r="J1515" s="4" t="s">
        <v>76</v>
      </c>
      <c r="K1515" s="4" t="s">
        <v>77</v>
      </c>
    </row>
    <row r="1516" customFormat="false" ht="15" hidden="false" customHeight="false" outlineLevel="0" collapsed="false">
      <c r="A1516" s="4" t="s">
        <v>1833</v>
      </c>
      <c r="B1516" s="17" t="n">
        <v>45954</v>
      </c>
      <c r="C1516" s="4" t="n">
        <v>13</v>
      </c>
      <c r="D1516" s="4" t="s">
        <v>98</v>
      </c>
      <c r="E1516" s="4" t="s">
        <v>79</v>
      </c>
      <c r="F1516" s="4" t="s">
        <v>80</v>
      </c>
      <c r="G1516" s="4" t="n">
        <v>1</v>
      </c>
      <c r="H1516" s="4" t="n">
        <v>160</v>
      </c>
      <c r="I1516" s="18" t="n">
        <v>0</v>
      </c>
      <c r="J1516" s="4" t="s">
        <v>81</v>
      </c>
      <c r="K1516" s="4" t="s">
        <v>77</v>
      </c>
    </row>
    <row r="1517" customFormat="false" ht="15" hidden="false" customHeight="false" outlineLevel="0" collapsed="false">
      <c r="A1517" s="4" t="s">
        <v>1834</v>
      </c>
      <c r="B1517" s="17" t="n">
        <v>45954</v>
      </c>
      <c r="C1517" s="4" t="n">
        <v>14</v>
      </c>
      <c r="D1517" s="4" t="s">
        <v>70</v>
      </c>
      <c r="E1517" s="4" t="s">
        <v>99</v>
      </c>
      <c r="F1517" s="4" t="s">
        <v>109</v>
      </c>
      <c r="G1517" s="4" t="n">
        <v>3</v>
      </c>
      <c r="H1517" s="4" t="n">
        <v>130</v>
      </c>
      <c r="I1517" s="18" t="n">
        <v>0.1</v>
      </c>
      <c r="J1517" s="4" t="s">
        <v>103</v>
      </c>
      <c r="K1517" s="4" t="s">
        <v>71</v>
      </c>
    </row>
    <row r="1518" customFormat="false" ht="15" hidden="false" customHeight="false" outlineLevel="0" collapsed="false">
      <c r="A1518" s="4" t="s">
        <v>1835</v>
      </c>
      <c r="B1518" s="17" t="n">
        <v>45954</v>
      </c>
      <c r="C1518" s="4" t="n">
        <v>17</v>
      </c>
      <c r="D1518" s="4" t="s">
        <v>64</v>
      </c>
      <c r="E1518" s="4" t="s">
        <v>79</v>
      </c>
      <c r="F1518" s="4" t="s">
        <v>148</v>
      </c>
      <c r="G1518" s="4" t="n">
        <v>3</v>
      </c>
      <c r="H1518" s="4" t="n">
        <v>120</v>
      </c>
      <c r="I1518" s="18" t="n">
        <v>0</v>
      </c>
      <c r="J1518" s="4" t="s">
        <v>76</v>
      </c>
      <c r="K1518" s="4" t="s">
        <v>68</v>
      </c>
    </row>
    <row r="1519" customFormat="false" ht="15" hidden="false" customHeight="false" outlineLevel="0" collapsed="false">
      <c r="A1519" s="4" t="s">
        <v>1836</v>
      </c>
      <c r="B1519" s="17" t="n">
        <v>45954</v>
      </c>
      <c r="C1519" s="4" t="n">
        <v>20</v>
      </c>
      <c r="D1519" s="4" t="s">
        <v>70</v>
      </c>
      <c r="E1519" s="4" t="s">
        <v>65</v>
      </c>
      <c r="F1519" s="4" t="s">
        <v>94</v>
      </c>
      <c r="G1519" s="4" t="n">
        <v>3</v>
      </c>
      <c r="H1519" s="4" t="n">
        <v>150</v>
      </c>
      <c r="J1519" s="4" t="s">
        <v>67</v>
      </c>
      <c r="K1519" s="4" t="s">
        <v>77</v>
      </c>
    </row>
    <row r="1520" customFormat="false" ht="15" hidden="false" customHeight="false" outlineLevel="0" collapsed="false">
      <c r="A1520" s="4" t="s">
        <v>1836</v>
      </c>
      <c r="B1520" s="17" t="n">
        <v>45954</v>
      </c>
      <c r="C1520" s="4" t="n">
        <v>20</v>
      </c>
      <c r="D1520" s="4" t="s">
        <v>70</v>
      </c>
      <c r="E1520" s="4" t="s">
        <v>65</v>
      </c>
      <c r="F1520" s="4" t="s">
        <v>94</v>
      </c>
      <c r="G1520" s="4" t="n">
        <v>3</v>
      </c>
      <c r="H1520" s="4" t="n">
        <v>150</v>
      </c>
      <c r="J1520" s="4" t="s">
        <v>67</v>
      </c>
      <c r="K1520" s="4" t="s">
        <v>77</v>
      </c>
    </row>
    <row r="1521" customFormat="false" ht="15" hidden="false" customHeight="false" outlineLevel="0" collapsed="false">
      <c r="A1521" s="4" t="s">
        <v>1837</v>
      </c>
      <c r="B1521" s="17" t="n">
        <v>45955</v>
      </c>
      <c r="C1521" s="4" t="n">
        <v>9</v>
      </c>
      <c r="D1521" s="4" t="s">
        <v>73</v>
      </c>
      <c r="E1521" s="4" t="s">
        <v>84</v>
      </c>
      <c r="F1521" s="4" t="s">
        <v>85</v>
      </c>
      <c r="G1521" s="4" t="n">
        <v>100</v>
      </c>
      <c r="H1521" s="4" t="n">
        <v>150</v>
      </c>
      <c r="I1521" s="18" t="n">
        <v>0.15</v>
      </c>
      <c r="J1521" s="4" t="s">
        <v>88</v>
      </c>
      <c r="K1521" s="4" t="s">
        <v>71</v>
      </c>
    </row>
    <row r="1522" customFormat="false" ht="15" hidden="false" customHeight="false" outlineLevel="0" collapsed="false">
      <c r="A1522" s="4" t="s">
        <v>1838</v>
      </c>
      <c r="B1522" s="17" t="n">
        <v>45955</v>
      </c>
      <c r="C1522" s="4" t="n">
        <v>15</v>
      </c>
      <c r="D1522" s="4" t="s">
        <v>70</v>
      </c>
      <c r="E1522" s="4" t="s">
        <v>99</v>
      </c>
      <c r="F1522" s="4" t="s">
        <v>102</v>
      </c>
      <c r="G1522" s="4" t="n">
        <v>2</v>
      </c>
      <c r="H1522" s="4" t="n">
        <v>140</v>
      </c>
      <c r="I1522" s="18" t="n">
        <v>0.15</v>
      </c>
      <c r="J1522" s="4" t="s">
        <v>67</v>
      </c>
      <c r="K1522" s="4" t="s">
        <v>71</v>
      </c>
    </row>
    <row r="1523" customFormat="false" ht="15" hidden="false" customHeight="false" outlineLevel="0" collapsed="false">
      <c r="A1523" s="4" t="s">
        <v>1839</v>
      </c>
      <c r="B1523" s="17" t="n">
        <v>45955</v>
      </c>
      <c r="C1523" s="4" t="n">
        <v>15</v>
      </c>
      <c r="D1523" s="4" t="s">
        <v>70</v>
      </c>
      <c r="E1523" s="4" t="s">
        <v>65</v>
      </c>
      <c r="F1523" s="4" t="s">
        <v>121</v>
      </c>
      <c r="G1523" s="4" t="n">
        <v>2</v>
      </c>
      <c r="H1523" s="4" t="n">
        <v>170</v>
      </c>
      <c r="I1523" s="18" t="n">
        <v>0.05</v>
      </c>
      <c r="J1523" s="4" t="s">
        <v>76</v>
      </c>
      <c r="K1523" s="4" t="s">
        <v>82</v>
      </c>
    </row>
    <row r="1524" customFormat="false" ht="15" hidden="false" customHeight="false" outlineLevel="0" collapsed="false">
      <c r="A1524" s="4" t="s">
        <v>1840</v>
      </c>
      <c r="B1524" s="4" t="s">
        <v>1841</v>
      </c>
      <c r="C1524" s="4" t="n">
        <v>16</v>
      </c>
      <c r="D1524" s="4" t="s">
        <v>70</v>
      </c>
      <c r="E1524" s="4" t="s">
        <v>74</v>
      </c>
      <c r="F1524" s="4" t="s">
        <v>91</v>
      </c>
      <c r="G1524" s="4" t="n">
        <v>1</v>
      </c>
      <c r="H1524" s="4" t="n">
        <v>200</v>
      </c>
      <c r="I1524" s="18" t="n">
        <v>0</v>
      </c>
      <c r="J1524" s="4" t="s">
        <v>76</v>
      </c>
      <c r="K1524" s="4" t="s">
        <v>68</v>
      </c>
    </row>
    <row r="1525" customFormat="false" ht="15" hidden="false" customHeight="false" outlineLevel="0" collapsed="false">
      <c r="A1525" s="4" t="s">
        <v>1842</v>
      </c>
      <c r="B1525" s="17" t="n">
        <v>45955</v>
      </c>
      <c r="C1525" s="4" t="n">
        <v>18</v>
      </c>
      <c r="D1525" s="4" t="s">
        <v>70</v>
      </c>
      <c r="E1525" s="4" t="s">
        <v>79</v>
      </c>
      <c r="F1525" s="4" t="s">
        <v>80</v>
      </c>
      <c r="G1525" s="4" t="n">
        <v>1</v>
      </c>
      <c r="H1525" s="4" t="n">
        <v>160</v>
      </c>
      <c r="I1525" s="18" t="n">
        <v>0.1</v>
      </c>
      <c r="J1525" s="4" t="s">
        <v>76</v>
      </c>
      <c r="K1525" s="4" t="s">
        <v>71</v>
      </c>
    </row>
    <row r="1526" customFormat="false" ht="15" hidden="false" customHeight="false" outlineLevel="0" collapsed="false">
      <c r="A1526" s="4" t="s">
        <v>1843</v>
      </c>
      <c r="B1526" s="17" t="n">
        <v>45956</v>
      </c>
      <c r="C1526" s="4" t="n">
        <v>15</v>
      </c>
      <c r="D1526" s="4" t="s">
        <v>70</v>
      </c>
      <c r="E1526" s="4" t="s">
        <v>99</v>
      </c>
      <c r="F1526" s="4" t="s">
        <v>100</v>
      </c>
      <c r="G1526" s="4" t="n">
        <v>2</v>
      </c>
      <c r="H1526" s="4" t="n">
        <v>110</v>
      </c>
      <c r="I1526" s="18" t="n">
        <v>0.05</v>
      </c>
      <c r="J1526" s="4" t="s">
        <v>76</v>
      </c>
      <c r="K1526" s="4" t="s">
        <v>82</v>
      </c>
    </row>
    <row r="1527" customFormat="false" ht="15" hidden="false" customHeight="false" outlineLevel="0" collapsed="false">
      <c r="A1527" s="4" t="s">
        <v>1844</v>
      </c>
      <c r="B1527" s="17" t="n">
        <v>45956</v>
      </c>
      <c r="C1527" s="4" t="n">
        <v>19</v>
      </c>
      <c r="D1527" s="4" t="s">
        <v>98</v>
      </c>
      <c r="E1527" s="4" t="s">
        <v>99</v>
      </c>
      <c r="F1527" s="4" t="s">
        <v>100</v>
      </c>
      <c r="G1527" s="4" t="n">
        <v>1</v>
      </c>
      <c r="H1527" s="4" t="n">
        <v>110</v>
      </c>
      <c r="I1527" s="18" t="n">
        <v>0.1</v>
      </c>
      <c r="J1527" s="4" t="s">
        <v>76</v>
      </c>
      <c r="K1527" s="4" t="s">
        <v>71</v>
      </c>
    </row>
    <row r="1528" customFormat="false" ht="15" hidden="false" customHeight="false" outlineLevel="0" collapsed="false">
      <c r="A1528" s="4" t="s">
        <v>1845</v>
      </c>
      <c r="B1528" s="17" t="n">
        <v>45957</v>
      </c>
      <c r="C1528" s="4" t="n">
        <v>7</v>
      </c>
      <c r="D1528" s="4" t="s">
        <v>64</v>
      </c>
      <c r="E1528" s="4" t="s">
        <v>99</v>
      </c>
      <c r="F1528" s="4" t="s">
        <v>100</v>
      </c>
      <c r="G1528" s="4" t="n">
        <v>2</v>
      </c>
      <c r="H1528" s="4" t="n">
        <v>110</v>
      </c>
      <c r="I1528" s="18" t="n">
        <v>0.1</v>
      </c>
      <c r="J1528" s="4" t="s">
        <v>81</v>
      </c>
      <c r="K1528" s="4" t="s">
        <v>71</v>
      </c>
    </row>
    <row r="1529" customFormat="false" ht="15" hidden="false" customHeight="false" outlineLevel="0" collapsed="false">
      <c r="A1529" s="4" t="s">
        <v>1846</v>
      </c>
      <c r="B1529" s="17" t="n">
        <v>45957</v>
      </c>
      <c r="C1529" s="4" t="n">
        <v>7</v>
      </c>
      <c r="D1529" s="4" t="s">
        <v>70</v>
      </c>
      <c r="E1529" s="4" t="s">
        <v>99</v>
      </c>
      <c r="F1529" s="4" t="s">
        <v>133</v>
      </c>
      <c r="G1529" s="4" t="n">
        <v>1</v>
      </c>
      <c r="H1529" s="4" t="n">
        <v>90</v>
      </c>
      <c r="I1529" s="18" t="n">
        <v>0.05</v>
      </c>
      <c r="J1529" s="4" t="s">
        <v>81</v>
      </c>
      <c r="K1529" s="4" t="s">
        <v>82</v>
      </c>
    </row>
    <row r="1530" customFormat="false" ht="15" hidden="false" customHeight="false" outlineLevel="0" collapsed="false">
      <c r="A1530" s="4" t="s">
        <v>1847</v>
      </c>
      <c r="B1530" s="17" t="n">
        <v>45957</v>
      </c>
      <c r="C1530" s="4" t="n">
        <v>12</v>
      </c>
      <c r="D1530" s="4" t="s">
        <v>70</v>
      </c>
      <c r="E1530" s="4" t="s">
        <v>74</v>
      </c>
      <c r="F1530" s="4" t="s">
        <v>139</v>
      </c>
      <c r="G1530" s="4" t="n">
        <v>1</v>
      </c>
      <c r="H1530" s="4" t="n">
        <v>260</v>
      </c>
      <c r="I1530" s="18" t="n">
        <v>0</v>
      </c>
      <c r="J1530" s="4" t="s">
        <v>112</v>
      </c>
      <c r="K1530" s="4" t="s">
        <v>68</v>
      </c>
    </row>
    <row r="1531" customFormat="false" ht="15" hidden="false" customHeight="false" outlineLevel="0" collapsed="false">
      <c r="A1531" s="4" t="s">
        <v>1848</v>
      </c>
      <c r="B1531" s="17" t="n">
        <v>45957</v>
      </c>
      <c r="C1531" s="4" t="n">
        <v>12</v>
      </c>
      <c r="D1531" s="4" t="s">
        <v>70</v>
      </c>
      <c r="E1531" s="4" t="s">
        <v>79</v>
      </c>
      <c r="F1531" s="4" t="s">
        <v>80</v>
      </c>
      <c r="G1531" s="4" t="n">
        <v>1</v>
      </c>
      <c r="H1531" s="4" t="n">
        <v>160</v>
      </c>
      <c r="I1531" s="18" t="n">
        <v>0</v>
      </c>
      <c r="J1531" s="4" t="s">
        <v>81</v>
      </c>
      <c r="K1531" s="4" t="s">
        <v>68</v>
      </c>
    </row>
    <row r="1532" customFormat="false" ht="15" hidden="false" customHeight="false" outlineLevel="0" collapsed="false">
      <c r="A1532" s="4" t="s">
        <v>1849</v>
      </c>
      <c r="B1532" s="17" t="n">
        <v>45957</v>
      </c>
      <c r="C1532" s="4" t="n">
        <v>12</v>
      </c>
      <c r="D1532" s="4" t="s">
        <v>98</v>
      </c>
      <c r="E1532" s="4" t="s">
        <v>99</v>
      </c>
      <c r="F1532" s="4" t="s">
        <v>109</v>
      </c>
      <c r="G1532" s="4" t="n">
        <v>2</v>
      </c>
      <c r="H1532" s="4" t="n">
        <v>130</v>
      </c>
      <c r="I1532" s="18" t="n">
        <v>0</v>
      </c>
      <c r="J1532" s="4" t="s">
        <v>81</v>
      </c>
      <c r="K1532" s="4" t="s">
        <v>68</v>
      </c>
    </row>
    <row r="1533" customFormat="false" ht="15" hidden="false" customHeight="false" outlineLevel="0" collapsed="false">
      <c r="A1533" s="4" t="s">
        <v>1850</v>
      </c>
      <c r="B1533" s="17" t="n">
        <v>45957</v>
      </c>
      <c r="C1533" s="4" t="n">
        <v>19</v>
      </c>
      <c r="D1533" s="4" t="s">
        <v>153</v>
      </c>
      <c r="E1533" s="4" t="s">
        <v>84</v>
      </c>
      <c r="F1533" s="4" t="s">
        <v>106</v>
      </c>
      <c r="G1533" s="4" t="n">
        <v>1</v>
      </c>
      <c r="H1533" s="4" t="n">
        <v>60</v>
      </c>
      <c r="I1533" s="18" t="n">
        <v>0.1</v>
      </c>
      <c r="J1533" s="4" t="s">
        <v>67</v>
      </c>
      <c r="K1533" s="4" t="s">
        <v>71</v>
      </c>
    </row>
    <row r="1534" customFormat="false" ht="15" hidden="false" customHeight="false" outlineLevel="0" collapsed="false">
      <c r="A1534" s="4" t="s">
        <v>1851</v>
      </c>
      <c r="B1534" s="17" t="n">
        <v>45958</v>
      </c>
      <c r="C1534" s="4" t="n">
        <v>8</v>
      </c>
      <c r="D1534" s="4" t="s">
        <v>98</v>
      </c>
      <c r="E1534" s="4" t="s">
        <v>79</v>
      </c>
      <c r="F1534" s="4" t="s">
        <v>135</v>
      </c>
      <c r="G1534" s="4" t="n">
        <v>2</v>
      </c>
      <c r="H1534" s="4" t="n">
        <v>130</v>
      </c>
      <c r="I1534" s="18" t="n">
        <v>0.1</v>
      </c>
      <c r="J1534" s="4" t="s">
        <v>67</v>
      </c>
      <c r="K1534" s="4" t="s">
        <v>71</v>
      </c>
    </row>
    <row r="1535" customFormat="false" ht="15" hidden="false" customHeight="false" outlineLevel="0" collapsed="false">
      <c r="A1535" s="4" t="s">
        <v>1852</v>
      </c>
      <c r="B1535" s="17" t="n">
        <v>45958</v>
      </c>
      <c r="C1535" s="4" t="n">
        <v>10</v>
      </c>
      <c r="D1535" s="4" t="s">
        <v>70</v>
      </c>
      <c r="E1535" s="4" t="s">
        <v>99</v>
      </c>
      <c r="F1535" s="4" t="s">
        <v>109</v>
      </c>
      <c r="G1535" s="4" t="n">
        <v>2</v>
      </c>
      <c r="H1535" s="4" t="n">
        <v>130</v>
      </c>
      <c r="I1535" s="18" t="n">
        <v>0</v>
      </c>
      <c r="J1535" s="4" t="s">
        <v>67</v>
      </c>
      <c r="K1535" s="4" t="s">
        <v>68</v>
      </c>
    </row>
    <row r="1536" customFormat="false" ht="15" hidden="false" customHeight="false" outlineLevel="0" collapsed="false">
      <c r="A1536" s="4" t="s">
        <v>1853</v>
      </c>
      <c r="B1536" s="17" t="n">
        <v>45958</v>
      </c>
      <c r="C1536" s="4" t="n">
        <v>16</v>
      </c>
      <c r="D1536" s="4" t="s">
        <v>98</v>
      </c>
      <c r="E1536" s="4" t="s">
        <v>79</v>
      </c>
      <c r="F1536" s="4" t="s">
        <v>135</v>
      </c>
      <c r="G1536" s="4" t="n">
        <v>1</v>
      </c>
      <c r="H1536" s="4" t="n">
        <v>130</v>
      </c>
      <c r="I1536" s="18" t="n">
        <v>0.1</v>
      </c>
      <c r="J1536" s="4" t="s">
        <v>76</v>
      </c>
      <c r="K1536" s="4" t="s">
        <v>71</v>
      </c>
    </row>
    <row r="1537" customFormat="false" ht="15" hidden="false" customHeight="false" outlineLevel="0" collapsed="false">
      <c r="A1537" s="4" t="s">
        <v>1854</v>
      </c>
      <c r="B1537" s="4" t="s">
        <v>1855</v>
      </c>
      <c r="C1537" s="4" t="n">
        <v>17</v>
      </c>
      <c r="D1537" s="4" t="s">
        <v>64</v>
      </c>
      <c r="E1537" s="4" t="s">
        <v>84</v>
      </c>
      <c r="F1537" s="4" t="s">
        <v>106</v>
      </c>
      <c r="G1537" s="4" t="n">
        <v>1</v>
      </c>
      <c r="H1537" s="4" t="n">
        <v>60</v>
      </c>
      <c r="I1537" s="18" t="n">
        <v>0.1</v>
      </c>
      <c r="J1537" s="4" t="s">
        <v>88</v>
      </c>
      <c r="K1537" s="4" t="s">
        <v>71</v>
      </c>
    </row>
    <row r="1538" customFormat="false" ht="15" hidden="false" customHeight="false" outlineLevel="0" collapsed="false">
      <c r="A1538" s="4" t="s">
        <v>1856</v>
      </c>
      <c r="B1538" s="17" t="n">
        <v>45959</v>
      </c>
      <c r="C1538" s="4" t="n">
        <v>9</v>
      </c>
      <c r="D1538" s="4" t="s">
        <v>64</v>
      </c>
      <c r="E1538" s="4" t="s">
        <v>65</v>
      </c>
      <c r="F1538" s="4" t="s">
        <v>94</v>
      </c>
      <c r="G1538" s="4" t="n">
        <v>1</v>
      </c>
      <c r="H1538" s="4" t="n">
        <v>150</v>
      </c>
      <c r="I1538" s="18" t="n">
        <v>0.05</v>
      </c>
      <c r="J1538" s="4" t="s">
        <v>81</v>
      </c>
      <c r="K1538" s="4" t="s">
        <v>82</v>
      </c>
    </row>
    <row r="1539" customFormat="false" ht="15" hidden="false" customHeight="false" outlineLevel="0" collapsed="false">
      <c r="A1539" s="4" t="s">
        <v>1857</v>
      </c>
      <c r="B1539" s="17" t="n">
        <v>45959</v>
      </c>
      <c r="C1539" s="4" t="n">
        <v>12</v>
      </c>
      <c r="D1539" s="4" t="s">
        <v>119</v>
      </c>
      <c r="E1539" s="4" t="s">
        <v>65</v>
      </c>
      <c r="F1539" s="4" t="s">
        <v>121</v>
      </c>
      <c r="G1539" s="4" t="n">
        <v>1</v>
      </c>
      <c r="H1539" s="4" t="n">
        <v>170</v>
      </c>
      <c r="I1539" s="18" t="n">
        <v>0.15</v>
      </c>
      <c r="J1539" s="4" t="s">
        <v>76</v>
      </c>
      <c r="K1539" s="4" t="s">
        <v>77</v>
      </c>
    </row>
    <row r="1540" customFormat="false" ht="15" hidden="false" customHeight="false" outlineLevel="0" collapsed="false">
      <c r="A1540" s="4" t="s">
        <v>1858</v>
      </c>
      <c r="B1540" s="17" t="n">
        <v>45959</v>
      </c>
      <c r="C1540" s="4" t="n">
        <v>13</v>
      </c>
      <c r="D1540" s="4" t="s">
        <v>64</v>
      </c>
      <c r="E1540" s="4" t="s">
        <v>79</v>
      </c>
      <c r="F1540" s="4" t="s">
        <v>148</v>
      </c>
      <c r="G1540" s="4" t="n">
        <v>3</v>
      </c>
      <c r="H1540" s="4" t="n">
        <v>120</v>
      </c>
      <c r="I1540" s="18" t="n">
        <v>0.05</v>
      </c>
      <c r="J1540" s="4" t="s">
        <v>76</v>
      </c>
      <c r="K1540" s="4" t="s">
        <v>82</v>
      </c>
    </row>
    <row r="1541" customFormat="false" ht="15" hidden="false" customHeight="false" outlineLevel="0" collapsed="false">
      <c r="A1541" s="4" t="s">
        <v>1859</v>
      </c>
      <c r="B1541" s="17" t="n">
        <v>45959</v>
      </c>
      <c r="C1541" s="4" t="n">
        <v>17</v>
      </c>
      <c r="D1541" s="4" t="s">
        <v>70</v>
      </c>
      <c r="E1541" s="4" t="s">
        <v>99</v>
      </c>
      <c r="F1541" s="4" t="s">
        <v>100</v>
      </c>
      <c r="G1541" s="4" t="n">
        <v>3</v>
      </c>
      <c r="H1541" s="4" t="n">
        <v>110</v>
      </c>
      <c r="I1541" s="18" t="n">
        <v>0.05</v>
      </c>
      <c r="J1541" s="4" t="s">
        <v>81</v>
      </c>
      <c r="K1541" s="4" t="s">
        <v>82</v>
      </c>
    </row>
    <row r="1542" customFormat="false" ht="15" hidden="false" customHeight="false" outlineLevel="0" collapsed="false">
      <c r="A1542" s="4" t="s">
        <v>1860</v>
      </c>
      <c r="B1542" s="17" t="n">
        <v>45960</v>
      </c>
      <c r="C1542" s="4" t="n">
        <v>9</v>
      </c>
      <c r="D1542" s="4" t="s">
        <v>64</v>
      </c>
      <c r="E1542" s="4" t="s">
        <v>99</v>
      </c>
      <c r="F1542" s="4" t="s">
        <v>1814</v>
      </c>
      <c r="G1542" s="4" t="n">
        <v>2</v>
      </c>
      <c r="H1542" s="4" t="n">
        <v>90</v>
      </c>
      <c r="I1542" s="18" t="n">
        <v>0.1</v>
      </c>
      <c r="J1542" s="4" t="s">
        <v>67</v>
      </c>
      <c r="K1542" s="4" t="s">
        <v>71</v>
      </c>
    </row>
    <row r="1543" customFormat="false" ht="15" hidden="false" customHeight="false" outlineLevel="0" collapsed="false">
      <c r="A1543" s="4" t="s">
        <v>1861</v>
      </c>
      <c r="B1543" s="17" t="n">
        <v>45960</v>
      </c>
      <c r="C1543" s="4" t="n">
        <v>15</v>
      </c>
      <c r="D1543" s="4" t="s">
        <v>64</v>
      </c>
      <c r="E1543" s="4" t="s">
        <v>403</v>
      </c>
      <c r="F1543" s="4" t="s">
        <v>109</v>
      </c>
      <c r="G1543" s="4" t="n">
        <v>3</v>
      </c>
      <c r="H1543" s="4" t="n">
        <v>130</v>
      </c>
      <c r="I1543" s="18" t="n">
        <v>0</v>
      </c>
      <c r="J1543" s="4" t="s">
        <v>112</v>
      </c>
      <c r="K1543" s="4" t="s">
        <v>68</v>
      </c>
    </row>
    <row r="1544" customFormat="false" ht="15" hidden="false" customHeight="false" outlineLevel="0" collapsed="false">
      <c r="A1544" s="4" t="s">
        <v>1862</v>
      </c>
      <c r="B1544" s="17" t="n">
        <v>45961</v>
      </c>
      <c r="C1544" s="4" t="n">
        <v>7</v>
      </c>
      <c r="D1544" s="4" t="s">
        <v>73</v>
      </c>
      <c r="E1544" s="4" t="s">
        <v>65</v>
      </c>
      <c r="F1544" s="4" t="s">
        <v>121</v>
      </c>
      <c r="G1544" s="4" t="n">
        <v>1</v>
      </c>
      <c r="H1544" s="4" t="n">
        <v>170</v>
      </c>
      <c r="I1544" s="18" t="n">
        <v>0</v>
      </c>
      <c r="J1544" s="4" t="s">
        <v>81</v>
      </c>
      <c r="K1544" s="4" t="s">
        <v>77</v>
      </c>
    </row>
    <row r="1545" customFormat="false" ht="15" hidden="false" customHeight="false" outlineLevel="0" collapsed="false">
      <c r="A1545" s="4" t="s">
        <v>1863</v>
      </c>
      <c r="B1545" s="17" t="n">
        <v>45961</v>
      </c>
      <c r="C1545" s="4" t="n">
        <v>9</v>
      </c>
      <c r="D1545" s="4" t="s">
        <v>70</v>
      </c>
      <c r="E1545" s="4" t="s">
        <v>65</v>
      </c>
      <c r="F1545" s="4" t="s">
        <v>94</v>
      </c>
      <c r="G1545" s="4" t="n">
        <v>2</v>
      </c>
      <c r="H1545" s="4" t="n">
        <v>150</v>
      </c>
      <c r="I1545" s="18" t="n">
        <v>0.05</v>
      </c>
      <c r="J1545" s="4" t="s">
        <v>103</v>
      </c>
      <c r="K1545" s="4" t="s">
        <v>82</v>
      </c>
    </row>
    <row r="1546" customFormat="false" ht="15" hidden="false" customHeight="false" outlineLevel="0" collapsed="false">
      <c r="A1546" s="4" t="s">
        <v>1864</v>
      </c>
      <c r="B1546" s="17" t="n">
        <v>45961</v>
      </c>
      <c r="C1546" s="4" t="n">
        <v>10</v>
      </c>
      <c r="D1546" s="4" t="s">
        <v>70</v>
      </c>
      <c r="E1546" s="4" t="s">
        <v>84</v>
      </c>
      <c r="F1546" s="4" t="s">
        <v>114</v>
      </c>
      <c r="G1546" s="4" t="n">
        <v>1</v>
      </c>
      <c r="H1546" s="4" t="n">
        <v>85</v>
      </c>
      <c r="I1546" s="18" t="n">
        <v>0</v>
      </c>
      <c r="J1546" s="4" t="s">
        <v>76</v>
      </c>
      <c r="K1546" s="4" t="s">
        <v>68</v>
      </c>
    </row>
    <row r="1547" customFormat="false" ht="15" hidden="false" customHeight="false" outlineLevel="0" collapsed="false">
      <c r="A1547" s="4" t="s">
        <v>1865</v>
      </c>
      <c r="B1547" s="17" t="n">
        <v>45961</v>
      </c>
      <c r="C1547" s="4" t="n">
        <v>14</v>
      </c>
      <c r="D1547" s="4" t="s">
        <v>90</v>
      </c>
      <c r="E1547" s="4" t="s">
        <v>65</v>
      </c>
      <c r="F1547" s="4" t="s">
        <v>94</v>
      </c>
      <c r="G1547" s="4" t="n">
        <v>2</v>
      </c>
      <c r="H1547" s="4" t="n">
        <v>150</v>
      </c>
      <c r="I1547" s="18" t="n">
        <v>0</v>
      </c>
      <c r="J1547" s="4" t="s">
        <v>67</v>
      </c>
      <c r="K1547" s="4" t="s">
        <v>68</v>
      </c>
    </row>
    <row r="1548" customFormat="false" ht="15" hidden="false" customHeight="false" outlineLevel="0" collapsed="false">
      <c r="A1548" s="4" t="s">
        <v>1866</v>
      </c>
      <c r="B1548" s="17" t="n">
        <v>45961</v>
      </c>
      <c r="C1548" s="4" t="n">
        <v>15</v>
      </c>
      <c r="D1548" s="4" t="s">
        <v>70</v>
      </c>
      <c r="E1548" s="4" t="s">
        <v>411</v>
      </c>
      <c r="F1548" s="4" t="s">
        <v>75</v>
      </c>
      <c r="G1548" s="4" t="n">
        <v>1</v>
      </c>
      <c r="H1548" s="4" t="n">
        <v>220</v>
      </c>
      <c r="I1548" s="18" t="n">
        <v>0</v>
      </c>
      <c r="J1548" s="4" t="s">
        <v>88</v>
      </c>
      <c r="K1548" s="4" t="s">
        <v>68</v>
      </c>
    </row>
    <row r="1549" customFormat="false" ht="15" hidden="false" customHeight="false" outlineLevel="0" collapsed="false">
      <c r="A1549" s="4" t="s">
        <v>1867</v>
      </c>
      <c r="B1549" s="17" t="n">
        <v>45961</v>
      </c>
      <c r="C1549" s="4" t="n">
        <v>17</v>
      </c>
      <c r="D1549" s="4" t="s">
        <v>70</v>
      </c>
      <c r="E1549" s="4" t="s">
        <v>84</v>
      </c>
      <c r="F1549" s="4" t="s">
        <v>117</v>
      </c>
      <c r="G1549" s="4" t="n">
        <v>1</v>
      </c>
      <c r="H1549" s="4" t="n">
        <v>95</v>
      </c>
      <c r="I1549" s="18" t="n">
        <v>0</v>
      </c>
      <c r="J1549" s="4" t="s">
        <v>273</v>
      </c>
      <c r="K1549" s="4" t="s">
        <v>68</v>
      </c>
    </row>
    <row r="1550" customFormat="false" ht="15" hidden="false" customHeight="false" outlineLevel="0" collapsed="false">
      <c r="A1550" s="4" t="s">
        <v>1868</v>
      </c>
      <c r="B1550" s="17" t="n">
        <v>45962</v>
      </c>
      <c r="C1550" s="4" t="n">
        <v>8</v>
      </c>
      <c r="D1550" s="4" t="s">
        <v>70</v>
      </c>
      <c r="E1550" s="4" t="s">
        <v>84</v>
      </c>
      <c r="F1550" s="4" t="s">
        <v>114</v>
      </c>
      <c r="G1550" s="4" t="n">
        <v>2</v>
      </c>
      <c r="H1550" s="4" t="n">
        <v>85</v>
      </c>
      <c r="I1550" s="18" t="n">
        <v>0.05</v>
      </c>
      <c r="J1550" s="4" t="s">
        <v>81</v>
      </c>
      <c r="K1550" s="4" t="s">
        <v>82</v>
      </c>
    </row>
    <row r="1551" customFormat="false" ht="15" hidden="false" customHeight="false" outlineLevel="0" collapsed="false">
      <c r="A1551" s="4" t="s">
        <v>1869</v>
      </c>
      <c r="B1551" s="17" t="n">
        <v>45962</v>
      </c>
      <c r="C1551" s="4" t="n">
        <v>9</v>
      </c>
      <c r="D1551" s="4" t="s">
        <v>70</v>
      </c>
      <c r="E1551" s="4" t="s">
        <v>65</v>
      </c>
      <c r="F1551" s="4" t="s">
        <v>87</v>
      </c>
      <c r="G1551" s="4" t="n">
        <v>1</v>
      </c>
      <c r="H1551" s="4" t="n">
        <v>160</v>
      </c>
      <c r="I1551" s="18" t="n">
        <v>0.1</v>
      </c>
      <c r="J1551" s="4" t="s">
        <v>112</v>
      </c>
      <c r="K1551" s="4" t="s">
        <v>68</v>
      </c>
    </row>
    <row r="1552" customFormat="false" ht="15" hidden="false" customHeight="false" outlineLevel="0" collapsed="false">
      <c r="A1552" s="4" t="s">
        <v>1870</v>
      </c>
      <c r="B1552" s="17" t="n">
        <v>45962</v>
      </c>
      <c r="C1552" s="4" t="n">
        <v>9</v>
      </c>
      <c r="D1552" s="4" t="s">
        <v>70</v>
      </c>
      <c r="E1552" s="4" t="s">
        <v>99</v>
      </c>
      <c r="F1552" s="4" t="s">
        <v>109</v>
      </c>
      <c r="G1552" s="4" t="n">
        <v>1</v>
      </c>
      <c r="H1552" s="4" t="n">
        <v>130</v>
      </c>
      <c r="I1552" s="18" t="n">
        <v>0.05</v>
      </c>
      <c r="J1552" s="4" t="s">
        <v>81</v>
      </c>
      <c r="K1552" s="4" t="s">
        <v>82</v>
      </c>
    </row>
    <row r="1553" customFormat="false" ht="15" hidden="false" customHeight="false" outlineLevel="0" collapsed="false">
      <c r="A1553" s="4" t="s">
        <v>1871</v>
      </c>
      <c r="B1553" s="17" t="n">
        <v>45962</v>
      </c>
      <c r="C1553" s="4" t="n">
        <v>15</v>
      </c>
      <c r="D1553" s="4" t="s">
        <v>70</v>
      </c>
      <c r="E1553" s="4" t="s">
        <v>84</v>
      </c>
      <c r="F1553" s="4" t="s">
        <v>114</v>
      </c>
      <c r="G1553" s="4" t="n">
        <v>2</v>
      </c>
      <c r="H1553" s="4" t="n">
        <v>85</v>
      </c>
      <c r="I1553" s="18" t="n">
        <v>0.1</v>
      </c>
      <c r="J1553" s="4" t="s">
        <v>76</v>
      </c>
      <c r="K1553" s="4" t="s">
        <v>71</v>
      </c>
    </row>
    <row r="1554" customFormat="false" ht="15" hidden="false" customHeight="false" outlineLevel="0" collapsed="false">
      <c r="A1554" s="4" t="s">
        <v>1872</v>
      </c>
      <c r="B1554" s="17" t="n">
        <v>45962</v>
      </c>
      <c r="C1554" s="4" t="n">
        <v>18</v>
      </c>
      <c r="D1554" s="4" t="s">
        <v>98</v>
      </c>
      <c r="E1554" s="4" t="s">
        <v>99</v>
      </c>
      <c r="F1554" s="4" t="s">
        <v>133</v>
      </c>
      <c r="G1554" s="4" t="n">
        <v>1</v>
      </c>
      <c r="H1554" s="4" t="n">
        <v>90</v>
      </c>
      <c r="I1554" s="18" t="n">
        <v>0.1</v>
      </c>
      <c r="J1554" s="4" t="s">
        <v>81</v>
      </c>
      <c r="K1554" s="4" t="s">
        <v>71</v>
      </c>
    </row>
    <row r="1555" customFormat="false" ht="15" hidden="false" customHeight="false" outlineLevel="0" collapsed="false">
      <c r="A1555" s="4" t="s">
        <v>1872</v>
      </c>
      <c r="B1555" s="17" t="n">
        <v>45962</v>
      </c>
      <c r="C1555" s="4" t="n">
        <v>18</v>
      </c>
      <c r="D1555" s="4" t="s">
        <v>98</v>
      </c>
      <c r="E1555" s="4" t="s">
        <v>99</v>
      </c>
      <c r="F1555" s="4" t="s">
        <v>133</v>
      </c>
      <c r="G1555" s="4" t="n">
        <v>1</v>
      </c>
      <c r="H1555" s="4" t="n">
        <v>90</v>
      </c>
      <c r="I1555" s="18" t="n">
        <v>0.1</v>
      </c>
      <c r="J1555" s="4" t="s">
        <v>81</v>
      </c>
      <c r="K1555" s="4" t="s">
        <v>71</v>
      </c>
    </row>
    <row r="1556" customFormat="false" ht="15" hidden="false" customHeight="false" outlineLevel="0" collapsed="false">
      <c r="A1556" s="4" t="s">
        <v>1873</v>
      </c>
      <c r="B1556" s="4" t="s">
        <v>1874</v>
      </c>
      <c r="C1556" s="4" t="n">
        <v>20</v>
      </c>
      <c r="D1556" s="4" t="s">
        <v>70</v>
      </c>
      <c r="E1556" s="4" t="s">
        <v>84</v>
      </c>
      <c r="F1556" s="4" t="s">
        <v>117</v>
      </c>
      <c r="G1556" s="4" t="n">
        <v>50</v>
      </c>
      <c r="H1556" s="4" t="n">
        <v>95</v>
      </c>
      <c r="I1556" s="18" t="n">
        <v>0</v>
      </c>
      <c r="J1556" s="4" t="s">
        <v>81</v>
      </c>
      <c r="K1556" s="4" t="s">
        <v>77</v>
      </c>
    </row>
    <row r="1557" customFormat="false" ht="15" hidden="false" customHeight="false" outlineLevel="0" collapsed="false">
      <c r="A1557" s="4" t="s">
        <v>1875</v>
      </c>
      <c r="B1557" s="17" t="n">
        <v>45963</v>
      </c>
      <c r="C1557" s="4" t="n">
        <v>7</v>
      </c>
      <c r="D1557" s="4" t="s">
        <v>70</v>
      </c>
      <c r="E1557" s="4" t="s">
        <v>65</v>
      </c>
      <c r="F1557" s="4" t="s">
        <v>121</v>
      </c>
      <c r="G1557" s="4" t="n">
        <v>1</v>
      </c>
      <c r="H1557" s="4" t="n">
        <v>170</v>
      </c>
      <c r="I1557" s="18" t="n">
        <v>0.05</v>
      </c>
      <c r="J1557" s="4" t="s">
        <v>88</v>
      </c>
      <c r="K1557" s="4" t="s">
        <v>82</v>
      </c>
    </row>
    <row r="1558" customFormat="false" ht="15" hidden="false" customHeight="false" outlineLevel="0" collapsed="false">
      <c r="A1558" s="4" t="s">
        <v>1876</v>
      </c>
      <c r="B1558" s="4" t="s">
        <v>1877</v>
      </c>
      <c r="C1558" s="4" t="n">
        <v>8</v>
      </c>
      <c r="D1558" s="4" t="s">
        <v>98</v>
      </c>
      <c r="E1558" s="4" t="s">
        <v>65</v>
      </c>
      <c r="F1558" s="4" t="s">
        <v>87</v>
      </c>
      <c r="G1558" s="4" t="n">
        <v>4</v>
      </c>
      <c r="H1558" s="4" t="n">
        <v>160</v>
      </c>
      <c r="I1558" s="18" t="n">
        <v>0.1</v>
      </c>
      <c r="J1558" s="4" t="s">
        <v>76</v>
      </c>
      <c r="K1558" s="4" t="s">
        <v>71</v>
      </c>
    </row>
    <row r="1559" customFormat="false" ht="15" hidden="false" customHeight="false" outlineLevel="0" collapsed="false">
      <c r="A1559" s="4" t="s">
        <v>1878</v>
      </c>
      <c r="B1559" s="17" t="n">
        <v>45963</v>
      </c>
      <c r="C1559" s="4" t="n">
        <v>12</v>
      </c>
      <c r="D1559" s="4" t="s">
        <v>73</v>
      </c>
      <c r="E1559" s="4" t="s">
        <v>74</v>
      </c>
      <c r="F1559" s="4" t="s">
        <v>75</v>
      </c>
      <c r="G1559" s="4" t="n">
        <v>3</v>
      </c>
      <c r="H1559" s="4" t="n">
        <v>220</v>
      </c>
      <c r="I1559" s="18" t="n">
        <v>0</v>
      </c>
      <c r="J1559" s="4" t="s">
        <v>67</v>
      </c>
      <c r="K1559" s="4" t="s">
        <v>68</v>
      </c>
    </row>
    <row r="1560" customFormat="false" ht="15" hidden="false" customHeight="false" outlineLevel="0" collapsed="false">
      <c r="A1560" s="4" t="s">
        <v>1879</v>
      </c>
      <c r="B1560" s="17" t="n">
        <v>45963</v>
      </c>
      <c r="C1560" s="4" t="n">
        <v>12</v>
      </c>
      <c r="D1560" s="4" t="s">
        <v>73</v>
      </c>
      <c r="E1560" s="4" t="s">
        <v>79</v>
      </c>
      <c r="F1560" s="4" t="s">
        <v>80</v>
      </c>
      <c r="G1560" s="4" t="n">
        <v>2</v>
      </c>
      <c r="H1560" s="4" t="n">
        <v>160</v>
      </c>
      <c r="I1560" s="18" t="n">
        <v>0.05</v>
      </c>
      <c r="J1560" s="4" t="s">
        <v>81</v>
      </c>
      <c r="K1560" s="4" t="s">
        <v>82</v>
      </c>
    </row>
    <row r="1561" customFormat="false" ht="15" hidden="false" customHeight="false" outlineLevel="0" collapsed="false">
      <c r="A1561" s="4" t="s">
        <v>1880</v>
      </c>
      <c r="B1561" s="17" t="n">
        <v>45963</v>
      </c>
      <c r="C1561" s="4" t="n">
        <v>15</v>
      </c>
      <c r="D1561" s="4" t="s">
        <v>70</v>
      </c>
      <c r="E1561" s="4" t="s">
        <v>65</v>
      </c>
      <c r="F1561" s="4" t="s">
        <v>94</v>
      </c>
      <c r="G1561" s="4" t="n">
        <v>1</v>
      </c>
      <c r="H1561" s="4" t="n">
        <v>150</v>
      </c>
      <c r="I1561" s="18" t="n">
        <v>0.05</v>
      </c>
      <c r="J1561" s="4" t="s">
        <v>112</v>
      </c>
      <c r="K1561" s="4" t="s">
        <v>82</v>
      </c>
    </row>
    <row r="1562" customFormat="false" ht="15" hidden="false" customHeight="false" outlineLevel="0" collapsed="false">
      <c r="A1562" s="4" t="s">
        <v>1881</v>
      </c>
      <c r="B1562" s="4" t="s">
        <v>1882</v>
      </c>
      <c r="C1562" s="4" t="n">
        <v>17</v>
      </c>
      <c r="D1562" s="4" t="s">
        <v>64</v>
      </c>
      <c r="E1562" s="4" t="s">
        <v>79</v>
      </c>
      <c r="F1562" s="4" t="s">
        <v>80</v>
      </c>
      <c r="G1562" s="4" t="n">
        <v>1</v>
      </c>
      <c r="H1562" s="4" t="n">
        <v>160</v>
      </c>
      <c r="I1562" s="18" t="n">
        <v>0.05</v>
      </c>
      <c r="J1562" s="4" t="s">
        <v>81</v>
      </c>
      <c r="K1562" s="4" t="s">
        <v>82</v>
      </c>
    </row>
    <row r="1563" customFormat="false" ht="15" hidden="false" customHeight="false" outlineLevel="0" collapsed="false">
      <c r="A1563" s="4" t="s">
        <v>1883</v>
      </c>
      <c r="B1563" s="17" t="n">
        <v>45963</v>
      </c>
      <c r="C1563" s="4" t="n">
        <v>17</v>
      </c>
      <c r="D1563" s="4" t="s">
        <v>98</v>
      </c>
      <c r="E1563" s="4" t="s">
        <v>74</v>
      </c>
      <c r="F1563" s="4" t="s">
        <v>91</v>
      </c>
      <c r="G1563" s="4" t="n">
        <v>1</v>
      </c>
      <c r="H1563" s="4" t="n">
        <v>200</v>
      </c>
      <c r="I1563" s="18" t="n">
        <v>0</v>
      </c>
      <c r="J1563" s="4" t="s">
        <v>67</v>
      </c>
      <c r="K1563" s="4" t="s">
        <v>77</v>
      </c>
    </row>
    <row r="1564" customFormat="false" ht="15" hidden="false" customHeight="false" outlineLevel="0" collapsed="false">
      <c r="A1564" s="4" t="s">
        <v>1884</v>
      </c>
      <c r="B1564" s="17" t="n">
        <v>45963</v>
      </c>
      <c r="C1564" s="4" t="n">
        <v>19</v>
      </c>
      <c r="D1564" s="4" t="s">
        <v>70</v>
      </c>
      <c r="E1564" s="4" t="s">
        <v>65</v>
      </c>
      <c r="F1564" s="4" t="s">
        <v>121</v>
      </c>
      <c r="G1564" s="4" t="n">
        <v>1</v>
      </c>
      <c r="H1564" s="4" t="n">
        <v>170</v>
      </c>
      <c r="I1564" s="18" t="n">
        <v>0.05</v>
      </c>
      <c r="J1564" s="4" t="s">
        <v>67</v>
      </c>
      <c r="K1564" s="4" t="s">
        <v>82</v>
      </c>
    </row>
    <row r="1565" customFormat="false" ht="15" hidden="false" customHeight="false" outlineLevel="0" collapsed="false">
      <c r="A1565" s="4" t="s">
        <v>1885</v>
      </c>
      <c r="B1565" s="4" t="s">
        <v>1886</v>
      </c>
      <c r="C1565" s="4" t="n">
        <v>9</v>
      </c>
      <c r="D1565" s="4" t="s">
        <v>70</v>
      </c>
      <c r="E1565" s="4" t="s">
        <v>65</v>
      </c>
      <c r="F1565" s="4" t="s">
        <v>121</v>
      </c>
      <c r="G1565" s="4" t="n">
        <v>1</v>
      </c>
      <c r="H1565" s="4" t="n">
        <v>170</v>
      </c>
      <c r="I1565" s="18" t="n">
        <v>0</v>
      </c>
      <c r="J1565" s="4" t="s">
        <v>81</v>
      </c>
      <c r="K1565" s="4" t="s">
        <v>77</v>
      </c>
    </row>
    <row r="1566" customFormat="false" ht="15" hidden="false" customHeight="false" outlineLevel="0" collapsed="false">
      <c r="A1566" s="4" t="s">
        <v>1887</v>
      </c>
      <c r="B1566" s="17" t="n">
        <v>45964</v>
      </c>
      <c r="C1566" s="4" t="n">
        <v>12</v>
      </c>
      <c r="D1566" s="4" t="s">
        <v>98</v>
      </c>
      <c r="E1566" s="4" t="s">
        <v>79</v>
      </c>
      <c r="F1566" s="4" t="s">
        <v>148</v>
      </c>
      <c r="G1566" s="4" t="n">
        <v>1</v>
      </c>
      <c r="H1566" s="4" t="n">
        <v>120</v>
      </c>
      <c r="I1566" s="18" t="n">
        <v>0.05</v>
      </c>
      <c r="K1566" s="4" t="s">
        <v>82</v>
      </c>
    </row>
    <row r="1567" customFormat="false" ht="15" hidden="false" customHeight="false" outlineLevel="0" collapsed="false">
      <c r="A1567" s="4" t="s">
        <v>1888</v>
      </c>
      <c r="B1567" s="17" t="n">
        <v>45965</v>
      </c>
      <c r="C1567" s="4" t="n">
        <v>8</v>
      </c>
      <c r="D1567" s="4" t="s">
        <v>73</v>
      </c>
      <c r="E1567" s="4" t="s">
        <v>74</v>
      </c>
      <c r="F1567" s="4" t="s">
        <v>75</v>
      </c>
      <c r="G1567" s="4" t="n">
        <v>4</v>
      </c>
      <c r="H1567" s="4" t="n">
        <v>220</v>
      </c>
      <c r="I1567" s="18" t="n">
        <v>0.1</v>
      </c>
      <c r="J1567" s="4" t="s">
        <v>67</v>
      </c>
      <c r="K1567" s="4" t="s">
        <v>68</v>
      </c>
    </row>
    <row r="1568" customFormat="false" ht="15" hidden="false" customHeight="false" outlineLevel="0" collapsed="false">
      <c r="A1568" s="4" t="s">
        <v>1889</v>
      </c>
      <c r="B1568" s="17" t="n">
        <v>45965</v>
      </c>
      <c r="C1568" s="4" t="n">
        <v>9</v>
      </c>
      <c r="D1568" s="4" t="s">
        <v>64</v>
      </c>
      <c r="E1568" s="4" t="s">
        <v>65</v>
      </c>
      <c r="F1568" s="4" t="s">
        <v>66</v>
      </c>
      <c r="G1568" s="4" t="n">
        <v>2</v>
      </c>
      <c r="H1568" s="4" t="n">
        <v>120</v>
      </c>
      <c r="I1568" s="18" t="n">
        <v>0.2</v>
      </c>
      <c r="J1568" s="4" t="s">
        <v>81</v>
      </c>
      <c r="K1568" s="4" t="s">
        <v>68</v>
      </c>
    </row>
    <row r="1569" customFormat="false" ht="15" hidden="false" customHeight="false" outlineLevel="0" collapsed="false">
      <c r="A1569" s="4" t="s">
        <v>1890</v>
      </c>
      <c r="B1569" s="17" t="n">
        <v>45965</v>
      </c>
      <c r="C1569" s="4" t="n">
        <v>10</v>
      </c>
      <c r="D1569" s="4" t="s">
        <v>70</v>
      </c>
      <c r="E1569" s="4" t="s">
        <v>65</v>
      </c>
      <c r="F1569" s="4" t="s">
        <v>121</v>
      </c>
      <c r="G1569" s="4" t="n">
        <v>4</v>
      </c>
      <c r="H1569" s="4" t="n">
        <v>170</v>
      </c>
      <c r="I1569" s="18" t="n">
        <v>0.2</v>
      </c>
      <c r="J1569" s="4" t="s">
        <v>665</v>
      </c>
      <c r="K1569" s="4" t="s">
        <v>68</v>
      </c>
    </row>
    <row r="1570" customFormat="false" ht="15" hidden="false" customHeight="false" outlineLevel="0" collapsed="false">
      <c r="A1570" s="4" t="s">
        <v>1891</v>
      </c>
      <c r="B1570" s="17" t="n">
        <v>45965</v>
      </c>
      <c r="C1570" s="4" t="n">
        <v>13</v>
      </c>
      <c r="D1570" s="4" t="s">
        <v>70</v>
      </c>
      <c r="E1570" s="4" t="s">
        <v>84</v>
      </c>
      <c r="F1570" s="4" t="s">
        <v>106</v>
      </c>
      <c r="G1570" s="4" t="n">
        <v>2</v>
      </c>
      <c r="H1570" s="4" t="n">
        <v>60</v>
      </c>
      <c r="I1570" s="18" t="n">
        <v>0</v>
      </c>
      <c r="J1570" s="4" t="s">
        <v>112</v>
      </c>
      <c r="K1570" s="4" t="s">
        <v>77</v>
      </c>
    </row>
    <row r="1571" customFormat="false" ht="15" hidden="false" customHeight="false" outlineLevel="0" collapsed="false">
      <c r="A1571" s="4" t="s">
        <v>1892</v>
      </c>
      <c r="B1571" s="17" t="n">
        <v>45965</v>
      </c>
      <c r="C1571" s="4" t="n">
        <v>13</v>
      </c>
      <c r="D1571" s="4" t="s">
        <v>98</v>
      </c>
      <c r="E1571" s="4" t="s">
        <v>65</v>
      </c>
      <c r="F1571" s="4" t="s">
        <v>87</v>
      </c>
      <c r="G1571" s="4" t="n">
        <v>3</v>
      </c>
      <c r="H1571" s="4" t="n">
        <v>160</v>
      </c>
      <c r="I1571" s="18" t="n">
        <v>0.05</v>
      </c>
      <c r="J1571" s="4" t="s">
        <v>123</v>
      </c>
      <c r="K1571" s="4" t="s">
        <v>82</v>
      </c>
    </row>
    <row r="1572" customFormat="false" ht="15" hidden="false" customHeight="false" outlineLevel="0" collapsed="false">
      <c r="A1572" s="4" t="s">
        <v>1893</v>
      </c>
      <c r="B1572" s="17" t="n">
        <v>45965</v>
      </c>
      <c r="C1572" s="4" t="n">
        <v>16</v>
      </c>
      <c r="D1572" s="4" t="s">
        <v>98</v>
      </c>
      <c r="E1572" s="4" t="s">
        <v>65</v>
      </c>
      <c r="F1572" s="4" t="s">
        <v>66</v>
      </c>
      <c r="G1572" s="4" t="n">
        <v>2</v>
      </c>
      <c r="H1572" s="4" t="n">
        <v>120</v>
      </c>
      <c r="I1572" s="18" t="n">
        <v>0</v>
      </c>
      <c r="J1572" s="4" t="s">
        <v>81</v>
      </c>
      <c r="K1572" s="4" t="s">
        <v>68</v>
      </c>
    </row>
    <row r="1573" customFormat="false" ht="15" hidden="false" customHeight="false" outlineLevel="0" collapsed="false">
      <c r="A1573" s="4" t="s">
        <v>1894</v>
      </c>
      <c r="B1573" s="17" t="n">
        <v>45965</v>
      </c>
      <c r="C1573" s="4" t="n">
        <v>17</v>
      </c>
      <c r="D1573" s="4" t="s">
        <v>64</v>
      </c>
      <c r="E1573" s="4" t="s">
        <v>99</v>
      </c>
      <c r="F1573" s="4" t="s">
        <v>109</v>
      </c>
      <c r="G1573" s="4" t="n">
        <v>1</v>
      </c>
      <c r="H1573" s="4" t="n">
        <v>130</v>
      </c>
      <c r="I1573" s="18" t="n">
        <v>0.05</v>
      </c>
      <c r="J1573" s="4" t="s">
        <v>67</v>
      </c>
      <c r="K1573" s="4" t="s">
        <v>82</v>
      </c>
    </row>
    <row r="1574" customFormat="false" ht="15" hidden="false" customHeight="false" outlineLevel="0" collapsed="false">
      <c r="A1574" s="4" t="s">
        <v>1895</v>
      </c>
      <c r="B1574" s="17" t="n">
        <v>45966</v>
      </c>
      <c r="C1574" s="4" t="n">
        <v>8</v>
      </c>
      <c r="D1574" s="4" t="s">
        <v>98</v>
      </c>
      <c r="E1574" s="4" t="s">
        <v>99</v>
      </c>
      <c r="F1574" s="4" t="s">
        <v>102</v>
      </c>
      <c r="G1574" s="4" t="n">
        <v>2</v>
      </c>
      <c r="H1574" s="4" t="n">
        <v>140</v>
      </c>
      <c r="I1574" s="18" t="n">
        <v>0.1</v>
      </c>
      <c r="J1574" s="4" t="s">
        <v>112</v>
      </c>
      <c r="K1574" s="4" t="s">
        <v>71</v>
      </c>
    </row>
    <row r="1575" customFormat="false" ht="15" hidden="false" customHeight="false" outlineLevel="0" collapsed="false">
      <c r="A1575" s="4" t="s">
        <v>1896</v>
      </c>
      <c r="B1575" s="4" t="s">
        <v>1897</v>
      </c>
      <c r="C1575" s="4" t="n">
        <v>9</v>
      </c>
      <c r="D1575" s="4" t="s">
        <v>70</v>
      </c>
      <c r="E1575" s="4" t="s">
        <v>84</v>
      </c>
      <c r="F1575" s="4" t="s">
        <v>106</v>
      </c>
      <c r="G1575" s="4" t="n">
        <v>2</v>
      </c>
      <c r="H1575" s="4" t="n">
        <v>60</v>
      </c>
      <c r="I1575" s="18" t="n">
        <v>0.1</v>
      </c>
      <c r="J1575" s="4" t="s">
        <v>81</v>
      </c>
      <c r="K1575" s="4" t="s">
        <v>71</v>
      </c>
    </row>
    <row r="1576" customFormat="false" ht="15" hidden="false" customHeight="false" outlineLevel="0" collapsed="false">
      <c r="A1576" s="4" t="s">
        <v>1898</v>
      </c>
      <c r="B1576" s="17" t="n">
        <v>45966</v>
      </c>
      <c r="C1576" s="4" t="n">
        <v>12</v>
      </c>
      <c r="D1576" s="4" t="s">
        <v>73</v>
      </c>
      <c r="E1576" s="4" t="s">
        <v>65</v>
      </c>
      <c r="F1576" s="4" t="s">
        <v>66</v>
      </c>
      <c r="G1576" s="4" t="n">
        <v>2</v>
      </c>
      <c r="H1576" s="4" t="n">
        <v>120</v>
      </c>
      <c r="I1576" s="18" t="n">
        <v>0</v>
      </c>
      <c r="J1576" s="4" t="s">
        <v>76</v>
      </c>
      <c r="K1576" s="4" t="s">
        <v>77</v>
      </c>
    </row>
    <row r="1577" customFormat="false" ht="15" hidden="false" customHeight="false" outlineLevel="0" collapsed="false">
      <c r="A1577" s="4" t="s">
        <v>1899</v>
      </c>
      <c r="B1577" s="17" t="n">
        <v>45966</v>
      </c>
      <c r="C1577" s="4" t="n">
        <v>14</v>
      </c>
      <c r="D1577" s="4" t="s">
        <v>64</v>
      </c>
      <c r="E1577" s="4" t="s">
        <v>99</v>
      </c>
      <c r="F1577" s="4" t="s">
        <v>109</v>
      </c>
      <c r="G1577" s="4" t="n">
        <v>2</v>
      </c>
      <c r="H1577" s="4" t="n">
        <v>130</v>
      </c>
      <c r="I1577" s="18" t="n">
        <v>0.15</v>
      </c>
      <c r="J1577" s="4" t="s">
        <v>76</v>
      </c>
      <c r="K1577" s="4" t="s">
        <v>71</v>
      </c>
    </row>
    <row r="1578" customFormat="false" ht="15" hidden="false" customHeight="false" outlineLevel="0" collapsed="false">
      <c r="A1578" s="4" t="s">
        <v>1900</v>
      </c>
      <c r="B1578" s="17" t="n">
        <v>45966</v>
      </c>
      <c r="C1578" s="4" t="n">
        <v>14</v>
      </c>
      <c r="D1578" s="4" t="s">
        <v>64</v>
      </c>
      <c r="E1578" s="4" t="s">
        <v>99</v>
      </c>
      <c r="F1578" s="4" t="s">
        <v>100</v>
      </c>
      <c r="G1578" s="4" t="n">
        <v>2</v>
      </c>
      <c r="H1578" s="4" t="n">
        <v>110</v>
      </c>
      <c r="I1578" s="18" t="n">
        <v>0</v>
      </c>
      <c r="J1578" s="4" t="s">
        <v>67</v>
      </c>
      <c r="K1578" s="4" t="s">
        <v>68</v>
      </c>
    </row>
    <row r="1579" customFormat="false" ht="15" hidden="false" customHeight="false" outlineLevel="0" collapsed="false">
      <c r="A1579" s="4" t="s">
        <v>1901</v>
      </c>
      <c r="B1579" s="17" t="n">
        <v>45967</v>
      </c>
      <c r="C1579" s="4" t="n">
        <v>9</v>
      </c>
      <c r="D1579" s="4" t="s">
        <v>64</v>
      </c>
      <c r="E1579" s="4" t="s">
        <v>164</v>
      </c>
      <c r="F1579" s="4" t="s">
        <v>109</v>
      </c>
      <c r="G1579" s="4" t="n">
        <v>1</v>
      </c>
      <c r="H1579" s="4" t="n">
        <v>130</v>
      </c>
      <c r="I1579" s="18" t="n">
        <v>0</v>
      </c>
      <c r="J1579" s="4" t="s">
        <v>76</v>
      </c>
      <c r="K1579" s="4" t="s">
        <v>77</v>
      </c>
    </row>
    <row r="1580" customFormat="false" ht="15" hidden="false" customHeight="false" outlineLevel="0" collapsed="false">
      <c r="A1580" s="4" t="s">
        <v>1902</v>
      </c>
      <c r="B1580" s="17" t="n">
        <v>45967</v>
      </c>
      <c r="C1580" s="4" t="n">
        <v>11</v>
      </c>
      <c r="D1580" s="4" t="s">
        <v>98</v>
      </c>
      <c r="E1580" s="4" t="s">
        <v>636</v>
      </c>
      <c r="F1580" s="4" t="s">
        <v>94</v>
      </c>
      <c r="G1580" s="4" t="n">
        <v>1</v>
      </c>
      <c r="H1580" s="4" t="n">
        <v>150</v>
      </c>
      <c r="I1580" s="18" t="n">
        <v>0.1</v>
      </c>
      <c r="J1580" s="4" t="s">
        <v>112</v>
      </c>
      <c r="K1580" s="4" t="s">
        <v>71</v>
      </c>
    </row>
    <row r="1581" customFormat="false" ht="15" hidden="false" customHeight="false" outlineLevel="0" collapsed="false">
      <c r="A1581" s="4" t="s">
        <v>1903</v>
      </c>
      <c r="B1581" s="17" t="n">
        <v>45967</v>
      </c>
      <c r="C1581" s="4" t="n">
        <v>12</v>
      </c>
      <c r="D1581" s="4" t="s">
        <v>64</v>
      </c>
      <c r="E1581" s="4" t="s">
        <v>364</v>
      </c>
      <c r="F1581" s="4" t="s">
        <v>117</v>
      </c>
      <c r="G1581" s="4" t="n">
        <v>2</v>
      </c>
      <c r="H1581" s="4" t="n">
        <v>95</v>
      </c>
      <c r="I1581" s="18" t="n">
        <v>0.1</v>
      </c>
      <c r="J1581" s="4" t="s">
        <v>67</v>
      </c>
      <c r="K1581" s="4" t="s">
        <v>71</v>
      </c>
    </row>
    <row r="1582" customFormat="false" ht="15" hidden="false" customHeight="false" outlineLevel="0" collapsed="false">
      <c r="A1582" s="4" t="s">
        <v>1904</v>
      </c>
      <c r="B1582" s="17" t="n">
        <v>45967</v>
      </c>
      <c r="C1582" s="4" t="n">
        <v>13</v>
      </c>
      <c r="D1582" s="4" t="s">
        <v>70</v>
      </c>
      <c r="E1582" s="4" t="s">
        <v>84</v>
      </c>
      <c r="F1582" s="4" t="s">
        <v>1070</v>
      </c>
      <c r="G1582" s="4" t="n">
        <v>3</v>
      </c>
      <c r="H1582" s="4" t="n">
        <v>95</v>
      </c>
      <c r="I1582" s="18" t="n">
        <v>0</v>
      </c>
      <c r="J1582" s="4" t="s">
        <v>81</v>
      </c>
      <c r="K1582" s="4" t="s">
        <v>77</v>
      </c>
    </row>
    <row r="1583" customFormat="false" ht="15" hidden="false" customHeight="false" outlineLevel="0" collapsed="false">
      <c r="A1583" s="4" t="s">
        <v>1905</v>
      </c>
      <c r="B1583" s="17" t="n">
        <v>45968</v>
      </c>
      <c r="C1583" s="4" t="n">
        <v>9</v>
      </c>
      <c r="D1583" s="4" t="s">
        <v>98</v>
      </c>
      <c r="E1583" s="4" t="s">
        <v>99</v>
      </c>
      <c r="F1583" s="4" t="s">
        <v>109</v>
      </c>
      <c r="G1583" s="4" t="n">
        <v>2</v>
      </c>
      <c r="H1583" s="4" t="n">
        <v>130</v>
      </c>
      <c r="I1583" s="18" t="n">
        <v>0.1</v>
      </c>
      <c r="J1583" s="4" t="s">
        <v>67</v>
      </c>
    </row>
    <row r="1584" customFormat="false" ht="15" hidden="false" customHeight="false" outlineLevel="0" collapsed="false">
      <c r="A1584" s="4" t="s">
        <v>1906</v>
      </c>
      <c r="B1584" s="17" t="n">
        <v>45968</v>
      </c>
      <c r="C1584" s="4" t="n">
        <v>12</v>
      </c>
      <c r="D1584" s="4" t="s">
        <v>70</v>
      </c>
      <c r="E1584" s="4" t="s">
        <v>99</v>
      </c>
      <c r="F1584" s="4" t="s">
        <v>102</v>
      </c>
      <c r="G1584" s="4" t="n">
        <v>1</v>
      </c>
      <c r="H1584" s="4" t="n">
        <v>140</v>
      </c>
      <c r="I1584" s="18" t="n">
        <v>0</v>
      </c>
      <c r="J1584" s="4" t="s">
        <v>76</v>
      </c>
      <c r="K1584" s="4" t="s">
        <v>68</v>
      </c>
    </row>
    <row r="1585" customFormat="false" ht="15" hidden="false" customHeight="false" outlineLevel="0" collapsed="false">
      <c r="A1585" s="4" t="s">
        <v>1907</v>
      </c>
      <c r="B1585" s="17" t="n">
        <v>45968</v>
      </c>
      <c r="C1585" s="4" t="n">
        <v>13</v>
      </c>
      <c r="D1585" s="4" t="s">
        <v>341</v>
      </c>
      <c r="E1585" s="4" t="s">
        <v>74</v>
      </c>
      <c r="F1585" s="4" t="s">
        <v>75</v>
      </c>
      <c r="G1585" s="4" t="n">
        <v>1</v>
      </c>
      <c r="H1585" s="4" t="n">
        <v>220</v>
      </c>
      <c r="I1585" s="18" t="n">
        <v>0</v>
      </c>
      <c r="J1585" s="4" t="s">
        <v>76</v>
      </c>
      <c r="K1585" s="4" t="s">
        <v>77</v>
      </c>
    </row>
    <row r="1586" customFormat="false" ht="15" hidden="false" customHeight="false" outlineLevel="0" collapsed="false">
      <c r="A1586" s="4" t="s">
        <v>1908</v>
      </c>
      <c r="B1586" s="4" t="s">
        <v>1909</v>
      </c>
      <c r="C1586" s="4" t="n">
        <v>16</v>
      </c>
      <c r="D1586" s="4" t="s">
        <v>108</v>
      </c>
      <c r="E1586" s="4" t="s">
        <v>65</v>
      </c>
      <c r="F1586" s="4" t="s">
        <v>270</v>
      </c>
      <c r="G1586" s="4" t="n">
        <v>1</v>
      </c>
      <c r="H1586" s="4" t="n">
        <v>150</v>
      </c>
      <c r="I1586" s="18" t="n">
        <v>0.1</v>
      </c>
      <c r="J1586" s="4" t="s">
        <v>67</v>
      </c>
      <c r="K1586" s="4" t="s">
        <v>71</v>
      </c>
    </row>
    <row r="1587" customFormat="false" ht="15" hidden="false" customHeight="false" outlineLevel="0" collapsed="false">
      <c r="A1587" s="4" t="s">
        <v>1910</v>
      </c>
      <c r="B1587" s="17" t="n">
        <v>45970</v>
      </c>
      <c r="C1587" s="4" t="n">
        <v>8</v>
      </c>
      <c r="D1587" s="4" t="s">
        <v>98</v>
      </c>
      <c r="E1587" s="4" t="s">
        <v>65</v>
      </c>
      <c r="F1587" s="4" t="s">
        <v>94</v>
      </c>
      <c r="G1587" s="4" t="n">
        <v>1</v>
      </c>
      <c r="H1587" s="4" t="n">
        <v>150</v>
      </c>
      <c r="I1587" s="18" t="n">
        <v>0</v>
      </c>
      <c r="J1587" s="4" t="s">
        <v>67</v>
      </c>
      <c r="K1587" s="4" t="s">
        <v>77</v>
      </c>
    </row>
    <row r="1588" customFormat="false" ht="15" hidden="false" customHeight="false" outlineLevel="0" collapsed="false">
      <c r="A1588" s="4" t="s">
        <v>1911</v>
      </c>
      <c r="B1588" s="17" t="n">
        <v>45970</v>
      </c>
      <c r="C1588" s="4" t="n">
        <v>9</v>
      </c>
      <c r="D1588" s="4" t="s">
        <v>70</v>
      </c>
      <c r="E1588" s="4" t="s">
        <v>99</v>
      </c>
      <c r="F1588" s="4" t="s">
        <v>109</v>
      </c>
      <c r="G1588" s="4" t="n">
        <v>1</v>
      </c>
      <c r="H1588" s="4" t="n">
        <v>130</v>
      </c>
      <c r="I1588" s="18" t="n">
        <v>0</v>
      </c>
      <c r="J1588" s="4" t="s">
        <v>112</v>
      </c>
      <c r="K1588" s="4" t="s">
        <v>77</v>
      </c>
    </row>
    <row r="1589" customFormat="false" ht="15" hidden="false" customHeight="false" outlineLevel="0" collapsed="false">
      <c r="A1589" s="4" t="s">
        <v>1912</v>
      </c>
      <c r="B1589" s="17" t="n">
        <v>45970</v>
      </c>
      <c r="C1589" s="4" t="n">
        <v>12</v>
      </c>
      <c r="D1589" s="4" t="s">
        <v>70</v>
      </c>
      <c r="E1589" s="4" t="s">
        <v>65</v>
      </c>
      <c r="F1589" s="4" t="s">
        <v>66</v>
      </c>
      <c r="G1589" s="4" t="n">
        <v>1</v>
      </c>
      <c r="H1589" s="4" t="n">
        <v>120</v>
      </c>
      <c r="I1589" s="18" t="n">
        <v>0</v>
      </c>
      <c r="J1589" s="4" t="s">
        <v>76</v>
      </c>
      <c r="K1589" s="4" t="s">
        <v>77</v>
      </c>
    </row>
    <row r="1590" customFormat="false" ht="15" hidden="false" customHeight="false" outlineLevel="0" collapsed="false">
      <c r="A1590" s="4" t="s">
        <v>1913</v>
      </c>
      <c r="B1590" s="17" t="n">
        <v>45971</v>
      </c>
      <c r="C1590" s="4" t="n">
        <v>17</v>
      </c>
      <c r="D1590" s="4" t="s">
        <v>70</v>
      </c>
      <c r="E1590" s="4" t="s">
        <v>99</v>
      </c>
      <c r="F1590" s="4" t="s">
        <v>102</v>
      </c>
      <c r="G1590" s="4" t="n">
        <v>2</v>
      </c>
      <c r="H1590" s="4" t="n">
        <v>140</v>
      </c>
      <c r="I1590" s="18" t="n">
        <v>0.1</v>
      </c>
      <c r="J1590" s="4" t="s">
        <v>81</v>
      </c>
      <c r="K1590" s="4" t="s">
        <v>71</v>
      </c>
    </row>
    <row r="1591" customFormat="false" ht="15" hidden="false" customHeight="false" outlineLevel="0" collapsed="false">
      <c r="A1591" s="4" t="s">
        <v>1914</v>
      </c>
      <c r="B1591" s="17" t="n">
        <v>45971</v>
      </c>
      <c r="C1591" s="4" t="n">
        <v>18</v>
      </c>
      <c r="D1591" s="4" t="s">
        <v>64</v>
      </c>
      <c r="E1591" s="4" t="s">
        <v>84</v>
      </c>
      <c r="F1591" s="4" t="s">
        <v>114</v>
      </c>
      <c r="G1591" s="4" t="n">
        <v>2</v>
      </c>
      <c r="H1591" s="4" t="n">
        <v>85</v>
      </c>
      <c r="I1591" s="18" t="n">
        <v>0.2</v>
      </c>
      <c r="J1591" s="4" t="s">
        <v>81</v>
      </c>
      <c r="K1591" s="4" t="s">
        <v>82</v>
      </c>
    </row>
    <row r="1592" customFormat="false" ht="15" hidden="false" customHeight="false" outlineLevel="0" collapsed="false">
      <c r="A1592" s="4" t="s">
        <v>1915</v>
      </c>
      <c r="B1592" s="17" t="n">
        <v>45972</v>
      </c>
      <c r="C1592" s="4" t="n">
        <v>8</v>
      </c>
      <c r="D1592" s="4" t="s">
        <v>64</v>
      </c>
      <c r="E1592" s="4" t="s">
        <v>65</v>
      </c>
      <c r="F1592" s="4" t="s">
        <v>94</v>
      </c>
      <c r="H1592" s="4" t="n">
        <v>150</v>
      </c>
      <c r="I1592" s="18" t="n">
        <v>0.1</v>
      </c>
      <c r="J1592" s="4" t="s">
        <v>67</v>
      </c>
      <c r="K1592" s="4" t="s">
        <v>71</v>
      </c>
    </row>
    <row r="1593" customFormat="false" ht="15" hidden="false" customHeight="false" outlineLevel="0" collapsed="false">
      <c r="A1593" s="4" t="s">
        <v>1916</v>
      </c>
      <c r="B1593" s="17" t="n">
        <v>45972</v>
      </c>
      <c r="C1593" s="4" t="n">
        <v>9</v>
      </c>
      <c r="D1593" s="4" t="s">
        <v>73</v>
      </c>
      <c r="E1593" s="4" t="s">
        <v>221</v>
      </c>
      <c r="F1593" s="4" t="s">
        <v>148</v>
      </c>
      <c r="G1593" s="4" t="n">
        <v>1</v>
      </c>
      <c r="H1593" s="4" t="n">
        <v>120</v>
      </c>
      <c r="I1593" s="18" t="n">
        <v>0</v>
      </c>
      <c r="J1593" s="4" t="s">
        <v>81</v>
      </c>
      <c r="K1593" s="4" t="s">
        <v>77</v>
      </c>
    </row>
    <row r="1594" customFormat="false" ht="15" hidden="false" customHeight="false" outlineLevel="0" collapsed="false">
      <c r="A1594" s="4" t="s">
        <v>1917</v>
      </c>
      <c r="B1594" s="17" t="n">
        <v>45972</v>
      </c>
      <c r="C1594" s="4" t="n">
        <v>13</v>
      </c>
      <c r="D1594" s="4" t="s">
        <v>70</v>
      </c>
      <c r="E1594" s="4" t="s">
        <v>65</v>
      </c>
      <c r="F1594" s="4" t="s">
        <v>121</v>
      </c>
      <c r="G1594" s="4" t="n">
        <v>1</v>
      </c>
      <c r="H1594" s="4" t="n">
        <v>170</v>
      </c>
      <c r="I1594" s="18" t="n">
        <v>0.1</v>
      </c>
      <c r="J1594" s="4" t="s">
        <v>81</v>
      </c>
      <c r="K1594" s="4" t="s">
        <v>71</v>
      </c>
    </row>
    <row r="1595" customFormat="false" ht="15" hidden="false" customHeight="false" outlineLevel="0" collapsed="false">
      <c r="A1595" s="4" t="s">
        <v>1918</v>
      </c>
      <c r="B1595" s="17" t="n">
        <v>45972</v>
      </c>
      <c r="C1595" s="4" t="n">
        <v>13</v>
      </c>
      <c r="D1595" s="4" t="s">
        <v>70</v>
      </c>
      <c r="E1595" s="4" t="s">
        <v>79</v>
      </c>
      <c r="F1595" s="4" t="s">
        <v>135</v>
      </c>
      <c r="G1595" s="4" t="n">
        <v>1</v>
      </c>
      <c r="H1595" s="4" t="n">
        <v>130</v>
      </c>
      <c r="I1595" s="18" t="n">
        <v>0</v>
      </c>
      <c r="J1595" s="4" t="s">
        <v>112</v>
      </c>
      <c r="K1595" s="4" t="s">
        <v>68</v>
      </c>
    </row>
    <row r="1596" customFormat="false" ht="15" hidden="false" customHeight="false" outlineLevel="0" collapsed="false">
      <c r="A1596" s="4" t="s">
        <v>1919</v>
      </c>
      <c r="B1596" s="17" t="n">
        <v>45973</v>
      </c>
      <c r="C1596" s="4" t="n">
        <v>8</v>
      </c>
      <c r="D1596" s="4" t="s">
        <v>70</v>
      </c>
      <c r="E1596" s="4" t="s">
        <v>235</v>
      </c>
      <c r="F1596" s="4" t="s">
        <v>121</v>
      </c>
      <c r="G1596" s="4" t="n">
        <v>1</v>
      </c>
      <c r="H1596" s="4" t="n">
        <v>170</v>
      </c>
      <c r="I1596" s="18" t="n">
        <v>0</v>
      </c>
      <c r="J1596" s="4" t="s">
        <v>67</v>
      </c>
      <c r="K1596" s="4" t="s">
        <v>68</v>
      </c>
    </row>
    <row r="1597" customFormat="false" ht="15" hidden="false" customHeight="false" outlineLevel="0" collapsed="false">
      <c r="A1597" s="4" t="s">
        <v>1920</v>
      </c>
      <c r="B1597" s="17" t="n">
        <v>45973</v>
      </c>
      <c r="C1597" s="4" t="n">
        <v>9</v>
      </c>
      <c r="D1597" s="4" t="s">
        <v>70</v>
      </c>
      <c r="E1597" s="4" t="s">
        <v>235</v>
      </c>
      <c r="F1597" s="4" t="s">
        <v>121</v>
      </c>
      <c r="G1597" s="4" t="n">
        <v>1</v>
      </c>
      <c r="I1597" s="18" t="n">
        <v>0.05</v>
      </c>
      <c r="J1597" s="4" t="s">
        <v>88</v>
      </c>
      <c r="K1597" s="4" t="s">
        <v>82</v>
      </c>
    </row>
    <row r="1598" customFormat="false" ht="15" hidden="false" customHeight="false" outlineLevel="0" collapsed="false">
      <c r="A1598" s="4" t="s">
        <v>1921</v>
      </c>
      <c r="B1598" s="17" t="n">
        <v>45973</v>
      </c>
      <c r="C1598" s="4" t="n">
        <v>19</v>
      </c>
      <c r="D1598" s="4" t="s">
        <v>70</v>
      </c>
      <c r="E1598" s="4" t="s">
        <v>74</v>
      </c>
      <c r="F1598" s="4" t="s">
        <v>139</v>
      </c>
      <c r="G1598" s="4" t="n">
        <v>1</v>
      </c>
      <c r="H1598" s="4" t="n">
        <v>260</v>
      </c>
      <c r="I1598" s="18" t="n">
        <v>0.15</v>
      </c>
      <c r="J1598" s="4" t="s">
        <v>67</v>
      </c>
      <c r="K1598" s="4" t="s">
        <v>82</v>
      </c>
    </row>
    <row r="1599" customFormat="false" ht="15" hidden="false" customHeight="false" outlineLevel="0" collapsed="false">
      <c r="A1599" s="4" t="s">
        <v>1922</v>
      </c>
      <c r="B1599" s="17" t="n">
        <v>45974</v>
      </c>
      <c r="C1599" s="4" t="n">
        <v>9</v>
      </c>
      <c r="D1599" s="4" t="s">
        <v>64</v>
      </c>
      <c r="E1599" s="4" t="s">
        <v>79</v>
      </c>
      <c r="F1599" s="4" t="s">
        <v>148</v>
      </c>
      <c r="G1599" s="4" t="n">
        <v>1</v>
      </c>
      <c r="H1599" s="4" t="n">
        <v>120</v>
      </c>
      <c r="I1599" s="18" t="n">
        <v>0</v>
      </c>
      <c r="J1599" s="4" t="s">
        <v>81</v>
      </c>
      <c r="K1599" s="4" t="s">
        <v>77</v>
      </c>
    </row>
    <row r="1600" customFormat="false" ht="15" hidden="false" customHeight="false" outlineLevel="0" collapsed="false">
      <c r="A1600" s="4" t="s">
        <v>1923</v>
      </c>
      <c r="B1600" s="17" t="n">
        <v>45974</v>
      </c>
      <c r="C1600" s="4" t="n">
        <v>9</v>
      </c>
      <c r="D1600" s="4" t="s">
        <v>70</v>
      </c>
      <c r="E1600" s="4" t="s">
        <v>84</v>
      </c>
      <c r="F1600" s="4" t="s">
        <v>117</v>
      </c>
      <c r="G1600" s="4" t="n">
        <v>1</v>
      </c>
      <c r="H1600" s="4" t="n">
        <v>95</v>
      </c>
      <c r="I1600" s="18" t="n">
        <v>0</v>
      </c>
      <c r="J1600" s="4" t="s">
        <v>76</v>
      </c>
      <c r="K1600" s="4" t="s">
        <v>77</v>
      </c>
    </row>
    <row r="1601" customFormat="false" ht="15" hidden="false" customHeight="false" outlineLevel="0" collapsed="false">
      <c r="A1601" s="4" t="s">
        <v>1924</v>
      </c>
      <c r="B1601" s="4" t="s">
        <v>1925</v>
      </c>
      <c r="C1601" s="4" t="n">
        <v>13</v>
      </c>
      <c r="D1601" s="4" t="s">
        <v>64</v>
      </c>
      <c r="E1601" s="4" t="s">
        <v>99</v>
      </c>
      <c r="F1601" s="4" t="s">
        <v>102</v>
      </c>
      <c r="G1601" s="4" t="n">
        <v>1</v>
      </c>
      <c r="H1601" s="4" t="n">
        <v>140</v>
      </c>
      <c r="I1601" s="18" t="n">
        <v>0</v>
      </c>
      <c r="J1601" s="4" t="s">
        <v>67</v>
      </c>
      <c r="K1601" s="4" t="s">
        <v>68</v>
      </c>
    </row>
    <row r="1602" customFormat="false" ht="15" hidden="false" customHeight="false" outlineLevel="0" collapsed="false">
      <c r="A1602" s="4" t="s">
        <v>1926</v>
      </c>
      <c r="B1602" s="17" t="n">
        <v>45974</v>
      </c>
      <c r="C1602" s="4" t="n">
        <v>19</v>
      </c>
      <c r="D1602" s="4" t="s">
        <v>153</v>
      </c>
      <c r="E1602" s="4" t="s">
        <v>99</v>
      </c>
      <c r="F1602" s="4" t="s">
        <v>109</v>
      </c>
      <c r="G1602" s="4" t="n">
        <v>1</v>
      </c>
      <c r="H1602" s="4" t="n">
        <v>130</v>
      </c>
      <c r="I1602" s="18" t="n">
        <v>0.05</v>
      </c>
      <c r="J1602" s="4" t="s">
        <v>67</v>
      </c>
      <c r="K1602" s="4" t="s">
        <v>82</v>
      </c>
    </row>
    <row r="1603" customFormat="false" ht="15" hidden="false" customHeight="false" outlineLevel="0" collapsed="false">
      <c r="A1603" s="4" t="s">
        <v>1927</v>
      </c>
      <c r="B1603" s="17" t="n">
        <v>45974</v>
      </c>
      <c r="C1603" s="4" t="n">
        <v>19</v>
      </c>
      <c r="D1603" s="4" t="s">
        <v>98</v>
      </c>
      <c r="E1603" s="4" t="s">
        <v>84</v>
      </c>
      <c r="F1603" s="4" t="s">
        <v>106</v>
      </c>
      <c r="G1603" s="4" t="n">
        <v>1</v>
      </c>
      <c r="H1603" s="4" t="n">
        <v>60</v>
      </c>
      <c r="I1603" s="18" t="n">
        <v>0.05</v>
      </c>
      <c r="J1603" s="4" t="s">
        <v>67</v>
      </c>
      <c r="K1603" s="4" t="s">
        <v>82</v>
      </c>
    </row>
    <row r="1604" customFormat="false" ht="15" hidden="false" customHeight="false" outlineLevel="0" collapsed="false">
      <c r="A1604" s="4" t="s">
        <v>1928</v>
      </c>
      <c r="B1604" s="17" t="n">
        <v>45975</v>
      </c>
      <c r="C1604" s="4" t="n">
        <v>9</v>
      </c>
      <c r="D1604" s="4" t="s">
        <v>70</v>
      </c>
      <c r="E1604" s="4" t="s">
        <v>403</v>
      </c>
      <c r="F1604" s="4" t="s">
        <v>133</v>
      </c>
      <c r="G1604" s="4" t="n">
        <v>1</v>
      </c>
      <c r="H1604" s="4" t="n">
        <v>90</v>
      </c>
      <c r="I1604" s="18" t="n">
        <v>0.1</v>
      </c>
      <c r="J1604" s="4" t="s">
        <v>112</v>
      </c>
      <c r="K1604" s="4" t="s">
        <v>68</v>
      </c>
    </row>
    <row r="1605" customFormat="false" ht="15" hidden="false" customHeight="false" outlineLevel="0" collapsed="false">
      <c r="A1605" s="4" t="s">
        <v>1929</v>
      </c>
      <c r="B1605" s="17" t="n">
        <v>45975</v>
      </c>
      <c r="C1605" s="4" t="n">
        <v>10</v>
      </c>
      <c r="D1605" s="4" t="s">
        <v>73</v>
      </c>
      <c r="E1605" s="4" t="s">
        <v>84</v>
      </c>
      <c r="F1605" s="4" t="s">
        <v>117</v>
      </c>
      <c r="G1605" s="4" t="n">
        <v>3</v>
      </c>
      <c r="H1605" s="4" t="n">
        <v>95</v>
      </c>
      <c r="I1605" s="18" t="n">
        <v>0.05</v>
      </c>
      <c r="J1605" s="4" t="s">
        <v>112</v>
      </c>
      <c r="K1605" s="4" t="s">
        <v>82</v>
      </c>
    </row>
    <row r="1606" customFormat="false" ht="15" hidden="false" customHeight="false" outlineLevel="0" collapsed="false">
      <c r="A1606" s="4" t="s">
        <v>1930</v>
      </c>
      <c r="B1606" s="17" t="n">
        <v>45975</v>
      </c>
      <c r="C1606" s="4" t="n">
        <v>12</v>
      </c>
      <c r="D1606" s="4" t="s">
        <v>166</v>
      </c>
      <c r="E1606" s="4" t="s">
        <v>65</v>
      </c>
      <c r="F1606" s="4" t="s">
        <v>94</v>
      </c>
      <c r="G1606" s="4" t="n">
        <v>1</v>
      </c>
      <c r="H1606" s="4" t="s">
        <v>1931</v>
      </c>
      <c r="I1606" s="18" t="n">
        <v>0.05</v>
      </c>
      <c r="J1606" s="4" t="s">
        <v>81</v>
      </c>
      <c r="K1606" s="4" t="s">
        <v>82</v>
      </c>
    </row>
    <row r="1607" customFormat="false" ht="15" hidden="false" customHeight="false" outlineLevel="0" collapsed="false">
      <c r="A1607" s="4" t="s">
        <v>1932</v>
      </c>
      <c r="B1607" s="4" t="s">
        <v>1933</v>
      </c>
      <c r="C1607" s="4" t="n">
        <v>13</v>
      </c>
      <c r="D1607" s="4" t="s">
        <v>73</v>
      </c>
      <c r="E1607" s="4" t="s">
        <v>65</v>
      </c>
      <c r="F1607" s="4" t="s">
        <v>94</v>
      </c>
      <c r="G1607" s="4" t="n">
        <v>2</v>
      </c>
      <c r="H1607" s="4" t="n">
        <v>150</v>
      </c>
      <c r="I1607" s="18" t="n">
        <v>0</v>
      </c>
      <c r="J1607" s="4" t="s">
        <v>112</v>
      </c>
      <c r="K1607" s="4" t="s">
        <v>77</v>
      </c>
    </row>
    <row r="1608" customFormat="false" ht="15" hidden="false" customHeight="false" outlineLevel="0" collapsed="false">
      <c r="A1608" s="4" t="s">
        <v>1934</v>
      </c>
      <c r="B1608" s="17" t="n">
        <v>45975</v>
      </c>
      <c r="C1608" s="4" t="n">
        <v>14</v>
      </c>
      <c r="D1608" s="4" t="s">
        <v>64</v>
      </c>
      <c r="E1608" s="4" t="s">
        <v>65</v>
      </c>
      <c r="F1608" s="4" t="s">
        <v>94</v>
      </c>
      <c r="G1608" s="4" t="n">
        <v>1</v>
      </c>
      <c r="H1608" s="4" t="n">
        <v>150</v>
      </c>
      <c r="I1608" s="18" t="n">
        <v>0.05</v>
      </c>
      <c r="J1608" s="4" t="s">
        <v>67</v>
      </c>
      <c r="K1608" s="4" t="s">
        <v>82</v>
      </c>
    </row>
    <row r="1609" customFormat="false" ht="15" hidden="false" customHeight="false" outlineLevel="0" collapsed="false">
      <c r="A1609" s="4" t="s">
        <v>1935</v>
      </c>
      <c r="B1609" s="17" t="n">
        <v>45975</v>
      </c>
      <c r="C1609" s="4" t="n">
        <v>14</v>
      </c>
      <c r="D1609" s="4" t="s">
        <v>183</v>
      </c>
      <c r="E1609" s="4" t="s">
        <v>99</v>
      </c>
      <c r="F1609" s="4" t="s">
        <v>100</v>
      </c>
      <c r="G1609" s="4" t="n">
        <v>1</v>
      </c>
      <c r="H1609" s="4" t="n">
        <v>110</v>
      </c>
      <c r="I1609" s="18" t="n">
        <v>0.15</v>
      </c>
      <c r="J1609" s="4" t="s">
        <v>67</v>
      </c>
      <c r="K1609" s="4" t="s">
        <v>82</v>
      </c>
    </row>
    <row r="1610" customFormat="false" ht="15" hidden="false" customHeight="false" outlineLevel="0" collapsed="false">
      <c r="A1610" s="4" t="s">
        <v>1936</v>
      </c>
      <c r="B1610" s="17" t="n">
        <v>45975</v>
      </c>
      <c r="C1610" s="4" t="n">
        <v>19</v>
      </c>
      <c r="D1610" s="4" t="s">
        <v>64</v>
      </c>
      <c r="E1610" s="4" t="s">
        <v>84</v>
      </c>
      <c r="F1610" s="4" t="s">
        <v>117</v>
      </c>
      <c r="G1610" s="4" t="n">
        <v>2</v>
      </c>
      <c r="H1610" s="4" t="n">
        <v>95</v>
      </c>
      <c r="I1610" s="18" t="n">
        <v>0.05</v>
      </c>
      <c r="J1610" s="4" t="s">
        <v>81</v>
      </c>
      <c r="K1610" s="4" t="s">
        <v>82</v>
      </c>
    </row>
    <row r="1611" customFormat="false" ht="15" hidden="false" customHeight="false" outlineLevel="0" collapsed="false">
      <c r="A1611" s="4" t="s">
        <v>1937</v>
      </c>
      <c r="B1611" s="17" t="n">
        <v>45976</v>
      </c>
      <c r="C1611" s="4" t="n">
        <v>8</v>
      </c>
      <c r="D1611" s="4" t="s">
        <v>64</v>
      </c>
      <c r="E1611" s="4" t="s">
        <v>99</v>
      </c>
      <c r="F1611" s="4" t="s">
        <v>1297</v>
      </c>
      <c r="G1611" s="4" t="n">
        <v>4</v>
      </c>
      <c r="H1611" s="4" t="n">
        <v>140</v>
      </c>
      <c r="I1611" s="18" t="n">
        <v>0.2</v>
      </c>
      <c r="J1611" s="4" t="s">
        <v>81</v>
      </c>
      <c r="K1611" s="4" t="s">
        <v>71</v>
      </c>
    </row>
    <row r="1612" customFormat="false" ht="15" hidden="false" customHeight="false" outlineLevel="0" collapsed="false">
      <c r="A1612" s="4" t="s">
        <v>1938</v>
      </c>
      <c r="B1612" s="17" t="n">
        <v>45976</v>
      </c>
      <c r="C1612" s="4" t="n">
        <v>12</v>
      </c>
      <c r="D1612" s="4" t="s">
        <v>98</v>
      </c>
      <c r="E1612" s="4" t="s">
        <v>79</v>
      </c>
      <c r="F1612" s="4" t="s">
        <v>80</v>
      </c>
      <c r="G1612" s="4" t="n">
        <v>1</v>
      </c>
      <c r="H1612" s="4" t="n">
        <v>160</v>
      </c>
      <c r="I1612" s="18" t="n">
        <v>0.2</v>
      </c>
      <c r="J1612" s="4" t="s">
        <v>67</v>
      </c>
      <c r="K1612" s="4" t="s">
        <v>82</v>
      </c>
    </row>
    <row r="1613" customFormat="false" ht="15" hidden="false" customHeight="false" outlineLevel="0" collapsed="false">
      <c r="A1613" s="4" t="s">
        <v>1939</v>
      </c>
      <c r="B1613" s="17" t="n">
        <v>45976</v>
      </c>
      <c r="C1613" s="4" t="n">
        <v>17</v>
      </c>
      <c r="D1613" s="4" t="s">
        <v>70</v>
      </c>
      <c r="E1613" s="4" t="s">
        <v>65</v>
      </c>
      <c r="F1613" s="4" t="s">
        <v>121</v>
      </c>
      <c r="G1613" s="4" t="n">
        <v>2</v>
      </c>
      <c r="H1613" s="4" t="n">
        <v>170</v>
      </c>
      <c r="I1613" s="18" t="n">
        <v>0.1</v>
      </c>
      <c r="J1613" s="4" t="s">
        <v>112</v>
      </c>
      <c r="K1613" s="4" t="s">
        <v>77</v>
      </c>
    </row>
    <row r="1614" customFormat="false" ht="15" hidden="false" customHeight="false" outlineLevel="0" collapsed="false">
      <c r="A1614" s="4" t="s">
        <v>1940</v>
      </c>
      <c r="B1614" s="17" t="n">
        <v>45977</v>
      </c>
      <c r="C1614" s="4" t="n">
        <v>9</v>
      </c>
      <c r="D1614" s="4" t="s">
        <v>70</v>
      </c>
      <c r="E1614" s="4" t="s">
        <v>99</v>
      </c>
      <c r="F1614" s="4" t="s">
        <v>100</v>
      </c>
      <c r="G1614" s="4" t="n">
        <v>1</v>
      </c>
      <c r="H1614" s="4" t="n">
        <v>110</v>
      </c>
      <c r="I1614" s="18" t="n">
        <v>0</v>
      </c>
      <c r="J1614" s="4" t="s">
        <v>88</v>
      </c>
      <c r="K1614" s="4" t="s">
        <v>77</v>
      </c>
    </row>
    <row r="1615" customFormat="false" ht="15" hidden="false" customHeight="false" outlineLevel="0" collapsed="false">
      <c r="A1615" s="4" t="s">
        <v>1941</v>
      </c>
      <c r="B1615" s="17" t="n">
        <v>45977</v>
      </c>
      <c r="C1615" s="4" t="n">
        <v>10</v>
      </c>
      <c r="D1615" s="4" t="s">
        <v>70</v>
      </c>
      <c r="E1615" s="4" t="s">
        <v>65</v>
      </c>
      <c r="F1615" s="4" t="s">
        <v>94</v>
      </c>
      <c r="G1615" s="4" t="n">
        <v>1</v>
      </c>
      <c r="H1615" s="4" t="n">
        <v>150</v>
      </c>
      <c r="J1615" s="4" t="s">
        <v>76</v>
      </c>
      <c r="K1615" s="4" t="s">
        <v>77</v>
      </c>
    </row>
    <row r="1616" customFormat="false" ht="15" hidden="false" customHeight="false" outlineLevel="0" collapsed="false">
      <c r="A1616" s="4" t="s">
        <v>1942</v>
      </c>
      <c r="B1616" s="17" t="n">
        <v>45977</v>
      </c>
      <c r="C1616" s="4" t="n">
        <v>10</v>
      </c>
      <c r="D1616" s="4" t="s">
        <v>73</v>
      </c>
      <c r="E1616" s="4" t="s">
        <v>65</v>
      </c>
      <c r="F1616" s="4" t="s">
        <v>87</v>
      </c>
      <c r="G1616" s="4" t="n">
        <v>2</v>
      </c>
      <c r="H1616" s="4" t="n">
        <v>160</v>
      </c>
      <c r="J1616" s="4" t="s">
        <v>81</v>
      </c>
      <c r="K1616" s="4" t="s">
        <v>68</v>
      </c>
    </row>
    <row r="1617" customFormat="false" ht="15" hidden="false" customHeight="false" outlineLevel="0" collapsed="false">
      <c r="A1617" s="4" t="s">
        <v>1943</v>
      </c>
      <c r="B1617" s="17" t="n">
        <v>45977</v>
      </c>
      <c r="C1617" s="4" t="n">
        <v>14</v>
      </c>
      <c r="D1617" s="4" t="s">
        <v>70</v>
      </c>
      <c r="E1617" s="4" t="s">
        <v>99</v>
      </c>
      <c r="F1617" s="4" t="s">
        <v>133</v>
      </c>
      <c r="G1617" s="4" t="n">
        <v>2</v>
      </c>
      <c r="H1617" s="4" t="n">
        <v>90</v>
      </c>
      <c r="I1617" s="18" t="n">
        <v>0</v>
      </c>
      <c r="J1617" s="4" t="s">
        <v>88</v>
      </c>
      <c r="K1617" s="4" t="s">
        <v>77</v>
      </c>
    </row>
    <row r="1618" customFormat="false" ht="15" hidden="false" customHeight="false" outlineLevel="0" collapsed="false">
      <c r="A1618" s="4" t="s">
        <v>1944</v>
      </c>
      <c r="B1618" s="4" t="s">
        <v>1945</v>
      </c>
      <c r="C1618" s="4" t="n">
        <v>7</v>
      </c>
      <c r="D1618" s="4" t="s">
        <v>64</v>
      </c>
      <c r="E1618" s="4" t="s">
        <v>65</v>
      </c>
      <c r="F1618" s="4" t="s">
        <v>94</v>
      </c>
      <c r="G1618" s="4" t="n">
        <v>2</v>
      </c>
      <c r="H1618" s="4" t="n">
        <v>150</v>
      </c>
      <c r="I1618" s="18" t="n">
        <v>0.05</v>
      </c>
      <c r="J1618" s="4" t="s">
        <v>67</v>
      </c>
      <c r="K1618" s="4" t="s">
        <v>82</v>
      </c>
    </row>
    <row r="1619" customFormat="false" ht="15" hidden="false" customHeight="false" outlineLevel="0" collapsed="false">
      <c r="A1619" s="4" t="s">
        <v>1946</v>
      </c>
      <c r="B1619" s="4" t="s">
        <v>1945</v>
      </c>
      <c r="C1619" s="4" t="n">
        <v>9</v>
      </c>
      <c r="D1619" s="4" t="s">
        <v>98</v>
      </c>
      <c r="E1619" s="4" t="s">
        <v>99</v>
      </c>
      <c r="F1619" s="4" t="s">
        <v>109</v>
      </c>
      <c r="G1619" s="4" t="n">
        <v>2</v>
      </c>
      <c r="H1619" s="4" t="n">
        <v>130</v>
      </c>
      <c r="I1619" s="18" t="n">
        <v>0</v>
      </c>
      <c r="J1619" s="4" t="s">
        <v>67</v>
      </c>
      <c r="K1619" s="4" t="s">
        <v>68</v>
      </c>
    </row>
    <row r="1620" customFormat="false" ht="15" hidden="false" customHeight="false" outlineLevel="0" collapsed="false">
      <c r="A1620" s="4" t="s">
        <v>1947</v>
      </c>
      <c r="B1620" s="17" t="n">
        <v>45978</v>
      </c>
      <c r="C1620" s="4" t="n">
        <v>13</v>
      </c>
      <c r="D1620" s="4" t="s">
        <v>70</v>
      </c>
      <c r="E1620" s="4" t="s">
        <v>65</v>
      </c>
      <c r="F1620" s="4" t="s">
        <v>94</v>
      </c>
      <c r="G1620" s="4" t="n">
        <v>1</v>
      </c>
      <c r="H1620" s="4" t="n">
        <v>150</v>
      </c>
      <c r="I1620" s="18" t="n">
        <v>0</v>
      </c>
      <c r="J1620" s="4" t="s">
        <v>81</v>
      </c>
      <c r="K1620" s="4" t="s">
        <v>77</v>
      </c>
    </row>
    <row r="1621" customFormat="false" ht="15" hidden="false" customHeight="false" outlineLevel="0" collapsed="false">
      <c r="A1621" s="4" t="s">
        <v>1948</v>
      </c>
      <c r="B1621" s="17" t="n">
        <v>45979</v>
      </c>
      <c r="C1621" s="4" t="n">
        <v>11</v>
      </c>
      <c r="D1621" s="4" t="s">
        <v>70</v>
      </c>
      <c r="E1621" s="4" t="s">
        <v>373</v>
      </c>
      <c r="F1621" s="4" t="s">
        <v>102</v>
      </c>
      <c r="G1621" s="4" t="n">
        <v>-2</v>
      </c>
      <c r="H1621" s="4" t="n">
        <v>140</v>
      </c>
      <c r="I1621" s="18" t="n">
        <v>0</v>
      </c>
      <c r="J1621" s="4" t="s">
        <v>112</v>
      </c>
      <c r="K1621" s="4" t="s">
        <v>68</v>
      </c>
    </row>
    <row r="1622" customFormat="false" ht="15" hidden="false" customHeight="false" outlineLevel="0" collapsed="false">
      <c r="A1622" s="4" t="s">
        <v>1949</v>
      </c>
      <c r="B1622" s="17" t="n">
        <v>45979</v>
      </c>
      <c r="C1622" s="4" t="n">
        <v>11</v>
      </c>
      <c r="D1622" s="4" t="s">
        <v>70</v>
      </c>
      <c r="E1622" s="4" t="s">
        <v>79</v>
      </c>
      <c r="F1622" s="4" t="s">
        <v>80</v>
      </c>
      <c r="G1622" s="4" t="n">
        <v>2</v>
      </c>
      <c r="H1622" s="4" t="n">
        <v>160</v>
      </c>
      <c r="I1622" s="18" t="n">
        <v>0</v>
      </c>
      <c r="J1622" s="4" t="s">
        <v>67</v>
      </c>
      <c r="K1622" s="4" t="s">
        <v>77</v>
      </c>
    </row>
    <row r="1623" customFormat="false" ht="15" hidden="false" customHeight="false" outlineLevel="0" collapsed="false">
      <c r="A1623" s="4" t="s">
        <v>1950</v>
      </c>
      <c r="B1623" s="17" t="n">
        <v>45979</v>
      </c>
      <c r="C1623" s="4" t="n">
        <v>12</v>
      </c>
      <c r="D1623" s="4" t="s">
        <v>70</v>
      </c>
      <c r="E1623" s="4" t="s">
        <v>65</v>
      </c>
      <c r="F1623" s="4" t="s">
        <v>87</v>
      </c>
      <c r="G1623" s="4" t="n">
        <v>2</v>
      </c>
      <c r="H1623" s="4" t="n">
        <v>160</v>
      </c>
      <c r="I1623" s="18" t="n">
        <v>0</v>
      </c>
      <c r="J1623" s="4" t="s">
        <v>81</v>
      </c>
      <c r="K1623" s="4" t="s">
        <v>68</v>
      </c>
    </row>
    <row r="1624" customFormat="false" ht="15" hidden="false" customHeight="false" outlineLevel="0" collapsed="false">
      <c r="A1624" s="4" t="s">
        <v>1951</v>
      </c>
      <c r="B1624" s="17" t="n">
        <v>45979</v>
      </c>
      <c r="C1624" s="4" t="n">
        <v>15</v>
      </c>
      <c r="D1624" s="4" t="s">
        <v>70</v>
      </c>
      <c r="E1624" s="4" t="s">
        <v>99</v>
      </c>
      <c r="F1624" s="4" t="s">
        <v>100</v>
      </c>
      <c r="G1624" s="4" t="n">
        <v>2</v>
      </c>
      <c r="H1624" s="4" t="n">
        <v>110</v>
      </c>
      <c r="I1624" s="18" t="n">
        <v>0.2</v>
      </c>
      <c r="J1624" s="4" t="s">
        <v>67</v>
      </c>
      <c r="K1624" s="4" t="s">
        <v>68</v>
      </c>
    </row>
    <row r="1625" customFormat="false" ht="15" hidden="false" customHeight="false" outlineLevel="0" collapsed="false">
      <c r="A1625" s="4" t="s">
        <v>1952</v>
      </c>
      <c r="B1625" s="4" t="s">
        <v>1953</v>
      </c>
      <c r="C1625" s="4" t="n">
        <v>16</v>
      </c>
      <c r="D1625" s="4" t="s">
        <v>938</v>
      </c>
      <c r="E1625" s="4" t="s">
        <v>65</v>
      </c>
      <c r="F1625" s="4" t="s">
        <v>121</v>
      </c>
      <c r="G1625" s="4" t="n">
        <v>1</v>
      </c>
      <c r="H1625" s="4" t="n">
        <v>170</v>
      </c>
      <c r="I1625" s="18" t="n">
        <v>0</v>
      </c>
      <c r="J1625" s="4" t="s">
        <v>112</v>
      </c>
      <c r="K1625" s="4" t="s">
        <v>68</v>
      </c>
    </row>
    <row r="1626" customFormat="false" ht="15" hidden="false" customHeight="false" outlineLevel="0" collapsed="false">
      <c r="A1626" s="4" t="s">
        <v>1954</v>
      </c>
      <c r="B1626" s="17" t="n">
        <v>45979</v>
      </c>
      <c r="C1626" s="4" t="n">
        <v>17</v>
      </c>
      <c r="D1626" s="4" t="s">
        <v>70</v>
      </c>
      <c r="E1626" s="4" t="s">
        <v>65</v>
      </c>
      <c r="F1626" s="4" t="s">
        <v>94</v>
      </c>
      <c r="G1626" s="4" t="n">
        <v>1</v>
      </c>
      <c r="H1626" s="4" t="n">
        <v>150</v>
      </c>
      <c r="I1626" s="18" t="n">
        <v>0</v>
      </c>
      <c r="J1626" s="4" t="s">
        <v>923</v>
      </c>
      <c r="K1626" s="4" t="s">
        <v>77</v>
      </c>
    </row>
    <row r="1627" customFormat="false" ht="15" hidden="false" customHeight="false" outlineLevel="0" collapsed="false">
      <c r="A1627" s="4" t="s">
        <v>1955</v>
      </c>
      <c r="B1627" s="17" t="n">
        <v>45979</v>
      </c>
      <c r="C1627" s="4" t="n">
        <v>18</v>
      </c>
      <c r="D1627" s="4" t="s">
        <v>64</v>
      </c>
      <c r="E1627" s="4" t="s">
        <v>84</v>
      </c>
      <c r="F1627" s="4" t="s">
        <v>114</v>
      </c>
      <c r="G1627" s="4" t="n">
        <v>3</v>
      </c>
      <c r="I1627" s="18" t="n">
        <v>0.1</v>
      </c>
      <c r="J1627" s="4" t="s">
        <v>67</v>
      </c>
      <c r="K1627" s="4" t="s">
        <v>71</v>
      </c>
    </row>
    <row r="1628" customFormat="false" ht="15" hidden="false" customHeight="false" outlineLevel="0" collapsed="false">
      <c r="A1628" s="4" t="s">
        <v>1956</v>
      </c>
      <c r="B1628" s="17" t="n">
        <v>45980</v>
      </c>
      <c r="C1628" s="4" t="n">
        <v>9</v>
      </c>
      <c r="D1628" s="4" t="s">
        <v>98</v>
      </c>
      <c r="E1628" s="4" t="s">
        <v>84</v>
      </c>
      <c r="F1628" s="4" t="s">
        <v>106</v>
      </c>
      <c r="G1628" s="4" t="n">
        <v>2</v>
      </c>
      <c r="H1628" s="4" t="n">
        <v>60</v>
      </c>
      <c r="I1628" s="18" t="n">
        <v>0.15</v>
      </c>
      <c r="J1628" s="4" t="s">
        <v>67</v>
      </c>
      <c r="K1628" s="4" t="s">
        <v>68</v>
      </c>
    </row>
    <row r="1629" customFormat="false" ht="15" hidden="false" customHeight="false" outlineLevel="0" collapsed="false">
      <c r="A1629" s="4" t="s">
        <v>1957</v>
      </c>
      <c r="B1629" s="17" t="n">
        <v>45980</v>
      </c>
      <c r="C1629" s="4" t="n">
        <v>10</v>
      </c>
      <c r="D1629" s="4" t="s">
        <v>98</v>
      </c>
      <c r="E1629" s="4" t="s">
        <v>99</v>
      </c>
      <c r="F1629" s="4" t="s">
        <v>109</v>
      </c>
      <c r="G1629" s="4" t="n">
        <v>2</v>
      </c>
      <c r="H1629" s="4" t="n">
        <v>130</v>
      </c>
      <c r="I1629" s="18" t="n">
        <v>0.1</v>
      </c>
      <c r="J1629" s="4" t="s">
        <v>112</v>
      </c>
      <c r="K1629" s="4" t="s">
        <v>71</v>
      </c>
    </row>
    <row r="1630" customFormat="false" ht="15" hidden="false" customHeight="false" outlineLevel="0" collapsed="false">
      <c r="A1630" s="4" t="s">
        <v>1958</v>
      </c>
      <c r="B1630" s="17" t="n">
        <v>45980</v>
      </c>
      <c r="C1630" s="4" t="n">
        <v>13</v>
      </c>
      <c r="D1630" s="4" t="s">
        <v>70</v>
      </c>
      <c r="E1630" s="4" t="s">
        <v>65</v>
      </c>
      <c r="F1630" s="4" t="s">
        <v>66</v>
      </c>
      <c r="G1630" s="4" t="n">
        <v>1</v>
      </c>
      <c r="H1630" s="4" t="n">
        <v>120</v>
      </c>
      <c r="I1630" s="18" t="n">
        <v>0</v>
      </c>
      <c r="J1630" s="4" t="s">
        <v>81</v>
      </c>
      <c r="K1630" s="4" t="s">
        <v>68</v>
      </c>
    </row>
    <row r="1631" customFormat="false" ht="15" hidden="false" customHeight="false" outlineLevel="0" collapsed="false">
      <c r="A1631" s="4" t="s">
        <v>1959</v>
      </c>
      <c r="B1631" s="17" t="n">
        <v>45980</v>
      </c>
      <c r="C1631" s="4" t="n">
        <v>13</v>
      </c>
      <c r="D1631" s="4" t="s">
        <v>70</v>
      </c>
      <c r="E1631" s="4" t="s">
        <v>403</v>
      </c>
      <c r="F1631" s="4" t="s">
        <v>109</v>
      </c>
      <c r="G1631" s="4" t="n">
        <v>3</v>
      </c>
      <c r="H1631" s="4" t="n">
        <v>130</v>
      </c>
      <c r="I1631" s="18" t="n">
        <v>0.05</v>
      </c>
      <c r="J1631" s="4" t="s">
        <v>67</v>
      </c>
      <c r="K1631" s="4" t="s">
        <v>82</v>
      </c>
    </row>
    <row r="1632" customFormat="false" ht="15" hidden="false" customHeight="false" outlineLevel="0" collapsed="false">
      <c r="A1632" s="4" t="s">
        <v>1960</v>
      </c>
      <c r="B1632" s="4" t="s">
        <v>1961</v>
      </c>
      <c r="C1632" s="4" t="n">
        <v>7</v>
      </c>
      <c r="D1632" s="4" t="s">
        <v>424</v>
      </c>
      <c r="E1632" s="4" t="s">
        <v>79</v>
      </c>
      <c r="F1632" s="4" t="s">
        <v>148</v>
      </c>
      <c r="G1632" s="4" t="n">
        <v>4</v>
      </c>
      <c r="H1632" s="4" t="n">
        <v>120</v>
      </c>
      <c r="I1632" s="18" t="n">
        <v>0</v>
      </c>
      <c r="J1632" s="4" t="s">
        <v>81</v>
      </c>
      <c r="K1632" s="4" t="s">
        <v>68</v>
      </c>
    </row>
    <row r="1633" customFormat="false" ht="15" hidden="false" customHeight="false" outlineLevel="0" collapsed="false">
      <c r="A1633" s="4" t="s">
        <v>1962</v>
      </c>
      <c r="B1633" s="17" t="n">
        <v>45981</v>
      </c>
      <c r="C1633" s="4" t="n">
        <v>8</v>
      </c>
      <c r="D1633" s="4" t="s">
        <v>64</v>
      </c>
      <c r="E1633" s="4" t="s">
        <v>65</v>
      </c>
      <c r="F1633" s="4" t="s">
        <v>121</v>
      </c>
      <c r="G1633" s="4" t="n">
        <v>1</v>
      </c>
      <c r="H1633" s="4" t="n">
        <v>170</v>
      </c>
      <c r="I1633" s="18" t="n">
        <v>0.2</v>
      </c>
      <c r="J1633" s="4" t="s">
        <v>76</v>
      </c>
      <c r="K1633" s="4" t="s">
        <v>71</v>
      </c>
    </row>
    <row r="1634" customFormat="false" ht="15" hidden="false" customHeight="false" outlineLevel="0" collapsed="false">
      <c r="A1634" s="4" t="s">
        <v>1963</v>
      </c>
      <c r="B1634" s="17" t="n">
        <v>45981</v>
      </c>
      <c r="C1634" s="4" t="n">
        <v>9</v>
      </c>
      <c r="D1634" s="4" t="s">
        <v>64</v>
      </c>
      <c r="E1634" s="4" t="s">
        <v>84</v>
      </c>
      <c r="F1634" s="4" t="s">
        <v>114</v>
      </c>
      <c r="G1634" s="4" t="n">
        <v>4</v>
      </c>
      <c r="H1634" s="4" t="n">
        <v>85</v>
      </c>
      <c r="I1634" s="18" t="n">
        <v>0</v>
      </c>
      <c r="J1634" s="4" t="s">
        <v>81</v>
      </c>
      <c r="K1634" s="4" t="s">
        <v>77</v>
      </c>
    </row>
    <row r="1635" customFormat="false" ht="15" hidden="false" customHeight="false" outlineLevel="0" collapsed="false">
      <c r="A1635" s="4" t="s">
        <v>1964</v>
      </c>
      <c r="B1635" s="17" t="n">
        <v>45981</v>
      </c>
      <c r="C1635" s="4" t="n">
        <v>11</v>
      </c>
      <c r="D1635" s="4" t="s">
        <v>70</v>
      </c>
      <c r="E1635" s="4" t="s">
        <v>65</v>
      </c>
      <c r="F1635" s="4" t="s">
        <v>121</v>
      </c>
      <c r="G1635" s="4" t="n">
        <v>1</v>
      </c>
      <c r="H1635" s="4" t="n">
        <v>170</v>
      </c>
      <c r="I1635" s="18" t="n">
        <v>0.05</v>
      </c>
      <c r="J1635" s="4" t="s">
        <v>67</v>
      </c>
      <c r="K1635" s="4" t="s">
        <v>82</v>
      </c>
    </row>
    <row r="1636" customFormat="false" ht="15" hidden="false" customHeight="false" outlineLevel="0" collapsed="false">
      <c r="A1636" s="4" t="s">
        <v>1965</v>
      </c>
      <c r="B1636" s="17" t="n">
        <v>45981</v>
      </c>
      <c r="C1636" s="4" t="n">
        <v>13</v>
      </c>
      <c r="D1636" s="4" t="s">
        <v>64</v>
      </c>
      <c r="E1636" s="4" t="s">
        <v>99</v>
      </c>
      <c r="F1636" s="4" t="s">
        <v>100</v>
      </c>
      <c r="G1636" s="4" t="n">
        <v>2</v>
      </c>
      <c r="H1636" s="4" t="n">
        <v>110</v>
      </c>
      <c r="I1636" s="18" t="n">
        <v>0</v>
      </c>
      <c r="J1636" s="4" t="s">
        <v>76</v>
      </c>
      <c r="K1636" s="4" t="s">
        <v>68</v>
      </c>
    </row>
    <row r="1637" customFormat="false" ht="15" hidden="false" customHeight="false" outlineLevel="0" collapsed="false">
      <c r="A1637" s="4" t="s">
        <v>1966</v>
      </c>
      <c r="B1637" s="17" t="n">
        <v>45982</v>
      </c>
      <c r="C1637" s="4" t="n">
        <v>8</v>
      </c>
      <c r="D1637" s="4" t="s">
        <v>73</v>
      </c>
      <c r="E1637" s="4" t="s">
        <v>74</v>
      </c>
      <c r="F1637" s="4" t="s">
        <v>91</v>
      </c>
      <c r="G1637" s="4" t="n">
        <v>2</v>
      </c>
      <c r="H1637" s="4" t="n">
        <v>200</v>
      </c>
      <c r="I1637" s="18" t="n">
        <v>0.1</v>
      </c>
      <c r="J1637" s="4" t="s">
        <v>76</v>
      </c>
      <c r="K1637" s="4" t="s">
        <v>68</v>
      </c>
    </row>
    <row r="1638" customFormat="false" ht="15" hidden="false" customHeight="false" outlineLevel="0" collapsed="false">
      <c r="A1638" s="4" t="s">
        <v>1967</v>
      </c>
      <c r="B1638" s="17" t="n">
        <v>45982</v>
      </c>
      <c r="C1638" s="4" t="n">
        <v>9</v>
      </c>
      <c r="D1638" s="4" t="s">
        <v>119</v>
      </c>
      <c r="E1638" s="4" t="s">
        <v>74</v>
      </c>
      <c r="F1638" s="4" t="s">
        <v>75</v>
      </c>
      <c r="G1638" s="4" t="n">
        <v>2</v>
      </c>
      <c r="H1638" s="4" t="n">
        <v>220</v>
      </c>
      <c r="I1638" s="18" t="n">
        <v>0</v>
      </c>
      <c r="J1638" s="4" t="s">
        <v>81</v>
      </c>
      <c r="K1638" s="4" t="s">
        <v>77</v>
      </c>
    </row>
    <row r="1639" customFormat="false" ht="15" hidden="false" customHeight="false" outlineLevel="0" collapsed="false">
      <c r="A1639" s="4" t="s">
        <v>1968</v>
      </c>
      <c r="B1639" s="17" t="n">
        <v>45982</v>
      </c>
      <c r="C1639" s="4" t="n">
        <v>14</v>
      </c>
      <c r="D1639" s="4" t="s">
        <v>70</v>
      </c>
      <c r="E1639" s="4" t="s">
        <v>79</v>
      </c>
      <c r="F1639" s="4" t="s">
        <v>135</v>
      </c>
      <c r="G1639" s="4" t="n">
        <v>2</v>
      </c>
      <c r="H1639" s="4" t="n">
        <v>130</v>
      </c>
      <c r="I1639" s="18" t="n">
        <v>0.1</v>
      </c>
      <c r="J1639" s="4" t="s">
        <v>81</v>
      </c>
      <c r="K1639" s="4" t="s">
        <v>71</v>
      </c>
    </row>
    <row r="1640" customFormat="false" ht="15" hidden="false" customHeight="false" outlineLevel="0" collapsed="false">
      <c r="A1640" s="4" t="s">
        <v>1969</v>
      </c>
      <c r="B1640" s="17" t="n">
        <v>45982</v>
      </c>
      <c r="C1640" s="4" t="n">
        <v>14</v>
      </c>
      <c r="D1640" s="4" t="s">
        <v>64</v>
      </c>
      <c r="E1640" s="4" t="s">
        <v>99</v>
      </c>
      <c r="F1640" s="4" t="s">
        <v>102</v>
      </c>
      <c r="G1640" s="4" t="n">
        <v>4</v>
      </c>
      <c r="H1640" s="4" t="n">
        <v>140</v>
      </c>
      <c r="I1640" s="18" t="n">
        <v>0</v>
      </c>
      <c r="J1640" s="4" t="s">
        <v>76</v>
      </c>
      <c r="K1640" s="4" t="s">
        <v>77</v>
      </c>
    </row>
    <row r="1641" customFormat="false" ht="15" hidden="false" customHeight="false" outlineLevel="0" collapsed="false">
      <c r="A1641" s="4" t="s">
        <v>1970</v>
      </c>
      <c r="B1641" s="17" t="n">
        <v>45983</v>
      </c>
      <c r="C1641" s="4" t="n">
        <v>9</v>
      </c>
      <c r="D1641" s="4" t="s">
        <v>64</v>
      </c>
      <c r="E1641" s="4" t="s">
        <v>99</v>
      </c>
      <c r="F1641" s="4" t="s">
        <v>102</v>
      </c>
      <c r="G1641" s="4" t="n">
        <v>1</v>
      </c>
      <c r="H1641" s="4" t="n">
        <v>140</v>
      </c>
      <c r="I1641" s="18" t="n">
        <v>0.05</v>
      </c>
      <c r="J1641" s="4" t="s">
        <v>67</v>
      </c>
      <c r="K1641" s="4" t="s">
        <v>82</v>
      </c>
    </row>
    <row r="1642" customFormat="false" ht="15" hidden="false" customHeight="false" outlineLevel="0" collapsed="false">
      <c r="A1642" s="4" t="s">
        <v>1971</v>
      </c>
      <c r="B1642" s="17" t="n">
        <v>45983</v>
      </c>
      <c r="C1642" s="4" t="n">
        <v>11</v>
      </c>
      <c r="D1642" s="4" t="s">
        <v>70</v>
      </c>
      <c r="E1642" s="4" t="s">
        <v>84</v>
      </c>
      <c r="F1642" s="4" t="s">
        <v>114</v>
      </c>
      <c r="G1642" s="4" t="n">
        <v>2</v>
      </c>
      <c r="H1642" s="4" t="n">
        <v>85</v>
      </c>
      <c r="I1642" s="18" t="n">
        <v>0</v>
      </c>
      <c r="J1642" s="4" t="s">
        <v>112</v>
      </c>
    </row>
    <row r="1643" customFormat="false" ht="15" hidden="false" customHeight="false" outlineLevel="0" collapsed="false">
      <c r="A1643" s="4" t="s">
        <v>1972</v>
      </c>
      <c r="B1643" s="17" t="n">
        <v>45983</v>
      </c>
      <c r="C1643" s="4" t="n">
        <v>11</v>
      </c>
      <c r="D1643" s="4" t="s">
        <v>183</v>
      </c>
      <c r="E1643" s="4" t="s">
        <v>74</v>
      </c>
      <c r="F1643" s="4" t="s">
        <v>139</v>
      </c>
      <c r="G1643" s="4" t="n">
        <v>1</v>
      </c>
      <c r="H1643" s="4" t="n">
        <v>260</v>
      </c>
      <c r="I1643" s="18" t="n">
        <v>0.1</v>
      </c>
      <c r="J1643" s="4" t="s">
        <v>76</v>
      </c>
      <c r="K1643" s="4" t="s">
        <v>71</v>
      </c>
    </row>
    <row r="1644" customFormat="false" ht="15" hidden="false" customHeight="false" outlineLevel="0" collapsed="false">
      <c r="A1644" s="4" t="s">
        <v>1973</v>
      </c>
      <c r="B1644" s="17" t="n">
        <v>45983</v>
      </c>
      <c r="C1644" s="4" t="n">
        <v>12</v>
      </c>
      <c r="D1644" s="4" t="s">
        <v>73</v>
      </c>
      <c r="E1644" s="4" t="s">
        <v>65</v>
      </c>
      <c r="F1644" s="4" t="s">
        <v>94</v>
      </c>
      <c r="G1644" s="4" t="n">
        <v>2</v>
      </c>
      <c r="H1644" s="4" t="n">
        <v>150</v>
      </c>
      <c r="I1644" s="18" t="n">
        <v>0</v>
      </c>
      <c r="J1644" s="4" t="s">
        <v>81</v>
      </c>
      <c r="K1644" s="4" t="s">
        <v>68</v>
      </c>
    </row>
    <row r="1645" customFormat="false" ht="15" hidden="false" customHeight="false" outlineLevel="0" collapsed="false">
      <c r="A1645" s="4" t="s">
        <v>1974</v>
      </c>
      <c r="B1645" s="17" t="n">
        <v>45983</v>
      </c>
      <c r="C1645" s="4" t="n">
        <v>15</v>
      </c>
      <c r="D1645" s="4" t="s">
        <v>335</v>
      </c>
      <c r="E1645" s="4" t="s">
        <v>65</v>
      </c>
      <c r="F1645" s="4" t="s">
        <v>87</v>
      </c>
      <c r="G1645" s="4" t="n">
        <v>1</v>
      </c>
      <c r="H1645" s="4" t="n">
        <v>160</v>
      </c>
      <c r="I1645" s="18" t="n">
        <v>0</v>
      </c>
      <c r="J1645" s="4" t="s">
        <v>76</v>
      </c>
      <c r="K1645" s="4" t="s">
        <v>68</v>
      </c>
    </row>
    <row r="1646" customFormat="false" ht="15" hidden="false" customHeight="false" outlineLevel="0" collapsed="false">
      <c r="A1646" s="4" t="s">
        <v>1975</v>
      </c>
      <c r="B1646" s="17" t="n">
        <v>45983</v>
      </c>
      <c r="C1646" s="4" t="n">
        <v>16</v>
      </c>
      <c r="D1646" s="4" t="s">
        <v>98</v>
      </c>
      <c r="E1646" s="4" t="s">
        <v>84</v>
      </c>
      <c r="F1646" s="4" t="s">
        <v>106</v>
      </c>
      <c r="G1646" s="4" t="n">
        <v>3</v>
      </c>
      <c r="H1646" s="4" t="n">
        <v>60</v>
      </c>
      <c r="I1646" s="18" t="n">
        <v>0.1</v>
      </c>
      <c r="J1646" s="4" t="s">
        <v>76</v>
      </c>
      <c r="K1646" s="4" t="s">
        <v>71</v>
      </c>
    </row>
    <row r="1647" customFormat="false" ht="15" hidden="false" customHeight="false" outlineLevel="0" collapsed="false">
      <c r="A1647" s="4" t="s">
        <v>1976</v>
      </c>
      <c r="B1647" s="17" t="n">
        <v>45983</v>
      </c>
      <c r="C1647" s="4" t="n">
        <v>18</v>
      </c>
      <c r="D1647" s="4" t="s">
        <v>119</v>
      </c>
      <c r="E1647" s="4" t="s">
        <v>99</v>
      </c>
      <c r="F1647" s="4" t="s">
        <v>109</v>
      </c>
      <c r="G1647" s="4" t="n">
        <v>1</v>
      </c>
      <c r="H1647" s="4" t="n">
        <v>130</v>
      </c>
      <c r="J1647" s="4" t="s">
        <v>67</v>
      </c>
      <c r="K1647" s="4" t="s">
        <v>68</v>
      </c>
    </row>
    <row r="1648" customFormat="false" ht="15" hidden="false" customHeight="false" outlineLevel="0" collapsed="false">
      <c r="A1648" s="4" t="s">
        <v>1977</v>
      </c>
      <c r="B1648" s="17" t="n">
        <v>45983</v>
      </c>
      <c r="C1648" s="4" t="n">
        <v>19</v>
      </c>
      <c r="D1648" s="4" t="s">
        <v>64</v>
      </c>
      <c r="E1648" s="4" t="s">
        <v>99</v>
      </c>
      <c r="F1648" s="4" t="s">
        <v>100</v>
      </c>
      <c r="G1648" s="4" t="n">
        <v>2</v>
      </c>
      <c r="H1648" s="4" t="n">
        <v>110</v>
      </c>
      <c r="I1648" s="18" t="n">
        <v>0.15</v>
      </c>
      <c r="J1648" s="4" t="s">
        <v>67</v>
      </c>
      <c r="K1648" s="4" t="s">
        <v>77</v>
      </c>
    </row>
    <row r="1649" customFormat="false" ht="15" hidden="false" customHeight="false" outlineLevel="0" collapsed="false">
      <c r="A1649" s="4" t="s">
        <v>1978</v>
      </c>
      <c r="B1649" s="17" t="n">
        <v>45984</v>
      </c>
      <c r="C1649" s="4" t="n">
        <v>9</v>
      </c>
      <c r="D1649" s="4" t="s">
        <v>64</v>
      </c>
      <c r="E1649" s="4" t="s">
        <v>99</v>
      </c>
      <c r="F1649" s="4" t="s">
        <v>109</v>
      </c>
      <c r="G1649" s="4" t="n">
        <v>2</v>
      </c>
      <c r="H1649" s="4" t="n">
        <v>130</v>
      </c>
      <c r="I1649" s="18" t="n">
        <v>0.15</v>
      </c>
      <c r="J1649" s="4" t="s">
        <v>88</v>
      </c>
      <c r="K1649" s="4" t="s">
        <v>77</v>
      </c>
    </row>
    <row r="1650" customFormat="false" ht="15" hidden="false" customHeight="false" outlineLevel="0" collapsed="false">
      <c r="A1650" s="4" t="s">
        <v>1979</v>
      </c>
      <c r="B1650" s="17" t="n">
        <v>45984</v>
      </c>
      <c r="C1650" s="4" t="n">
        <v>11</v>
      </c>
      <c r="D1650" s="4" t="s">
        <v>98</v>
      </c>
      <c r="E1650" s="4" t="s">
        <v>79</v>
      </c>
      <c r="F1650" s="4" t="s">
        <v>80</v>
      </c>
      <c r="H1650" s="4" t="n">
        <v>160</v>
      </c>
      <c r="J1650" s="4" t="s">
        <v>76</v>
      </c>
    </row>
    <row r="1651" customFormat="false" ht="15" hidden="false" customHeight="false" outlineLevel="0" collapsed="false">
      <c r="A1651" s="4" t="s">
        <v>1980</v>
      </c>
      <c r="B1651" s="17" t="n">
        <v>45984</v>
      </c>
      <c r="C1651" s="4" t="n">
        <v>14</v>
      </c>
      <c r="D1651" s="4" t="s">
        <v>73</v>
      </c>
      <c r="E1651" s="4" t="s">
        <v>65</v>
      </c>
      <c r="F1651" s="4" t="s">
        <v>236</v>
      </c>
      <c r="G1651" s="4" t="n">
        <v>1</v>
      </c>
      <c r="H1651" s="4" t="n">
        <v>150</v>
      </c>
      <c r="I1651" s="18" t="n">
        <v>0</v>
      </c>
      <c r="J1651" s="4" t="s">
        <v>76</v>
      </c>
      <c r="K1651" s="4" t="s">
        <v>68</v>
      </c>
    </row>
    <row r="1652" customFormat="false" ht="15" hidden="false" customHeight="false" outlineLevel="0" collapsed="false">
      <c r="A1652" s="4" t="s">
        <v>1980</v>
      </c>
      <c r="B1652" s="17" t="n">
        <v>45984</v>
      </c>
      <c r="C1652" s="4" t="n">
        <v>14</v>
      </c>
      <c r="D1652" s="4" t="s">
        <v>73</v>
      </c>
      <c r="E1652" s="4" t="s">
        <v>65</v>
      </c>
      <c r="F1652" s="4" t="s">
        <v>236</v>
      </c>
      <c r="G1652" s="4" t="n">
        <v>1</v>
      </c>
      <c r="H1652" s="4" t="n">
        <v>150</v>
      </c>
      <c r="I1652" s="18" t="n">
        <v>0</v>
      </c>
      <c r="J1652" s="4" t="s">
        <v>76</v>
      </c>
      <c r="K1652" s="4" t="s">
        <v>68</v>
      </c>
    </row>
    <row r="1653" customFormat="false" ht="15" hidden="false" customHeight="false" outlineLevel="0" collapsed="false">
      <c r="A1653" s="4" t="s">
        <v>1981</v>
      </c>
      <c r="B1653" s="17" t="n">
        <v>45985</v>
      </c>
      <c r="C1653" s="4" t="n">
        <v>7</v>
      </c>
      <c r="D1653" s="4" t="s">
        <v>70</v>
      </c>
      <c r="E1653" s="4" t="s">
        <v>65</v>
      </c>
      <c r="F1653" s="4" t="s">
        <v>94</v>
      </c>
      <c r="G1653" s="4" t="n">
        <v>1</v>
      </c>
      <c r="H1653" s="4" t="n">
        <v>150</v>
      </c>
      <c r="I1653" s="18" t="n">
        <v>0</v>
      </c>
      <c r="J1653" s="4" t="s">
        <v>112</v>
      </c>
      <c r="K1653" s="4" t="s">
        <v>68</v>
      </c>
    </row>
    <row r="1654" customFormat="false" ht="15" hidden="false" customHeight="false" outlineLevel="0" collapsed="false">
      <c r="A1654" s="4" t="s">
        <v>1982</v>
      </c>
      <c r="B1654" s="4" t="s">
        <v>1983</v>
      </c>
      <c r="C1654" s="4" t="n">
        <v>9</v>
      </c>
      <c r="D1654" s="4" t="s">
        <v>119</v>
      </c>
      <c r="E1654" s="4" t="s">
        <v>99</v>
      </c>
      <c r="F1654" s="4" t="s">
        <v>102</v>
      </c>
      <c r="G1654" s="4" t="n">
        <v>4</v>
      </c>
      <c r="H1654" s="4" t="n">
        <v>140</v>
      </c>
      <c r="J1654" s="4" t="s">
        <v>81</v>
      </c>
      <c r="K1654" s="4" t="s">
        <v>71</v>
      </c>
    </row>
    <row r="1655" customFormat="false" ht="15" hidden="false" customHeight="false" outlineLevel="0" collapsed="false">
      <c r="A1655" s="4" t="s">
        <v>1984</v>
      </c>
      <c r="B1655" s="17" t="n">
        <v>45985</v>
      </c>
      <c r="C1655" s="4" t="n">
        <v>14</v>
      </c>
      <c r="D1655" s="4" t="s">
        <v>98</v>
      </c>
      <c r="E1655" s="4" t="s">
        <v>99</v>
      </c>
      <c r="F1655" s="4" t="s">
        <v>109</v>
      </c>
      <c r="G1655" s="4" t="n">
        <v>1</v>
      </c>
      <c r="H1655" s="4" t="n">
        <v>130</v>
      </c>
      <c r="I1655" s="18" t="n">
        <v>0.05</v>
      </c>
      <c r="J1655" s="4" t="s">
        <v>76</v>
      </c>
      <c r="K1655" s="4" t="s">
        <v>82</v>
      </c>
    </row>
    <row r="1656" customFormat="false" ht="15" hidden="false" customHeight="false" outlineLevel="0" collapsed="false">
      <c r="A1656" s="4" t="s">
        <v>1985</v>
      </c>
      <c r="B1656" s="17" t="n">
        <v>45985</v>
      </c>
      <c r="C1656" s="4" t="n">
        <v>14</v>
      </c>
      <c r="D1656" s="4" t="s">
        <v>70</v>
      </c>
      <c r="E1656" s="4" t="s">
        <v>99</v>
      </c>
      <c r="F1656" s="4" t="s">
        <v>100</v>
      </c>
      <c r="G1656" s="4" t="n">
        <v>1</v>
      </c>
      <c r="H1656" s="4" t="n">
        <v>110</v>
      </c>
      <c r="I1656" s="18" t="n">
        <v>0.15</v>
      </c>
      <c r="J1656" s="4" t="s">
        <v>76</v>
      </c>
      <c r="K1656" s="4" t="s">
        <v>82</v>
      </c>
    </row>
    <row r="1657" customFormat="false" ht="15" hidden="false" customHeight="false" outlineLevel="0" collapsed="false">
      <c r="A1657" s="4" t="s">
        <v>1986</v>
      </c>
      <c r="B1657" s="17" t="n">
        <v>45985</v>
      </c>
      <c r="C1657" s="4" t="n">
        <v>17</v>
      </c>
      <c r="D1657" s="4" t="s">
        <v>73</v>
      </c>
      <c r="E1657" s="4" t="s">
        <v>99</v>
      </c>
      <c r="F1657" s="4" t="s">
        <v>109</v>
      </c>
      <c r="G1657" s="4" t="n">
        <v>2</v>
      </c>
      <c r="H1657" s="4" t="n">
        <v>130</v>
      </c>
      <c r="I1657" s="18" t="n">
        <v>0.05</v>
      </c>
      <c r="J1657" s="4" t="s">
        <v>81</v>
      </c>
      <c r="K1657" s="4" t="s">
        <v>82</v>
      </c>
    </row>
    <row r="1658" customFormat="false" ht="15" hidden="false" customHeight="false" outlineLevel="0" collapsed="false">
      <c r="A1658" s="4" t="s">
        <v>1987</v>
      </c>
      <c r="B1658" s="17" t="n">
        <v>45986</v>
      </c>
      <c r="C1658" s="4" t="n">
        <v>7</v>
      </c>
      <c r="D1658" s="4" t="s">
        <v>64</v>
      </c>
      <c r="E1658" s="4" t="s">
        <v>65</v>
      </c>
      <c r="F1658" s="4" t="s">
        <v>121</v>
      </c>
      <c r="G1658" s="4" t="n">
        <v>1</v>
      </c>
      <c r="H1658" s="4" t="n">
        <v>170</v>
      </c>
      <c r="I1658" s="18" t="n">
        <v>0</v>
      </c>
      <c r="K1658" s="4" t="s">
        <v>68</v>
      </c>
    </row>
    <row r="1659" customFormat="false" ht="15" hidden="false" customHeight="false" outlineLevel="0" collapsed="false">
      <c r="A1659" s="4" t="s">
        <v>1988</v>
      </c>
      <c r="B1659" s="17" t="n">
        <v>45986</v>
      </c>
      <c r="C1659" s="4" t="n">
        <v>14</v>
      </c>
      <c r="D1659" s="4" t="s">
        <v>189</v>
      </c>
      <c r="E1659" s="4" t="s">
        <v>84</v>
      </c>
      <c r="F1659" s="4" t="s">
        <v>117</v>
      </c>
      <c r="G1659" s="4" t="n">
        <v>4</v>
      </c>
      <c r="H1659" s="4" t="n">
        <v>95</v>
      </c>
      <c r="I1659" s="18" t="n">
        <v>0</v>
      </c>
      <c r="J1659" s="4" t="s">
        <v>81</v>
      </c>
      <c r="K1659" s="4" t="s">
        <v>68</v>
      </c>
    </row>
    <row r="1660" customFormat="false" ht="15" hidden="false" customHeight="false" outlineLevel="0" collapsed="false">
      <c r="A1660" s="4" t="s">
        <v>1989</v>
      </c>
      <c r="B1660" s="17" t="n">
        <v>45987</v>
      </c>
      <c r="C1660" s="4" t="n">
        <v>8</v>
      </c>
      <c r="D1660" s="4" t="s">
        <v>73</v>
      </c>
      <c r="E1660" s="4" t="s">
        <v>79</v>
      </c>
      <c r="F1660" s="4" t="s">
        <v>80</v>
      </c>
      <c r="G1660" s="4" t="n">
        <v>2</v>
      </c>
      <c r="H1660" s="4" t="n">
        <v>160</v>
      </c>
      <c r="I1660" s="18" t="n">
        <v>0</v>
      </c>
      <c r="J1660" s="4" t="s">
        <v>67</v>
      </c>
      <c r="K1660" s="4" t="s">
        <v>68</v>
      </c>
    </row>
    <row r="1661" customFormat="false" ht="15" hidden="false" customHeight="false" outlineLevel="0" collapsed="false">
      <c r="A1661" s="4" t="s">
        <v>1990</v>
      </c>
      <c r="B1661" s="17" t="n">
        <v>45987</v>
      </c>
      <c r="C1661" s="4" t="n">
        <v>9</v>
      </c>
      <c r="D1661" s="4" t="s">
        <v>98</v>
      </c>
      <c r="E1661" s="4" t="s">
        <v>235</v>
      </c>
      <c r="F1661" s="4" t="s">
        <v>94</v>
      </c>
      <c r="H1661" s="4" t="n">
        <v>150</v>
      </c>
      <c r="I1661" s="18" t="n">
        <v>0</v>
      </c>
      <c r="J1661" s="4" t="s">
        <v>81</v>
      </c>
      <c r="K1661" s="4" t="s">
        <v>68</v>
      </c>
    </row>
    <row r="1662" customFormat="false" ht="15" hidden="false" customHeight="false" outlineLevel="0" collapsed="false">
      <c r="A1662" s="4" t="s">
        <v>1991</v>
      </c>
      <c r="B1662" s="17" t="n">
        <v>45987</v>
      </c>
      <c r="C1662" s="4" t="n">
        <v>10</v>
      </c>
      <c r="D1662" s="4" t="s">
        <v>70</v>
      </c>
      <c r="E1662" s="4" t="s">
        <v>84</v>
      </c>
      <c r="F1662" s="4" t="s">
        <v>117</v>
      </c>
      <c r="G1662" s="4" t="n">
        <v>1</v>
      </c>
      <c r="H1662" s="4" t="n">
        <v>95</v>
      </c>
      <c r="I1662" s="18" t="n">
        <v>0.15</v>
      </c>
      <c r="J1662" s="4" t="s">
        <v>67</v>
      </c>
      <c r="K1662" s="4" t="s">
        <v>82</v>
      </c>
    </row>
    <row r="1663" customFormat="false" ht="15" hidden="false" customHeight="false" outlineLevel="0" collapsed="false">
      <c r="A1663" s="4" t="s">
        <v>1992</v>
      </c>
      <c r="B1663" s="17" t="n">
        <v>45987</v>
      </c>
      <c r="C1663" s="4" t="n">
        <v>11</v>
      </c>
      <c r="D1663" s="4" t="s">
        <v>64</v>
      </c>
      <c r="E1663" s="4" t="s">
        <v>99</v>
      </c>
      <c r="F1663" s="4" t="s">
        <v>109</v>
      </c>
      <c r="G1663" s="4" t="n">
        <v>1</v>
      </c>
      <c r="H1663" s="4" t="n">
        <v>130</v>
      </c>
      <c r="I1663" s="18" t="n">
        <v>0</v>
      </c>
      <c r="J1663" s="4" t="s">
        <v>67</v>
      </c>
      <c r="K1663" s="4" t="s">
        <v>68</v>
      </c>
    </row>
    <row r="1664" customFormat="false" ht="15" hidden="false" customHeight="false" outlineLevel="0" collapsed="false">
      <c r="A1664" s="4" t="s">
        <v>1993</v>
      </c>
      <c r="B1664" s="17" t="n">
        <v>45987</v>
      </c>
      <c r="C1664" s="4" t="n">
        <v>12</v>
      </c>
      <c r="D1664" s="4" t="s">
        <v>70</v>
      </c>
      <c r="E1664" s="4" t="s">
        <v>99</v>
      </c>
      <c r="F1664" s="4" t="s">
        <v>102</v>
      </c>
      <c r="G1664" s="4" t="n">
        <v>2</v>
      </c>
      <c r="H1664" s="4" t="n">
        <v>140</v>
      </c>
      <c r="I1664" s="18" t="n">
        <v>0</v>
      </c>
      <c r="J1664" s="4" t="s">
        <v>76</v>
      </c>
      <c r="K1664" s="4" t="s">
        <v>77</v>
      </c>
    </row>
    <row r="1665" customFormat="false" ht="15" hidden="false" customHeight="false" outlineLevel="0" collapsed="false">
      <c r="A1665" s="4" t="s">
        <v>1994</v>
      </c>
      <c r="B1665" s="17" t="n">
        <v>45987</v>
      </c>
      <c r="C1665" s="4" t="n">
        <v>17</v>
      </c>
      <c r="D1665" s="4" t="s">
        <v>64</v>
      </c>
      <c r="E1665" s="4" t="s">
        <v>84</v>
      </c>
      <c r="F1665" s="4" t="s">
        <v>114</v>
      </c>
      <c r="G1665" s="4" t="n">
        <v>2</v>
      </c>
      <c r="H1665" s="4" t="n">
        <v>85</v>
      </c>
      <c r="I1665" s="18" t="n">
        <v>0</v>
      </c>
      <c r="J1665" s="4" t="s">
        <v>67</v>
      </c>
      <c r="K1665" s="4" t="s">
        <v>68</v>
      </c>
    </row>
    <row r="1666" customFormat="false" ht="15" hidden="false" customHeight="false" outlineLevel="0" collapsed="false">
      <c r="A1666" s="4" t="s">
        <v>1994</v>
      </c>
      <c r="B1666" s="17" t="n">
        <v>45987</v>
      </c>
      <c r="C1666" s="4" t="n">
        <v>17</v>
      </c>
      <c r="D1666" s="4" t="s">
        <v>64</v>
      </c>
      <c r="E1666" s="4" t="s">
        <v>84</v>
      </c>
      <c r="F1666" s="4" t="s">
        <v>114</v>
      </c>
      <c r="G1666" s="4" t="n">
        <v>2</v>
      </c>
      <c r="H1666" s="4" t="n">
        <v>85</v>
      </c>
      <c r="I1666" s="18" t="n">
        <v>0</v>
      </c>
      <c r="J1666" s="4" t="s">
        <v>67</v>
      </c>
      <c r="K1666" s="4" t="s">
        <v>68</v>
      </c>
    </row>
    <row r="1667" customFormat="false" ht="15" hidden="false" customHeight="false" outlineLevel="0" collapsed="false">
      <c r="A1667" s="4" t="s">
        <v>1995</v>
      </c>
      <c r="B1667" s="17" t="n">
        <v>45988</v>
      </c>
      <c r="C1667" s="4" t="n">
        <v>8</v>
      </c>
      <c r="D1667" s="4" t="s">
        <v>70</v>
      </c>
      <c r="E1667" s="4" t="s">
        <v>65</v>
      </c>
      <c r="F1667" s="4" t="s">
        <v>66</v>
      </c>
      <c r="G1667" s="4" t="n">
        <v>2</v>
      </c>
      <c r="H1667" s="4" t="n">
        <v>120</v>
      </c>
      <c r="I1667" s="18" t="n">
        <v>0.1</v>
      </c>
      <c r="J1667" s="4" t="s">
        <v>76</v>
      </c>
      <c r="K1667" s="4" t="s">
        <v>71</v>
      </c>
    </row>
    <row r="1668" customFormat="false" ht="15" hidden="false" customHeight="false" outlineLevel="0" collapsed="false">
      <c r="A1668" s="4" t="s">
        <v>1996</v>
      </c>
      <c r="B1668" s="17" t="n">
        <v>45988</v>
      </c>
      <c r="C1668" s="4" t="n">
        <v>11</v>
      </c>
      <c r="D1668" s="4" t="s">
        <v>73</v>
      </c>
      <c r="E1668" s="4" t="s">
        <v>99</v>
      </c>
      <c r="F1668" s="4" t="s">
        <v>133</v>
      </c>
      <c r="G1668" s="4" t="n">
        <v>1</v>
      </c>
      <c r="H1668" s="4" t="n">
        <v>90</v>
      </c>
      <c r="I1668" s="18" t="n">
        <v>0.05</v>
      </c>
      <c r="J1668" s="4" t="s">
        <v>76</v>
      </c>
      <c r="K1668" s="4" t="s">
        <v>82</v>
      </c>
    </row>
    <row r="1669" customFormat="false" ht="15" hidden="false" customHeight="false" outlineLevel="0" collapsed="false">
      <c r="A1669" s="4" t="s">
        <v>1997</v>
      </c>
      <c r="B1669" s="17" t="n">
        <v>45988</v>
      </c>
      <c r="C1669" s="4" t="n">
        <v>15</v>
      </c>
      <c r="D1669" s="4" t="s">
        <v>64</v>
      </c>
      <c r="E1669" s="4" t="s">
        <v>74</v>
      </c>
      <c r="F1669" s="4" t="s">
        <v>75</v>
      </c>
      <c r="G1669" s="4" t="n">
        <v>1</v>
      </c>
      <c r="H1669" s="4" t="n">
        <v>220</v>
      </c>
      <c r="I1669" s="18" t="n">
        <v>0.05</v>
      </c>
      <c r="J1669" s="4" t="s">
        <v>67</v>
      </c>
      <c r="K1669" s="4" t="s">
        <v>82</v>
      </c>
    </row>
    <row r="1670" customFormat="false" ht="15" hidden="false" customHeight="false" outlineLevel="0" collapsed="false">
      <c r="A1670" s="4" t="s">
        <v>1998</v>
      </c>
      <c r="B1670" s="17" t="n">
        <v>45989</v>
      </c>
      <c r="C1670" s="4" t="n">
        <v>7</v>
      </c>
      <c r="D1670" s="4" t="s">
        <v>70</v>
      </c>
      <c r="E1670" s="4" t="s">
        <v>430</v>
      </c>
      <c r="F1670" s="4" t="s">
        <v>66</v>
      </c>
      <c r="G1670" s="4" t="n">
        <v>1</v>
      </c>
      <c r="H1670" s="4" t="n">
        <v>120</v>
      </c>
      <c r="I1670" s="18" t="n">
        <v>0.05</v>
      </c>
      <c r="J1670" s="4" t="s">
        <v>81</v>
      </c>
      <c r="K1670" s="4" t="s">
        <v>82</v>
      </c>
    </row>
    <row r="1671" customFormat="false" ht="15" hidden="false" customHeight="false" outlineLevel="0" collapsed="false">
      <c r="A1671" s="4" t="s">
        <v>1999</v>
      </c>
      <c r="B1671" s="17" t="n">
        <v>45989</v>
      </c>
      <c r="C1671" s="4" t="n">
        <v>8</v>
      </c>
      <c r="D1671" s="4" t="s">
        <v>64</v>
      </c>
      <c r="E1671" s="4" t="s">
        <v>65</v>
      </c>
      <c r="F1671" s="4" t="s">
        <v>94</v>
      </c>
      <c r="G1671" s="4" t="n">
        <v>3</v>
      </c>
      <c r="H1671" s="4" t="n">
        <v>150</v>
      </c>
      <c r="I1671" s="18" t="n">
        <v>0.1</v>
      </c>
      <c r="J1671" s="4" t="s">
        <v>67</v>
      </c>
      <c r="K1671" s="4" t="s">
        <v>77</v>
      </c>
    </row>
    <row r="1672" customFormat="false" ht="15" hidden="false" customHeight="false" outlineLevel="0" collapsed="false">
      <c r="A1672" s="4" t="s">
        <v>2000</v>
      </c>
      <c r="B1672" s="4" t="s">
        <v>2001</v>
      </c>
      <c r="C1672" s="4" t="n">
        <v>8</v>
      </c>
      <c r="D1672" s="4" t="s">
        <v>70</v>
      </c>
      <c r="E1672" s="4" t="s">
        <v>65</v>
      </c>
      <c r="F1672" s="4" t="s">
        <v>66</v>
      </c>
      <c r="G1672" s="4" t="n">
        <v>1</v>
      </c>
      <c r="H1672" s="4" t="n">
        <v>120</v>
      </c>
      <c r="I1672" s="18" t="n">
        <v>0</v>
      </c>
      <c r="J1672" s="4" t="s">
        <v>67</v>
      </c>
      <c r="K1672" s="4" t="s">
        <v>68</v>
      </c>
    </row>
    <row r="1673" customFormat="false" ht="15" hidden="false" customHeight="false" outlineLevel="0" collapsed="false">
      <c r="A1673" s="4" t="s">
        <v>2002</v>
      </c>
      <c r="B1673" s="17" t="n">
        <v>45989</v>
      </c>
      <c r="C1673" s="4" t="n">
        <v>9</v>
      </c>
      <c r="D1673" s="4" t="s">
        <v>73</v>
      </c>
      <c r="E1673" s="4" t="s">
        <v>84</v>
      </c>
      <c r="F1673" s="4" t="s">
        <v>117</v>
      </c>
      <c r="G1673" s="4" t="n">
        <v>2</v>
      </c>
      <c r="H1673" s="4" t="n">
        <v>95</v>
      </c>
      <c r="I1673" s="18" t="n">
        <v>0.15</v>
      </c>
      <c r="J1673" s="4" t="s">
        <v>67</v>
      </c>
      <c r="K1673" s="4" t="s">
        <v>77</v>
      </c>
    </row>
    <row r="1674" customFormat="false" ht="15" hidden="false" customHeight="false" outlineLevel="0" collapsed="false">
      <c r="A1674" s="4" t="s">
        <v>2003</v>
      </c>
      <c r="B1674" s="17" t="n">
        <v>45989</v>
      </c>
      <c r="C1674" s="4" t="n">
        <v>10</v>
      </c>
      <c r="D1674" s="4" t="s">
        <v>64</v>
      </c>
      <c r="E1674" s="4" t="s">
        <v>99</v>
      </c>
      <c r="F1674" s="4" t="s">
        <v>100</v>
      </c>
      <c r="G1674" s="4" t="n">
        <v>2</v>
      </c>
      <c r="H1674" s="4" t="n">
        <v>110</v>
      </c>
      <c r="I1674" s="18" t="n">
        <v>0.1</v>
      </c>
      <c r="K1674" s="4" t="s">
        <v>68</v>
      </c>
    </row>
    <row r="1675" customFormat="false" ht="15" hidden="false" customHeight="false" outlineLevel="0" collapsed="false">
      <c r="A1675" s="4" t="s">
        <v>2004</v>
      </c>
      <c r="B1675" s="17" t="n">
        <v>45989</v>
      </c>
      <c r="C1675" s="4" t="n">
        <v>12</v>
      </c>
      <c r="D1675" s="4" t="s">
        <v>119</v>
      </c>
      <c r="E1675" s="4" t="s">
        <v>99</v>
      </c>
      <c r="F1675" s="4" t="s">
        <v>109</v>
      </c>
      <c r="G1675" s="4" t="n">
        <v>1</v>
      </c>
      <c r="H1675" s="4" t="n">
        <v>130</v>
      </c>
      <c r="I1675" s="18" t="n">
        <v>0</v>
      </c>
      <c r="J1675" s="4" t="s">
        <v>81</v>
      </c>
      <c r="K1675" s="4" t="s">
        <v>77</v>
      </c>
    </row>
    <row r="1676" customFormat="false" ht="15" hidden="false" customHeight="false" outlineLevel="0" collapsed="false">
      <c r="A1676" s="4" t="s">
        <v>2005</v>
      </c>
      <c r="B1676" s="17" t="n">
        <v>45989</v>
      </c>
      <c r="C1676" s="4" t="n">
        <v>17</v>
      </c>
      <c r="D1676" s="4" t="s">
        <v>119</v>
      </c>
      <c r="E1676" s="4" t="s">
        <v>79</v>
      </c>
      <c r="F1676" s="4" t="s">
        <v>135</v>
      </c>
      <c r="G1676" s="4" t="n">
        <v>1</v>
      </c>
      <c r="H1676" s="4" t="n">
        <v>130</v>
      </c>
      <c r="I1676" s="18" t="n">
        <v>0</v>
      </c>
      <c r="J1676" s="4" t="s">
        <v>88</v>
      </c>
      <c r="K1676" s="4" t="s">
        <v>68</v>
      </c>
    </row>
    <row r="1677" customFormat="false" ht="15" hidden="false" customHeight="false" outlineLevel="0" collapsed="false">
      <c r="A1677" s="4" t="s">
        <v>2006</v>
      </c>
      <c r="B1677" s="4" t="s">
        <v>2007</v>
      </c>
      <c r="C1677" s="4" t="n">
        <v>17</v>
      </c>
      <c r="D1677" s="4" t="s">
        <v>64</v>
      </c>
      <c r="E1677" s="4" t="s">
        <v>65</v>
      </c>
      <c r="F1677" s="4" t="s">
        <v>94</v>
      </c>
      <c r="G1677" s="4" t="n">
        <v>3</v>
      </c>
      <c r="H1677" s="4" t="n">
        <v>150</v>
      </c>
      <c r="I1677" s="18" t="n">
        <v>0</v>
      </c>
      <c r="J1677" s="4" t="s">
        <v>67</v>
      </c>
      <c r="K1677" s="4" t="s">
        <v>68</v>
      </c>
    </row>
    <row r="1678" customFormat="false" ht="15" hidden="false" customHeight="false" outlineLevel="0" collapsed="false">
      <c r="A1678" s="4" t="s">
        <v>2008</v>
      </c>
      <c r="B1678" s="17" t="n">
        <v>45989</v>
      </c>
      <c r="C1678" s="4" t="n">
        <v>17</v>
      </c>
      <c r="D1678" s="4" t="s">
        <v>119</v>
      </c>
      <c r="E1678" s="4" t="s">
        <v>84</v>
      </c>
      <c r="F1678" s="4" t="s">
        <v>114</v>
      </c>
      <c r="G1678" s="4" t="n">
        <v>1</v>
      </c>
      <c r="H1678" s="4" t="n">
        <v>85</v>
      </c>
      <c r="I1678" s="18" t="n">
        <v>0.05</v>
      </c>
      <c r="J1678" s="4" t="s">
        <v>112</v>
      </c>
      <c r="K1678" s="4" t="s">
        <v>82</v>
      </c>
    </row>
    <row r="1679" customFormat="false" ht="15" hidden="false" customHeight="false" outlineLevel="0" collapsed="false">
      <c r="A1679" s="4" t="s">
        <v>2009</v>
      </c>
      <c r="B1679" s="4" t="s">
        <v>2007</v>
      </c>
      <c r="C1679" s="4" t="n">
        <v>19</v>
      </c>
      <c r="D1679" s="4" t="s">
        <v>70</v>
      </c>
      <c r="E1679" s="4" t="s">
        <v>84</v>
      </c>
      <c r="F1679" s="4" t="s">
        <v>2010</v>
      </c>
      <c r="G1679" s="4" t="n">
        <v>1</v>
      </c>
      <c r="H1679" s="4" t="n">
        <v>150</v>
      </c>
      <c r="J1679" s="4" t="s">
        <v>112</v>
      </c>
      <c r="K1679" s="4" t="s">
        <v>71</v>
      </c>
    </row>
    <row r="1680" customFormat="false" ht="15" hidden="false" customHeight="false" outlineLevel="0" collapsed="false">
      <c r="A1680" s="4" t="s">
        <v>2011</v>
      </c>
      <c r="B1680" s="17" t="n">
        <v>45989</v>
      </c>
      <c r="C1680" s="4" t="n">
        <v>19</v>
      </c>
      <c r="D1680" s="4" t="s">
        <v>153</v>
      </c>
      <c r="E1680" s="4" t="s">
        <v>99</v>
      </c>
      <c r="F1680" s="4" t="s">
        <v>102</v>
      </c>
      <c r="G1680" s="4" t="n">
        <v>1</v>
      </c>
      <c r="H1680" s="4" t="n">
        <v>140</v>
      </c>
      <c r="I1680" s="18" t="n">
        <v>0.1</v>
      </c>
      <c r="J1680" s="4" t="s">
        <v>67</v>
      </c>
      <c r="K1680" s="4" t="s">
        <v>71</v>
      </c>
    </row>
    <row r="1681" customFormat="false" ht="15" hidden="false" customHeight="false" outlineLevel="0" collapsed="false">
      <c r="A1681" s="4" t="s">
        <v>2012</v>
      </c>
      <c r="B1681" s="17" t="n">
        <v>45990</v>
      </c>
      <c r="C1681" s="4" t="n">
        <v>7</v>
      </c>
      <c r="D1681" s="4" t="s">
        <v>70</v>
      </c>
      <c r="E1681" s="4" t="s">
        <v>65</v>
      </c>
      <c r="F1681" s="4" t="s">
        <v>94</v>
      </c>
      <c r="G1681" s="4" t="n">
        <v>1</v>
      </c>
      <c r="H1681" s="4" t="n">
        <v>150</v>
      </c>
      <c r="I1681" s="18" t="n">
        <v>0.1</v>
      </c>
      <c r="J1681" s="4" t="s">
        <v>76</v>
      </c>
      <c r="K1681" s="4" t="s">
        <v>71</v>
      </c>
    </row>
    <row r="1682" customFormat="false" ht="15" hidden="false" customHeight="false" outlineLevel="0" collapsed="false">
      <c r="A1682" s="4" t="s">
        <v>2013</v>
      </c>
      <c r="B1682" s="17" t="n">
        <v>45990</v>
      </c>
      <c r="C1682" s="4" t="n">
        <v>9</v>
      </c>
      <c r="D1682" s="4" t="s">
        <v>98</v>
      </c>
      <c r="E1682" s="4" t="s">
        <v>99</v>
      </c>
      <c r="F1682" s="4" t="s">
        <v>102</v>
      </c>
      <c r="G1682" s="4" t="n">
        <v>3</v>
      </c>
      <c r="H1682" s="4" t="n">
        <v>140</v>
      </c>
      <c r="I1682" s="18" t="n">
        <v>0.1</v>
      </c>
      <c r="J1682" s="4" t="s">
        <v>88</v>
      </c>
      <c r="K1682" s="4" t="s">
        <v>71</v>
      </c>
    </row>
    <row r="1683" customFormat="false" ht="15" hidden="false" customHeight="false" outlineLevel="0" collapsed="false">
      <c r="A1683" s="4" t="s">
        <v>2014</v>
      </c>
      <c r="B1683" s="17" t="n">
        <v>45990</v>
      </c>
      <c r="C1683" s="4" t="n">
        <v>12</v>
      </c>
      <c r="D1683" s="4" t="s">
        <v>70</v>
      </c>
      <c r="E1683" s="4" t="s">
        <v>65</v>
      </c>
      <c r="F1683" s="4" t="s">
        <v>94</v>
      </c>
      <c r="G1683" s="4" t="n">
        <v>1</v>
      </c>
      <c r="H1683" s="4" t="n">
        <v>150</v>
      </c>
      <c r="I1683" s="18" t="n">
        <v>0</v>
      </c>
      <c r="J1683" s="4" t="s">
        <v>112</v>
      </c>
      <c r="K1683" s="4" t="s">
        <v>68</v>
      </c>
    </row>
    <row r="1684" customFormat="false" ht="15" hidden="false" customHeight="false" outlineLevel="0" collapsed="false">
      <c r="A1684" s="4" t="s">
        <v>2015</v>
      </c>
      <c r="B1684" s="17" t="n">
        <v>45990</v>
      </c>
      <c r="C1684" s="4" t="n">
        <v>15</v>
      </c>
      <c r="D1684" s="4" t="s">
        <v>64</v>
      </c>
      <c r="E1684" s="4" t="s">
        <v>65</v>
      </c>
      <c r="F1684" s="4" t="s">
        <v>121</v>
      </c>
      <c r="G1684" s="4" t="n">
        <v>1</v>
      </c>
      <c r="H1684" s="4" t="n">
        <v>170</v>
      </c>
      <c r="I1684" s="18" t="n">
        <v>0</v>
      </c>
      <c r="J1684" s="4" t="s">
        <v>67</v>
      </c>
      <c r="K1684" s="4" t="s">
        <v>77</v>
      </c>
    </row>
    <row r="1685" customFormat="false" ht="15" hidden="false" customHeight="false" outlineLevel="0" collapsed="false">
      <c r="A1685" s="4" t="s">
        <v>2016</v>
      </c>
      <c r="B1685" s="4" t="s">
        <v>2017</v>
      </c>
      <c r="C1685" s="4" t="n">
        <v>15</v>
      </c>
      <c r="D1685" s="4" t="s">
        <v>70</v>
      </c>
      <c r="E1685" s="4" t="s">
        <v>65</v>
      </c>
      <c r="F1685" s="4" t="s">
        <v>66</v>
      </c>
      <c r="G1685" s="4" t="n">
        <v>1</v>
      </c>
      <c r="H1685" s="4" t="n">
        <v>120</v>
      </c>
      <c r="I1685" s="18" t="n">
        <v>0.15</v>
      </c>
      <c r="J1685" s="4" t="s">
        <v>76</v>
      </c>
      <c r="K1685" s="4" t="s">
        <v>68</v>
      </c>
    </row>
    <row r="1686" customFormat="false" ht="15" hidden="false" customHeight="false" outlineLevel="0" collapsed="false">
      <c r="A1686" s="4" t="s">
        <v>2018</v>
      </c>
      <c r="B1686" s="17" t="n">
        <v>45991</v>
      </c>
      <c r="C1686" s="4" t="n">
        <v>17</v>
      </c>
      <c r="D1686" s="4" t="s">
        <v>98</v>
      </c>
      <c r="E1686" s="4" t="s">
        <v>79</v>
      </c>
      <c r="F1686" s="4" t="s">
        <v>80</v>
      </c>
      <c r="G1686" s="4" t="n">
        <v>2</v>
      </c>
      <c r="H1686" s="4" t="n">
        <v>160</v>
      </c>
      <c r="I1686" s="18" t="n">
        <v>0.1</v>
      </c>
      <c r="J1686" s="4" t="s">
        <v>76</v>
      </c>
      <c r="K1686" s="4" t="s">
        <v>71</v>
      </c>
    </row>
    <row r="1687" customFormat="false" ht="15" hidden="false" customHeight="false" outlineLevel="0" collapsed="false">
      <c r="A1687" s="4" t="s">
        <v>2019</v>
      </c>
      <c r="B1687" s="17" t="n">
        <v>45991</v>
      </c>
      <c r="C1687" s="4" t="n">
        <v>18</v>
      </c>
      <c r="D1687" s="4" t="s">
        <v>98</v>
      </c>
      <c r="E1687" s="4" t="s">
        <v>65</v>
      </c>
      <c r="F1687" s="4" t="s">
        <v>87</v>
      </c>
      <c r="G1687" s="4" t="n">
        <v>1</v>
      </c>
      <c r="H1687" s="4" t="n">
        <v>160</v>
      </c>
      <c r="J1687" s="4" t="s">
        <v>67</v>
      </c>
      <c r="K1687" s="4" t="s">
        <v>71</v>
      </c>
    </row>
    <row r="1688" customFormat="false" ht="15" hidden="false" customHeight="false" outlineLevel="0" collapsed="false">
      <c r="A1688" s="4" t="s">
        <v>2020</v>
      </c>
      <c r="B1688" s="17" t="n">
        <v>45992</v>
      </c>
      <c r="C1688" s="4" t="n">
        <v>7</v>
      </c>
      <c r="D1688" s="4" t="s">
        <v>70</v>
      </c>
      <c r="E1688" s="4" t="s">
        <v>79</v>
      </c>
      <c r="F1688" s="4" t="s">
        <v>80</v>
      </c>
      <c r="G1688" s="4" t="n">
        <v>3</v>
      </c>
      <c r="H1688" s="4" t="n">
        <v>160</v>
      </c>
      <c r="I1688" s="18" t="n">
        <v>0</v>
      </c>
      <c r="J1688" s="4" t="s">
        <v>112</v>
      </c>
      <c r="K1688" s="4" t="s">
        <v>68</v>
      </c>
    </row>
    <row r="1689" customFormat="false" ht="15" hidden="false" customHeight="false" outlineLevel="0" collapsed="false">
      <c r="A1689" s="4" t="s">
        <v>2021</v>
      </c>
      <c r="B1689" s="17" t="n">
        <v>45992</v>
      </c>
      <c r="C1689" s="4" t="n">
        <v>7</v>
      </c>
      <c r="D1689" s="4" t="s">
        <v>70</v>
      </c>
      <c r="E1689" s="4" t="s">
        <v>65</v>
      </c>
      <c r="F1689" s="4" t="s">
        <v>94</v>
      </c>
      <c r="G1689" s="4" t="n">
        <v>4</v>
      </c>
      <c r="H1689" s="4" t="n">
        <v>150</v>
      </c>
      <c r="I1689" s="18" t="n">
        <v>0.1</v>
      </c>
      <c r="J1689" s="4" t="s">
        <v>81</v>
      </c>
      <c r="K1689" s="4" t="s">
        <v>82</v>
      </c>
    </row>
    <row r="1690" customFormat="false" ht="15" hidden="false" customHeight="false" outlineLevel="0" collapsed="false">
      <c r="A1690" s="4" t="s">
        <v>2022</v>
      </c>
      <c r="B1690" s="17" t="n">
        <v>45992</v>
      </c>
      <c r="C1690" s="4" t="n">
        <v>10</v>
      </c>
      <c r="D1690" s="4" t="s">
        <v>98</v>
      </c>
      <c r="E1690" s="4" t="s">
        <v>79</v>
      </c>
      <c r="F1690" s="4" t="s">
        <v>80</v>
      </c>
      <c r="G1690" s="4" t="n">
        <v>1</v>
      </c>
      <c r="H1690" s="4" t="n">
        <v>160</v>
      </c>
      <c r="I1690" s="18" t="n">
        <v>0</v>
      </c>
      <c r="J1690" s="4" t="s">
        <v>81</v>
      </c>
      <c r="K1690" s="4" t="s">
        <v>77</v>
      </c>
    </row>
    <row r="1691" customFormat="false" ht="15" hidden="false" customHeight="false" outlineLevel="0" collapsed="false">
      <c r="A1691" s="4" t="s">
        <v>2023</v>
      </c>
      <c r="B1691" s="17" t="n">
        <v>45992</v>
      </c>
      <c r="C1691" s="4" t="n">
        <v>14</v>
      </c>
      <c r="D1691" s="4" t="s">
        <v>98</v>
      </c>
      <c r="E1691" s="4" t="s">
        <v>99</v>
      </c>
      <c r="F1691" s="4" t="s">
        <v>102</v>
      </c>
      <c r="G1691" s="4" t="n">
        <v>1</v>
      </c>
      <c r="H1691" s="4" t="n">
        <v>140</v>
      </c>
      <c r="J1691" s="4" t="s">
        <v>76</v>
      </c>
      <c r="K1691" s="4" t="s">
        <v>82</v>
      </c>
    </row>
    <row r="1692" customFormat="false" ht="15" hidden="false" customHeight="false" outlineLevel="0" collapsed="false">
      <c r="A1692" s="4" t="s">
        <v>2024</v>
      </c>
      <c r="B1692" s="17" t="n">
        <v>45992</v>
      </c>
      <c r="C1692" s="4" t="n">
        <v>16</v>
      </c>
      <c r="D1692" s="4" t="s">
        <v>70</v>
      </c>
      <c r="E1692" s="4" t="s">
        <v>99</v>
      </c>
      <c r="F1692" s="4" t="s">
        <v>133</v>
      </c>
      <c r="G1692" s="4" t="n">
        <v>2</v>
      </c>
      <c r="H1692" s="4" t="n">
        <v>90</v>
      </c>
      <c r="I1692" s="18" t="n">
        <v>0</v>
      </c>
      <c r="J1692" s="4" t="s">
        <v>112</v>
      </c>
      <c r="K1692" s="4" t="s">
        <v>77</v>
      </c>
    </row>
    <row r="1693" customFormat="false" ht="15" hidden="false" customHeight="false" outlineLevel="0" collapsed="false">
      <c r="A1693" s="4" t="s">
        <v>2025</v>
      </c>
      <c r="B1693" s="17" t="n">
        <v>45992</v>
      </c>
      <c r="C1693" s="4" t="n">
        <v>20</v>
      </c>
      <c r="D1693" s="4" t="s">
        <v>64</v>
      </c>
      <c r="E1693" s="4" t="s">
        <v>84</v>
      </c>
      <c r="F1693" s="4" t="s">
        <v>114</v>
      </c>
      <c r="G1693" s="4" t="n">
        <v>2</v>
      </c>
      <c r="H1693" s="4" t="n">
        <v>85</v>
      </c>
      <c r="I1693" s="18" t="n">
        <v>0</v>
      </c>
      <c r="J1693" s="4" t="s">
        <v>67</v>
      </c>
      <c r="K1693" s="4" t="s">
        <v>68</v>
      </c>
    </row>
    <row r="1694" customFormat="false" ht="15" hidden="false" customHeight="false" outlineLevel="0" collapsed="false">
      <c r="A1694" s="4" t="s">
        <v>2026</v>
      </c>
      <c r="B1694" s="4" t="s">
        <v>2027</v>
      </c>
      <c r="C1694" s="4" t="n">
        <v>7</v>
      </c>
      <c r="D1694" s="4" t="s">
        <v>70</v>
      </c>
      <c r="E1694" s="4" t="s">
        <v>65</v>
      </c>
      <c r="F1694" s="4" t="s">
        <v>94</v>
      </c>
      <c r="G1694" s="4" t="n">
        <v>1</v>
      </c>
      <c r="H1694" s="4" t="n">
        <v>150</v>
      </c>
      <c r="I1694" s="18" t="n">
        <v>0.05</v>
      </c>
      <c r="J1694" s="4" t="s">
        <v>81</v>
      </c>
      <c r="K1694" s="4" t="s">
        <v>82</v>
      </c>
    </row>
    <row r="1695" customFormat="false" ht="15" hidden="false" customHeight="false" outlineLevel="0" collapsed="false">
      <c r="A1695" s="4" t="s">
        <v>2028</v>
      </c>
      <c r="B1695" s="17" t="n">
        <v>45993</v>
      </c>
      <c r="C1695" s="4" t="n">
        <v>8</v>
      </c>
      <c r="D1695" s="4" t="s">
        <v>73</v>
      </c>
      <c r="E1695" s="4" t="s">
        <v>84</v>
      </c>
      <c r="F1695" s="4" t="s">
        <v>114</v>
      </c>
      <c r="G1695" s="4" t="n">
        <v>3</v>
      </c>
      <c r="H1695" s="4" t="n">
        <v>85</v>
      </c>
      <c r="I1695" s="18" t="n">
        <v>0.2</v>
      </c>
      <c r="J1695" s="4" t="s">
        <v>81</v>
      </c>
      <c r="K1695" s="4" t="s">
        <v>68</v>
      </c>
    </row>
    <row r="1696" customFormat="false" ht="15" hidden="false" customHeight="false" outlineLevel="0" collapsed="false">
      <c r="A1696" s="4" t="s">
        <v>2029</v>
      </c>
      <c r="B1696" s="17" t="n">
        <v>45993</v>
      </c>
      <c r="C1696" s="4" t="n">
        <v>12</v>
      </c>
      <c r="D1696" s="4" t="s">
        <v>73</v>
      </c>
      <c r="E1696" s="4" t="s">
        <v>99</v>
      </c>
      <c r="F1696" s="4" t="s">
        <v>109</v>
      </c>
      <c r="G1696" s="4" t="n">
        <v>1</v>
      </c>
      <c r="H1696" s="4" t="n">
        <v>130</v>
      </c>
      <c r="I1696" s="18" t="n">
        <v>0.1</v>
      </c>
      <c r="J1696" s="4" t="s">
        <v>67</v>
      </c>
      <c r="K1696" s="4" t="s">
        <v>71</v>
      </c>
    </row>
    <row r="1697" customFormat="false" ht="15" hidden="false" customHeight="false" outlineLevel="0" collapsed="false">
      <c r="A1697" s="4" t="s">
        <v>2030</v>
      </c>
      <c r="B1697" s="4" t="s">
        <v>2027</v>
      </c>
      <c r="C1697" s="4" t="n">
        <v>13</v>
      </c>
      <c r="D1697" s="4" t="s">
        <v>70</v>
      </c>
      <c r="E1697" s="4" t="s">
        <v>65</v>
      </c>
      <c r="F1697" s="4" t="s">
        <v>94</v>
      </c>
      <c r="G1697" s="4" t="n">
        <v>2</v>
      </c>
      <c r="H1697" s="4" t="n">
        <v>150</v>
      </c>
      <c r="I1697" s="18" t="n">
        <v>0.05</v>
      </c>
      <c r="J1697" s="4" t="s">
        <v>67</v>
      </c>
      <c r="K1697" s="4" t="s">
        <v>82</v>
      </c>
    </row>
    <row r="1698" customFormat="false" ht="15" hidden="false" customHeight="false" outlineLevel="0" collapsed="false">
      <c r="A1698" s="4" t="s">
        <v>2031</v>
      </c>
      <c r="B1698" s="17" t="n">
        <v>45993</v>
      </c>
      <c r="C1698" s="4" t="n">
        <v>15</v>
      </c>
      <c r="D1698" s="4" t="s">
        <v>64</v>
      </c>
      <c r="E1698" s="4" t="s">
        <v>403</v>
      </c>
      <c r="F1698" s="4" t="s">
        <v>102</v>
      </c>
      <c r="G1698" s="4" t="n">
        <v>2</v>
      </c>
      <c r="H1698" s="4" t="n">
        <v>140</v>
      </c>
      <c r="I1698" s="18" t="n">
        <v>0</v>
      </c>
      <c r="J1698" s="4" t="s">
        <v>923</v>
      </c>
      <c r="K1698" s="4" t="s">
        <v>68</v>
      </c>
    </row>
    <row r="1699" customFormat="false" ht="15" hidden="false" customHeight="false" outlineLevel="0" collapsed="false">
      <c r="A1699" s="4" t="s">
        <v>2031</v>
      </c>
      <c r="B1699" s="17" t="n">
        <v>45993</v>
      </c>
      <c r="C1699" s="4" t="n">
        <v>15</v>
      </c>
      <c r="D1699" s="4" t="s">
        <v>64</v>
      </c>
      <c r="E1699" s="4" t="s">
        <v>403</v>
      </c>
      <c r="F1699" s="4" t="s">
        <v>102</v>
      </c>
      <c r="G1699" s="4" t="n">
        <v>2</v>
      </c>
      <c r="H1699" s="4" t="n">
        <v>140</v>
      </c>
      <c r="I1699" s="18" t="n">
        <v>0</v>
      </c>
      <c r="J1699" s="4" t="s">
        <v>923</v>
      </c>
      <c r="K1699" s="4" t="s">
        <v>68</v>
      </c>
    </row>
    <row r="1700" customFormat="false" ht="15" hidden="false" customHeight="false" outlineLevel="0" collapsed="false">
      <c r="A1700" s="4" t="s">
        <v>2032</v>
      </c>
      <c r="B1700" s="17" t="n">
        <v>45993</v>
      </c>
      <c r="C1700" s="4" t="n">
        <v>16</v>
      </c>
      <c r="D1700" s="4" t="s">
        <v>73</v>
      </c>
      <c r="E1700" s="4" t="s">
        <v>74</v>
      </c>
      <c r="F1700" s="4" t="s">
        <v>75</v>
      </c>
      <c r="G1700" s="4" t="n">
        <v>1</v>
      </c>
      <c r="H1700" s="4" t="n">
        <v>220</v>
      </c>
      <c r="I1700" s="18" t="n">
        <v>0</v>
      </c>
      <c r="J1700" s="4" t="s">
        <v>67</v>
      </c>
      <c r="K1700" s="4" t="s">
        <v>77</v>
      </c>
    </row>
    <row r="1701" customFormat="false" ht="15" hidden="false" customHeight="false" outlineLevel="0" collapsed="false">
      <c r="A1701" s="4" t="s">
        <v>2033</v>
      </c>
      <c r="B1701" s="17" t="n">
        <v>45993</v>
      </c>
      <c r="C1701" s="4" t="n">
        <v>17</v>
      </c>
      <c r="D1701" s="4" t="s">
        <v>73</v>
      </c>
      <c r="E1701" s="4" t="s">
        <v>74</v>
      </c>
      <c r="F1701" s="4" t="s">
        <v>91</v>
      </c>
      <c r="G1701" s="4" t="n">
        <v>4</v>
      </c>
      <c r="H1701" s="4" t="n">
        <v>200</v>
      </c>
      <c r="I1701" s="18" t="n">
        <v>0.1</v>
      </c>
      <c r="J1701" s="4" t="s">
        <v>76</v>
      </c>
      <c r="K1701" s="4" t="s">
        <v>82</v>
      </c>
    </row>
    <row r="1702" customFormat="false" ht="15" hidden="false" customHeight="false" outlineLevel="0" collapsed="false">
      <c r="A1702" s="4" t="s">
        <v>2034</v>
      </c>
      <c r="B1702" s="17" t="n">
        <v>45994</v>
      </c>
      <c r="C1702" s="4" t="n">
        <v>7</v>
      </c>
      <c r="D1702" s="4" t="s">
        <v>73</v>
      </c>
      <c r="E1702" s="4" t="s">
        <v>65</v>
      </c>
      <c r="F1702" s="4" t="s">
        <v>121</v>
      </c>
      <c r="G1702" s="4" t="n">
        <v>1</v>
      </c>
      <c r="H1702" s="4" t="n">
        <v>170</v>
      </c>
      <c r="I1702" s="18" t="n">
        <v>0</v>
      </c>
      <c r="J1702" s="4" t="s">
        <v>81</v>
      </c>
      <c r="K1702" s="4" t="s">
        <v>68</v>
      </c>
    </row>
    <row r="1703" customFormat="false" ht="15" hidden="false" customHeight="false" outlineLevel="0" collapsed="false">
      <c r="A1703" s="4" t="s">
        <v>2035</v>
      </c>
      <c r="B1703" s="17" t="n">
        <v>45994</v>
      </c>
      <c r="C1703" s="4" t="n">
        <v>7</v>
      </c>
      <c r="D1703" s="4" t="s">
        <v>64</v>
      </c>
      <c r="E1703" s="4" t="s">
        <v>99</v>
      </c>
      <c r="F1703" s="4" t="s">
        <v>102</v>
      </c>
      <c r="G1703" s="4" t="n">
        <v>2</v>
      </c>
      <c r="H1703" s="4" t="n">
        <v>140</v>
      </c>
      <c r="I1703" s="18" t="n">
        <v>0</v>
      </c>
      <c r="J1703" s="4" t="s">
        <v>67</v>
      </c>
      <c r="K1703" s="4" t="s">
        <v>77</v>
      </c>
    </row>
    <row r="1704" customFormat="false" ht="15" hidden="false" customHeight="false" outlineLevel="0" collapsed="false">
      <c r="A1704" s="4" t="s">
        <v>2036</v>
      </c>
      <c r="B1704" s="17" t="n">
        <v>45994</v>
      </c>
      <c r="C1704" s="4" t="n">
        <v>9</v>
      </c>
      <c r="D1704" s="4" t="s">
        <v>98</v>
      </c>
      <c r="E1704" s="4" t="s">
        <v>99</v>
      </c>
      <c r="F1704" s="4" t="s">
        <v>102</v>
      </c>
      <c r="G1704" s="4" t="n">
        <v>2</v>
      </c>
      <c r="H1704" s="4" t="n">
        <v>140</v>
      </c>
      <c r="I1704" s="18" t="n">
        <v>0.1</v>
      </c>
      <c r="J1704" s="4" t="s">
        <v>81</v>
      </c>
      <c r="K1704" s="4" t="s">
        <v>71</v>
      </c>
    </row>
    <row r="1705" customFormat="false" ht="15" hidden="false" customHeight="false" outlineLevel="0" collapsed="false">
      <c r="A1705" s="4" t="s">
        <v>2037</v>
      </c>
      <c r="B1705" s="17" t="n">
        <v>45994</v>
      </c>
      <c r="C1705" s="4" t="n">
        <v>12</v>
      </c>
      <c r="D1705" s="4" t="s">
        <v>938</v>
      </c>
      <c r="E1705" s="4" t="s">
        <v>74</v>
      </c>
      <c r="F1705" s="4" t="s">
        <v>75</v>
      </c>
      <c r="G1705" s="4" t="n">
        <v>1</v>
      </c>
      <c r="H1705" s="4" t="n">
        <v>220</v>
      </c>
      <c r="I1705" s="18" t="n">
        <v>0</v>
      </c>
      <c r="J1705" s="4" t="s">
        <v>76</v>
      </c>
      <c r="K1705" s="4" t="s">
        <v>68</v>
      </c>
    </row>
    <row r="1706" customFormat="false" ht="15" hidden="false" customHeight="false" outlineLevel="0" collapsed="false">
      <c r="A1706" s="4" t="s">
        <v>2038</v>
      </c>
      <c r="B1706" s="17" t="n">
        <v>45994</v>
      </c>
      <c r="C1706" s="4" t="n">
        <v>12</v>
      </c>
      <c r="D1706" s="4" t="s">
        <v>172</v>
      </c>
      <c r="E1706" s="4" t="s">
        <v>99</v>
      </c>
      <c r="F1706" s="4" t="s">
        <v>133</v>
      </c>
      <c r="G1706" s="4" t="n">
        <v>2</v>
      </c>
      <c r="H1706" s="4" t="n">
        <v>90</v>
      </c>
      <c r="I1706" s="18" t="n">
        <v>0</v>
      </c>
      <c r="J1706" s="4" t="s">
        <v>76</v>
      </c>
      <c r="K1706" s="4" t="s">
        <v>77</v>
      </c>
    </row>
    <row r="1707" customFormat="false" ht="15" hidden="false" customHeight="false" outlineLevel="0" collapsed="false">
      <c r="A1707" s="4" t="s">
        <v>2039</v>
      </c>
      <c r="B1707" s="17" t="n">
        <v>45995</v>
      </c>
      <c r="C1707" s="4" t="n">
        <v>8</v>
      </c>
      <c r="D1707" s="4" t="s">
        <v>64</v>
      </c>
      <c r="E1707" s="4" t="s">
        <v>99</v>
      </c>
      <c r="F1707" s="4" t="s">
        <v>133</v>
      </c>
      <c r="G1707" s="4" t="n">
        <v>4</v>
      </c>
      <c r="H1707" s="4" t="n">
        <v>90</v>
      </c>
      <c r="I1707" s="18" t="n">
        <v>0.05</v>
      </c>
      <c r="J1707" s="4" t="s">
        <v>81</v>
      </c>
      <c r="K1707" s="4" t="s">
        <v>82</v>
      </c>
    </row>
    <row r="1708" customFormat="false" ht="15" hidden="false" customHeight="false" outlineLevel="0" collapsed="false">
      <c r="A1708" s="4" t="s">
        <v>2040</v>
      </c>
      <c r="B1708" s="17" t="n">
        <v>45995</v>
      </c>
      <c r="C1708" s="4" t="n">
        <v>8</v>
      </c>
      <c r="D1708" s="4" t="s">
        <v>70</v>
      </c>
      <c r="E1708" s="4" t="s">
        <v>79</v>
      </c>
      <c r="F1708" s="4" t="s">
        <v>148</v>
      </c>
      <c r="G1708" s="4" t="n">
        <v>4</v>
      </c>
      <c r="H1708" s="4" t="n">
        <v>120</v>
      </c>
      <c r="I1708" s="18" t="n">
        <v>0</v>
      </c>
      <c r="J1708" s="4" t="s">
        <v>76</v>
      </c>
      <c r="K1708" s="4" t="s">
        <v>68</v>
      </c>
    </row>
    <row r="1709" customFormat="false" ht="15" hidden="false" customHeight="false" outlineLevel="0" collapsed="false">
      <c r="A1709" s="4" t="s">
        <v>2040</v>
      </c>
      <c r="B1709" s="17" t="n">
        <v>45995</v>
      </c>
      <c r="C1709" s="4" t="n">
        <v>8</v>
      </c>
      <c r="D1709" s="4" t="s">
        <v>70</v>
      </c>
      <c r="E1709" s="4" t="s">
        <v>79</v>
      </c>
      <c r="F1709" s="4" t="s">
        <v>148</v>
      </c>
      <c r="G1709" s="4" t="n">
        <v>4</v>
      </c>
      <c r="H1709" s="4" t="n">
        <v>120</v>
      </c>
      <c r="I1709" s="18" t="n">
        <v>0</v>
      </c>
      <c r="J1709" s="4" t="s">
        <v>76</v>
      </c>
      <c r="K1709" s="4" t="s">
        <v>68</v>
      </c>
    </row>
    <row r="1710" customFormat="false" ht="15" hidden="false" customHeight="false" outlineLevel="0" collapsed="false">
      <c r="A1710" s="4" t="s">
        <v>2041</v>
      </c>
      <c r="B1710" s="17" t="n">
        <v>45995</v>
      </c>
      <c r="C1710" s="4" t="n">
        <v>9</v>
      </c>
      <c r="D1710" s="4" t="s">
        <v>64</v>
      </c>
      <c r="E1710" s="4" t="s">
        <v>65</v>
      </c>
      <c r="F1710" s="4" t="s">
        <v>94</v>
      </c>
      <c r="G1710" s="4" t="n">
        <v>2</v>
      </c>
      <c r="H1710" s="4" t="n">
        <v>150</v>
      </c>
      <c r="I1710" s="18" t="n">
        <v>0.05</v>
      </c>
      <c r="J1710" s="4" t="s">
        <v>81</v>
      </c>
      <c r="K1710" s="4" t="s">
        <v>82</v>
      </c>
    </row>
    <row r="1711" customFormat="false" ht="15" hidden="false" customHeight="false" outlineLevel="0" collapsed="false">
      <c r="A1711" s="4" t="s">
        <v>2042</v>
      </c>
      <c r="B1711" s="17" t="n">
        <v>45995</v>
      </c>
      <c r="C1711" s="4" t="n">
        <v>12</v>
      </c>
      <c r="D1711" s="4" t="s">
        <v>98</v>
      </c>
      <c r="E1711" s="4" t="s">
        <v>74</v>
      </c>
      <c r="F1711" s="4" t="s">
        <v>91</v>
      </c>
      <c r="G1711" s="4" t="n">
        <v>1</v>
      </c>
      <c r="H1711" s="4" t="n">
        <v>200</v>
      </c>
      <c r="I1711" s="18" t="n">
        <v>0.1</v>
      </c>
      <c r="J1711" s="4" t="s">
        <v>67</v>
      </c>
      <c r="K1711" s="4" t="s">
        <v>71</v>
      </c>
    </row>
    <row r="1712" customFormat="false" ht="15" hidden="false" customHeight="false" outlineLevel="0" collapsed="false">
      <c r="A1712" s="4" t="s">
        <v>2043</v>
      </c>
      <c r="B1712" s="4" t="s">
        <v>2044</v>
      </c>
      <c r="C1712" s="4" t="n">
        <v>17</v>
      </c>
      <c r="D1712" s="4" t="s">
        <v>98</v>
      </c>
      <c r="E1712" s="4" t="s">
        <v>99</v>
      </c>
      <c r="F1712" s="4" t="s">
        <v>133</v>
      </c>
      <c r="G1712" s="4" t="n">
        <v>1</v>
      </c>
      <c r="H1712" s="4" t="n">
        <v>90</v>
      </c>
      <c r="I1712" s="18" t="n">
        <v>0.1</v>
      </c>
      <c r="J1712" s="4" t="s">
        <v>112</v>
      </c>
      <c r="K1712" s="4" t="s">
        <v>71</v>
      </c>
    </row>
    <row r="1713" customFormat="false" ht="15" hidden="false" customHeight="false" outlineLevel="0" collapsed="false">
      <c r="A1713" s="4" t="s">
        <v>2045</v>
      </c>
      <c r="B1713" s="17" t="n">
        <v>45996</v>
      </c>
      <c r="C1713" s="4" t="n">
        <v>8</v>
      </c>
      <c r="D1713" s="4" t="s">
        <v>166</v>
      </c>
      <c r="E1713" s="4" t="s">
        <v>65</v>
      </c>
      <c r="F1713" s="4" t="s">
        <v>94</v>
      </c>
      <c r="G1713" s="4" t="n">
        <v>2</v>
      </c>
      <c r="H1713" s="4" t="n">
        <v>150</v>
      </c>
      <c r="J1713" s="4" t="s">
        <v>81</v>
      </c>
      <c r="K1713" s="4" t="s">
        <v>71</v>
      </c>
    </row>
    <row r="1714" customFormat="false" ht="15" hidden="false" customHeight="false" outlineLevel="0" collapsed="false">
      <c r="A1714" s="4" t="s">
        <v>2046</v>
      </c>
      <c r="B1714" s="17" t="n">
        <v>45996</v>
      </c>
      <c r="C1714" s="4" t="n">
        <v>8</v>
      </c>
      <c r="D1714" s="4" t="s">
        <v>64</v>
      </c>
      <c r="E1714" s="4" t="s">
        <v>99</v>
      </c>
      <c r="F1714" s="4" t="s">
        <v>109</v>
      </c>
      <c r="G1714" s="4" t="n">
        <v>1</v>
      </c>
      <c r="H1714" s="4" t="n">
        <v>130</v>
      </c>
      <c r="I1714" s="18" t="n">
        <v>0.1</v>
      </c>
      <c r="J1714" s="4" t="s">
        <v>67</v>
      </c>
      <c r="K1714" s="4" t="s">
        <v>71</v>
      </c>
    </row>
    <row r="1715" customFormat="false" ht="15" hidden="false" customHeight="false" outlineLevel="0" collapsed="false">
      <c r="A1715" s="4" t="s">
        <v>2047</v>
      </c>
      <c r="B1715" s="4" t="s">
        <v>2048</v>
      </c>
      <c r="C1715" s="4" t="n">
        <v>13</v>
      </c>
      <c r="D1715" s="4" t="s">
        <v>98</v>
      </c>
      <c r="E1715" s="4" t="s">
        <v>79</v>
      </c>
      <c r="F1715" s="4" t="s">
        <v>148</v>
      </c>
      <c r="G1715" s="4" t="n">
        <v>1</v>
      </c>
      <c r="H1715" s="4" t="n">
        <v>120</v>
      </c>
      <c r="I1715" s="18" t="n">
        <v>0.1</v>
      </c>
      <c r="J1715" s="4" t="s">
        <v>81</v>
      </c>
      <c r="K1715" s="4" t="s">
        <v>71</v>
      </c>
    </row>
    <row r="1716" customFormat="false" ht="15" hidden="false" customHeight="false" outlineLevel="0" collapsed="false">
      <c r="A1716" s="4" t="s">
        <v>2049</v>
      </c>
      <c r="B1716" s="17" t="n">
        <v>45996</v>
      </c>
      <c r="C1716" s="4" t="n">
        <v>17</v>
      </c>
      <c r="D1716" s="4" t="s">
        <v>70</v>
      </c>
      <c r="E1716" s="4" t="s">
        <v>1082</v>
      </c>
      <c r="F1716" s="4" t="s">
        <v>135</v>
      </c>
      <c r="G1716" s="4" t="n">
        <v>1</v>
      </c>
      <c r="H1716" s="4" t="n">
        <v>130</v>
      </c>
      <c r="I1716" s="18" t="n">
        <v>0</v>
      </c>
      <c r="J1716" s="4" t="s">
        <v>81</v>
      </c>
      <c r="K1716" s="4" t="s">
        <v>68</v>
      </c>
    </row>
    <row r="1717" customFormat="false" ht="15" hidden="false" customHeight="false" outlineLevel="0" collapsed="false">
      <c r="A1717" s="4" t="s">
        <v>2050</v>
      </c>
      <c r="B1717" s="17" t="n">
        <v>45997</v>
      </c>
      <c r="C1717" s="4" t="n">
        <v>7</v>
      </c>
      <c r="D1717" s="4" t="s">
        <v>64</v>
      </c>
      <c r="E1717" s="4" t="s">
        <v>65</v>
      </c>
      <c r="F1717" s="4" t="s">
        <v>87</v>
      </c>
      <c r="G1717" s="4" t="n">
        <v>3</v>
      </c>
      <c r="H1717" s="4" t="n">
        <v>160</v>
      </c>
      <c r="J1717" s="4" t="s">
        <v>76</v>
      </c>
      <c r="K1717" s="4" t="s">
        <v>82</v>
      </c>
    </row>
    <row r="1718" customFormat="false" ht="15" hidden="false" customHeight="false" outlineLevel="0" collapsed="false">
      <c r="A1718" s="4" t="s">
        <v>2051</v>
      </c>
      <c r="B1718" s="17" t="n">
        <v>45997</v>
      </c>
      <c r="C1718" s="4" t="n">
        <v>9</v>
      </c>
      <c r="D1718" s="4" t="s">
        <v>98</v>
      </c>
      <c r="E1718" s="4" t="s">
        <v>84</v>
      </c>
      <c r="F1718" s="4" t="s">
        <v>114</v>
      </c>
      <c r="G1718" s="4" t="n">
        <v>2</v>
      </c>
      <c r="H1718" s="4" t="n">
        <v>85</v>
      </c>
      <c r="I1718" s="18" t="n">
        <v>0.1</v>
      </c>
      <c r="J1718" s="4" t="s">
        <v>112</v>
      </c>
      <c r="K1718" s="4" t="s">
        <v>71</v>
      </c>
    </row>
    <row r="1719" customFormat="false" ht="15" hidden="false" customHeight="false" outlineLevel="0" collapsed="false">
      <c r="A1719" s="4" t="s">
        <v>2052</v>
      </c>
      <c r="B1719" s="17" t="n">
        <v>45998</v>
      </c>
      <c r="C1719" s="4" t="n">
        <v>8</v>
      </c>
      <c r="D1719" s="4" t="s">
        <v>108</v>
      </c>
      <c r="E1719" s="4" t="s">
        <v>65</v>
      </c>
      <c r="F1719" s="4" t="s">
        <v>94</v>
      </c>
      <c r="G1719" s="4" t="n">
        <v>3</v>
      </c>
      <c r="H1719" s="4" t="n">
        <v>150</v>
      </c>
      <c r="I1719" s="18" t="n">
        <v>0</v>
      </c>
      <c r="J1719" s="4" t="s">
        <v>81</v>
      </c>
      <c r="K1719" s="4" t="s">
        <v>68</v>
      </c>
    </row>
    <row r="1720" customFormat="false" ht="15" hidden="false" customHeight="false" outlineLevel="0" collapsed="false">
      <c r="A1720" s="4" t="s">
        <v>2053</v>
      </c>
      <c r="B1720" s="17" t="n">
        <v>45998</v>
      </c>
      <c r="C1720" s="4" t="n">
        <v>8</v>
      </c>
      <c r="D1720" s="4" t="s">
        <v>64</v>
      </c>
      <c r="E1720" s="4" t="s">
        <v>84</v>
      </c>
      <c r="F1720" s="4" t="s">
        <v>114</v>
      </c>
      <c r="G1720" s="4" t="n">
        <v>2</v>
      </c>
      <c r="H1720" s="4" t="n">
        <v>85</v>
      </c>
      <c r="I1720" s="18" t="n">
        <v>0.1</v>
      </c>
      <c r="J1720" s="4" t="s">
        <v>67</v>
      </c>
      <c r="K1720" s="4" t="s">
        <v>71</v>
      </c>
    </row>
    <row r="1721" customFormat="false" ht="15" hidden="false" customHeight="false" outlineLevel="0" collapsed="false">
      <c r="A1721" s="4" t="s">
        <v>2054</v>
      </c>
      <c r="B1721" s="17" t="n">
        <v>45998</v>
      </c>
      <c r="C1721" s="4" t="n">
        <v>16</v>
      </c>
      <c r="D1721" s="4" t="s">
        <v>73</v>
      </c>
      <c r="E1721" s="4" t="s">
        <v>364</v>
      </c>
      <c r="F1721" s="4" t="s">
        <v>114</v>
      </c>
      <c r="G1721" s="4" t="n">
        <v>1</v>
      </c>
      <c r="H1721" s="4" t="n">
        <v>85</v>
      </c>
      <c r="I1721" s="18" t="n">
        <v>0.05</v>
      </c>
      <c r="J1721" s="4" t="s">
        <v>67</v>
      </c>
      <c r="K1721" s="4" t="s">
        <v>82</v>
      </c>
    </row>
    <row r="1722" customFormat="false" ht="15" hidden="false" customHeight="false" outlineLevel="0" collapsed="false">
      <c r="A1722" s="4" t="s">
        <v>2055</v>
      </c>
      <c r="B1722" s="17" t="n">
        <v>45999</v>
      </c>
      <c r="C1722" s="4" t="n">
        <v>11</v>
      </c>
      <c r="D1722" s="4" t="s">
        <v>70</v>
      </c>
      <c r="E1722" s="4" t="s">
        <v>302</v>
      </c>
      <c r="F1722" s="4" t="s">
        <v>109</v>
      </c>
      <c r="G1722" s="4" t="n">
        <v>2</v>
      </c>
      <c r="H1722" s="4" t="n">
        <v>130</v>
      </c>
      <c r="I1722" s="18" t="n">
        <v>0.1</v>
      </c>
      <c r="J1722" s="4" t="s">
        <v>76</v>
      </c>
      <c r="K1722" s="4" t="s">
        <v>68</v>
      </c>
    </row>
    <row r="1723" customFormat="false" ht="15" hidden="false" customHeight="false" outlineLevel="0" collapsed="false">
      <c r="A1723" s="4" t="s">
        <v>2056</v>
      </c>
      <c r="B1723" s="17" t="n">
        <v>45999</v>
      </c>
      <c r="C1723" s="4" t="n">
        <v>12</v>
      </c>
      <c r="D1723" s="4" t="s">
        <v>64</v>
      </c>
      <c r="E1723" s="4" t="s">
        <v>79</v>
      </c>
      <c r="F1723" s="4" t="s">
        <v>135</v>
      </c>
      <c r="G1723" s="4" t="n">
        <v>2</v>
      </c>
      <c r="H1723" s="4" t="n">
        <v>130</v>
      </c>
      <c r="J1723" s="4" t="s">
        <v>81</v>
      </c>
      <c r="K1723" s="4" t="s">
        <v>71</v>
      </c>
    </row>
    <row r="1724" customFormat="false" ht="15" hidden="false" customHeight="false" outlineLevel="0" collapsed="false">
      <c r="A1724" s="4" t="s">
        <v>2057</v>
      </c>
      <c r="B1724" s="17" t="n">
        <v>45999</v>
      </c>
      <c r="C1724" s="4" t="n">
        <v>12</v>
      </c>
      <c r="D1724" s="4" t="s">
        <v>98</v>
      </c>
      <c r="E1724" s="4" t="s">
        <v>65</v>
      </c>
      <c r="F1724" s="4" t="s">
        <v>121</v>
      </c>
      <c r="G1724" s="4" t="n">
        <v>1</v>
      </c>
      <c r="H1724" s="4" t="n">
        <v>170</v>
      </c>
      <c r="I1724" s="18" t="n">
        <v>0.05</v>
      </c>
      <c r="J1724" s="4" t="s">
        <v>81</v>
      </c>
      <c r="K1724" s="4" t="s">
        <v>82</v>
      </c>
    </row>
    <row r="1725" customFormat="false" ht="15" hidden="false" customHeight="false" outlineLevel="0" collapsed="false">
      <c r="A1725" s="4" t="s">
        <v>2058</v>
      </c>
      <c r="B1725" s="17" t="n">
        <v>45999</v>
      </c>
      <c r="C1725" s="4" t="n">
        <v>14</v>
      </c>
      <c r="D1725" s="4" t="s">
        <v>73</v>
      </c>
      <c r="E1725" s="4" t="s">
        <v>99</v>
      </c>
      <c r="F1725" s="4" t="s">
        <v>109</v>
      </c>
      <c r="G1725" s="4" t="n">
        <v>3</v>
      </c>
      <c r="H1725" s="4" t="n">
        <v>130</v>
      </c>
      <c r="I1725" s="18" t="n">
        <v>0.1</v>
      </c>
      <c r="J1725" s="4" t="s">
        <v>67</v>
      </c>
      <c r="K1725" s="4" t="s">
        <v>82</v>
      </c>
    </row>
    <row r="1726" customFormat="false" ht="15" hidden="false" customHeight="false" outlineLevel="0" collapsed="false">
      <c r="A1726" s="4" t="s">
        <v>2059</v>
      </c>
      <c r="B1726" s="17" t="n">
        <v>45999</v>
      </c>
      <c r="C1726" s="4" t="n">
        <v>15</v>
      </c>
      <c r="D1726" s="4" t="s">
        <v>70</v>
      </c>
      <c r="E1726" s="4" t="s">
        <v>99</v>
      </c>
      <c r="F1726" s="4" t="s">
        <v>539</v>
      </c>
      <c r="G1726" s="4" t="n">
        <v>1</v>
      </c>
      <c r="H1726" s="4" t="n">
        <v>130</v>
      </c>
      <c r="I1726" s="18" t="n">
        <v>0</v>
      </c>
      <c r="K1726" s="4" t="s">
        <v>68</v>
      </c>
    </row>
    <row r="1727" customFormat="false" ht="15" hidden="false" customHeight="false" outlineLevel="0" collapsed="false">
      <c r="A1727" s="4" t="s">
        <v>2060</v>
      </c>
      <c r="B1727" s="17" t="n">
        <v>46000</v>
      </c>
      <c r="C1727" s="4" t="n">
        <v>8</v>
      </c>
      <c r="D1727" s="4" t="s">
        <v>341</v>
      </c>
      <c r="E1727" s="4" t="s">
        <v>99</v>
      </c>
      <c r="F1727" s="4" t="s">
        <v>100</v>
      </c>
      <c r="G1727" s="4" t="n">
        <v>3</v>
      </c>
      <c r="H1727" s="4" t="n">
        <v>110</v>
      </c>
      <c r="I1727" s="18" t="n">
        <v>0</v>
      </c>
      <c r="J1727" s="4" t="s">
        <v>76</v>
      </c>
      <c r="K1727" s="4" t="s">
        <v>68</v>
      </c>
    </row>
    <row r="1728" customFormat="false" ht="15" hidden="false" customHeight="false" outlineLevel="0" collapsed="false">
      <c r="A1728" s="4" t="s">
        <v>2061</v>
      </c>
      <c r="B1728" s="4" t="s">
        <v>2062</v>
      </c>
      <c r="C1728" s="4" t="n">
        <v>9</v>
      </c>
      <c r="D1728" s="4" t="s">
        <v>70</v>
      </c>
      <c r="E1728" s="4" t="s">
        <v>364</v>
      </c>
      <c r="F1728" s="4" t="s">
        <v>511</v>
      </c>
      <c r="G1728" s="4" t="n">
        <v>2</v>
      </c>
      <c r="H1728" s="4" t="n">
        <v>85</v>
      </c>
      <c r="I1728" s="18" t="n">
        <v>0</v>
      </c>
      <c r="J1728" s="4" t="s">
        <v>88</v>
      </c>
      <c r="K1728" s="4" t="s">
        <v>68</v>
      </c>
    </row>
    <row r="1729" customFormat="false" ht="15" hidden="false" customHeight="false" outlineLevel="0" collapsed="false">
      <c r="A1729" s="4" t="s">
        <v>2063</v>
      </c>
      <c r="B1729" s="17" t="n">
        <v>46000</v>
      </c>
      <c r="C1729" s="4" t="n">
        <v>17</v>
      </c>
      <c r="D1729" s="4" t="s">
        <v>70</v>
      </c>
      <c r="E1729" s="4" t="s">
        <v>99</v>
      </c>
      <c r="F1729" s="4" t="s">
        <v>109</v>
      </c>
      <c r="G1729" s="4" t="n">
        <v>1</v>
      </c>
      <c r="H1729" s="4" t="n">
        <v>130</v>
      </c>
      <c r="I1729" s="18" t="n">
        <v>0</v>
      </c>
      <c r="J1729" s="4" t="s">
        <v>81</v>
      </c>
      <c r="K1729" s="4" t="s">
        <v>77</v>
      </c>
    </row>
    <row r="1730" customFormat="false" ht="15" hidden="false" customHeight="false" outlineLevel="0" collapsed="false">
      <c r="A1730" s="4" t="s">
        <v>2064</v>
      </c>
      <c r="B1730" s="17" t="n">
        <v>46001</v>
      </c>
      <c r="C1730" s="4" t="n">
        <v>8</v>
      </c>
      <c r="D1730" s="4" t="s">
        <v>73</v>
      </c>
      <c r="E1730" s="4" t="s">
        <v>84</v>
      </c>
      <c r="F1730" s="4" t="s">
        <v>114</v>
      </c>
      <c r="G1730" s="4" t="n">
        <v>3</v>
      </c>
      <c r="H1730" s="4" t="n">
        <v>85</v>
      </c>
      <c r="I1730" s="18" t="n">
        <v>0.1</v>
      </c>
      <c r="J1730" s="4" t="s">
        <v>67</v>
      </c>
      <c r="K1730" s="4" t="s">
        <v>71</v>
      </c>
    </row>
    <row r="1731" customFormat="false" ht="15" hidden="false" customHeight="false" outlineLevel="0" collapsed="false">
      <c r="A1731" s="4" t="s">
        <v>2065</v>
      </c>
      <c r="B1731" s="17" t="n">
        <v>46001</v>
      </c>
      <c r="C1731" s="4" t="n">
        <v>8</v>
      </c>
      <c r="D1731" s="4" t="s">
        <v>73</v>
      </c>
      <c r="E1731" s="4" t="s">
        <v>79</v>
      </c>
      <c r="F1731" s="4" t="s">
        <v>148</v>
      </c>
      <c r="G1731" s="4" t="n">
        <v>2</v>
      </c>
      <c r="H1731" s="4" t="n">
        <v>120</v>
      </c>
      <c r="I1731" s="18" t="n">
        <v>0</v>
      </c>
      <c r="J1731" s="4" t="s">
        <v>76</v>
      </c>
      <c r="K1731" s="4" t="s">
        <v>77</v>
      </c>
    </row>
    <row r="1732" customFormat="false" ht="15" hidden="false" customHeight="false" outlineLevel="0" collapsed="false">
      <c r="A1732" s="4" t="s">
        <v>2066</v>
      </c>
      <c r="B1732" s="17" t="n">
        <v>46001</v>
      </c>
      <c r="C1732" s="4" t="n">
        <v>8</v>
      </c>
      <c r="D1732" s="4" t="s">
        <v>98</v>
      </c>
      <c r="E1732" s="4" t="s">
        <v>84</v>
      </c>
      <c r="F1732" s="4" t="s">
        <v>114</v>
      </c>
      <c r="G1732" s="4" t="n">
        <v>2</v>
      </c>
      <c r="H1732" s="4" t="n">
        <v>85</v>
      </c>
      <c r="I1732" s="18" t="n">
        <v>0</v>
      </c>
      <c r="J1732" s="4" t="s">
        <v>81</v>
      </c>
      <c r="K1732" s="4" t="s">
        <v>68</v>
      </c>
    </row>
    <row r="1733" customFormat="false" ht="15" hidden="false" customHeight="false" outlineLevel="0" collapsed="false">
      <c r="A1733" s="4" t="s">
        <v>2067</v>
      </c>
      <c r="B1733" s="17" t="n">
        <v>46001</v>
      </c>
      <c r="C1733" s="4" t="n">
        <v>13</v>
      </c>
      <c r="D1733" s="4" t="s">
        <v>64</v>
      </c>
      <c r="E1733" s="4" t="s">
        <v>99</v>
      </c>
      <c r="F1733" s="4" t="s">
        <v>109</v>
      </c>
      <c r="G1733" s="4" t="n">
        <v>1</v>
      </c>
      <c r="H1733" s="4" t="n">
        <v>130</v>
      </c>
      <c r="I1733" s="18" t="n">
        <v>0.05</v>
      </c>
      <c r="J1733" s="4" t="s">
        <v>112</v>
      </c>
      <c r="K1733" s="4" t="s">
        <v>82</v>
      </c>
    </row>
    <row r="1734" customFormat="false" ht="15" hidden="false" customHeight="false" outlineLevel="0" collapsed="false">
      <c r="A1734" s="4" t="s">
        <v>2068</v>
      </c>
      <c r="B1734" s="4" t="s">
        <v>2069</v>
      </c>
      <c r="C1734" s="4" t="n">
        <v>15</v>
      </c>
      <c r="D1734" s="4" t="s">
        <v>73</v>
      </c>
      <c r="E1734" s="4" t="s">
        <v>99</v>
      </c>
      <c r="F1734" s="4" t="s">
        <v>100</v>
      </c>
      <c r="G1734" s="4" t="n">
        <v>1</v>
      </c>
      <c r="H1734" s="4" t="n">
        <v>110</v>
      </c>
      <c r="I1734" s="18" t="n">
        <v>0</v>
      </c>
      <c r="J1734" s="4" t="s">
        <v>67</v>
      </c>
      <c r="K1734" s="4" t="s">
        <v>77</v>
      </c>
    </row>
    <row r="1735" customFormat="false" ht="15" hidden="false" customHeight="false" outlineLevel="0" collapsed="false">
      <c r="A1735" s="4" t="s">
        <v>2070</v>
      </c>
      <c r="B1735" s="17" t="n">
        <v>46001</v>
      </c>
      <c r="C1735" s="4" t="n">
        <v>16</v>
      </c>
      <c r="D1735" s="4" t="s">
        <v>98</v>
      </c>
      <c r="E1735" s="4" t="s">
        <v>79</v>
      </c>
      <c r="F1735" s="4" t="s">
        <v>148</v>
      </c>
      <c r="G1735" s="4" t="n">
        <v>2</v>
      </c>
      <c r="H1735" s="4" t="n">
        <v>120</v>
      </c>
      <c r="I1735" s="18" t="n">
        <v>0.1</v>
      </c>
      <c r="J1735" s="4" t="s">
        <v>67</v>
      </c>
      <c r="K1735" s="4" t="s">
        <v>71</v>
      </c>
    </row>
    <row r="1736" customFormat="false" ht="15" hidden="false" customHeight="false" outlineLevel="0" collapsed="false">
      <c r="A1736" s="4" t="s">
        <v>2071</v>
      </c>
      <c r="B1736" s="17" t="n">
        <v>46001</v>
      </c>
      <c r="C1736" s="4" t="n">
        <v>18</v>
      </c>
      <c r="D1736" s="4" t="s">
        <v>70</v>
      </c>
      <c r="E1736" s="4" t="s">
        <v>99</v>
      </c>
      <c r="F1736" s="4" t="s">
        <v>133</v>
      </c>
      <c r="G1736" s="4" t="n">
        <v>2</v>
      </c>
      <c r="H1736" s="4" t="n">
        <v>90</v>
      </c>
      <c r="I1736" s="18" t="n">
        <v>0</v>
      </c>
      <c r="J1736" s="4" t="s">
        <v>67</v>
      </c>
      <c r="K1736" s="4" t="s">
        <v>68</v>
      </c>
    </row>
    <row r="1737" customFormat="false" ht="15" hidden="false" customHeight="false" outlineLevel="0" collapsed="false">
      <c r="A1737" s="4" t="s">
        <v>2072</v>
      </c>
      <c r="B1737" s="17" t="n">
        <v>46002</v>
      </c>
      <c r="C1737" s="4" t="n">
        <v>8</v>
      </c>
      <c r="D1737" s="4" t="s">
        <v>70</v>
      </c>
      <c r="E1737" s="4" t="s">
        <v>84</v>
      </c>
      <c r="F1737" s="4" t="s">
        <v>85</v>
      </c>
      <c r="G1737" s="4" t="n">
        <v>1</v>
      </c>
      <c r="H1737" s="4" t="n">
        <v>150</v>
      </c>
      <c r="I1737" s="18" t="n">
        <v>0</v>
      </c>
      <c r="J1737" s="4" t="s">
        <v>67</v>
      </c>
      <c r="K1737" s="4" t="s">
        <v>68</v>
      </c>
    </row>
    <row r="1738" customFormat="false" ht="15" hidden="false" customHeight="false" outlineLevel="0" collapsed="false">
      <c r="A1738" s="4" t="s">
        <v>2073</v>
      </c>
      <c r="B1738" s="17" t="n">
        <v>46002</v>
      </c>
      <c r="C1738" s="4" t="n">
        <v>9</v>
      </c>
      <c r="D1738" s="4" t="s">
        <v>70</v>
      </c>
      <c r="E1738" s="4" t="s">
        <v>65</v>
      </c>
      <c r="F1738" s="4" t="s">
        <v>87</v>
      </c>
      <c r="G1738" s="4" t="n">
        <v>1</v>
      </c>
      <c r="H1738" s="4" t="n">
        <v>160</v>
      </c>
      <c r="I1738" s="18" t="n">
        <v>0</v>
      </c>
      <c r="J1738" s="4" t="s">
        <v>81</v>
      </c>
      <c r="K1738" s="4" t="s">
        <v>68</v>
      </c>
    </row>
    <row r="1739" customFormat="false" ht="15" hidden="false" customHeight="false" outlineLevel="0" collapsed="false">
      <c r="A1739" s="4" t="s">
        <v>2074</v>
      </c>
      <c r="B1739" s="17" t="n">
        <v>46002</v>
      </c>
      <c r="C1739" s="4" t="n">
        <v>16</v>
      </c>
      <c r="D1739" s="4" t="s">
        <v>64</v>
      </c>
      <c r="E1739" s="4" t="s">
        <v>84</v>
      </c>
      <c r="F1739" s="4" t="s">
        <v>117</v>
      </c>
      <c r="G1739" s="4" t="n">
        <v>1</v>
      </c>
      <c r="H1739" s="4" t="n">
        <v>95</v>
      </c>
      <c r="I1739" s="18" t="n">
        <v>0.05</v>
      </c>
      <c r="J1739" s="4" t="s">
        <v>273</v>
      </c>
      <c r="K1739" s="4" t="s">
        <v>82</v>
      </c>
    </row>
    <row r="1740" customFormat="false" ht="15" hidden="false" customHeight="false" outlineLevel="0" collapsed="false">
      <c r="A1740" s="4" t="s">
        <v>2075</v>
      </c>
      <c r="B1740" s="17" t="n">
        <v>46002</v>
      </c>
      <c r="C1740" s="4" t="n">
        <v>20</v>
      </c>
      <c r="D1740" s="4" t="s">
        <v>64</v>
      </c>
      <c r="E1740" s="4" t="s">
        <v>84</v>
      </c>
      <c r="F1740" s="4" t="s">
        <v>117</v>
      </c>
      <c r="G1740" s="4" t="n">
        <v>2</v>
      </c>
      <c r="H1740" s="4" t="n">
        <v>95</v>
      </c>
      <c r="I1740" s="18" t="n">
        <v>0</v>
      </c>
      <c r="J1740" s="4" t="s">
        <v>88</v>
      </c>
      <c r="K1740" s="4" t="s">
        <v>68</v>
      </c>
    </row>
    <row r="1741" customFormat="false" ht="15" hidden="false" customHeight="false" outlineLevel="0" collapsed="false">
      <c r="A1741" s="4" t="s">
        <v>2076</v>
      </c>
      <c r="B1741" s="17" t="n">
        <v>46003</v>
      </c>
      <c r="C1741" s="4" t="n">
        <v>8</v>
      </c>
      <c r="D1741" s="4" t="s">
        <v>70</v>
      </c>
      <c r="E1741" s="4" t="s">
        <v>84</v>
      </c>
      <c r="F1741" s="4" t="s">
        <v>117</v>
      </c>
      <c r="G1741" s="4" t="n">
        <v>1</v>
      </c>
      <c r="H1741" s="4" t="n">
        <v>95</v>
      </c>
      <c r="I1741" s="18" t="n">
        <v>0</v>
      </c>
      <c r="J1741" s="4" t="s">
        <v>76</v>
      </c>
      <c r="K1741" s="4" t="s">
        <v>68</v>
      </c>
    </row>
    <row r="1742" customFormat="false" ht="15" hidden="false" customHeight="false" outlineLevel="0" collapsed="false">
      <c r="A1742" s="4" t="s">
        <v>2077</v>
      </c>
      <c r="B1742" s="17" t="n">
        <v>46003</v>
      </c>
      <c r="C1742" s="4" t="n">
        <v>9</v>
      </c>
      <c r="D1742" s="4" t="s">
        <v>172</v>
      </c>
      <c r="E1742" s="4" t="s">
        <v>99</v>
      </c>
      <c r="F1742" s="4" t="s">
        <v>100</v>
      </c>
      <c r="G1742" s="4" t="n">
        <v>3</v>
      </c>
      <c r="H1742" s="4" t="n">
        <v>110</v>
      </c>
      <c r="I1742" s="18" t="n">
        <v>0</v>
      </c>
      <c r="J1742" s="4" t="s">
        <v>81</v>
      </c>
      <c r="K1742" s="4" t="s">
        <v>77</v>
      </c>
    </row>
    <row r="1743" customFormat="false" ht="15" hidden="false" customHeight="false" outlineLevel="0" collapsed="false">
      <c r="A1743" s="4" t="s">
        <v>2078</v>
      </c>
      <c r="B1743" s="17" t="n">
        <v>46003</v>
      </c>
      <c r="C1743" s="4" t="n">
        <v>10</v>
      </c>
      <c r="D1743" s="4" t="s">
        <v>64</v>
      </c>
      <c r="E1743" s="4" t="s">
        <v>99</v>
      </c>
      <c r="F1743" s="4" t="s">
        <v>100</v>
      </c>
      <c r="G1743" s="4" t="n">
        <v>1</v>
      </c>
      <c r="H1743" s="4" t="n">
        <v>110</v>
      </c>
      <c r="I1743" s="18" t="n">
        <v>0</v>
      </c>
      <c r="J1743" s="4" t="s">
        <v>112</v>
      </c>
      <c r="K1743" s="4" t="s">
        <v>77</v>
      </c>
    </row>
    <row r="1744" customFormat="false" ht="15" hidden="false" customHeight="false" outlineLevel="0" collapsed="false">
      <c r="A1744" s="4" t="s">
        <v>2079</v>
      </c>
      <c r="B1744" s="17" t="n">
        <v>46003</v>
      </c>
      <c r="C1744" s="4" t="n">
        <v>12</v>
      </c>
      <c r="D1744" s="4" t="s">
        <v>64</v>
      </c>
      <c r="E1744" s="4" t="s">
        <v>74</v>
      </c>
      <c r="F1744" s="4" t="s">
        <v>139</v>
      </c>
      <c r="G1744" s="4" t="n">
        <v>1</v>
      </c>
      <c r="H1744" s="4" t="n">
        <v>260</v>
      </c>
      <c r="I1744" s="18" t="n">
        <v>0.1</v>
      </c>
      <c r="K1744" s="4" t="s">
        <v>82</v>
      </c>
    </row>
    <row r="1745" customFormat="false" ht="15" hidden="false" customHeight="false" outlineLevel="0" collapsed="false">
      <c r="A1745" s="4" t="s">
        <v>2080</v>
      </c>
      <c r="B1745" s="17" t="n">
        <v>46003</v>
      </c>
      <c r="C1745" s="4" t="n">
        <v>13</v>
      </c>
      <c r="D1745" s="4" t="s">
        <v>73</v>
      </c>
      <c r="E1745" s="4" t="s">
        <v>65</v>
      </c>
      <c r="F1745" s="4" t="s">
        <v>94</v>
      </c>
      <c r="G1745" s="4" t="n">
        <v>1</v>
      </c>
      <c r="H1745" s="4" t="n">
        <v>150</v>
      </c>
      <c r="I1745" s="18" t="n">
        <v>0.05</v>
      </c>
      <c r="J1745" s="4" t="s">
        <v>76</v>
      </c>
      <c r="K1745" s="4" t="s">
        <v>82</v>
      </c>
    </row>
    <row r="1746" customFormat="false" ht="15" hidden="false" customHeight="false" outlineLevel="0" collapsed="false">
      <c r="A1746" s="4" t="s">
        <v>2081</v>
      </c>
      <c r="B1746" s="17" t="n">
        <v>46003</v>
      </c>
      <c r="C1746" s="4" t="n">
        <v>17</v>
      </c>
      <c r="D1746" s="4" t="s">
        <v>96</v>
      </c>
      <c r="E1746" s="4" t="s">
        <v>65</v>
      </c>
      <c r="F1746" s="4" t="s">
        <v>87</v>
      </c>
      <c r="G1746" s="4" t="n">
        <v>1</v>
      </c>
      <c r="H1746" s="4" t="n">
        <v>160</v>
      </c>
      <c r="I1746" s="18" t="n">
        <v>0</v>
      </c>
      <c r="J1746" s="4" t="s">
        <v>88</v>
      </c>
      <c r="K1746" s="4" t="s">
        <v>77</v>
      </c>
    </row>
    <row r="1747" customFormat="false" ht="15" hidden="false" customHeight="false" outlineLevel="0" collapsed="false">
      <c r="A1747" s="4" t="s">
        <v>2082</v>
      </c>
      <c r="B1747" s="4" t="s">
        <v>2083</v>
      </c>
      <c r="C1747" s="4" t="n">
        <v>9</v>
      </c>
      <c r="D1747" s="4" t="s">
        <v>98</v>
      </c>
      <c r="E1747" s="4" t="s">
        <v>99</v>
      </c>
      <c r="F1747" s="4" t="s">
        <v>275</v>
      </c>
      <c r="G1747" s="4" t="n">
        <v>1</v>
      </c>
      <c r="H1747" s="4" t="n">
        <v>140</v>
      </c>
      <c r="I1747" s="18" t="n">
        <v>0.2</v>
      </c>
      <c r="J1747" s="4" t="s">
        <v>81</v>
      </c>
      <c r="K1747" s="4" t="s">
        <v>71</v>
      </c>
    </row>
    <row r="1748" customFormat="false" ht="15" hidden="false" customHeight="false" outlineLevel="0" collapsed="false">
      <c r="A1748" s="4" t="s">
        <v>2084</v>
      </c>
      <c r="B1748" s="17" t="n">
        <v>46004</v>
      </c>
      <c r="C1748" s="4" t="n">
        <v>10</v>
      </c>
      <c r="D1748" s="4" t="s">
        <v>64</v>
      </c>
      <c r="E1748" s="4" t="s">
        <v>99</v>
      </c>
      <c r="F1748" s="4" t="s">
        <v>102</v>
      </c>
      <c r="G1748" s="4" t="n">
        <v>2</v>
      </c>
      <c r="H1748" s="4" t="n">
        <v>140</v>
      </c>
      <c r="I1748" s="18" t="n">
        <v>0.15</v>
      </c>
      <c r="J1748" s="4" t="s">
        <v>81</v>
      </c>
      <c r="K1748" s="4" t="s">
        <v>71</v>
      </c>
    </row>
    <row r="1749" customFormat="false" ht="15" hidden="false" customHeight="false" outlineLevel="0" collapsed="false">
      <c r="A1749" s="4" t="s">
        <v>2085</v>
      </c>
      <c r="B1749" s="17" t="n">
        <v>46004</v>
      </c>
      <c r="C1749" s="4" t="n">
        <v>12</v>
      </c>
      <c r="D1749" s="4" t="s">
        <v>98</v>
      </c>
      <c r="E1749" s="4" t="s">
        <v>74</v>
      </c>
      <c r="F1749" s="4" t="s">
        <v>754</v>
      </c>
      <c r="G1749" s="4" t="n">
        <v>1</v>
      </c>
      <c r="H1749" s="4" t="n">
        <v>260</v>
      </c>
      <c r="I1749" s="18" t="n">
        <v>0.05</v>
      </c>
      <c r="J1749" s="4" t="s">
        <v>81</v>
      </c>
      <c r="K1749" s="4" t="s">
        <v>82</v>
      </c>
    </row>
    <row r="1750" customFormat="false" ht="15" hidden="false" customHeight="false" outlineLevel="0" collapsed="false">
      <c r="A1750" s="4" t="s">
        <v>2086</v>
      </c>
      <c r="B1750" s="17" t="n">
        <v>46004</v>
      </c>
      <c r="C1750" s="4" t="n">
        <v>15</v>
      </c>
      <c r="D1750" s="4" t="s">
        <v>341</v>
      </c>
      <c r="E1750" s="4" t="s">
        <v>84</v>
      </c>
      <c r="F1750" s="4" t="s">
        <v>106</v>
      </c>
      <c r="G1750" s="4" t="n">
        <v>1</v>
      </c>
      <c r="H1750" s="4" t="n">
        <v>60</v>
      </c>
      <c r="I1750" s="18" t="n">
        <v>0</v>
      </c>
      <c r="J1750" s="4" t="s">
        <v>81</v>
      </c>
      <c r="K1750" s="4" t="s">
        <v>68</v>
      </c>
    </row>
    <row r="1751" customFormat="false" ht="15" hidden="false" customHeight="false" outlineLevel="0" collapsed="false">
      <c r="A1751" s="4" t="s">
        <v>2087</v>
      </c>
      <c r="B1751" s="17" t="n">
        <v>46004</v>
      </c>
      <c r="C1751" s="4" t="n">
        <v>15</v>
      </c>
      <c r="D1751" s="4" t="s">
        <v>70</v>
      </c>
      <c r="E1751" s="4" t="s">
        <v>74</v>
      </c>
      <c r="F1751" s="4" t="s">
        <v>2088</v>
      </c>
      <c r="G1751" s="4" t="n">
        <v>1</v>
      </c>
      <c r="H1751" s="4" t="n">
        <v>260</v>
      </c>
      <c r="I1751" s="18" t="n">
        <v>0</v>
      </c>
      <c r="J1751" s="4" t="s">
        <v>81</v>
      </c>
      <c r="K1751" s="4" t="s">
        <v>68</v>
      </c>
    </row>
    <row r="1752" customFormat="false" ht="15" hidden="false" customHeight="false" outlineLevel="0" collapsed="false">
      <c r="A1752" s="4" t="s">
        <v>2089</v>
      </c>
      <c r="B1752" s="4" t="s">
        <v>2090</v>
      </c>
      <c r="C1752" s="4" t="n">
        <v>17</v>
      </c>
      <c r="D1752" s="4" t="s">
        <v>98</v>
      </c>
      <c r="E1752" s="4" t="s">
        <v>74</v>
      </c>
      <c r="F1752" s="4" t="s">
        <v>91</v>
      </c>
      <c r="G1752" s="4" t="n">
        <v>1</v>
      </c>
      <c r="H1752" s="4" t="n">
        <v>200</v>
      </c>
      <c r="I1752" s="18" t="n">
        <v>0.05</v>
      </c>
      <c r="J1752" s="4" t="s">
        <v>237</v>
      </c>
      <c r="K1752" s="4" t="s">
        <v>82</v>
      </c>
    </row>
    <row r="1753" customFormat="false" ht="15" hidden="false" customHeight="false" outlineLevel="0" collapsed="false">
      <c r="A1753" s="4" t="s">
        <v>2091</v>
      </c>
      <c r="B1753" s="17" t="n">
        <v>46005</v>
      </c>
      <c r="C1753" s="4" t="n">
        <v>7</v>
      </c>
      <c r="D1753" s="4" t="s">
        <v>108</v>
      </c>
      <c r="E1753" s="4" t="s">
        <v>99</v>
      </c>
      <c r="F1753" s="4" t="s">
        <v>100</v>
      </c>
      <c r="G1753" s="4" t="n">
        <v>1</v>
      </c>
      <c r="H1753" s="4" t="n">
        <v>110</v>
      </c>
      <c r="I1753" s="18" t="n">
        <v>0.05</v>
      </c>
      <c r="J1753" s="4" t="s">
        <v>81</v>
      </c>
      <c r="K1753" s="4" t="s">
        <v>82</v>
      </c>
    </row>
    <row r="1754" customFormat="false" ht="15" hidden="false" customHeight="false" outlineLevel="0" collapsed="false">
      <c r="A1754" s="4" t="s">
        <v>2092</v>
      </c>
      <c r="B1754" s="4" t="s">
        <v>2093</v>
      </c>
      <c r="C1754" s="4" t="n">
        <v>9</v>
      </c>
      <c r="D1754" s="4" t="s">
        <v>73</v>
      </c>
      <c r="E1754" s="4" t="s">
        <v>79</v>
      </c>
      <c r="F1754" s="4" t="s">
        <v>80</v>
      </c>
      <c r="G1754" s="4" t="n">
        <v>1</v>
      </c>
      <c r="H1754" s="4" t="n">
        <v>160</v>
      </c>
      <c r="I1754" s="18" t="n">
        <v>0</v>
      </c>
      <c r="J1754" s="4" t="s">
        <v>81</v>
      </c>
      <c r="K1754" s="4" t="s">
        <v>77</v>
      </c>
    </row>
    <row r="1755" customFormat="false" ht="15" hidden="false" customHeight="false" outlineLevel="0" collapsed="false">
      <c r="A1755" s="4" t="s">
        <v>2094</v>
      </c>
      <c r="B1755" s="17" t="n">
        <v>46005</v>
      </c>
      <c r="C1755" s="4" t="n">
        <v>13</v>
      </c>
      <c r="D1755" s="4" t="s">
        <v>64</v>
      </c>
      <c r="E1755" s="4" t="s">
        <v>65</v>
      </c>
      <c r="F1755" s="4" t="s">
        <v>94</v>
      </c>
      <c r="G1755" s="4" t="n">
        <v>2</v>
      </c>
      <c r="H1755" s="4" t="n">
        <v>150</v>
      </c>
      <c r="I1755" s="18" t="n">
        <v>0.1</v>
      </c>
      <c r="J1755" s="4" t="s">
        <v>112</v>
      </c>
      <c r="K1755" s="4" t="s">
        <v>71</v>
      </c>
    </row>
    <row r="1756" customFormat="false" ht="15" hidden="false" customHeight="false" outlineLevel="0" collapsed="false">
      <c r="A1756" s="4" t="s">
        <v>2095</v>
      </c>
      <c r="B1756" s="17" t="n">
        <v>46005</v>
      </c>
      <c r="C1756" s="4" t="n">
        <v>20</v>
      </c>
      <c r="D1756" s="4" t="s">
        <v>70</v>
      </c>
      <c r="E1756" s="4" t="s">
        <v>65</v>
      </c>
      <c r="F1756" s="4" t="s">
        <v>94</v>
      </c>
      <c r="G1756" s="4" t="n">
        <v>2</v>
      </c>
      <c r="H1756" s="4" t="n">
        <v>150</v>
      </c>
      <c r="I1756" s="18" t="n">
        <v>0</v>
      </c>
      <c r="K1756" s="4" t="s">
        <v>68</v>
      </c>
    </row>
    <row r="1757" customFormat="false" ht="15" hidden="false" customHeight="false" outlineLevel="0" collapsed="false">
      <c r="A1757" s="4" t="s">
        <v>2096</v>
      </c>
      <c r="B1757" s="17" t="n">
        <v>46006</v>
      </c>
      <c r="C1757" s="4" t="n">
        <v>9</v>
      </c>
      <c r="D1757" s="4" t="s">
        <v>64</v>
      </c>
      <c r="E1757" s="4" t="s">
        <v>99</v>
      </c>
      <c r="F1757" s="4" t="s">
        <v>133</v>
      </c>
      <c r="G1757" s="4" t="n">
        <v>1</v>
      </c>
      <c r="H1757" s="4" t="n">
        <v>90</v>
      </c>
      <c r="I1757" s="18" t="n">
        <v>0</v>
      </c>
      <c r="K1757" s="4" t="s">
        <v>68</v>
      </c>
    </row>
    <row r="1758" customFormat="false" ht="15" hidden="false" customHeight="false" outlineLevel="0" collapsed="false">
      <c r="A1758" s="4" t="s">
        <v>2097</v>
      </c>
      <c r="B1758" s="4" t="s">
        <v>2098</v>
      </c>
      <c r="C1758" s="4" t="n">
        <v>9</v>
      </c>
      <c r="D1758" s="4" t="s">
        <v>64</v>
      </c>
      <c r="E1758" s="4" t="s">
        <v>99</v>
      </c>
      <c r="F1758" s="4" t="s">
        <v>100</v>
      </c>
      <c r="G1758" s="4" t="n">
        <v>1</v>
      </c>
      <c r="H1758" s="4" t="n">
        <v>110</v>
      </c>
      <c r="I1758" s="18" t="n">
        <v>0.1</v>
      </c>
      <c r="J1758" s="4" t="s">
        <v>67</v>
      </c>
      <c r="K1758" s="4" t="s">
        <v>71</v>
      </c>
    </row>
    <row r="1759" customFormat="false" ht="15" hidden="false" customHeight="false" outlineLevel="0" collapsed="false">
      <c r="A1759" s="4" t="s">
        <v>2099</v>
      </c>
      <c r="B1759" s="17" t="n">
        <v>46006</v>
      </c>
      <c r="C1759" s="4" t="n">
        <v>10</v>
      </c>
      <c r="D1759" s="4" t="s">
        <v>73</v>
      </c>
      <c r="E1759" s="4" t="s">
        <v>99</v>
      </c>
      <c r="F1759" s="4" t="s">
        <v>102</v>
      </c>
      <c r="G1759" s="4" t="n">
        <v>1</v>
      </c>
      <c r="H1759" s="4" t="n">
        <v>140</v>
      </c>
      <c r="I1759" s="18" t="n">
        <v>0</v>
      </c>
      <c r="J1759" s="4" t="s">
        <v>67</v>
      </c>
      <c r="K1759" s="4" t="s">
        <v>77</v>
      </c>
    </row>
    <row r="1760" customFormat="false" ht="15" hidden="false" customHeight="false" outlineLevel="0" collapsed="false">
      <c r="A1760" s="4" t="s">
        <v>2099</v>
      </c>
      <c r="B1760" s="17" t="n">
        <v>46006</v>
      </c>
      <c r="C1760" s="4" t="n">
        <v>10</v>
      </c>
      <c r="D1760" s="4" t="s">
        <v>73</v>
      </c>
      <c r="E1760" s="4" t="s">
        <v>99</v>
      </c>
      <c r="F1760" s="4" t="s">
        <v>102</v>
      </c>
      <c r="G1760" s="4" t="n">
        <v>1</v>
      </c>
      <c r="H1760" s="4" t="n">
        <v>140</v>
      </c>
      <c r="I1760" s="18" t="n">
        <v>0</v>
      </c>
      <c r="J1760" s="4" t="s">
        <v>67</v>
      </c>
      <c r="K1760" s="4" t="s">
        <v>77</v>
      </c>
    </row>
    <row r="1761" customFormat="false" ht="15" hidden="false" customHeight="false" outlineLevel="0" collapsed="false">
      <c r="A1761" s="4" t="s">
        <v>2100</v>
      </c>
      <c r="B1761" s="17" t="n">
        <v>46006</v>
      </c>
      <c r="C1761" s="4" t="n">
        <v>12</v>
      </c>
      <c r="D1761" s="4" t="s">
        <v>70</v>
      </c>
      <c r="E1761" s="4" t="s">
        <v>74</v>
      </c>
      <c r="F1761" s="4" t="s">
        <v>75</v>
      </c>
      <c r="G1761" s="4" t="n">
        <v>3</v>
      </c>
      <c r="H1761" s="4" t="n">
        <v>220</v>
      </c>
      <c r="I1761" s="18" t="n">
        <v>0</v>
      </c>
      <c r="J1761" s="4" t="s">
        <v>81</v>
      </c>
      <c r="K1761" s="4" t="s">
        <v>77</v>
      </c>
    </row>
    <row r="1762" customFormat="false" ht="15" hidden="false" customHeight="false" outlineLevel="0" collapsed="false">
      <c r="A1762" s="4" t="s">
        <v>2101</v>
      </c>
      <c r="B1762" s="17" t="n">
        <v>46006</v>
      </c>
      <c r="C1762" s="4" t="n">
        <v>13</v>
      </c>
      <c r="D1762" s="4" t="s">
        <v>73</v>
      </c>
      <c r="E1762" s="4" t="s">
        <v>74</v>
      </c>
      <c r="F1762" s="4" t="s">
        <v>75</v>
      </c>
      <c r="G1762" s="4" t="n">
        <v>1</v>
      </c>
      <c r="H1762" s="4" t="n">
        <v>220</v>
      </c>
      <c r="I1762" s="18" t="n">
        <v>0</v>
      </c>
      <c r="J1762" s="4" t="s">
        <v>81</v>
      </c>
      <c r="K1762" s="4" t="s">
        <v>68</v>
      </c>
    </row>
    <row r="1763" customFormat="false" ht="15" hidden="false" customHeight="false" outlineLevel="0" collapsed="false">
      <c r="A1763" s="4" t="s">
        <v>2102</v>
      </c>
      <c r="B1763" s="17" t="n">
        <v>46006</v>
      </c>
      <c r="C1763" s="4" t="n">
        <v>14</v>
      </c>
      <c r="D1763" s="4" t="s">
        <v>98</v>
      </c>
      <c r="E1763" s="4" t="s">
        <v>79</v>
      </c>
      <c r="F1763" s="4" t="s">
        <v>148</v>
      </c>
      <c r="G1763" s="4" t="n">
        <v>1</v>
      </c>
      <c r="H1763" s="4" t="n">
        <v>120</v>
      </c>
      <c r="I1763" s="18" t="n">
        <v>0.05</v>
      </c>
      <c r="J1763" s="4" t="s">
        <v>67</v>
      </c>
      <c r="K1763" s="4" t="s">
        <v>82</v>
      </c>
    </row>
    <row r="1764" customFormat="false" ht="15" hidden="false" customHeight="false" outlineLevel="0" collapsed="false">
      <c r="A1764" s="4" t="s">
        <v>2103</v>
      </c>
      <c r="B1764" s="17" t="n">
        <v>46006</v>
      </c>
      <c r="C1764" s="4" t="n">
        <v>18</v>
      </c>
      <c r="D1764" s="4" t="s">
        <v>98</v>
      </c>
      <c r="E1764" s="4" t="s">
        <v>79</v>
      </c>
      <c r="F1764" s="4" t="s">
        <v>148</v>
      </c>
      <c r="G1764" s="4" t="n">
        <v>1</v>
      </c>
      <c r="H1764" s="4" t="n">
        <v>120</v>
      </c>
      <c r="I1764" s="18" t="n">
        <v>0.05</v>
      </c>
      <c r="J1764" s="4" t="s">
        <v>81</v>
      </c>
      <c r="K1764" s="4" t="s">
        <v>82</v>
      </c>
    </row>
    <row r="1765" customFormat="false" ht="15" hidden="false" customHeight="false" outlineLevel="0" collapsed="false">
      <c r="A1765" s="4" t="s">
        <v>2104</v>
      </c>
      <c r="B1765" s="17" t="n">
        <v>46006</v>
      </c>
      <c r="C1765" s="4" t="n">
        <v>18</v>
      </c>
      <c r="D1765" s="4" t="s">
        <v>70</v>
      </c>
      <c r="E1765" s="4" t="s">
        <v>84</v>
      </c>
      <c r="F1765" s="4" t="s">
        <v>85</v>
      </c>
      <c r="G1765" s="4" t="n">
        <v>2</v>
      </c>
      <c r="H1765" s="4" t="n">
        <v>150</v>
      </c>
      <c r="I1765" s="18" t="n">
        <v>0</v>
      </c>
      <c r="J1765" s="4" t="s">
        <v>81</v>
      </c>
      <c r="K1765" s="4" t="s">
        <v>68</v>
      </c>
    </row>
    <row r="1766" customFormat="false" ht="15" hidden="false" customHeight="false" outlineLevel="0" collapsed="false">
      <c r="A1766" s="4" t="s">
        <v>2104</v>
      </c>
      <c r="B1766" s="17" t="n">
        <v>46006</v>
      </c>
      <c r="C1766" s="4" t="n">
        <v>18</v>
      </c>
      <c r="D1766" s="4" t="s">
        <v>70</v>
      </c>
      <c r="E1766" s="4" t="s">
        <v>84</v>
      </c>
      <c r="F1766" s="4" t="s">
        <v>85</v>
      </c>
      <c r="G1766" s="4" t="n">
        <v>2</v>
      </c>
      <c r="H1766" s="4" t="n">
        <v>150</v>
      </c>
      <c r="I1766" s="18" t="n">
        <v>0</v>
      </c>
      <c r="J1766" s="4" t="s">
        <v>81</v>
      </c>
      <c r="K1766" s="4" t="s">
        <v>68</v>
      </c>
    </row>
    <row r="1767" customFormat="false" ht="15" hidden="false" customHeight="false" outlineLevel="0" collapsed="false">
      <c r="A1767" s="4" t="s">
        <v>2105</v>
      </c>
      <c r="B1767" s="17" t="n">
        <v>46007</v>
      </c>
      <c r="C1767" s="4" t="n">
        <v>7</v>
      </c>
      <c r="D1767" s="4" t="s">
        <v>70</v>
      </c>
      <c r="E1767" s="4" t="s">
        <v>65</v>
      </c>
      <c r="F1767" s="4" t="s">
        <v>66</v>
      </c>
      <c r="G1767" s="4" t="n">
        <v>2</v>
      </c>
      <c r="H1767" s="4" t="n">
        <v>120</v>
      </c>
      <c r="I1767" s="18" t="n">
        <v>0</v>
      </c>
      <c r="J1767" s="4" t="s">
        <v>81</v>
      </c>
      <c r="K1767" s="4" t="s">
        <v>77</v>
      </c>
    </row>
    <row r="1768" customFormat="false" ht="15" hidden="false" customHeight="false" outlineLevel="0" collapsed="false">
      <c r="A1768" s="4" t="s">
        <v>2106</v>
      </c>
      <c r="B1768" s="17" t="n">
        <v>46007</v>
      </c>
      <c r="C1768" s="4" t="n">
        <v>8</v>
      </c>
      <c r="D1768" s="4" t="s">
        <v>64</v>
      </c>
      <c r="E1768" s="4" t="s">
        <v>99</v>
      </c>
      <c r="F1768" s="4" t="s">
        <v>102</v>
      </c>
      <c r="G1768" s="4" t="n">
        <v>1</v>
      </c>
      <c r="H1768" s="4" t="n">
        <v>140</v>
      </c>
      <c r="I1768" s="18" t="n">
        <v>0.1</v>
      </c>
      <c r="J1768" s="4" t="s">
        <v>123</v>
      </c>
      <c r="K1768" s="4" t="s">
        <v>68</v>
      </c>
    </row>
    <row r="1769" customFormat="false" ht="15" hidden="false" customHeight="false" outlineLevel="0" collapsed="false">
      <c r="A1769" s="4" t="s">
        <v>2107</v>
      </c>
      <c r="B1769" s="17" t="n">
        <v>46007</v>
      </c>
      <c r="C1769" s="4" t="n">
        <v>16</v>
      </c>
      <c r="D1769" s="4" t="s">
        <v>64</v>
      </c>
      <c r="E1769" s="4" t="s">
        <v>84</v>
      </c>
      <c r="F1769" s="4" t="s">
        <v>106</v>
      </c>
      <c r="G1769" s="4" t="n">
        <v>3</v>
      </c>
      <c r="H1769" s="4" t="s">
        <v>2108</v>
      </c>
      <c r="I1769" s="18" t="n">
        <v>0</v>
      </c>
      <c r="J1769" s="4" t="s">
        <v>103</v>
      </c>
      <c r="K1769" s="4" t="s">
        <v>77</v>
      </c>
    </row>
    <row r="1770" customFormat="false" ht="15" hidden="false" customHeight="false" outlineLevel="0" collapsed="false">
      <c r="A1770" s="4" t="s">
        <v>2109</v>
      </c>
      <c r="B1770" s="4" t="s">
        <v>2110</v>
      </c>
      <c r="C1770" s="4" t="n">
        <v>7</v>
      </c>
      <c r="D1770" s="4" t="s">
        <v>225</v>
      </c>
      <c r="E1770" s="4" t="s">
        <v>302</v>
      </c>
      <c r="F1770" s="4" t="s">
        <v>109</v>
      </c>
      <c r="G1770" s="4" t="n">
        <v>1</v>
      </c>
      <c r="H1770" s="4" t="n">
        <v>130</v>
      </c>
      <c r="I1770" s="18" t="n">
        <v>0.1</v>
      </c>
      <c r="J1770" s="4" t="s">
        <v>81</v>
      </c>
      <c r="K1770" s="4" t="s">
        <v>71</v>
      </c>
    </row>
    <row r="1771" customFormat="false" ht="15" hidden="false" customHeight="false" outlineLevel="0" collapsed="false">
      <c r="A1771" s="4" t="s">
        <v>2111</v>
      </c>
      <c r="B1771" s="17" t="n">
        <v>46008</v>
      </c>
      <c r="C1771" s="4" t="n">
        <v>11</v>
      </c>
      <c r="D1771" s="4" t="s">
        <v>70</v>
      </c>
      <c r="E1771" s="4" t="s">
        <v>504</v>
      </c>
      <c r="F1771" s="4" t="s">
        <v>117</v>
      </c>
      <c r="G1771" s="4" t="n">
        <v>2</v>
      </c>
      <c r="H1771" s="4" t="n">
        <v>95</v>
      </c>
      <c r="I1771" s="18" t="n">
        <v>0.05</v>
      </c>
      <c r="J1771" s="4" t="s">
        <v>81</v>
      </c>
      <c r="K1771" s="4" t="s">
        <v>82</v>
      </c>
    </row>
    <row r="1772" customFormat="false" ht="15" hidden="false" customHeight="false" outlineLevel="0" collapsed="false">
      <c r="A1772" s="4" t="s">
        <v>2112</v>
      </c>
      <c r="B1772" s="17" t="n">
        <v>46008</v>
      </c>
      <c r="C1772" s="4" t="n">
        <v>12</v>
      </c>
      <c r="D1772" s="4" t="s">
        <v>64</v>
      </c>
      <c r="E1772" s="4" t="s">
        <v>65</v>
      </c>
      <c r="F1772" s="4" t="s">
        <v>66</v>
      </c>
      <c r="G1772" s="4" t="n">
        <v>1</v>
      </c>
      <c r="H1772" s="4" t="n">
        <v>120</v>
      </c>
      <c r="I1772" s="18" t="n">
        <v>0.05</v>
      </c>
      <c r="J1772" s="4" t="s">
        <v>112</v>
      </c>
      <c r="K1772" s="4" t="s">
        <v>82</v>
      </c>
    </row>
    <row r="1773" customFormat="false" ht="15" hidden="false" customHeight="false" outlineLevel="0" collapsed="false">
      <c r="A1773" s="4" t="s">
        <v>2113</v>
      </c>
      <c r="B1773" s="17" t="n">
        <v>46009</v>
      </c>
      <c r="C1773" s="4" t="n">
        <v>14</v>
      </c>
      <c r="D1773" s="4" t="s">
        <v>341</v>
      </c>
      <c r="E1773" s="4" t="s">
        <v>74</v>
      </c>
      <c r="F1773" s="4" t="s">
        <v>139</v>
      </c>
      <c r="G1773" s="4" t="n">
        <v>1</v>
      </c>
      <c r="H1773" s="4" t="n">
        <v>260</v>
      </c>
      <c r="I1773" s="18" t="n">
        <v>0.05</v>
      </c>
      <c r="J1773" s="4" t="s">
        <v>81</v>
      </c>
      <c r="K1773" s="4" t="s">
        <v>82</v>
      </c>
    </row>
    <row r="1774" customFormat="false" ht="15" hidden="false" customHeight="false" outlineLevel="0" collapsed="false">
      <c r="A1774" s="4" t="s">
        <v>2114</v>
      </c>
      <c r="B1774" s="17" t="n">
        <v>46009</v>
      </c>
      <c r="C1774" s="4" t="n">
        <v>16</v>
      </c>
      <c r="D1774" s="4" t="s">
        <v>183</v>
      </c>
      <c r="E1774" s="4" t="s">
        <v>74</v>
      </c>
      <c r="F1774" s="4" t="s">
        <v>91</v>
      </c>
      <c r="G1774" s="4" t="n">
        <v>3</v>
      </c>
      <c r="H1774" s="4" t="n">
        <v>200</v>
      </c>
      <c r="I1774" s="18" t="n">
        <v>0.2</v>
      </c>
      <c r="J1774" s="4" t="s">
        <v>76</v>
      </c>
      <c r="K1774" s="4" t="s">
        <v>71</v>
      </c>
    </row>
    <row r="1775" customFormat="false" ht="15" hidden="false" customHeight="false" outlineLevel="0" collapsed="false">
      <c r="A1775" s="4" t="s">
        <v>2115</v>
      </c>
      <c r="B1775" s="17" t="n">
        <v>46009</v>
      </c>
      <c r="C1775" s="4" t="n">
        <v>17</v>
      </c>
      <c r="D1775" s="4" t="s">
        <v>64</v>
      </c>
      <c r="E1775" s="4" t="s">
        <v>84</v>
      </c>
      <c r="F1775" s="4" t="s">
        <v>85</v>
      </c>
      <c r="G1775" s="4" t="n">
        <v>1</v>
      </c>
      <c r="H1775" s="4" t="n">
        <v>150</v>
      </c>
      <c r="I1775" s="18" t="n">
        <v>0.1</v>
      </c>
      <c r="J1775" s="4" t="s">
        <v>81</v>
      </c>
      <c r="K1775" s="4" t="s">
        <v>71</v>
      </c>
    </row>
    <row r="1776" customFormat="false" ht="15" hidden="false" customHeight="false" outlineLevel="0" collapsed="false">
      <c r="A1776" s="4" t="s">
        <v>2116</v>
      </c>
      <c r="B1776" s="4" t="s">
        <v>2117</v>
      </c>
      <c r="C1776" s="4" t="n">
        <v>8</v>
      </c>
      <c r="D1776" s="4" t="s">
        <v>70</v>
      </c>
      <c r="E1776" s="4" t="s">
        <v>65</v>
      </c>
      <c r="F1776" s="4" t="s">
        <v>94</v>
      </c>
      <c r="G1776" s="4" t="n">
        <v>1</v>
      </c>
      <c r="H1776" s="4" t="n">
        <v>150</v>
      </c>
      <c r="I1776" s="18" t="n">
        <v>0.15</v>
      </c>
      <c r="J1776" s="4" t="s">
        <v>76</v>
      </c>
      <c r="K1776" s="4" t="s">
        <v>77</v>
      </c>
    </row>
    <row r="1777" customFormat="false" ht="15" hidden="false" customHeight="false" outlineLevel="0" collapsed="false">
      <c r="A1777" s="4" t="s">
        <v>2118</v>
      </c>
      <c r="B1777" s="17" t="n">
        <v>46010</v>
      </c>
      <c r="C1777" s="4" t="n">
        <v>9</v>
      </c>
      <c r="D1777" s="4" t="s">
        <v>153</v>
      </c>
      <c r="E1777" s="4" t="s">
        <v>79</v>
      </c>
      <c r="F1777" s="4" t="s">
        <v>80</v>
      </c>
      <c r="G1777" s="4" t="n">
        <v>1</v>
      </c>
      <c r="H1777" s="4" t="n">
        <v>160</v>
      </c>
      <c r="I1777" s="18" t="n">
        <v>0</v>
      </c>
      <c r="J1777" s="4" t="s">
        <v>67</v>
      </c>
      <c r="K1777" s="4" t="s">
        <v>77</v>
      </c>
    </row>
    <row r="1778" customFormat="false" ht="15" hidden="false" customHeight="false" outlineLevel="0" collapsed="false">
      <c r="A1778" s="4" t="s">
        <v>2119</v>
      </c>
      <c r="B1778" s="17" t="n">
        <v>46010</v>
      </c>
      <c r="C1778" s="4" t="n">
        <v>12</v>
      </c>
      <c r="D1778" s="4" t="s">
        <v>96</v>
      </c>
      <c r="E1778" s="4" t="s">
        <v>99</v>
      </c>
      <c r="F1778" s="4" t="s">
        <v>102</v>
      </c>
      <c r="G1778" s="4" t="n">
        <v>1</v>
      </c>
      <c r="H1778" s="4" t="n">
        <v>140</v>
      </c>
      <c r="I1778" s="18" t="n">
        <v>0.1</v>
      </c>
      <c r="J1778" s="4" t="s">
        <v>67</v>
      </c>
      <c r="K1778" s="4" t="s">
        <v>71</v>
      </c>
    </row>
    <row r="1779" customFormat="false" ht="15" hidden="false" customHeight="false" outlineLevel="0" collapsed="false">
      <c r="A1779" s="4" t="s">
        <v>2120</v>
      </c>
      <c r="B1779" s="17" t="n">
        <v>46011</v>
      </c>
      <c r="C1779" s="4" t="n">
        <v>10</v>
      </c>
      <c r="D1779" s="4" t="s">
        <v>64</v>
      </c>
      <c r="E1779" s="4" t="s">
        <v>79</v>
      </c>
      <c r="F1779" s="4" t="s">
        <v>135</v>
      </c>
      <c r="G1779" s="4" t="n">
        <v>1</v>
      </c>
      <c r="H1779" s="4" t="n">
        <v>130</v>
      </c>
      <c r="I1779" s="18" t="n">
        <v>0.1</v>
      </c>
      <c r="J1779" s="4" t="s">
        <v>81</v>
      </c>
      <c r="K1779" s="4" t="s">
        <v>77</v>
      </c>
    </row>
    <row r="1780" customFormat="false" ht="15" hidden="false" customHeight="false" outlineLevel="0" collapsed="false">
      <c r="A1780" s="4" t="s">
        <v>2121</v>
      </c>
      <c r="B1780" s="17" t="n">
        <v>46011</v>
      </c>
      <c r="C1780" s="4" t="n">
        <v>14</v>
      </c>
      <c r="D1780" s="4" t="s">
        <v>70</v>
      </c>
      <c r="E1780" s="4" t="s">
        <v>79</v>
      </c>
      <c r="F1780" s="4" t="s">
        <v>148</v>
      </c>
      <c r="G1780" s="4" t="n">
        <v>4</v>
      </c>
      <c r="H1780" s="4" t="n">
        <v>120</v>
      </c>
      <c r="I1780" s="18" t="n">
        <v>0.05</v>
      </c>
      <c r="J1780" s="4" t="s">
        <v>67</v>
      </c>
      <c r="K1780" s="4" t="s">
        <v>82</v>
      </c>
    </row>
    <row r="1781" customFormat="false" ht="15" hidden="false" customHeight="false" outlineLevel="0" collapsed="false">
      <c r="A1781" s="4" t="s">
        <v>2122</v>
      </c>
      <c r="B1781" s="17" t="n">
        <v>46012</v>
      </c>
      <c r="C1781" s="4" t="n">
        <v>9</v>
      </c>
      <c r="D1781" s="4" t="s">
        <v>64</v>
      </c>
      <c r="E1781" s="4" t="s">
        <v>84</v>
      </c>
      <c r="F1781" s="4" t="s">
        <v>106</v>
      </c>
      <c r="G1781" s="4" t="n">
        <v>2</v>
      </c>
      <c r="H1781" s="4" t="n">
        <v>60</v>
      </c>
      <c r="I1781" s="18" t="n">
        <v>0</v>
      </c>
      <c r="J1781" s="4" t="s">
        <v>81</v>
      </c>
      <c r="K1781" s="4" t="s">
        <v>68</v>
      </c>
    </row>
    <row r="1782" customFormat="false" ht="15" hidden="false" customHeight="false" outlineLevel="0" collapsed="false">
      <c r="A1782" s="4" t="s">
        <v>2123</v>
      </c>
      <c r="B1782" s="17" t="n">
        <v>46012</v>
      </c>
      <c r="C1782" s="4" t="n">
        <v>14</v>
      </c>
      <c r="D1782" s="4" t="s">
        <v>70</v>
      </c>
      <c r="E1782" s="4" t="s">
        <v>84</v>
      </c>
      <c r="F1782" s="4" t="s">
        <v>85</v>
      </c>
      <c r="G1782" s="4" t="n">
        <v>1</v>
      </c>
      <c r="H1782" s="4" t="n">
        <v>150</v>
      </c>
      <c r="I1782" s="18" t="n">
        <v>0.15</v>
      </c>
      <c r="J1782" s="4" t="s">
        <v>81</v>
      </c>
      <c r="K1782" s="4" t="s">
        <v>77</v>
      </c>
    </row>
    <row r="1783" customFormat="false" ht="15" hidden="false" customHeight="false" outlineLevel="0" collapsed="false">
      <c r="A1783" s="4" t="s">
        <v>2124</v>
      </c>
      <c r="B1783" s="17" t="n">
        <v>46012</v>
      </c>
      <c r="C1783" s="4" t="n">
        <v>15</v>
      </c>
      <c r="D1783" s="4" t="s">
        <v>64</v>
      </c>
      <c r="E1783" s="4" t="s">
        <v>74</v>
      </c>
      <c r="F1783" s="4" t="s">
        <v>91</v>
      </c>
      <c r="G1783" s="4" t="n">
        <v>1</v>
      </c>
      <c r="H1783" s="4" t="n">
        <v>200</v>
      </c>
      <c r="I1783" s="18" t="n">
        <v>0.05</v>
      </c>
      <c r="J1783" s="4" t="s">
        <v>67</v>
      </c>
      <c r="K1783" s="4" t="s">
        <v>82</v>
      </c>
    </row>
    <row r="1784" customFormat="false" ht="15" hidden="false" customHeight="false" outlineLevel="0" collapsed="false">
      <c r="A1784" s="4" t="s">
        <v>2125</v>
      </c>
      <c r="B1784" s="17" t="n">
        <v>46012</v>
      </c>
      <c r="C1784" s="4" t="n">
        <v>16</v>
      </c>
      <c r="D1784" s="4" t="s">
        <v>108</v>
      </c>
      <c r="E1784" s="4" t="s">
        <v>79</v>
      </c>
      <c r="F1784" s="4" t="s">
        <v>80</v>
      </c>
      <c r="G1784" s="4" t="n">
        <v>1</v>
      </c>
      <c r="H1784" s="4" t="n">
        <v>160</v>
      </c>
      <c r="I1784" s="18" t="n">
        <v>0.05</v>
      </c>
      <c r="J1784" s="4" t="s">
        <v>67</v>
      </c>
      <c r="K1784" s="4" t="s">
        <v>82</v>
      </c>
    </row>
    <row r="1785" customFormat="false" ht="15" hidden="false" customHeight="false" outlineLevel="0" collapsed="false">
      <c r="A1785" s="4" t="s">
        <v>2126</v>
      </c>
      <c r="B1785" s="17" t="n">
        <v>46012</v>
      </c>
      <c r="C1785" s="4" t="n">
        <v>17</v>
      </c>
      <c r="D1785" s="4" t="s">
        <v>73</v>
      </c>
      <c r="E1785" s="4" t="s">
        <v>84</v>
      </c>
      <c r="F1785" s="4" t="s">
        <v>106</v>
      </c>
      <c r="G1785" s="4" t="n">
        <v>2</v>
      </c>
      <c r="H1785" s="4" t="n">
        <v>60</v>
      </c>
      <c r="I1785" s="18" t="n">
        <v>0</v>
      </c>
      <c r="J1785" s="4" t="s">
        <v>81</v>
      </c>
      <c r="K1785" s="4" t="s">
        <v>68</v>
      </c>
    </row>
    <row r="1786" customFormat="false" ht="15" hidden="false" customHeight="false" outlineLevel="0" collapsed="false">
      <c r="A1786" s="4" t="s">
        <v>2127</v>
      </c>
      <c r="B1786" s="17" t="n">
        <v>46013</v>
      </c>
      <c r="C1786" s="4" t="n">
        <v>7</v>
      </c>
      <c r="D1786" s="4" t="s">
        <v>70</v>
      </c>
      <c r="E1786" s="4" t="s">
        <v>99</v>
      </c>
      <c r="F1786" s="4" t="s">
        <v>102</v>
      </c>
      <c r="G1786" s="4" t="n">
        <v>3</v>
      </c>
      <c r="H1786" s="4" t="n">
        <v>140</v>
      </c>
      <c r="I1786" s="18" t="n">
        <v>0.1</v>
      </c>
      <c r="J1786" s="4" t="s">
        <v>76</v>
      </c>
      <c r="K1786" s="4" t="s">
        <v>71</v>
      </c>
    </row>
    <row r="1787" customFormat="false" ht="15" hidden="false" customHeight="false" outlineLevel="0" collapsed="false">
      <c r="A1787" s="4" t="s">
        <v>2128</v>
      </c>
      <c r="B1787" s="17" t="n">
        <v>46013</v>
      </c>
      <c r="C1787" s="4" t="n">
        <v>10</v>
      </c>
      <c r="D1787" s="4" t="s">
        <v>64</v>
      </c>
      <c r="E1787" s="4" t="s">
        <v>84</v>
      </c>
      <c r="F1787" s="4" t="s">
        <v>117</v>
      </c>
      <c r="G1787" s="4" t="n">
        <v>1</v>
      </c>
      <c r="H1787" s="4" t="n">
        <v>95</v>
      </c>
      <c r="I1787" s="18" t="n">
        <v>0</v>
      </c>
      <c r="J1787" s="4" t="s">
        <v>67</v>
      </c>
      <c r="K1787" s="4" t="s">
        <v>77</v>
      </c>
    </row>
    <row r="1788" customFormat="false" ht="15" hidden="false" customHeight="false" outlineLevel="0" collapsed="false">
      <c r="A1788" s="4" t="s">
        <v>2129</v>
      </c>
      <c r="B1788" s="4" t="s">
        <v>2130</v>
      </c>
      <c r="C1788" s="4" t="n">
        <v>11</v>
      </c>
      <c r="D1788" s="4" t="s">
        <v>70</v>
      </c>
      <c r="E1788" s="4" t="s">
        <v>99</v>
      </c>
      <c r="F1788" s="4" t="s">
        <v>100</v>
      </c>
      <c r="G1788" s="4" t="n">
        <v>2</v>
      </c>
      <c r="H1788" s="4" t="n">
        <v>110</v>
      </c>
      <c r="I1788" s="18" t="n">
        <v>0</v>
      </c>
      <c r="J1788" s="4" t="s">
        <v>88</v>
      </c>
      <c r="K1788" s="4" t="s">
        <v>77</v>
      </c>
    </row>
    <row r="1789" customFormat="false" ht="15" hidden="false" customHeight="false" outlineLevel="0" collapsed="false">
      <c r="A1789" s="4" t="s">
        <v>2131</v>
      </c>
      <c r="B1789" s="17" t="n">
        <v>46013</v>
      </c>
      <c r="C1789" s="4" t="n">
        <v>13</v>
      </c>
      <c r="D1789" s="4" t="s">
        <v>225</v>
      </c>
      <c r="E1789" s="4" t="s">
        <v>74</v>
      </c>
      <c r="F1789" s="4" t="s">
        <v>75</v>
      </c>
      <c r="G1789" s="4" t="n">
        <v>1</v>
      </c>
      <c r="H1789" s="4" t="n">
        <v>220</v>
      </c>
      <c r="I1789" s="18" t="n">
        <v>0</v>
      </c>
      <c r="J1789" s="4" t="s">
        <v>76</v>
      </c>
      <c r="K1789" s="4" t="s">
        <v>77</v>
      </c>
    </row>
    <row r="1790" customFormat="false" ht="15" hidden="false" customHeight="false" outlineLevel="0" collapsed="false">
      <c r="A1790" s="4" t="s">
        <v>2132</v>
      </c>
      <c r="B1790" s="17" t="n">
        <v>46013</v>
      </c>
      <c r="C1790" s="4" t="n">
        <v>14</v>
      </c>
      <c r="D1790" s="4" t="s">
        <v>64</v>
      </c>
      <c r="E1790" s="4" t="s">
        <v>99</v>
      </c>
      <c r="F1790" s="4" t="s">
        <v>102</v>
      </c>
      <c r="G1790" s="4" t="n">
        <v>4</v>
      </c>
      <c r="H1790" s="4" t="n">
        <v>140</v>
      </c>
      <c r="I1790" s="18" t="n">
        <v>0.1</v>
      </c>
      <c r="J1790" s="4" t="s">
        <v>76</v>
      </c>
      <c r="K1790" s="4" t="s">
        <v>68</v>
      </c>
    </row>
    <row r="1791" customFormat="false" ht="15" hidden="false" customHeight="false" outlineLevel="0" collapsed="false">
      <c r="A1791" s="4" t="s">
        <v>2133</v>
      </c>
      <c r="B1791" s="17" t="n">
        <v>46013</v>
      </c>
      <c r="C1791" s="4" t="n">
        <v>15</v>
      </c>
      <c r="D1791" s="4" t="s">
        <v>98</v>
      </c>
      <c r="E1791" s="4" t="s">
        <v>65</v>
      </c>
      <c r="F1791" s="4" t="s">
        <v>66</v>
      </c>
      <c r="G1791" s="4" t="n">
        <v>1</v>
      </c>
      <c r="H1791" s="4" t="n">
        <v>120</v>
      </c>
      <c r="I1791" s="18" t="n">
        <v>0.1</v>
      </c>
      <c r="J1791" s="4" t="s">
        <v>81</v>
      </c>
      <c r="K1791" s="4" t="s">
        <v>77</v>
      </c>
    </row>
    <row r="1792" customFormat="false" ht="15" hidden="false" customHeight="false" outlineLevel="0" collapsed="false">
      <c r="A1792" s="4" t="s">
        <v>2134</v>
      </c>
      <c r="B1792" s="17" t="n">
        <v>46013</v>
      </c>
      <c r="C1792" s="4" t="n">
        <v>20</v>
      </c>
      <c r="D1792" s="4" t="s">
        <v>70</v>
      </c>
      <c r="E1792" s="4" t="s">
        <v>65</v>
      </c>
      <c r="F1792" s="4" t="s">
        <v>121</v>
      </c>
      <c r="G1792" s="4" t="n">
        <v>3</v>
      </c>
      <c r="I1792" s="18" t="n">
        <v>0</v>
      </c>
      <c r="J1792" s="4" t="s">
        <v>112</v>
      </c>
      <c r="K1792" s="4" t="s">
        <v>77</v>
      </c>
    </row>
    <row r="1793" customFormat="false" ht="15" hidden="false" customHeight="false" outlineLevel="0" collapsed="false">
      <c r="A1793" s="4" t="s">
        <v>2135</v>
      </c>
      <c r="B1793" s="17" t="n">
        <v>46014</v>
      </c>
      <c r="C1793" s="4" t="n">
        <v>8</v>
      </c>
      <c r="D1793" s="4" t="s">
        <v>70</v>
      </c>
      <c r="E1793" s="4" t="s">
        <v>65</v>
      </c>
      <c r="F1793" s="4" t="s">
        <v>87</v>
      </c>
      <c r="G1793" s="4" t="n">
        <v>1</v>
      </c>
      <c r="H1793" s="4" t="n">
        <v>160</v>
      </c>
      <c r="I1793" s="18" t="n">
        <v>0.05</v>
      </c>
      <c r="J1793" s="4" t="s">
        <v>81</v>
      </c>
      <c r="K1793" s="4" t="s">
        <v>82</v>
      </c>
    </row>
    <row r="1794" customFormat="false" ht="15" hidden="false" customHeight="false" outlineLevel="0" collapsed="false">
      <c r="A1794" s="4" t="s">
        <v>2136</v>
      </c>
      <c r="B1794" s="17" t="n">
        <v>46014</v>
      </c>
      <c r="C1794" s="4" t="n">
        <v>12</v>
      </c>
      <c r="D1794" s="4" t="s">
        <v>73</v>
      </c>
      <c r="E1794" s="4" t="s">
        <v>373</v>
      </c>
      <c r="F1794" s="4" t="s">
        <v>102</v>
      </c>
      <c r="G1794" s="4" t="n">
        <v>2</v>
      </c>
      <c r="H1794" s="4" t="n">
        <v>140</v>
      </c>
      <c r="I1794" s="18" t="n">
        <v>0.05</v>
      </c>
      <c r="J1794" s="4" t="s">
        <v>81</v>
      </c>
      <c r="K1794" s="4" t="s">
        <v>82</v>
      </c>
    </row>
    <row r="1795" customFormat="false" ht="15" hidden="false" customHeight="false" outlineLevel="0" collapsed="false">
      <c r="A1795" s="4" t="s">
        <v>2137</v>
      </c>
      <c r="B1795" s="4" t="s">
        <v>2138</v>
      </c>
      <c r="C1795" s="4" t="n">
        <v>15</v>
      </c>
      <c r="D1795" s="4" t="s">
        <v>64</v>
      </c>
      <c r="E1795" s="4" t="s">
        <v>74</v>
      </c>
      <c r="F1795" s="4" t="s">
        <v>139</v>
      </c>
      <c r="G1795" s="4" t="n">
        <v>1</v>
      </c>
      <c r="H1795" s="4" t="n">
        <v>260</v>
      </c>
      <c r="I1795" s="18" t="n">
        <v>0</v>
      </c>
      <c r="J1795" s="4" t="s">
        <v>81</v>
      </c>
      <c r="K1795" s="4" t="s">
        <v>68</v>
      </c>
    </row>
    <row r="1796" customFormat="false" ht="15" hidden="false" customHeight="false" outlineLevel="0" collapsed="false">
      <c r="A1796" s="4" t="s">
        <v>2139</v>
      </c>
      <c r="B1796" s="17" t="n">
        <v>46014</v>
      </c>
      <c r="C1796" s="4" t="n">
        <v>16</v>
      </c>
      <c r="D1796" s="4" t="s">
        <v>64</v>
      </c>
      <c r="E1796" s="4" t="s">
        <v>99</v>
      </c>
      <c r="F1796" s="4" t="s">
        <v>102</v>
      </c>
      <c r="G1796" s="4" t="n">
        <v>1</v>
      </c>
      <c r="H1796" s="4" t="n">
        <v>140</v>
      </c>
      <c r="I1796" s="18" t="n">
        <v>0.05</v>
      </c>
      <c r="J1796" s="4" t="s">
        <v>112</v>
      </c>
      <c r="K1796" s="4" t="s">
        <v>82</v>
      </c>
    </row>
    <row r="1797" customFormat="false" ht="15" hidden="false" customHeight="false" outlineLevel="0" collapsed="false">
      <c r="A1797" s="4" t="s">
        <v>2140</v>
      </c>
      <c r="B1797" s="4" t="s">
        <v>2141</v>
      </c>
      <c r="C1797" s="4" t="n">
        <v>8</v>
      </c>
      <c r="D1797" s="4" t="s">
        <v>98</v>
      </c>
      <c r="E1797" s="4" t="s">
        <v>302</v>
      </c>
      <c r="F1797" s="4" t="s">
        <v>100</v>
      </c>
      <c r="G1797" s="4" t="n">
        <v>1</v>
      </c>
      <c r="H1797" s="4" t="n">
        <v>110</v>
      </c>
      <c r="I1797" s="18" t="n">
        <v>0.05</v>
      </c>
      <c r="J1797" s="4" t="s">
        <v>81</v>
      </c>
      <c r="K1797" s="4" t="s">
        <v>82</v>
      </c>
    </row>
    <row r="1798" customFormat="false" ht="15" hidden="false" customHeight="false" outlineLevel="0" collapsed="false">
      <c r="A1798" s="4" t="s">
        <v>2142</v>
      </c>
      <c r="B1798" s="17" t="n">
        <v>46015</v>
      </c>
      <c r="C1798" s="4" t="n">
        <v>11</v>
      </c>
      <c r="D1798" s="4" t="s">
        <v>73</v>
      </c>
      <c r="E1798" s="4" t="s">
        <v>79</v>
      </c>
      <c r="F1798" s="4" t="s">
        <v>148</v>
      </c>
      <c r="G1798" s="4" t="n">
        <v>1</v>
      </c>
      <c r="H1798" s="4" t="n">
        <v>120</v>
      </c>
      <c r="I1798" s="18" t="n">
        <v>0</v>
      </c>
      <c r="J1798" s="4" t="s">
        <v>81</v>
      </c>
      <c r="K1798" s="4" t="s">
        <v>68</v>
      </c>
    </row>
    <row r="1799" customFormat="false" ht="15" hidden="false" customHeight="false" outlineLevel="0" collapsed="false">
      <c r="A1799" s="4" t="s">
        <v>2142</v>
      </c>
      <c r="B1799" s="17" t="n">
        <v>46015</v>
      </c>
      <c r="C1799" s="4" t="n">
        <v>11</v>
      </c>
      <c r="D1799" s="4" t="s">
        <v>73</v>
      </c>
      <c r="E1799" s="4" t="s">
        <v>79</v>
      </c>
      <c r="F1799" s="4" t="s">
        <v>148</v>
      </c>
      <c r="G1799" s="4" t="n">
        <v>1</v>
      </c>
      <c r="H1799" s="4" t="n">
        <v>120</v>
      </c>
      <c r="I1799" s="18" t="n">
        <v>0</v>
      </c>
      <c r="J1799" s="4" t="s">
        <v>81</v>
      </c>
      <c r="K1799" s="4" t="s">
        <v>68</v>
      </c>
    </row>
    <row r="1800" customFormat="false" ht="15" hidden="false" customHeight="false" outlineLevel="0" collapsed="false">
      <c r="A1800" s="4" t="s">
        <v>2143</v>
      </c>
      <c r="B1800" s="17" t="n">
        <v>46015</v>
      </c>
      <c r="C1800" s="4" t="n">
        <v>12</v>
      </c>
      <c r="D1800" s="4" t="s">
        <v>70</v>
      </c>
      <c r="E1800" s="4" t="s">
        <v>99</v>
      </c>
      <c r="F1800" s="4" t="s">
        <v>102</v>
      </c>
      <c r="G1800" s="4" t="n">
        <v>2</v>
      </c>
      <c r="H1800" s="4" t="n">
        <v>140</v>
      </c>
      <c r="I1800" s="18" t="n">
        <v>0</v>
      </c>
      <c r="J1800" s="4" t="s">
        <v>67</v>
      </c>
      <c r="K1800" s="4" t="s">
        <v>77</v>
      </c>
    </row>
    <row r="1801" customFormat="false" ht="15" hidden="false" customHeight="false" outlineLevel="0" collapsed="false">
      <c r="A1801" s="4" t="s">
        <v>2144</v>
      </c>
      <c r="B1801" s="4" t="s">
        <v>2141</v>
      </c>
      <c r="C1801" s="4" t="n">
        <v>12</v>
      </c>
      <c r="D1801" s="4" t="s">
        <v>73</v>
      </c>
      <c r="E1801" s="4" t="s">
        <v>65</v>
      </c>
      <c r="F1801" s="4" t="s">
        <v>94</v>
      </c>
      <c r="G1801" s="4" t="n">
        <v>2</v>
      </c>
      <c r="H1801" s="4" t="n">
        <v>150</v>
      </c>
      <c r="I1801" s="18" t="n">
        <v>0.1</v>
      </c>
      <c r="J1801" s="4" t="s">
        <v>67</v>
      </c>
      <c r="K1801" s="4" t="s">
        <v>71</v>
      </c>
    </row>
    <row r="1802" customFormat="false" ht="15" hidden="false" customHeight="false" outlineLevel="0" collapsed="false">
      <c r="A1802" s="4" t="s">
        <v>2145</v>
      </c>
      <c r="B1802" s="17" t="n">
        <v>46015</v>
      </c>
      <c r="C1802" s="4" t="n">
        <v>13</v>
      </c>
      <c r="D1802" s="4" t="s">
        <v>64</v>
      </c>
      <c r="E1802" s="4" t="s">
        <v>99</v>
      </c>
      <c r="F1802" s="4" t="s">
        <v>109</v>
      </c>
      <c r="G1802" s="4" t="n">
        <v>40</v>
      </c>
      <c r="H1802" s="4" t="n">
        <v>130</v>
      </c>
      <c r="I1802" s="18" t="n">
        <v>0</v>
      </c>
      <c r="J1802" s="4" t="s">
        <v>76</v>
      </c>
      <c r="K1802" s="4" t="s">
        <v>68</v>
      </c>
    </row>
    <row r="1803" customFormat="false" ht="15" hidden="false" customHeight="false" outlineLevel="0" collapsed="false">
      <c r="A1803" s="4" t="s">
        <v>2146</v>
      </c>
      <c r="B1803" s="17" t="n">
        <v>46015</v>
      </c>
      <c r="C1803" s="4" t="n">
        <v>19</v>
      </c>
      <c r="D1803" s="4" t="s">
        <v>70</v>
      </c>
      <c r="E1803" s="4" t="s">
        <v>84</v>
      </c>
      <c r="F1803" s="4" t="s">
        <v>106</v>
      </c>
      <c r="G1803" s="4" t="n">
        <v>2</v>
      </c>
      <c r="H1803" s="4" t="n">
        <v>60</v>
      </c>
      <c r="J1803" s="4" t="s">
        <v>81</v>
      </c>
      <c r="K1803" s="4" t="s">
        <v>82</v>
      </c>
    </row>
    <row r="1804" customFormat="false" ht="15" hidden="false" customHeight="false" outlineLevel="0" collapsed="false">
      <c r="A1804" s="4" t="s">
        <v>2147</v>
      </c>
      <c r="B1804" s="17" t="n">
        <v>46016</v>
      </c>
      <c r="C1804" s="4" t="n">
        <v>11</v>
      </c>
      <c r="D1804" s="4" t="s">
        <v>64</v>
      </c>
      <c r="E1804" s="4" t="s">
        <v>74</v>
      </c>
      <c r="F1804" s="4" t="s">
        <v>91</v>
      </c>
      <c r="G1804" s="4" t="n">
        <v>1</v>
      </c>
      <c r="H1804" s="4" t="n">
        <v>200</v>
      </c>
      <c r="I1804" s="18" t="n">
        <v>0.05</v>
      </c>
      <c r="J1804" s="4" t="s">
        <v>67</v>
      </c>
      <c r="K1804" s="4" t="s">
        <v>82</v>
      </c>
    </row>
    <row r="1805" customFormat="false" ht="15" hidden="false" customHeight="false" outlineLevel="0" collapsed="false">
      <c r="A1805" s="4" t="s">
        <v>2148</v>
      </c>
      <c r="B1805" s="17" t="n">
        <v>46016</v>
      </c>
      <c r="C1805" s="4" t="n">
        <v>13</v>
      </c>
      <c r="D1805" s="4" t="s">
        <v>70</v>
      </c>
      <c r="E1805" s="4" t="s">
        <v>79</v>
      </c>
      <c r="F1805" s="4" t="s">
        <v>148</v>
      </c>
      <c r="G1805" s="4" t="n">
        <v>1</v>
      </c>
      <c r="H1805" s="4" t="n">
        <v>120</v>
      </c>
      <c r="I1805" s="18" t="n">
        <v>0.1</v>
      </c>
      <c r="J1805" s="4" t="s">
        <v>67</v>
      </c>
      <c r="K1805" s="4" t="s">
        <v>71</v>
      </c>
    </row>
    <row r="1806" customFormat="false" ht="15" hidden="false" customHeight="false" outlineLevel="0" collapsed="false">
      <c r="A1806" s="4" t="s">
        <v>2149</v>
      </c>
      <c r="B1806" s="4" t="s">
        <v>2150</v>
      </c>
      <c r="C1806" s="4" t="n">
        <v>9</v>
      </c>
      <c r="D1806" s="4" t="s">
        <v>73</v>
      </c>
      <c r="E1806" s="4" t="s">
        <v>99</v>
      </c>
      <c r="F1806" s="4" t="s">
        <v>102</v>
      </c>
      <c r="G1806" s="4" t="n">
        <v>4</v>
      </c>
      <c r="H1806" s="4" t="n">
        <v>140</v>
      </c>
      <c r="I1806" s="18" t="n">
        <v>0.1</v>
      </c>
      <c r="J1806" s="4" t="s">
        <v>67</v>
      </c>
      <c r="K1806" s="4" t="s">
        <v>82</v>
      </c>
    </row>
    <row r="1807" customFormat="false" ht="15" hidden="false" customHeight="false" outlineLevel="0" collapsed="false">
      <c r="A1807" s="4" t="s">
        <v>2151</v>
      </c>
      <c r="B1807" s="17" t="n">
        <v>46017</v>
      </c>
      <c r="C1807" s="4" t="n">
        <v>9</v>
      </c>
      <c r="D1807" s="4" t="s">
        <v>70</v>
      </c>
      <c r="E1807" s="4" t="s">
        <v>65</v>
      </c>
      <c r="F1807" s="4" t="s">
        <v>121</v>
      </c>
      <c r="G1807" s="4" t="n">
        <v>1</v>
      </c>
      <c r="H1807" s="4" t="n">
        <v>170</v>
      </c>
      <c r="I1807" s="18" t="n">
        <v>0</v>
      </c>
      <c r="J1807" s="4" t="s">
        <v>81</v>
      </c>
      <c r="K1807" s="4" t="s">
        <v>68</v>
      </c>
    </row>
    <row r="1808" customFormat="false" ht="15" hidden="false" customHeight="false" outlineLevel="0" collapsed="false">
      <c r="A1808" s="4" t="s">
        <v>2152</v>
      </c>
      <c r="B1808" s="4" t="s">
        <v>2153</v>
      </c>
      <c r="C1808" s="4" t="n">
        <v>12</v>
      </c>
      <c r="D1808" s="4" t="s">
        <v>70</v>
      </c>
      <c r="E1808" s="4" t="s">
        <v>99</v>
      </c>
      <c r="F1808" s="4" t="s">
        <v>109</v>
      </c>
      <c r="G1808" s="4" t="n">
        <v>2</v>
      </c>
      <c r="H1808" s="4" t="n">
        <v>130</v>
      </c>
      <c r="I1808" s="18" t="n">
        <v>0</v>
      </c>
      <c r="J1808" s="4" t="s">
        <v>103</v>
      </c>
      <c r="K1808" s="4" t="s">
        <v>68</v>
      </c>
    </row>
    <row r="1809" customFormat="false" ht="15" hidden="false" customHeight="false" outlineLevel="0" collapsed="false">
      <c r="A1809" s="4" t="s">
        <v>2154</v>
      </c>
      <c r="B1809" s="17" t="n">
        <v>46017</v>
      </c>
      <c r="C1809" s="4" t="n">
        <v>15</v>
      </c>
      <c r="D1809" s="4" t="s">
        <v>70</v>
      </c>
      <c r="E1809" s="4" t="s">
        <v>65</v>
      </c>
      <c r="F1809" s="4" t="s">
        <v>66</v>
      </c>
      <c r="G1809" s="4" t="n">
        <v>2</v>
      </c>
      <c r="H1809" s="4" t="n">
        <v>120</v>
      </c>
      <c r="I1809" s="18" t="n">
        <v>0.1</v>
      </c>
      <c r="J1809" s="4" t="s">
        <v>88</v>
      </c>
      <c r="K1809" s="4" t="s">
        <v>82</v>
      </c>
    </row>
    <row r="1810" customFormat="false" ht="15" hidden="false" customHeight="false" outlineLevel="0" collapsed="false">
      <c r="A1810" s="4" t="s">
        <v>2155</v>
      </c>
      <c r="B1810" s="17" t="n">
        <v>46017</v>
      </c>
      <c r="C1810" s="4" t="n">
        <v>15</v>
      </c>
      <c r="D1810" s="4" t="s">
        <v>64</v>
      </c>
      <c r="E1810" s="4" t="s">
        <v>99</v>
      </c>
      <c r="F1810" s="4" t="s">
        <v>102</v>
      </c>
      <c r="G1810" s="4" t="n">
        <v>1</v>
      </c>
      <c r="H1810" s="4" t="n">
        <v>140</v>
      </c>
      <c r="I1810" s="18" t="n">
        <v>0</v>
      </c>
      <c r="J1810" s="4" t="s">
        <v>81</v>
      </c>
      <c r="K1810" s="4" t="s">
        <v>68</v>
      </c>
    </row>
    <row r="1811" customFormat="false" ht="15" hidden="false" customHeight="false" outlineLevel="0" collapsed="false">
      <c r="A1811" s="4" t="s">
        <v>2156</v>
      </c>
      <c r="B1811" s="17" t="n">
        <v>46017</v>
      </c>
      <c r="C1811" s="4" t="n">
        <v>16</v>
      </c>
      <c r="D1811" s="4" t="s">
        <v>98</v>
      </c>
      <c r="E1811" s="4" t="s">
        <v>74</v>
      </c>
      <c r="F1811" s="4" t="s">
        <v>843</v>
      </c>
      <c r="G1811" s="4" t="n">
        <v>1</v>
      </c>
      <c r="H1811" s="4" t="n">
        <v>220</v>
      </c>
      <c r="I1811" s="18" t="n">
        <v>0</v>
      </c>
      <c r="J1811" s="4" t="s">
        <v>76</v>
      </c>
      <c r="K1811" s="4" t="s">
        <v>77</v>
      </c>
    </row>
    <row r="1812" customFormat="false" ht="15" hidden="false" customHeight="false" outlineLevel="0" collapsed="false">
      <c r="A1812" s="4" t="s">
        <v>2157</v>
      </c>
      <c r="B1812" s="17" t="n">
        <v>46017</v>
      </c>
      <c r="C1812" s="4" t="n">
        <v>18</v>
      </c>
      <c r="D1812" s="4" t="s">
        <v>64</v>
      </c>
      <c r="E1812" s="4" t="s">
        <v>403</v>
      </c>
      <c r="F1812" s="4" t="s">
        <v>100</v>
      </c>
      <c r="G1812" s="4" t="n">
        <v>3</v>
      </c>
      <c r="H1812" s="4" t="n">
        <v>110</v>
      </c>
      <c r="I1812" s="18" t="n">
        <v>0</v>
      </c>
      <c r="J1812" s="4" t="s">
        <v>67</v>
      </c>
      <c r="K1812" s="4" t="s">
        <v>77</v>
      </c>
    </row>
    <row r="1813" customFormat="false" ht="15" hidden="false" customHeight="false" outlineLevel="0" collapsed="false">
      <c r="A1813" s="4" t="s">
        <v>2158</v>
      </c>
      <c r="B1813" s="17" t="n">
        <v>46017</v>
      </c>
      <c r="C1813" s="4" t="n">
        <v>18</v>
      </c>
      <c r="D1813" s="4" t="s">
        <v>70</v>
      </c>
      <c r="E1813" s="4" t="s">
        <v>65</v>
      </c>
      <c r="F1813" s="4" t="s">
        <v>94</v>
      </c>
      <c r="G1813" s="4" t="n">
        <v>1</v>
      </c>
      <c r="H1813" s="4" t="n">
        <v>150</v>
      </c>
      <c r="I1813" s="18" t="n">
        <v>0</v>
      </c>
      <c r="J1813" s="4" t="s">
        <v>76</v>
      </c>
      <c r="K1813" s="4" t="s">
        <v>68</v>
      </c>
    </row>
    <row r="1814" customFormat="false" ht="15" hidden="false" customHeight="false" outlineLevel="0" collapsed="false">
      <c r="A1814" s="4" t="s">
        <v>2159</v>
      </c>
      <c r="B1814" s="17" t="n">
        <v>46018</v>
      </c>
      <c r="C1814" s="4" t="n">
        <v>8</v>
      </c>
      <c r="D1814" s="4" t="s">
        <v>98</v>
      </c>
      <c r="E1814" s="4" t="s">
        <v>79</v>
      </c>
      <c r="F1814" s="4" t="s">
        <v>135</v>
      </c>
      <c r="G1814" s="4" t="n">
        <v>4</v>
      </c>
      <c r="H1814" s="4" t="n">
        <v>130</v>
      </c>
      <c r="I1814" s="18" t="n">
        <v>0</v>
      </c>
      <c r="J1814" s="4" t="s">
        <v>76</v>
      </c>
      <c r="K1814" s="4" t="s">
        <v>68</v>
      </c>
    </row>
    <row r="1815" customFormat="false" ht="15" hidden="false" customHeight="false" outlineLevel="0" collapsed="false">
      <c r="A1815" s="4" t="s">
        <v>2160</v>
      </c>
      <c r="B1815" s="4" t="s">
        <v>2161</v>
      </c>
      <c r="C1815" s="4" t="n">
        <v>8</v>
      </c>
      <c r="D1815" s="4" t="s">
        <v>70</v>
      </c>
      <c r="E1815" s="4" t="s">
        <v>99</v>
      </c>
      <c r="F1815" s="4" t="s">
        <v>102</v>
      </c>
      <c r="G1815" s="4" t="n">
        <v>2</v>
      </c>
      <c r="H1815" s="4" t="n">
        <v>140</v>
      </c>
      <c r="I1815" s="18" t="n">
        <v>0.05</v>
      </c>
      <c r="J1815" s="4" t="s">
        <v>67</v>
      </c>
      <c r="K1815" s="4" t="s">
        <v>82</v>
      </c>
    </row>
    <row r="1816" customFormat="false" ht="15" hidden="false" customHeight="false" outlineLevel="0" collapsed="false">
      <c r="A1816" s="4" t="s">
        <v>2162</v>
      </c>
      <c r="B1816" s="17" t="n">
        <v>46018</v>
      </c>
      <c r="C1816" s="4" t="n">
        <v>10</v>
      </c>
      <c r="D1816" s="4" t="s">
        <v>172</v>
      </c>
      <c r="E1816" s="4" t="s">
        <v>65</v>
      </c>
      <c r="F1816" s="4" t="s">
        <v>236</v>
      </c>
      <c r="G1816" s="4" t="n">
        <v>1</v>
      </c>
      <c r="H1816" s="4" t="n">
        <v>150</v>
      </c>
      <c r="I1816" s="18" t="n">
        <v>0</v>
      </c>
      <c r="J1816" s="4" t="s">
        <v>76</v>
      </c>
      <c r="K1816" s="4" t="s">
        <v>68</v>
      </c>
    </row>
    <row r="1817" customFormat="false" ht="15" hidden="false" customHeight="false" outlineLevel="0" collapsed="false">
      <c r="A1817" s="4" t="s">
        <v>2163</v>
      </c>
      <c r="B1817" s="17" t="n">
        <v>46018</v>
      </c>
      <c r="C1817" s="4" t="n">
        <v>10</v>
      </c>
      <c r="D1817" s="4" t="s">
        <v>73</v>
      </c>
      <c r="E1817" s="4" t="s">
        <v>99</v>
      </c>
      <c r="F1817" s="4" t="s">
        <v>133</v>
      </c>
      <c r="G1817" s="4" t="n">
        <v>2</v>
      </c>
      <c r="H1817" s="4" t="n">
        <v>90</v>
      </c>
      <c r="I1817" s="18" t="n">
        <v>0</v>
      </c>
      <c r="J1817" s="4" t="s">
        <v>67</v>
      </c>
      <c r="K1817" s="4" t="s">
        <v>68</v>
      </c>
    </row>
    <row r="1818" customFormat="false" ht="15" hidden="false" customHeight="false" outlineLevel="0" collapsed="false">
      <c r="A1818" s="4" t="s">
        <v>2164</v>
      </c>
      <c r="B1818" s="17" t="n">
        <v>46018</v>
      </c>
      <c r="C1818" s="4" t="n">
        <v>12</v>
      </c>
      <c r="D1818" s="4" t="s">
        <v>98</v>
      </c>
      <c r="E1818" s="4" t="s">
        <v>84</v>
      </c>
      <c r="F1818" s="4" t="s">
        <v>117</v>
      </c>
      <c r="G1818" s="4" t="n">
        <v>1</v>
      </c>
      <c r="H1818" s="4" t="n">
        <v>95</v>
      </c>
      <c r="I1818" s="18" t="n">
        <v>0.1</v>
      </c>
      <c r="J1818" s="4" t="s">
        <v>81</v>
      </c>
      <c r="K1818" s="4" t="s">
        <v>71</v>
      </c>
    </row>
    <row r="1819" customFormat="false" ht="15" hidden="false" customHeight="false" outlineLevel="0" collapsed="false">
      <c r="A1819" s="4" t="s">
        <v>2165</v>
      </c>
      <c r="B1819" s="17" t="n">
        <v>46019</v>
      </c>
      <c r="C1819" s="4" t="n">
        <v>8</v>
      </c>
      <c r="D1819" s="4" t="s">
        <v>73</v>
      </c>
      <c r="E1819" s="4" t="s">
        <v>99</v>
      </c>
      <c r="F1819" s="4" t="s">
        <v>100</v>
      </c>
      <c r="G1819" s="4" t="n">
        <v>1</v>
      </c>
      <c r="H1819" s="4" t="n">
        <v>110</v>
      </c>
      <c r="I1819" s="18" t="n">
        <v>0</v>
      </c>
      <c r="J1819" s="4" t="s">
        <v>81</v>
      </c>
      <c r="K1819" s="4" t="s">
        <v>68</v>
      </c>
    </row>
    <row r="1820" customFormat="false" ht="15" hidden="false" customHeight="false" outlineLevel="0" collapsed="false">
      <c r="A1820" s="4" t="s">
        <v>2166</v>
      </c>
      <c r="B1820" s="17" t="n">
        <v>46019</v>
      </c>
      <c r="C1820" s="4" t="n">
        <v>11</v>
      </c>
      <c r="D1820" s="4" t="s">
        <v>73</v>
      </c>
      <c r="E1820" s="4" t="s">
        <v>65</v>
      </c>
      <c r="F1820" s="4" t="s">
        <v>236</v>
      </c>
      <c r="G1820" s="4" t="n">
        <v>2</v>
      </c>
      <c r="H1820" s="4" t="n">
        <v>150</v>
      </c>
      <c r="I1820" s="18" t="n">
        <v>0</v>
      </c>
      <c r="J1820" s="4" t="s">
        <v>67</v>
      </c>
      <c r="K1820" s="4" t="s">
        <v>68</v>
      </c>
    </row>
    <row r="1821" customFormat="false" ht="15" hidden="false" customHeight="false" outlineLevel="0" collapsed="false">
      <c r="A1821" s="4" t="s">
        <v>2167</v>
      </c>
      <c r="B1821" s="17" t="n">
        <v>46019</v>
      </c>
      <c r="C1821" s="4" t="n">
        <v>12</v>
      </c>
      <c r="D1821" s="4" t="s">
        <v>98</v>
      </c>
      <c r="E1821" s="4" t="s">
        <v>74</v>
      </c>
      <c r="F1821" s="4" t="s">
        <v>91</v>
      </c>
      <c r="G1821" s="4" t="n">
        <v>1</v>
      </c>
      <c r="H1821" s="4" t="n">
        <v>200</v>
      </c>
      <c r="I1821" s="18" t="n">
        <v>0.1</v>
      </c>
      <c r="J1821" s="4" t="s">
        <v>81</v>
      </c>
      <c r="K1821" s="4" t="s">
        <v>71</v>
      </c>
    </row>
    <row r="1822" customFormat="false" ht="15" hidden="false" customHeight="false" outlineLevel="0" collapsed="false">
      <c r="A1822" s="4" t="s">
        <v>2168</v>
      </c>
      <c r="B1822" s="17" t="n">
        <v>46019</v>
      </c>
      <c r="C1822" s="4" t="n">
        <v>12</v>
      </c>
      <c r="D1822" s="4" t="s">
        <v>73</v>
      </c>
      <c r="E1822" s="4" t="s">
        <v>84</v>
      </c>
      <c r="F1822" s="4" t="s">
        <v>117</v>
      </c>
      <c r="G1822" s="4" t="n">
        <v>1</v>
      </c>
      <c r="H1822" s="4" t="n">
        <v>95</v>
      </c>
      <c r="I1822" s="18" t="n">
        <v>0</v>
      </c>
      <c r="J1822" s="4" t="s">
        <v>67</v>
      </c>
      <c r="K1822" s="4" t="s">
        <v>68</v>
      </c>
    </row>
    <row r="1823" customFormat="false" ht="15" hidden="false" customHeight="false" outlineLevel="0" collapsed="false">
      <c r="A1823" s="4" t="s">
        <v>2169</v>
      </c>
      <c r="B1823" s="17" t="n">
        <v>46019</v>
      </c>
      <c r="C1823" s="4" t="n">
        <v>15</v>
      </c>
      <c r="D1823" s="4" t="s">
        <v>938</v>
      </c>
      <c r="E1823" s="4" t="s">
        <v>65</v>
      </c>
      <c r="F1823" s="4" t="s">
        <v>66</v>
      </c>
      <c r="G1823" s="4" t="n">
        <v>1</v>
      </c>
      <c r="H1823" s="4" t="n">
        <v>120</v>
      </c>
      <c r="I1823" s="18" t="n">
        <v>0.05</v>
      </c>
      <c r="J1823" s="4" t="s">
        <v>81</v>
      </c>
      <c r="K1823" s="4" t="s">
        <v>82</v>
      </c>
    </row>
    <row r="1824" customFormat="false" ht="15" hidden="false" customHeight="false" outlineLevel="0" collapsed="false">
      <c r="A1824" s="4" t="s">
        <v>2170</v>
      </c>
      <c r="B1824" s="17" t="n">
        <v>46020</v>
      </c>
      <c r="C1824" s="4" t="n">
        <v>8</v>
      </c>
      <c r="D1824" s="4" t="s">
        <v>73</v>
      </c>
      <c r="E1824" s="4" t="s">
        <v>99</v>
      </c>
      <c r="F1824" s="4" t="s">
        <v>100</v>
      </c>
      <c r="G1824" s="4" t="n">
        <v>1</v>
      </c>
      <c r="H1824" s="4" t="n">
        <v>110</v>
      </c>
      <c r="I1824" s="18" t="n">
        <v>0.1</v>
      </c>
      <c r="J1824" s="4" t="s">
        <v>81</v>
      </c>
      <c r="K1824" s="4" t="s">
        <v>71</v>
      </c>
    </row>
    <row r="1825" customFormat="false" ht="15" hidden="false" customHeight="false" outlineLevel="0" collapsed="false">
      <c r="A1825" s="4" t="s">
        <v>2171</v>
      </c>
      <c r="B1825" s="17" t="n">
        <v>46020</v>
      </c>
      <c r="C1825" s="4" t="n">
        <v>8</v>
      </c>
      <c r="D1825" s="4" t="s">
        <v>70</v>
      </c>
      <c r="E1825" s="4" t="s">
        <v>65</v>
      </c>
      <c r="F1825" s="4" t="s">
        <v>87</v>
      </c>
      <c r="G1825" s="4" t="n">
        <v>3</v>
      </c>
      <c r="H1825" s="4" t="n">
        <v>160</v>
      </c>
      <c r="I1825" s="18" t="n">
        <v>0</v>
      </c>
      <c r="J1825" s="4" t="s">
        <v>67</v>
      </c>
      <c r="K1825" s="4" t="s">
        <v>77</v>
      </c>
    </row>
    <row r="1826" customFormat="false" ht="15" hidden="false" customHeight="false" outlineLevel="0" collapsed="false">
      <c r="A1826" s="4" t="s">
        <v>2172</v>
      </c>
      <c r="B1826" s="17" t="n">
        <v>46020</v>
      </c>
      <c r="C1826" s="4" t="n">
        <v>12</v>
      </c>
      <c r="D1826" s="4" t="s">
        <v>64</v>
      </c>
      <c r="E1826" s="4" t="s">
        <v>79</v>
      </c>
      <c r="F1826" s="4" t="s">
        <v>148</v>
      </c>
      <c r="G1826" s="4" t="n">
        <v>1</v>
      </c>
      <c r="H1826" s="4" t="n">
        <v>120</v>
      </c>
      <c r="I1826" s="18" t="n">
        <v>0</v>
      </c>
      <c r="J1826" s="4" t="s">
        <v>112</v>
      </c>
      <c r="K1826" s="4" t="s">
        <v>68</v>
      </c>
    </row>
    <row r="1827" customFormat="false" ht="15" hidden="false" customHeight="false" outlineLevel="0" collapsed="false">
      <c r="A1827" s="4" t="s">
        <v>2173</v>
      </c>
      <c r="B1827" s="17" t="n">
        <v>46021</v>
      </c>
      <c r="C1827" s="4" t="n">
        <v>9</v>
      </c>
      <c r="D1827" s="4" t="s">
        <v>73</v>
      </c>
      <c r="E1827" s="4" t="s">
        <v>84</v>
      </c>
      <c r="F1827" s="4" t="s">
        <v>106</v>
      </c>
      <c r="G1827" s="4" t="n">
        <v>1</v>
      </c>
      <c r="H1827" s="4" t="n">
        <v>60</v>
      </c>
      <c r="I1827" s="18" t="n">
        <v>0</v>
      </c>
      <c r="J1827" s="4" t="s">
        <v>67</v>
      </c>
      <c r="K1827" s="4" t="s">
        <v>68</v>
      </c>
    </row>
    <row r="1828" customFormat="false" ht="15" hidden="false" customHeight="false" outlineLevel="0" collapsed="false">
      <c r="A1828" s="4" t="s">
        <v>2174</v>
      </c>
      <c r="B1828" s="17" t="n">
        <v>46021</v>
      </c>
      <c r="C1828" s="4" t="n">
        <v>11</v>
      </c>
      <c r="D1828" s="4" t="s">
        <v>70</v>
      </c>
      <c r="E1828" s="4" t="s">
        <v>74</v>
      </c>
      <c r="F1828" s="4" t="s">
        <v>75</v>
      </c>
      <c r="G1828" s="4" t="n">
        <v>1</v>
      </c>
      <c r="H1828" s="4" t="n">
        <v>220</v>
      </c>
      <c r="I1828" s="18" t="n">
        <v>0</v>
      </c>
      <c r="J1828" s="4" t="s">
        <v>81</v>
      </c>
      <c r="K1828" s="4" t="s">
        <v>77</v>
      </c>
    </row>
    <row r="1829" customFormat="false" ht="15" hidden="false" customHeight="false" outlineLevel="0" collapsed="false">
      <c r="A1829" s="4" t="s">
        <v>2175</v>
      </c>
      <c r="B1829" s="17" t="n">
        <v>46021</v>
      </c>
      <c r="C1829" s="4" t="n">
        <v>12</v>
      </c>
      <c r="D1829" s="4" t="s">
        <v>73</v>
      </c>
      <c r="E1829" s="4" t="s">
        <v>74</v>
      </c>
      <c r="F1829" s="4" t="s">
        <v>75</v>
      </c>
      <c r="G1829" s="4" t="n">
        <v>2</v>
      </c>
      <c r="H1829" s="4" t="n">
        <v>220</v>
      </c>
      <c r="I1829" s="18" t="n">
        <v>0</v>
      </c>
      <c r="J1829" s="4" t="s">
        <v>67</v>
      </c>
      <c r="K1829" s="4" t="s">
        <v>77</v>
      </c>
    </row>
    <row r="1830" customFormat="false" ht="15" hidden="false" customHeight="false" outlineLevel="0" collapsed="false">
      <c r="A1830" s="4" t="s">
        <v>2176</v>
      </c>
      <c r="B1830" s="17" t="n">
        <v>46021</v>
      </c>
      <c r="C1830" s="4" t="n">
        <v>13</v>
      </c>
      <c r="D1830" s="4" t="s">
        <v>98</v>
      </c>
      <c r="E1830" s="4" t="s">
        <v>79</v>
      </c>
      <c r="F1830" s="4" t="s">
        <v>80</v>
      </c>
      <c r="G1830" s="4" t="n">
        <v>2</v>
      </c>
      <c r="H1830" s="4" t="n">
        <v>160</v>
      </c>
      <c r="I1830" s="18" t="n">
        <v>0.1</v>
      </c>
      <c r="J1830" s="4" t="s">
        <v>67</v>
      </c>
      <c r="K1830" s="4" t="s">
        <v>77</v>
      </c>
    </row>
    <row r="1831" customFormat="false" ht="15" hidden="false" customHeight="false" outlineLevel="0" collapsed="false">
      <c r="A1831" s="4" t="s">
        <v>2177</v>
      </c>
      <c r="B1831" s="17" t="n">
        <v>46021</v>
      </c>
      <c r="C1831" s="4" t="n">
        <v>16</v>
      </c>
      <c r="D1831" s="4" t="s">
        <v>70</v>
      </c>
      <c r="E1831" s="4" t="s">
        <v>99</v>
      </c>
      <c r="F1831" s="4" t="s">
        <v>102</v>
      </c>
      <c r="G1831" s="4" t="n">
        <v>-2</v>
      </c>
      <c r="H1831" s="4" t="n">
        <v>140</v>
      </c>
      <c r="I1831" s="18" t="n">
        <v>0.1</v>
      </c>
      <c r="J1831" s="4" t="s">
        <v>88</v>
      </c>
      <c r="K1831" s="4" t="s">
        <v>71</v>
      </c>
    </row>
    <row r="1832" customFormat="false" ht="15" hidden="false" customHeight="false" outlineLevel="0" collapsed="false">
      <c r="A1832" s="4" t="s">
        <v>2178</v>
      </c>
      <c r="B1832" s="17" t="n">
        <v>46021</v>
      </c>
      <c r="C1832" s="4" t="n">
        <v>17</v>
      </c>
      <c r="D1832" s="4" t="s">
        <v>64</v>
      </c>
      <c r="E1832" s="4" t="s">
        <v>65</v>
      </c>
      <c r="F1832" s="4" t="s">
        <v>66</v>
      </c>
      <c r="G1832" s="4" t="n">
        <v>4</v>
      </c>
      <c r="H1832" s="4" t="n">
        <v>120</v>
      </c>
      <c r="I1832" s="18" t="n">
        <v>0.05</v>
      </c>
      <c r="J1832" s="4" t="s">
        <v>76</v>
      </c>
      <c r="K1832" s="4" t="s">
        <v>82</v>
      </c>
    </row>
    <row r="1833" customFormat="false" ht="15" hidden="false" customHeight="false" outlineLevel="0" collapsed="false">
      <c r="A1833" s="4" t="s">
        <v>2179</v>
      </c>
      <c r="B1833" s="17" t="n">
        <v>46021</v>
      </c>
      <c r="C1833" s="4" t="n">
        <v>17</v>
      </c>
      <c r="D1833" s="4" t="s">
        <v>70</v>
      </c>
      <c r="E1833" s="4" t="s">
        <v>65</v>
      </c>
      <c r="F1833" s="4" t="s">
        <v>66</v>
      </c>
      <c r="G1833" s="4" t="n">
        <v>1</v>
      </c>
      <c r="H1833" s="4" t="n">
        <v>120</v>
      </c>
      <c r="I1833" s="18" t="n">
        <v>0</v>
      </c>
      <c r="J1833" s="4" t="s">
        <v>76</v>
      </c>
      <c r="K1833" s="4" t="s">
        <v>68</v>
      </c>
    </row>
    <row r="1834" customFormat="false" ht="15" hidden="false" customHeight="false" outlineLevel="0" collapsed="false">
      <c r="A1834" s="4" t="s">
        <v>2180</v>
      </c>
      <c r="B1834" s="17" t="n">
        <v>46021</v>
      </c>
      <c r="C1834" s="4" t="n">
        <v>18</v>
      </c>
      <c r="D1834" s="4" t="s">
        <v>98</v>
      </c>
      <c r="E1834" s="4" t="s">
        <v>84</v>
      </c>
      <c r="F1834" s="4" t="s">
        <v>85</v>
      </c>
      <c r="G1834" s="4" t="n">
        <v>2</v>
      </c>
      <c r="H1834" s="4" t="n">
        <v>150</v>
      </c>
      <c r="I1834" s="18" t="n">
        <v>0</v>
      </c>
      <c r="J1834" s="4" t="s">
        <v>76</v>
      </c>
      <c r="K1834" s="4" t="s">
        <v>77</v>
      </c>
    </row>
    <row r="1835" customFormat="false" ht="15" hidden="false" customHeight="false" outlineLevel="0" collapsed="false">
      <c r="A1835" s="4" t="s">
        <v>2181</v>
      </c>
      <c r="B1835" s="17" t="n">
        <v>46022</v>
      </c>
      <c r="C1835" s="4" t="n">
        <v>10</v>
      </c>
      <c r="D1835" s="4" t="s">
        <v>98</v>
      </c>
      <c r="E1835" s="4" t="s">
        <v>65</v>
      </c>
      <c r="F1835" s="4" t="s">
        <v>121</v>
      </c>
      <c r="G1835" s="4" t="n">
        <v>1</v>
      </c>
      <c r="H1835" s="4" t="n">
        <v>170</v>
      </c>
      <c r="I1835" s="18" t="n">
        <v>0</v>
      </c>
      <c r="J1835" s="4" t="s">
        <v>81</v>
      </c>
      <c r="K1835" s="4" t="s">
        <v>68</v>
      </c>
    </row>
    <row r="1836" customFormat="false" ht="15" hidden="false" customHeight="false" outlineLevel="0" collapsed="false">
      <c r="A1836" s="4" t="s">
        <v>2182</v>
      </c>
      <c r="B1836" s="4" t="s">
        <v>2183</v>
      </c>
      <c r="C1836" s="4" t="n">
        <v>14</v>
      </c>
      <c r="D1836" s="4" t="s">
        <v>73</v>
      </c>
      <c r="E1836" s="4" t="s">
        <v>84</v>
      </c>
      <c r="F1836" s="4" t="s">
        <v>117</v>
      </c>
      <c r="G1836" s="4" t="n">
        <v>3</v>
      </c>
      <c r="H1836" s="4" t="n">
        <v>95</v>
      </c>
      <c r="I1836" s="18" t="n">
        <v>0.1</v>
      </c>
      <c r="J1836" s="4" t="s">
        <v>112</v>
      </c>
      <c r="K1836" s="4" t="s">
        <v>71</v>
      </c>
    </row>
    <row r="1837" customFormat="false" ht="15" hidden="false" customHeight="false" outlineLevel="0" collapsed="false">
      <c r="A1837" s="4" t="s">
        <v>2184</v>
      </c>
      <c r="B1837" s="17" t="n">
        <v>46022</v>
      </c>
      <c r="C1837" s="4" t="n">
        <v>18</v>
      </c>
      <c r="D1837" s="4" t="s">
        <v>64</v>
      </c>
      <c r="E1837" s="4" t="s">
        <v>65</v>
      </c>
      <c r="F1837" s="4" t="s">
        <v>94</v>
      </c>
      <c r="G1837" s="4" t="n">
        <v>1</v>
      </c>
      <c r="H1837" s="4" t="n">
        <v>150</v>
      </c>
      <c r="I1837" s="18" t="n">
        <v>0</v>
      </c>
      <c r="J1837" s="4" t="s">
        <v>67</v>
      </c>
      <c r="K1837" s="4" t="s">
        <v>68</v>
      </c>
    </row>
  </sheetData>
  <autoFilter ref="A1:K18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2691E"/>
    <pageSetUpPr fitToPage="false"/>
  </sheetPr>
  <dimension ref="A1:E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44"/>
  </cols>
  <sheetData>
    <row r="1" customFormat="false" ht="25.5" hidden="false" customHeight="true" outlineLevel="0" collapsed="false">
      <c r="A1" s="1" t="s">
        <v>2185</v>
      </c>
    </row>
    <row r="2" customFormat="false" ht="15" hidden="false" customHeight="false" outlineLevel="0" collapsed="false">
      <c r="A2" s="2" t="s">
        <v>2186</v>
      </c>
    </row>
    <row r="4" customFormat="false" ht="15" hidden="false" customHeight="false" outlineLevel="0" collapsed="false">
      <c r="A4" s="3" t="s">
        <v>2187</v>
      </c>
    </row>
    <row r="5" customFormat="false" ht="15" hidden="false" customHeight="false" outlineLevel="0" collapsed="false">
      <c r="A5" s="5" t="s">
        <v>2188</v>
      </c>
      <c r="B5" s="5" t="s">
        <v>2189</v>
      </c>
    </row>
    <row r="6" customFormat="false" ht="15" hidden="false" customHeight="false" outlineLevel="0" collapsed="false">
      <c r="A6" s="9" t="s">
        <v>2190</v>
      </c>
      <c r="B6" s="19" t="n">
        <f aca="false">COUNTA(1_Raw_Data!$A$2:$A$1837)</f>
        <v>1836</v>
      </c>
    </row>
    <row r="7" customFormat="false" ht="15" hidden="false" customHeight="false" outlineLevel="0" collapsed="false">
      <c r="A7" s="9" t="s">
        <v>2191</v>
      </c>
      <c r="B7" s="9" t="n">
        <f aca="false">COUNTA(1_Raw_Data!$A$1:$K$1)</f>
        <v>11</v>
      </c>
    </row>
    <row r="8" customFormat="false" ht="15" hidden="false" customHeight="false" outlineLevel="0" collapsed="false">
      <c r="A8" s="9" t="s">
        <v>2192</v>
      </c>
      <c r="B8" s="20" t="n">
        <f aca="false">MIN(1_Raw_Data!$B$2:$B$1837)</f>
        <v>45658</v>
      </c>
      <c r="E8" s="2" t="s">
        <v>2193</v>
      </c>
    </row>
    <row r="9" customFormat="false" ht="15" hidden="false" customHeight="false" outlineLevel="0" collapsed="false">
      <c r="A9" s="9" t="s">
        <v>2194</v>
      </c>
      <c r="B9" s="20" t="n">
        <f aca="false">MAX(1_Raw_Data!$B$2:$B$1837)</f>
        <v>46022</v>
      </c>
    </row>
    <row r="11" customFormat="false" ht="15" hidden="false" customHeight="false" outlineLevel="0" collapsed="false">
      <c r="A11" s="3" t="s">
        <v>2195</v>
      </c>
    </row>
    <row r="12" customFormat="false" ht="15" hidden="false" customHeight="false" outlineLevel="0" collapsed="false">
      <c r="A12" s="5" t="s">
        <v>2196</v>
      </c>
      <c r="B12" s="5" t="s">
        <v>2197</v>
      </c>
      <c r="C12" s="5" t="s">
        <v>2198</v>
      </c>
      <c r="D12" s="5" t="s">
        <v>2199</v>
      </c>
    </row>
    <row r="13" customFormat="false" ht="15" hidden="false" customHeight="false" outlineLevel="0" collapsed="false">
      <c r="A13" s="9" t="s">
        <v>52</v>
      </c>
      <c r="B13" s="19" t="n">
        <f aca="false">COUNTBLANK(1_Raw_Data!$A$2:$A$1837)</f>
        <v>0</v>
      </c>
      <c r="C13" s="21" t="n">
        <f aca="false">B13/B6</f>
        <v>0</v>
      </c>
      <c r="D13" s="9" t="str">
        <f aca="false">IF(B13&gt;0,"Needs fix","OK")</f>
        <v>OK</v>
      </c>
    </row>
    <row r="14" customFormat="false" ht="15" hidden="false" customHeight="false" outlineLevel="0" collapsed="false">
      <c r="A14" s="9" t="s">
        <v>53</v>
      </c>
      <c r="B14" s="19" t="n">
        <f aca="false">COUNTBLANK(1_Raw_Data!$B$2:$B$1837)</f>
        <v>0</v>
      </c>
      <c r="C14" s="21" t="n">
        <f aca="false">B14/B6</f>
        <v>0</v>
      </c>
      <c r="D14" s="9" t="str">
        <f aca="false">IF(B14&gt;0,"Needs fix","OK")</f>
        <v>OK</v>
      </c>
    </row>
    <row r="15" customFormat="false" ht="15" hidden="false" customHeight="false" outlineLevel="0" collapsed="false">
      <c r="A15" s="9" t="s">
        <v>54</v>
      </c>
      <c r="B15" s="19" t="n">
        <f aca="false">COUNTBLANK(1_Raw_Data!$C$2:$C$1837)</f>
        <v>0</v>
      </c>
      <c r="C15" s="21" t="n">
        <f aca="false">B15/B6</f>
        <v>0</v>
      </c>
      <c r="D15" s="9" t="str">
        <f aca="false">IF(B15&gt;0,"Needs fix","OK")</f>
        <v>OK</v>
      </c>
    </row>
    <row r="16" customFormat="false" ht="15" hidden="false" customHeight="false" outlineLevel="0" collapsed="false">
      <c r="A16" s="9" t="s">
        <v>55</v>
      </c>
      <c r="B16" s="19" t="n">
        <f aca="false">COUNTBLANK(1_Raw_Data!$D$2:$D$1837)</f>
        <v>0</v>
      </c>
      <c r="C16" s="21" t="n">
        <f aca="false">B16/B6</f>
        <v>0</v>
      </c>
      <c r="D16" s="9" t="str">
        <f aca="false">IF(B16&gt;0,"Needs fix","OK")</f>
        <v>OK</v>
      </c>
    </row>
    <row r="17" customFormat="false" ht="15" hidden="false" customHeight="false" outlineLevel="0" collapsed="false">
      <c r="A17" s="9" t="s">
        <v>56</v>
      </c>
      <c r="B17" s="19" t="n">
        <f aca="false">COUNTBLANK(1_Raw_Data!$E$2:$E$1837)</f>
        <v>0</v>
      </c>
      <c r="C17" s="21" t="n">
        <f aca="false">B17/B6</f>
        <v>0</v>
      </c>
      <c r="D17" s="9" t="str">
        <f aca="false">IF(B17&gt;0,"Needs fix","OK")</f>
        <v>OK</v>
      </c>
    </row>
    <row r="18" customFormat="false" ht="15" hidden="false" customHeight="false" outlineLevel="0" collapsed="false">
      <c r="A18" s="9" t="s">
        <v>57</v>
      </c>
      <c r="B18" s="19" t="n">
        <f aca="false">COUNTBLANK(1_Raw_Data!$F$2:$F$1837)</f>
        <v>0</v>
      </c>
      <c r="C18" s="21" t="n">
        <f aca="false">B18/B6</f>
        <v>0</v>
      </c>
      <c r="D18" s="9" t="str">
        <f aca="false">IF(B18&gt;0,"Needs fix","OK")</f>
        <v>OK</v>
      </c>
    </row>
    <row r="19" customFormat="false" ht="15" hidden="false" customHeight="false" outlineLevel="0" collapsed="false">
      <c r="A19" s="9" t="s">
        <v>58</v>
      </c>
      <c r="B19" s="19" t="n">
        <f aca="false">COUNTBLANK(1_Raw_Data!$G$2:$G$1837)</f>
        <v>22</v>
      </c>
      <c r="C19" s="21" t="n">
        <f aca="false">B19/B6</f>
        <v>0.0119825708061002</v>
      </c>
      <c r="D19" s="9" t="str">
        <f aca="false">IF(B19&gt;0,"Needs fix","OK")</f>
        <v>Needs fix</v>
      </c>
    </row>
    <row r="20" customFormat="false" ht="15" hidden="false" customHeight="false" outlineLevel="0" collapsed="false">
      <c r="A20" s="9" t="s">
        <v>59</v>
      </c>
      <c r="B20" s="19" t="n">
        <f aca="false">COUNTBLANK(1_Raw_Data!$H$2:$H$1837)</f>
        <v>19</v>
      </c>
      <c r="C20" s="21" t="n">
        <f aca="false">B20/B6</f>
        <v>0.0103485838779956</v>
      </c>
      <c r="D20" s="9" t="str">
        <f aca="false">IF(B20&gt;0,"Needs fix","OK")</f>
        <v>Needs fix</v>
      </c>
    </row>
    <row r="21" customFormat="false" ht="15" hidden="false" customHeight="false" outlineLevel="0" collapsed="false">
      <c r="A21" s="9" t="s">
        <v>60</v>
      </c>
      <c r="B21" s="19" t="n">
        <f aca="false">COUNTBLANK(1_Raw_Data!$I$2:$I$1837)</f>
        <v>46</v>
      </c>
      <c r="C21" s="21" t="n">
        <f aca="false">B21/B6</f>
        <v>0.0250544662309368</v>
      </c>
      <c r="D21" s="9" t="str">
        <f aca="false">IF(B21&gt;0,"Needs fix","OK")</f>
        <v>Needs fix</v>
      </c>
    </row>
    <row r="22" customFormat="false" ht="15" hidden="false" customHeight="false" outlineLevel="0" collapsed="false">
      <c r="A22" s="9" t="s">
        <v>61</v>
      </c>
      <c r="B22" s="19" t="n">
        <f aca="false">COUNTBLANK(1_Raw_Data!$J$2:$J$1837)</f>
        <v>29</v>
      </c>
      <c r="C22" s="21" t="n">
        <f aca="false">B22/B6</f>
        <v>0.0157952069716776</v>
      </c>
      <c r="D22" s="9" t="str">
        <f aca="false">IF(B22&gt;0,"Needs fix","OK")</f>
        <v>Needs fix</v>
      </c>
    </row>
    <row r="23" customFormat="false" ht="15" hidden="false" customHeight="false" outlineLevel="0" collapsed="false">
      <c r="A23" s="9" t="s">
        <v>62</v>
      </c>
      <c r="B23" s="19" t="n">
        <f aca="false">COUNTBLANK(1_Raw_Data!$K$2:$K$1837)</f>
        <v>35</v>
      </c>
      <c r="C23" s="21" t="n">
        <f aca="false">B23/B6</f>
        <v>0.0190631808278867</v>
      </c>
      <c r="D23" s="9" t="str">
        <f aca="false">IF(B23&gt;0,"Needs fix","OK")</f>
        <v>Needs fix</v>
      </c>
    </row>
    <row r="25" customFormat="false" ht="15" hidden="false" customHeight="false" outlineLevel="0" collapsed="false">
      <c r="A25" s="3" t="s">
        <v>2200</v>
      </c>
    </row>
    <row r="26" customFormat="false" ht="15" hidden="false" customHeight="false" outlineLevel="0" collapsed="false">
      <c r="A26" s="5" t="s">
        <v>2201</v>
      </c>
      <c r="B26" s="5" t="s">
        <v>2202</v>
      </c>
      <c r="C26" s="5" t="s">
        <v>2198</v>
      </c>
      <c r="D26" s="5" t="s">
        <v>2199</v>
      </c>
      <c r="E26" s="5" t="s">
        <v>2203</v>
      </c>
    </row>
    <row r="27" customFormat="false" ht="15" hidden="false" customHeight="false" outlineLevel="0" collapsed="false">
      <c r="A27" s="9" t="s">
        <v>2204</v>
      </c>
      <c r="B27" s="19" t="n">
        <f aca="false">ROUND(B6-SUMPRODUCT(1/COUNTIF(1_Raw_Data!$A$2:$A$1837,1_Raw_Data!$A$2:$A$1837)),0)</f>
        <v>36</v>
      </c>
      <c r="C27" s="21" t="n">
        <f aca="false">B27/B6</f>
        <v>0.0196078431372549</v>
      </c>
      <c r="D27" s="9" t="str">
        <f aca="false">IF(B27&gt;0,"Needs fix","OK")</f>
        <v>Needs fix</v>
      </c>
      <c r="E27" s="2" t="s">
        <v>2205</v>
      </c>
    </row>
    <row r="28" customFormat="false" ht="15" hidden="false" customHeight="false" outlineLevel="0" collapsed="false">
      <c r="A28" s="9" t="s">
        <v>2206</v>
      </c>
      <c r="B28" s="19" t="n">
        <f aca="false">SUMPRODUCT(--ISTEXT(1_Raw_Data!$B$2:$B$1837))</f>
        <v>221</v>
      </c>
      <c r="C28" s="21" t="n">
        <f aca="false">B28/B6</f>
        <v>0.12037037037037</v>
      </c>
      <c r="D28" s="9" t="str">
        <f aca="false">IF(B28&gt;0,"Needs fix","OK")</f>
        <v>Needs fix</v>
      </c>
      <c r="E28" s="2" t="s">
        <v>2207</v>
      </c>
    </row>
    <row r="29" customFormat="false" ht="15" hidden="false" customHeight="false" outlineLevel="0" collapsed="false">
      <c r="A29" s="9" t="s">
        <v>2208</v>
      </c>
      <c r="B29" s="19" t="n">
        <f aca="false">SUMPRODUCT(--ISTEXT(1_Raw_Data!$H$2:$H$1837))</f>
        <v>13</v>
      </c>
      <c r="C29" s="21" t="n">
        <f aca="false">B29/B6</f>
        <v>0.00708061002178649</v>
      </c>
      <c r="D29" s="9" t="str">
        <f aca="false">IF(B29&gt;0,"Needs fix","OK")</f>
        <v>Needs fix</v>
      </c>
      <c r="E29" s="2" t="s">
        <v>2209</v>
      </c>
    </row>
    <row r="30" customFormat="false" ht="15" hidden="false" customHeight="false" outlineLevel="0" collapsed="false">
      <c r="A30" s="9" t="s">
        <v>2210</v>
      </c>
      <c r="B30" s="19" t="n">
        <f aca="false">COUNTIF(1_Raw_Data!$G$2:$G$1837,"&lt;0")</f>
        <v>9</v>
      </c>
      <c r="C30" s="21" t="n">
        <f aca="false">B30/B6</f>
        <v>0.00490196078431373</v>
      </c>
      <c r="D30" s="9" t="str">
        <f aca="false">IF(B30&gt;0,"Needs fix","OK")</f>
        <v>Needs fix</v>
      </c>
      <c r="E30" s="2" t="s">
        <v>2211</v>
      </c>
    </row>
    <row r="31" customFormat="false" ht="15" hidden="false" customHeight="false" outlineLevel="0" collapsed="false">
      <c r="A31" s="9" t="s">
        <v>2212</v>
      </c>
      <c r="B31" s="19" t="n">
        <f aca="false">COUNTIF(1_Raw_Data!$G$2:$G$1837,"&gt;20")</f>
        <v>6</v>
      </c>
      <c r="C31" s="21" t="n">
        <f aca="false">B31/B6</f>
        <v>0.00326797385620915</v>
      </c>
      <c r="D31" s="9" t="str">
        <f aca="false">IF(B31&gt;0,"Needs fix","OK")</f>
        <v>Needs fix</v>
      </c>
      <c r="E31" s="2" t="s">
        <v>2213</v>
      </c>
    </row>
    <row r="33" customFormat="false" ht="15" hidden="false" customHeight="false" outlineLevel="0" collapsed="false">
      <c r="A33" s="3" t="s">
        <v>2214</v>
      </c>
    </row>
    <row r="34" customFormat="false" ht="15" hidden="false" customHeight="false" outlineLevel="0" collapsed="false">
      <c r="A34" s="5" t="s">
        <v>2215</v>
      </c>
      <c r="B34" s="5" t="s">
        <v>2216</v>
      </c>
      <c r="C34" s="5" t="s">
        <v>2217</v>
      </c>
      <c r="D34" s="5" t="s">
        <v>2218</v>
      </c>
    </row>
    <row r="35" customFormat="false" ht="15" hidden="false" customHeight="false" outlineLevel="0" collapsed="false">
      <c r="A35" s="9" t="s">
        <v>58</v>
      </c>
      <c r="B35" s="22" t="n">
        <f aca="false">MIN(1_Raw_Data!$G$2:$G$1837)</f>
        <v>-3</v>
      </c>
      <c r="C35" s="22" t="n">
        <f aca="false">MAX(1_Raw_Data!$G$2:$G$1837)</f>
        <v>100</v>
      </c>
      <c r="D35" s="22" t="n">
        <f aca="false">AVERAGE(1_Raw_Data!$G$2:$G$1837)</f>
        <v>1.9013230429989</v>
      </c>
      <c r="E35" s="2" t="s">
        <v>2219</v>
      </c>
    </row>
    <row r="36" customFormat="false" ht="15" hidden="false" customHeight="false" outlineLevel="0" collapsed="false">
      <c r="A36" s="9" t="s">
        <v>59</v>
      </c>
      <c r="B36" s="23" t="n">
        <f aca="false">MIN(1_Raw_Data!$H$2:$H$1837)</f>
        <v>60</v>
      </c>
      <c r="C36" s="23" t="n">
        <f aca="false">MAX(1_Raw_Data!$H$2:$H$1837)</f>
        <v>260</v>
      </c>
      <c r="D36" s="23" t="n">
        <f aca="false">AVERAGE(1_Raw_Data!$H$2:$H$1837)</f>
        <v>140.764966740576</v>
      </c>
    </row>
    <row r="37" customFormat="false" ht="15" hidden="false" customHeight="false" outlineLevel="0" collapsed="false">
      <c r="A37" s="9" t="s">
        <v>60</v>
      </c>
      <c r="B37" s="24" t="n">
        <f aca="false">MIN(1_Raw_Data!$I$2:$I$1837)</f>
        <v>0</v>
      </c>
      <c r="C37" s="24" t="n">
        <f aca="false">MAX(1_Raw_Data!$I$2:$I$1837)</f>
        <v>0.2</v>
      </c>
      <c r="D37" s="24" t="n">
        <f aca="false">AVERAGE(1_Raw_Data!$I$2:$I$1837)</f>
        <v>0.0456145251396648</v>
      </c>
    </row>
    <row r="38" customFormat="false" ht="15" hidden="false" customHeight="false" outlineLevel="0" collapsed="false">
      <c r="A38" s="9" t="s">
        <v>54</v>
      </c>
      <c r="B38" s="25" t="n">
        <f aca="false">MIN(1_Raw_Data!$C$2:$C$1837)</f>
        <v>7</v>
      </c>
      <c r="C38" s="25" t="n">
        <f aca="false">MAX(1_Raw_Data!$C$2:$C$1837)</f>
        <v>20</v>
      </c>
      <c r="D38" s="25" t="n">
        <f aca="false">AVERAGE(1_Raw_Data!$C$2:$C$1837)</f>
        <v>12.4406318082789</v>
      </c>
    </row>
    <row r="40" customFormat="false" ht="15" hidden="false" customHeight="false" outlineLevel="0" collapsed="false">
      <c r="A40" s="3" t="s">
        <v>2220</v>
      </c>
    </row>
    <row r="41" customFormat="false" ht="15" hidden="false" customHeight="false" outlineLevel="0" collapsed="false">
      <c r="A41" s="2" t="s">
        <v>2221</v>
      </c>
    </row>
    <row r="42" customFormat="false" ht="15" hidden="false" customHeight="false" outlineLevel="0" collapsed="false">
      <c r="A42" s="26" t="s">
        <v>55</v>
      </c>
    </row>
    <row r="43" customFormat="false" ht="15" hidden="false" customHeight="false" outlineLevel="0" collapsed="false">
      <c r="A43" s="5" t="s">
        <v>2222</v>
      </c>
      <c r="B43" s="5" t="s">
        <v>2223</v>
      </c>
      <c r="C43" s="5" t="s">
        <v>2224</v>
      </c>
      <c r="D43" s="5" t="s">
        <v>2225</v>
      </c>
    </row>
    <row r="44" customFormat="false" ht="15" hidden="false" customHeight="false" outlineLevel="0" collapsed="false">
      <c r="A44" s="9" t="s">
        <v>96</v>
      </c>
      <c r="B44" s="19" t="n">
        <f aca="false">SUMPRODUCT(--EXACT(1_Raw_Data!$D$2:$D$1837,A44))</f>
        <v>13</v>
      </c>
      <c r="C44" s="9" t="n">
        <f aca="false">LEN(A44)</f>
        <v>6</v>
      </c>
      <c r="D44" s="9" t="s">
        <v>70</v>
      </c>
    </row>
    <row r="45" customFormat="false" ht="15" hidden="false" customHeight="false" outlineLevel="0" collapsed="false">
      <c r="A45" s="9" t="s">
        <v>70</v>
      </c>
      <c r="B45" s="19" t="n">
        <f aca="false">SUMPRODUCT(--EXACT(1_Raw_Data!$D$2:$D$1837,A45))</f>
        <v>571</v>
      </c>
      <c r="C45" s="9" t="n">
        <f aca="false">LEN(A45)</f>
        <v>3</v>
      </c>
      <c r="D45" s="9" t="s">
        <v>70</v>
      </c>
    </row>
    <row r="46" customFormat="false" ht="15" hidden="false" customHeight="false" outlineLevel="0" collapsed="false">
      <c r="A46" s="9" t="s">
        <v>166</v>
      </c>
      <c r="B46" s="19" t="n">
        <f aca="false">SUMPRODUCT(--EXACT(1_Raw_Data!$D$2:$D$1837,A46))</f>
        <v>20</v>
      </c>
      <c r="C46" s="9" t="n">
        <f aca="false">LEN(A46)</f>
        <v>4</v>
      </c>
      <c r="D46" s="9" t="s">
        <v>70</v>
      </c>
    </row>
    <row r="47" customFormat="false" ht="15" hidden="false" customHeight="false" outlineLevel="0" collapsed="false">
      <c r="A47" s="9" t="s">
        <v>172</v>
      </c>
      <c r="B47" s="19" t="n">
        <f aca="false">SUMPRODUCT(--EXACT(1_Raw_Data!$D$2:$D$1837,A47))</f>
        <v>20</v>
      </c>
      <c r="C47" s="9" t="n">
        <f aca="false">LEN(A47)</f>
        <v>3</v>
      </c>
      <c r="D47" s="9" t="s">
        <v>70</v>
      </c>
    </row>
    <row r="48" customFormat="false" ht="15" hidden="false" customHeight="false" outlineLevel="0" collapsed="false">
      <c r="A48" s="9" t="s">
        <v>189</v>
      </c>
      <c r="B48" s="19" t="n">
        <f aca="false">SUMPRODUCT(--EXACT(1_Raw_Data!$D$2:$D$1837,A48))</f>
        <v>11</v>
      </c>
      <c r="C48" s="9" t="n">
        <f aca="false">LEN(A48)</f>
        <v>3</v>
      </c>
      <c r="D48" s="9" t="s">
        <v>70</v>
      </c>
    </row>
    <row r="49" customFormat="false" ht="15" hidden="false" customHeight="false" outlineLevel="0" collapsed="false">
      <c r="A49" s="9" t="s">
        <v>119</v>
      </c>
      <c r="B49" s="19" t="n">
        <f aca="false">SUMPRODUCT(--EXACT(1_Raw_Data!$D$2:$D$1837,A49))</f>
        <v>20</v>
      </c>
      <c r="C49" s="9" t="n">
        <f aca="false">LEN(A49)</f>
        <v>7</v>
      </c>
      <c r="D49" s="9" t="s">
        <v>64</v>
      </c>
    </row>
    <row r="50" customFormat="false" ht="15" hidden="false" customHeight="false" outlineLevel="0" collapsed="false">
      <c r="A50" s="9" t="s">
        <v>341</v>
      </c>
      <c r="B50" s="19" t="n">
        <f aca="false">SUMPRODUCT(--EXACT(1_Raw_Data!$D$2:$D$1837,A50))</f>
        <v>14</v>
      </c>
      <c r="C50" s="9" t="n">
        <f aca="false">LEN(A50)</f>
        <v>6</v>
      </c>
      <c r="D50" s="9" t="s">
        <v>64</v>
      </c>
    </row>
    <row r="51" customFormat="false" ht="15" hidden="false" customHeight="false" outlineLevel="0" collapsed="false">
      <c r="A51" s="9" t="s">
        <v>64</v>
      </c>
      <c r="B51" s="19" t="n">
        <f aca="false">SUMPRODUCT(--EXACT(1_Raw_Data!$D$2:$D$1837,A51))</f>
        <v>448</v>
      </c>
      <c r="C51" s="9" t="n">
        <f aca="false">LEN(A51)</f>
        <v>6</v>
      </c>
      <c r="D51" s="9" t="s">
        <v>64</v>
      </c>
    </row>
    <row r="52" customFormat="false" ht="15" hidden="false" customHeight="false" outlineLevel="0" collapsed="false">
      <c r="A52" s="9" t="s">
        <v>938</v>
      </c>
      <c r="B52" s="19" t="n">
        <f aca="false">SUMPRODUCT(--EXACT(1_Raw_Data!$D$2:$D$1837,A52))</f>
        <v>10</v>
      </c>
      <c r="C52" s="9" t="n">
        <f aca="false">LEN(A52)</f>
        <v>11</v>
      </c>
      <c r="D52" s="9" t="s">
        <v>64</v>
      </c>
    </row>
    <row r="53" customFormat="false" ht="15" hidden="false" customHeight="false" outlineLevel="0" collapsed="false">
      <c r="A53" s="9" t="s">
        <v>225</v>
      </c>
      <c r="B53" s="19" t="n">
        <f aca="false">SUMPRODUCT(--EXACT(1_Raw_Data!$D$2:$D$1837,A53))</f>
        <v>18</v>
      </c>
      <c r="C53" s="9" t="n">
        <f aca="false">LEN(A53)</f>
        <v>6</v>
      </c>
      <c r="D53" s="9" t="s">
        <v>64</v>
      </c>
    </row>
    <row r="54" customFormat="false" ht="15" hidden="false" customHeight="false" outlineLevel="0" collapsed="false">
      <c r="A54" s="9" t="s">
        <v>153</v>
      </c>
      <c r="B54" s="19" t="n">
        <f aca="false">SUMPRODUCT(--EXACT(1_Raw_Data!$D$2:$D$1837,A54))</f>
        <v>13</v>
      </c>
      <c r="C54" s="9" t="n">
        <f aca="false">LEN(A54)</f>
        <v>7</v>
      </c>
      <c r="D54" s="9" t="s">
        <v>73</v>
      </c>
    </row>
    <row r="55" customFormat="false" ht="15" hidden="false" customHeight="false" outlineLevel="0" collapsed="false">
      <c r="A55" s="9" t="s">
        <v>73</v>
      </c>
      <c r="B55" s="19" t="n">
        <f aca="false">SUMPRODUCT(--EXACT(1_Raw_Data!$D$2:$D$1837,A55))</f>
        <v>324</v>
      </c>
      <c r="C55" s="9" t="n">
        <f aca="false">LEN(A55)</f>
        <v>7</v>
      </c>
      <c r="D55" s="9" t="s">
        <v>73</v>
      </c>
    </row>
    <row r="56" customFormat="false" ht="15" hidden="false" customHeight="false" outlineLevel="0" collapsed="false">
      <c r="A56" s="9" t="s">
        <v>424</v>
      </c>
      <c r="B56" s="19" t="n">
        <f aca="false">SUMPRODUCT(--EXACT(1_Raw_Data!$D$2:$D$1837,A56))</f>
        <v>12</v>
      </c>
      <c r="C56" s="9" t="n">
        <f aca="false">LEN(A56)</f>
        <v>8</v>
      </c>
      <c r="D56" s="9" t="s">
        <v>73</v>
      </c>
    </row>
    <row r="57" customFormat="false" ht="15" hidden="false" customHeight="false" outlineLevel="0" collapsed="false">
      <c r="A57" s="9" t="s">
        <v>90</v>
      </c>
      <c r="B57" s="19" t="n">
        <f aca="false">SUMPRODUCT(--EXACT(1_Raw_Data!$D$2:$D$1837,A57))</f>
        <v>17</v>
      </c>
      <c r="C57" s="9" t="n">
        <f aca="false">LEN(A57)</f>
        <v>7</v>
      </c>
      <c r="D57" s="9" t="s">
        <v>73</v>
      </c>
    </row>
    <row r="58" customFormat="false" ht="15" hidden="false" customHeight="false" outlineLevel="0" collapsed="false">
      <c r="A58" s="9" t="s">
        <v>183</v>
      </c>
      <c r="B58" s="19" t="n">
        <f aca="false">SUMPRODUCT(--EXACT(1_Raw_Data!$D$2:$D$1837,A58))</f>
        <v>11</v>
      </c>
      <c r="C58" s="9" t="n">
        <f aca="false">LEN(A58)</f>
        <v>2</v>
      </c>
      <c r="D58" s="9" t="s">
        <v>98</v>
      </c>
    </row>
    <row r="59" customFormat="false" ht="15" hidden="false" customHeight="false" outlineLevel="0" collapsed="false">
      <c r="A59" s="9" t="s">
        <v>98</v>
      </c>
      <c r="B59" s="19" t="n">
        <f aca="false">SUMPRODUCT(--EXACT(1_Raw_Data!$D$2:$D$1837,A59))</f>
        <v>280</v>
      </c>
      <c r="C59" s="9" t="n">
        <f aca="false">LEN(A59)</f>
        <v>11</v>
      </c>
      <c r="D59" s="9" t="s">
        <v>98</v>
      </c>
    </row>
    <row r="60" customFormat="false" ht="15" hidden="false" customHeight="false" outlineLevel="0" collapsed="false">
      <c r="A60" s="9" t="s">
        <v>335</v>
      </c>
      <c r="B60" s="19" t="n">
        <f aca="false">SUMPRODUCT(--EXACT(1_Raw_Data!$D$2:$D$1837,A60))</f>
        <v>12</v>
      </c>
      <c r="C60" s="9" t="n">
        <f aca="false">LEN(A60)</f>
        <v>12</v>
      </c>
      <c r="D60" s="9" t="s">
        <v>98</v>
      </c>
    </row>
    <row r="61" customFormat="false" ht="15" hidden="false" customHeight="false" outlineLevel="0" collapsed="false">
      <c r="A61" s="9" t="s">
        <v>187</v>
      </c>
      <c r="B61" s="19" t="n">
        <f aca="false">SUMPRODUCT(--EXACT(1_Raw_Data!$D$2:$D$1837,A61))</f>
        <v>9</v>
      </c>
      <c r="C61" s="9" t="n">
        <f aca="false">LEN(A61)</f>
        <v>11</v>
      </c>
      <c r="D61" s="9" t="s">
        <v>98</v>
      </c>
    </row>
    <row r="62" customFormat="false" ht="15" hidden="false" customHeight="false" outlineLevel="0" collapsed="false">
      <c r="A62" s="9" t="s">
        <v>108</v>
      </c>
      <c r="B62" s="19" t="n">
        <f aca="false">SUMPRODUCT(--EXACT(1_Raw_Data!$D$2:$D$1837,A62))</f>
        <v>13</v>
      </c>
      <c r="C62" s="9" t="n">
        <f aca="false">LEN(A62)</f>
        <v>11</v>
      </c>
      <c r="D62" s="9" t="s">
        <v>98</v>
      </c>
    </row>
    <row r="63" customFormat="false" ht="15" hidden="false" customHeight="false" outlineLevel="0" collapsed="false">
      <c r="A63" s="2" t="s">
        <v>2226</v>
      </c>
    </row>
    <row r="65" customFormat="false" ht="15" hidden="false" customHeight="false" outlineLevel="0" collapsed="false">
      <c r="A65" s="26" t="s">
        <v>61</v>
      </c>
    </row>
    <row r="66" customFormat="false" ht="15" hidden="false" customHeight="false" outlineLevel="0" collapsed="false">
      <c r="A66" s="5" t="s">
        <v>2222</v>
      </c>
      <c r="B66" s="5" t="s">
        <v>2223</v>
      </c>
      <c r="C66" s="5" t="s">
        <v>2224</v>
      </c>
      <c r="D66" s="5" t="s">
        <v>2225</v>
      </c>
    </row>
    <row r="67" customFormat="false" ht="15" hidden="false" customHeight="false" outlineLevel="0" collapsed="false">
      <c r="A67" s="9" t="s">
        <v>273</v>
      </c>
      <c r="B67" s="19" t="n">
        <f aca="false">SUMPRODUCT(--EXACT(1_Raw_Data!$J$2:$J$1837,A67))</f>
        <v>12</v>
      </c>
      <c r="C67" s="9" t="n">
        <f aca="false">LEN(A67)</f>
        <v>4</v>
      </c>
      <c r="D67" s="9" t="s">
        <v>81</v>
      </c>
    </row>
    <row r="68" customFormat="false" ht="15" hidden="false" customHeight="false" outlineLevel="0" collapsed="false">
      <c r="A68" s="9" t="s">
        <v>81</v>
      </c>
      <c r="B68" s="19" t="n">
        <f aca="false">SUMPRODUCT(--EXACT(1_Raw_Data!$J$2:$J$1837,A68))</f>
        <v>534</v>
      </c>
      <c r="C68" s="9" t="n">
        <f aca="false">LEN(A68)</f>
        <v>4</v>
      </c>
      <c r="D68" s="9" t="s">
        <v>81</v>
      </c>
    </row>
    <row r="69" customFormat="false" ht="15" hidden="false" customHeight="false" outlineLevel="0" collapsed="false">
      <c r="A69" s="9" t="s">
        <v>103</v>
      </c>
      <c r="B69" s="19" t="n">
        <f aca="false">SUMPRODUCT(--EXACT(1_Raw_Data!$J$2:$J$1837,A69))</f>
        <v>20</v>
      </c>
      <c r="C69" s="9" t="n">
        <f aca="false">LEN(A69)</f>
        <v>4</v>
      </c>
      <c r="D69" s="9" t="s">
        <v>81</v>
      </c>
    </row>
    <row r="70" customFormat="false" ht="15" hidden="false" customHeight="false" outlineLevel="0" collapsed="false">
      <c r="A70" s="9" t="s">
        <v>665</v>
      </c>
      <c r="B70" s="19" t="n">
        <f aca="false">SUMPRODUCT(--EXACT(1_Raw_Data!$J$2:$J$1837,A70))</f>
        <v>6</v>
      </c>
      <c r="C70" s="9" t="n">
        <f aca="false">LEN(A70)</f>
        <v>2</v>
      </c>
      <c r="D70" s="9" t="s">
        <v>76</v>
      </c>
    </row>
    <row r="71" customFormat="false" ht="15" hidden="false" customHeight="false" outlineLevel="0" collapsed="false">
      <c r="A71" s="9" t="s">
        <v>76</v>
      </c>
      <c r="B71" s="19" t="n">
        <f aca="false">SUMPRODUCT(--EXACT(1_Raw_Data!$J$2:$J$1837,A71))</f>
        <v>366</v>
      </c>
      <c r="C71" s="9" t="n">
        <f aca="false">LEN(A71)</f>
        <v>11</v>
      </c>
      <c r="D71" s="9" t="s">
        <v>76</v>
      </c>
    </row>
    <row r="72" customFormat="false" ht="15" hidden="false" customHeight="false" outlineLevel="0" collapsed="false">
      <c r="A72" s="9" t="s">
        <v>268</v>
      </c>
      <c r="B72" s="19" t="n">
        <f aca="false">SUMPRODUCT(--EXACT(1_Raw_Data!$J$2:$J$1837,A72))</f>
        <v>10</v>
      </c>
      <c r="C72" s="9" t="n">
        <f aca="false">LEN(A72)</f>
        <v>11</v>
      </c>
      <c r="D72" s="9" t="s">
        <v>76</v>
      </c>
    </row>
    <row r="73" customFormat="false" ht="15" hidden="false" customHeight="false" outlineLevel="0" collapsed="false">
      <c r="A73" s="9" t="s">
        <v>88</v>
      </c>
      <c r="B73" s="19" t="n">
        <f aca="false">SUMPRODUCT(--EXACT(1_Raw_Data!$J$2:$J$1837,A73))</f>
        <v>119</v>
      </c>
      <c r="C73" s="9" t="n">
        <f aca="false">LEN(A73)</f>
        <v>10</v>
      </c>
      <c r="D73" s="9" t="s">
        <v>88</v>
      </c>
    </row>
    <row r="74" customFormat="false" ht="15" hidden="false" customHeight="false" outlineLevel="0" collapsed="false">
      <c r="A74" s="9" t="s">
        <v>237</v>
      </c>
      <c r="B74" s="19" t="n">
        <f aca="false">SUMPRODUCT(--EXACT(1_Raw_Data!$J$2:$J$1837,A74))</f>
        <v>5</v>
      </c>
      <c r="C74" s="9" t="n">
        <f aca="false">LEN(A74)</f>
        <v>5</v>
      </c>
      <c r="D74" s="9" t="s">
        <v>88</v>
      </c>
    </row>
    <row r="75" customFormat="false" ht="15" hidden="false" customHeight="false" outlineLevel="0" collapsed="false">
      <c r="A75" s="9" t="s">
        <v>491</v>
      </c>
      <c r="B75" s="19" t="n">
        <f aca="false">SUMPRODUCT(--EXACT(1_Raw_Data!$J$2:$J$1837,A75))</f>
        <v>2</v>
      </c>
      <c r="C75" s="9" t="n">
        <f aca="false">LEN(A75)</f>
        <v>10</v>
      </c>
      <c r="D75" s="9" t="s">
        <v>88</v>
      </c>
    </row>
    <row r="76" customFormat="false" ht="15" hidden="false" customHeight="false" outlineLevel="0" collapsed="false">
      <c r="A76" s="9" t="s">
        <v>923</v>
      </c>
      <c r="B76" s="19" t="n">
        <f aca="false">SUMPRODUCT(--EXACT(1_Raw_Data!$J$2:$J$1837,A76))</f>
        <v>6</v>
      </c>
      <c r="C76" s="9" t="n">
        <f aca="false">LEN(A76)</f>
        <v>6</v>
      </c>
      <c r="D76" s="9" t="s">
        <v>67</v>
      </c>
    </row>
    <row r="77" customFormat="false" ht="15" hidden="false" customHeight="false" outlineLevel="0" collapsed="false">
      <c r="A77" s="9" t="s">
        <v>290</v>
      </c>
      <c r="B77" s="19" t="n">
        <f aca="false">SUMPRODUCT(--EXACT(1_Raw_Data!$J$2:$J$1837,A77))</f>
        <v>11</v>
      </c>
      <c r="C77" s="9" t="n">
        <f aca="false">LEN(A77)</f>
        <v>5</v>
      </c>
      <c r="D77" s="9" t="s">
        <v>67</v>
      </c>
    </row>
    <row r="78" customFormat="false" ht="15" hidden="false" customHeight="false" outlineLevel="0" collapsed="false">
      <c r="A78" s="9" t="s">
        <v>67</v>
      </c>
      <c r="B78" s="19" t="n">
        <f aca="false">SUMPRODUCT(--EXACT(1_Raw_Data!$J$2:$J$1837,A78))</f>
        <v>535</v>
      </c>
      <c r="C78" s="9" t="n">
        <f aca="false">LEN(A78)</f>
        <v>5</v>
      </c>
      <c r="D78" s="9" t="s">
        <v>67</v>
      </c>
    </row>
    <row r="79" customFormat="false" ht="15" hidden="false" customHeight="false" outlineLevel="0" collapsed="false">
      <c r="A79" s="9" t="s">
        <v>123</v>
      </c>
      <c r="B79" s="19" t="n">
        <f aca="false">SUMPRODUCT(--EXACT(1_Raw_Data!$J$2:$J$1837,A79))</f>
        <v>10</v>
      </c>
      <c r="C79" s="9" t="n">
        <f aca="false">LEN(A79)</f>
        <v>5</v>
      </c>
      <c r="D79" s="9" t="s">
        <v>67</v>
      </c>
    </row>
    <row r="80" customFormat="false" ht="15" hidden="false" customHeight="false" outlineLevel="0" collapsed="false">
      <c r="A80" s="9" t="s">
        <v>112</v>
      </c>
      <c r="B80" s="19" t="n">
        <f aca="false">SUMPRODUCT(--EXACT(1_Raw_Data!$J$2:$J$1837,A80))</f>
        <v>163</v>
      </c>
      <c r="C80" s="9" t="n">
        <f aca="false">LEN(A80)</f>
        <v>4</v>
      </c>
      <c r="D80" s="9" t="s">
        <v>112</v>
      </c>
    </row>
    <row r="81" customFormat="false" ht="15" hidden="false" customHeight="false" outlineLevel="0" collapsed="false">
      <c r="A81" s="9" t="s">
        <v>266</v>
      </c>
      <c r="B81" s="19" t="n">
        <f aca="false">SUMPRODUCT(--EXACT(1_Raw_Data!$J$2:$J$1837,A81))</f>
        <v>4</v>
      </c>
      <c r="C81" s="9" t="n">
        <f aca="false">LEN(A81)</f>
        <v>7</v>
      </c>
      <c r="D81" s="9" t="s">
        <v>112</v>
      </c>
    </row>
    <row r="82" customFormat="false" ht="15" hidden="false" customHeight="false" outlineLevel="0" collapsed="false">
      <c r="A82" s="9" t="s">
        <v>260</v>
      </c>
      <c r="B82" s="19" t="n">
        <f aca="false">SUMPRODUCT(--EXACT(1_Raw_Data!$J$2:$J$1837,A82))</f>
        <v>4</v>
      </c>
      <c r="C82" s="9" t="n">
        <f aca="false">LEN(A82)</f>
        <v>4</v>
      </c>
      <c r="D82" s="9" t="s">
        <v>112</v>
      </c>
    </row>
    <row r="83" customFormat="false" ht="15" hidden="false" customHeight="false" outlineLevel="0" collapsed="false">
      <c r="A83" s="2" t="s">
        <v>2227</v>
      </c>
    </row>
    <row r="85" customFormat="false" ht="15" hidden="false" customHeight="false" outlineLevel="0" collapsed="false">
      <c r="A85" s="26" t="s">
        <v>56</v>
      </c>
    </row>
    <row r="86" customFormat="false" ht="15" hidden="false" customHeight="false" outlineLevel="0" collapsed="false">
      <c r="A86" s="5" t="s">
        <v>2222</v>
      </c>
      <c r="B86" s="5" t="s">
        <v>2223</v>
      </c>
      <c r="C86" s="5" t="s">
        <v>2224</v>
      </c>
      <c r="D86" s="5" t="s">
        <v>2225</v>
      </c>
    </row>
    <row r="87" customFormat="false" ht="15" hidden="false" customHeight="false" outlineLevel="0" collapsed="false">
      <c r="A87" s="9" t="s">
        <v>373</v>
      </c>
      <c r="B87" s="19" t="n">
        <f aca="false">SUMPRODUCT(--EXACT(1_Raw_Data!$E$2:$E$1837,A87))</f>
        <v>7</v>
      </c>
      <c r="C87" s="9" t="n">
        <f aca="false">LEN(A87)</f>
        <v>11</v>
      </c>
      <c r="D87" s="9" t="s">
        <v>99</v>
      </c>
    </row>
    <row r="88" customFormat="false" ht="15" hidden="false" customHeight="false" outlineLevel="0" collapsed="false">
      <c r="A88" s="9" t="s">
        <v>302</v>
      </c>
      <c r="B88" s="19" t="n">
        <f aca="false">SUMPRODUCT(--EXACT(1_Raw_Data!$E$2:$E$1837,A88))</f>
        <v>15</v>
      </c>
      <c r="C88" s="9" t="n">
        <f aca="false">LEN(A88)</f>
        <v>10</v>
      </c>
      <c r="D88" s="9" t="s">
        <v>99</v>
      </c>
    </row>
    <row r="89" customFormat="false" ht="15" hidden="false" customHeight="false" outlineLevel="0" collapsed="false">
      <c r="A89" s="9" t="s">
        <v>99</v>
      </c>
      <c r="B89" s="19" t="n">
        <f aca="false">SUMPRODUCT(--EXACT(1_Raw_Data!$E$2:$E$1837,A89))</f>
        <v>483</v>
      </c>
      <c r="C89" s="9" t="n">
        <f aca="false">LEN(A89)</f>
        <v>10</v>
      </c>
      <c r="D89" s="9" t="s">
        <v>99</v>
      </c>
    </row>
    <row r="90" customFormat="false" ht="15" hidden="false" customHeight="false" outlineLevel="0" collapsed="false">
      <c r="A90" s="9" t="s">
        <v>403</v>
      </c>
      <c r="B90" s="19" t="n">
        <f aca="false">SUMPRODUCT(--EXACT(1_Raw_Data!$E$2:$E$1837,A90))</f>
        <v>12</v>
      </c>
      <c r="C90" s="9" t="n">
        <f aca="false">LEN(A90)</f>
        <v>11</v>
      </c>
      <c r="D90" s="9" t="s">
        <v>99</v>
      </c>
    </row>
    <row r="91" customFormat="false" ht="15" hidden="false" customHeight="false" outlineLevel="0" collapsed="false">
      <c r="A91" s="9" t="s">
        <v>164</v>
      </c>
      <c r="B91" s="19" t="n">
        <f aca="false">SUMPRODUCT(--EXACT(1_Raw_Data!$E$2:$E$1837,A91))</f>
        <v>8</v>
      </c>
      <c r="C91" s="9" t="n">
        <f aca="false">LEN(A91)</f>
        <v>10</v>
      </c>
      <c r="D91" s="9" t="s">
        <v>99</v>
      </c>
    </row>
    <row r="92" customFormat="false" ht="15" hidden="false" customHeight="false" outlineLevel="0" collapsed="false">
      <c r="A92" s="9" t="s">
        <v>430</v>
      </c>
      <c r="B92" s="19" t="n">
        <f aca="false">SUMPRODUCT(--EXACT(1_Raw_Data!$E$2:$E$1837,A92))</f>
        <v>8</v>
      </c>
      <c r="C92" s="9" t="n">
        <f aca="false">LEN(A92)</f>
        <v>12</v>
      </c>
      <c r="D92" s="9" t="s">
        <v>65</v>
      </c>
    </row>
    <row r="93" customFormat="false" ht="15" hidden="false" customHeight="false" outlineLevel="0" collapsed="false">
      <c r="A93" s="9" t="s">
        <v>235</v>
      </c>
      <c r="B93" s="19" t="n">
        <f aca="false">SUMPRODUCT(--EXACT(1_Raw_Data!$E$2:$E$1837,A93))</f>
        <v>11</v>
      </c>
      <c r="C93" s="9" t="n">
        <f aca="false">LEN(A93)</f>
        <v>11</v>
      </c>
      <c r="D93" s="9" t="s">
        <v>65</v>
      </c>
    </row>
    <row r="94" customFormat="false" ht="15" hidden="false" customHeight="false" outlineLevel="0" collapsed="false">
      <c r="A94" s="9" t="s">
        <v>65</v>
      </c>
      <c r="B94" s="19" t="n">
        <f aca="false">SUMPRODUCT(--EXACT(1_Raw_Data!$E$2:$E$1837,A94))</f>
        <v>507</v>
      </c>
      <c r="C94" s="9" t="n">
        <f aca="false">LEN(A94)</f>
        <v>11</v>
      </c>
      <c r="D94" s="9" t="s">
        <v>65</v>
      </c>
    </row>
    <row r="95" customFormat="false" ht="15" hidden="false" customHeight="false" outlineLevel="0" collapsed="false">
      <c r="A95" s="9" t="s">
        <v>636</v>
      </c>
      <c r="B95" s="19" t="n">
        <f aca="false">SUMPRODUCT(--EXACT(1_Raw_Data!$E$2:$E$1837,A95))</f>
        <v>7</v>
      </c>
      <c r="C95" s="9" t="n">
        <f aca="false">LEN(A95)</f>
        <v>12</v>
      </c>
      <c r="D95" s="9" t="s">
        <v>65</v>
      </c>
    </row>
    <row r="96" customFormat="false" ht="15" hidden="false" customHeight="false" outlineLevel="0" collapsed="false">
      <c r="A96" s="9" t="s">
        <v>462</v>
      </c>
      <c r="B96" s="19" t="n">
        <f aca="false">SUMPRODUCT(--EXACT(1_Raw_Data!$E$2:$E$1837,A96))</f>
        <v>10</v>
      </c>
      <c r="C96" s="9" t="n">
        <f aca="false">LEN(A96)</f>
        <v>11</v>
      </c>
      <c r="D96" s="9" t="s">
        <v>65</v>
      </c>
    </row>
    <row r="97" customFormat="false" ht="15" hidden="false" customHeight="false" outlineLevel="0" collapsed="false">
      <c r="A97" s="9" t="s">
        <v>350</v>
      </c>
      <c r="B97" s="19" t="n">
        <f aca="false">SUMPRODUCT(--EXACT(1_Raw_Data!$E$2:$E$1837,A97))</f>
        <v>8</v>
      </c>
      <c r="C97" s="9" t="n">
        <f aca="false">LEN(A97)</f>
        <v>6</v>
      </c>
      <c r="D97" s="9" t="s">
        <v>74</v>
      </c>
    </row>
    <row r="98" customFormat="false" ht="15" hidden="false" customHeight="false" outlineLevel="0" collapsed="false">
      <c r="A98" s="9" t="s">
        <v>411</v>
      </c>
      <c r="B98" s="19" t="n">
        <f aca="false">SUMPRODUCT(--EXACT(1_Raw_Data!$E$2:$E$1837,A98))</f>
        <v>5</v>
      </c>
      <c r="C98" s="9" t="n">
        <f aca="false">LEN(A98)</f>
        <v>5</v>
      </c>
      <c r="D98" s="9" t="s">
        <v>74</v>
      </c>
    </row>
    <row r="99" customFormat="false" ht="15" hidden="false" customHeight="false" outlineLevel="0" collapsed="false">
      <c r="A99" s="9" t="s">
        <v>74</v>
      </c>
      <c r="B99" s="19" t="n">
        <f aca="false">SUMPRODUCT(--EXACT(1_Raw_Data!$E$2:$E$1837,A99))</f>
        <v>191</v>
      </c>
      <c r="C99" s="9" t="n">
        <f aca="false">LEN(A99)</f>
        <v>5</v>
      </c>
      <c r="D99" s="9" t="s">
        <v>74</v>
      </c>
    </row>
    <row r="100" customFormat="false" ht="15" hidden="false" customHeight="false" outlineLevel="0" collapsed="false">
      <c r="A100" s="9" t="s">
        <v>159</v>
      </c>
      <c r="B100" s="19" t="n">
        <f aca="false">SUMPRODUCT(--EXACT(1_Raw_Data!$E$2:$E$1837,A100))</f>
        <v>4</v>
      </c>
      <c r="C100" s="9" t="n">
        <f aca="false">LEN(A100)</f>
        <v>6</v>
      </c>
      <c r="D100" s="9" t="s">
        <v>74</v>
      </c>
    </row>
    <row r="101" customFormat="false" ht="15" hidden="false" customHeight="false" outlineLevel="0" collapsed="false">
      <c r="A101" s="9" t="s">
        <v>1828</v>
      </c>
      <c r="B101" s="19" t="n">
        <f aca="false">SUMPRODUCT(--EXACT(1_Raw_Data!$E$2:$E$1837,A101))</f>
        <v>1</v>
      </c>
      <c r="C101" s="9" t="n">
        <f aca="false">LEN(A101)</f>
        <v>5</v>
      </c>
      <c r="D101" s="9" t="s">
        <v>74</v>
      </c>
    </row>
    <row r="102" customFormat="false" ht="15" hidden="false" customHeight="false" outlineLevel="0" collapsed="false">
      <c r="A102" s="9" t="s">
        <v>1035</v>
      </c>
      <c r="B102" s="19" t="n">
        <f aca="false">SUMPRODUCT(--EXACT(1_Raw_Data!$E$2:$E$1837,A102))</f>
        <v>2</v>
      </c>
      <c r="C102" s="9" t="n">
        <f aca="false">LEN(A102)</f>
        <v>11</v>
      </c>
      <c r="D102" s="9" t="s">
        <v>79</v>
      </c>
    </row>
    <row r="103" customFormat="false" ht="15" hidden="false" customHeight="false" outlineLevel="0" collapsed="false">
      <c r="A103" s="9" t="s">
        <v>221</v>
      </c>
      <c r="B103" s="19" t="n">
        <f aca="false">SUMPRODUCT(--EXACT(1_Raw_Data!$E$2:$E$1837,A103))</f>
        <v>3</v>
      </c>
      <c r="C103" s="9" t="n">
        <f aca="false">LEN(A103)</f>
        <v>10</v>
      </c>
      <c r="D103" s="9" t="s">
        <v>79</v>
      </c>
    </row>
    <row r="104" customFormat="false" ht="15" hidden="false" customHeight="false" outlineLevel="0" collapsed="false">
      <c r="A104" s="9" t="s">
        <v>79</v>
      </c>
      <c r="B104" s="19" t="n">
        <f aca="false">SUMPRODUCT(--EXACT(1_Raw_Data!$E$2:$E$1837,A104))</f>
        <v>230</v>
      </c>
      <c r="C104" s="9" t="n">
        <f aca="false">LEN(A104)</f>
        <v>10</v>
      </c>
      <c r="D104" s="9" t="s">
        <v>79</v>
      </c>
    </row>
    <row r="105" customFormat="false" ht="15" hidden="false" customHeight="false" outlineLevel="0" collapsed="false">
      <c r="A105" s="9" t="s">
        <v>339</v>
      </c>
      <c r="B105" s="19" t="n">
        <f aca="false">SUMPRODUCT(--EXACT(1_Raw_Data!$E$2:$E$1837,A105))</f>
        <v>4</v>
      </c>
      <c r="C105" s="9" t="n">
        <f aca="false">LEN(A105)</f>
        <v>11</v>
      </c>
      <c r="D105" s="9" t="s">
        <v>79</v>
      </c>
    </row>
    <row r="106" customFormat="false" ht="15" hidden="false" customHeight="false" outlineLevel="0" collapsed="false">
      <c r="A106" s="9" t="s">
        <v>1082</v>
      </c>
      <c r="B106" s="19" t="n">
        <f aca="false">SUMPRODUCT(--EXACT(1_Raw_Data!$E$2:$E$1837,A106))</f>
        <v>3</v>
      </c>
      <c r="C106" s="9" t="n">
        <f aca="false">LEN(A106)</f>
        <v>10</v>
      </c>
      <c r="D106" s="9" t="s">
        <v>79</v>
      </c>
    </row>
    <row r="107" customFormat="false" ht="15" hidden="false" customHeight="false" outlineLevel="0" collapsed="false">
      <c r="A107" s="9" t="s">
        <v>364</v>
      </c>
      <c r="B107" s="19" t="n">
        <f aca="false">SUMPRODUCT(--EXACT(1_Raw_Data!$E$2:$E$1837,A107))</f>
        <v>8</v>
      </c>
      <c r="C107" s="9" t="n">
        <f aca="false">LEN(A107)</f>
        <v>7</v>
      </c>
      <c r="D107" s="9" t="s">
        <v>84</v>
      </c>
    </row>
    <row r="108" customFormat="false" ht="15" hidden="false" customHeight="false" outlineLevel="0" collapsed="false">
      <c r="A108" s="9" t="s">
        <v>504</v>
      </c>
      <c r="B108" s="19" t="n">
        <f aca="false">SUMPRODUCT(--EXACT(1_Raw_Data!$E$2:$E$1837,A108))</f>
        <v>5</v>
      </c>
      <c r="C108" s="9" t="n">
        <f aca="false">LEN(A108)</f>
        <v>6</v>
      </c>
      <c r="D108" s="9" t="s">
        <v>84</v>
      </c>
    </row>
    <row r="109" customFormat="false" ht="15" hidden="false" customHeight="false" outlineLevel="0" collapsed="false">
      <c r="A109" s="9" t="s">
        <v>84</v>
      </c>
      <c r="B109" s="19" t="n">
        <f aca="false">SUMPRODUCT(--EXACT(1_Raw_Data!$E$2:$E$1837,A109))</f>
        <v>300</v>
      </c>
      <c r="C109" s="9" t="n">
        <f aca="false">LEN(A109)</f>
        <v>6</v>
      </c>
      <c r="D109" s="9" t="s">
        <v>84</v>
      </c>
    </row>
    <row r="110" customFormat="false" ht="15" hidden="false" customHeight="false" outlineLevel="0" collapsed="false">
      <c r="A110" s="9" t="s">
        <v>169</v>
      </c>
      <c r="B110" s="19" t="n">
        <f aca="false">SUMPRODUCT(--EXACT(1_Raw_Data!$E$2:$E$1837,A110))</f>
        <v>2</v>
      </c>
      <c r="C110" s="9" t="n">
        <f aca="false">LEN(A110)</f>
        <v>7</v>
      </c>
      <c r="D110" s="9" t="s">
        <v>84</v>
      </c>
    </row>
    <row r="111" customFormat="false" ht="15" hidden="false" customHeight="false" outlineLevel="0" collapsed="false">
      <c r="A111" s="9" t="s">
        <v>926</v>
      </c>
      <c r="B111" s="19" t="n">
        <f aca="false">SUMPRODUCT(--EXACT(1_Raw_Data!$E$2:$E$1837,A111))</f>
        <v>2</v>
      </c>
      <c r="C111" s="9" t="n">
        <f aca="false">LEN(A111)</f>
        <v>6</v>
      </c>
      <c r="D111" s="9" t="s">
        <v>84</v>
      </c>
    </row>
    <row r="112" customFormat="false" ht="15" hidden="false" customHeight="false" outlineLevel="0" collapsed="false">
      <c r="A112" s="2" t="s">
        <v>2228</v>
      </c>
    </row>
    <row r="114" customFormat="false" ht="15" hidden="false" customHeight="false" outlineLevel="0" collapsed="false">
      <c r="A114" s="2" t="s">
        <v>2229</v>
      </c>
    </row>
  </sheetData>
  <conditionalFormatting sqref="D13:D23">
    <cfRule type="cellIs" priority="2" operator="equal" aboveAverage="0" equalAverage="0" bottom="0" percent="0" rank="0" text="" dxfId="4">
      <formula>"Needs fix"</formula>
    </cfRule>
  </conditionalFormatting>
  <conditionalFormatting sqref="D27:D31">
    <cfRule type="cellIs" priority="3" operator="equal" aboveAverage="0" equalAverage="0" bottom="0" percent="0" rank="0" text="" dxfId="4">
      <formula>"Needs fix"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23"/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25.5" hidden="false" customHeight="true" outlineLevel="0" collapsed="false">
      <c r="A1" s="1" t="s">
        <v>2230</v>
      </c>
    </row>
    <row r="2" customFormat="false" ht="15" hidden="false" customHeight="false" outlineLevel="0" collapsed="false">
      <c r="A2" s="2" t="s">
        <v>2231</v>
      </c>
    </row>
    <row r="4" customFormat="false" ht="15" hidden="false" customHeight="false" outlineLevel="0" collapsed="false">
      <c r="A4" s="5" t="s">
        <v>2232</v>
      </c>
      <c r="B4" s="5" t="s">
        <v>2233</v>
      </c>
      <c r="C4" s="5" t="s">
        <v>2234</v>
      </c>
      <c r="D4" s="5" t="s">
        <v>2202</v>
      </c>
      <c r="E4" s="5" t="s">
        <v>2235</v>
      </c>
    </row>
    <row r="5" customFormat="false" ht="42" hidden="false" customHeight="true" outlineLevel="0" collapsed="false">
      <c r="A5" s="27" t="n">
        <v>1</v>
      </c>
      <c r="B5" s="28" t="s">
        <v>2236</v>
      </c>
      <c r="C5" s="8" t="s">
        <v>2237</v>
      </c>
      <c r="D5" s="29" t="n">
        <v>36</v>
      </c>
      <c r="E5" s="30" t="s">
        <v>2238</v>
      </c>
    </row>
    <row r="6" customFormat="false" ht="42" hidden="false" customHeight="true" outlineLevel="0" collapsed="false">
      <c r="A6" s="27" t="n">
        <v>2</v>
      </c>
      <c r="B6" s="28" t="s">
        <v>2239</v>
      </c>
      <c r="C6" s="8" t="s">
        <v>2240</v>
      </c>
      <c r="D6" s="29" t="s">
        <v>2241</v>
      </c>
      <c r="E6" s="30" t="s">
        <v>2242</v>
      </c>
    </row>
    <row r="7" customFormat="false" ht="42" hidden="false" customHeight="true" outlineLevel="0" collapsed="false">
      <c r="A7" s="27" t="n">
        <v>3</v>
      </c>
      <c r="B7" s="28" t="s">
        <v>2206</v>
      </c>
      <c r="C7" s="8" t="s">
        <v>2243</v>
      </c>
      <c r="D7" s="29" t="s">
        <v>2244</v>
      </c>
      <c r="E7" s="30" t="s">
        <v>2245</v>
      </c>
    </row>
    <row r="8" customFormat="false" ht="42" hidden="false" customHeight="true" outlineLevel="0" collapsed="false">
      <c r="A8" s="27" t="n">
        <v>4</v>
      </c>
      <c r="B8" s="28" t="s">
        <v>2208</v>
      </c>
      <c r="C8" s="8" t="s">
        <v>2246</v>
      </c>
      <c r="D8" s="29" t="s">
        <v>2244</v>
      </c>
      <c r="E8" s="30" t="s">
        <v>2247</v>
      </c>
    </row>
    <row r="9" customFormat="false" ht="42" hidden="false" customHeight="true" outlineLevel="0" collapsed="false">
      <c r="A9" s="27" t="n">
        <v>5</v>
      </c>
      <c r="B9" s="28" t="s">
        <v>2248</v>
      </c>
      <c r="C9" s="8" t="s">
        <v>2249</v>
      </c>
      <c r="D9" s="29" t="n">
        <v>18</v>
      </c>
      <c r="E9" s="30" t="s">
        <v>2250</v>
      </c>
    </row>
    <row r="10" customFormat="false" ht="42" hidden="false" customHeight="true" outlineLevel="0" collapsed="false">
      <c r="A10" s="27" t="n">
        <v>6</v>
      </c>
      <c r="B10" s="28" t="s">
        <v>2251</v>
      </c>
      <c r="C10" s="8" t="s">
        <v>2252</v>
      </c>
      <c r="D10" s="29" t="s">
        <v>2253</v>
      </c>
      <c r="E10" s="30" t="s">
        <v>2254</v>
      </c>
    </row>
    <row r="11" customFormat="false" ht="42" hidden="false" customHeight="true" outlineLevel="0" collapsed="false">
      <c r="A11" s="27" t="n">
        <v>7</v>
      </c>
      <c r="B11" s="28" t="s">
        <v>2255</v>
      </c>
      <c r="C11" s="8" t="s">
        <v>2256</v>
      </c>
      <c r="D11" s="29" t="s">
        <v>2253</v>
      </c>
      <c r="E11" s="30" t="s">
        <v>2257</v>
      </c>
    </row>
    <row r="12" customFormat="false" ht="42" hidden="false" customHeight="true" outlineLevel="0" collapsed="false">
      <c r="A12" s="27" t="n">
        <v>8</v>
      </c>
      <c r="B12" s="28" t="s">
        <v>2258</v>
      </c>
      <c r="C12" s="8" t="s">
        <v>2259</v>
      </c>
      <c r="D12" s="29" t="n">
        <v>22</v>
      </c>
      <c r="E12" s="30" t="s">
        <v>2260</v>
      </c>
    </row>
    <row r="13" customFormat="false" ht="42" hidden="false" customHeight="true" outlineLevel="0" collapsed="false">
      <c r="A13" s="27" t="n">
        <v>9</v>
      </c>
      <c r="B13" s="28" t="s">
        <v>2261</v>
      </c>
      <c r="C13" s="8" t="s">
        <v>2259</v>
      </c>
      <c r="D13" s="29" t="n">
        <v>9</v>
      </c>
      <c r="E13" s="30" t="s">
        <v>2262</v>
      </c>
    </row>
    <row r="14" customFormat="false" ht="42" hidden="false" customHeight="true" outlineLevel="0" collapsed="false">
      <c r="A14" s="27" t="n">
        <v>10</v>
      </c>
      <c r="B14" s="28" t="s">
        <v>2263</v>
      </c>
      <c r="C14" s="8" t="s">
        <v>2259</v>
      </c>
      <c r="D14" s="29" t="n">
        <v>6</v>
      </c>
      <c r="E14" s="30" t="s">
        <v>2264</v>
      </c>
    </row>
    <row r="15" customFormat="false" ht="15" hidden="false" customHeight="false" outlineLevel="0" collapsed="false">
      <c r="A15" s="2" t="s">
        <v>2265</v>
      </c>
    </row>
    <row r="17" customFormat="false" ht="15" hidden="false" customHeight="false" outlineLevel="0" collapsed="false">
      <c r="B17" s="3" t="s">
        <v>2266</v>
      </c>
    </row>
    <row r="18" customFormat="false" ht="15" hidden="false" customHeight="false" outlineLevel="0" collapsed="false">
      <c r="B18" s="9" t="s">
        <v>2267</v>
      </c>
      <c r="D18" s="11" t="n">
        <f aca="false">2_Inspect!B6</f>
        <v>1836</v>
      </c>
    </row>
    <row r="19" customFormat="false" ht="15" hidden="false" customHeight="false" outlineLevel="0" collapsed="false">
      <c r="B19" s="9" t="s">
        <v>2268</v>
      </c>
      <c r="D19" s="19" t="n">
        <f aca="false">D5+D12+D13+D14</f>
        <v>73</v>
      </c>
    </row>
    <row r="20" customFormat="false" ht="15" hidden="false" customHeight="false" outlineLevel="0" collapsed="false">
      <c r="B20" s="7" t="s">
        <v>2269</v>
      </c>
      <c r="D20" s="31" t="n">
        <f aca="false">D18-D19</f>
        <v>1763</v>
      </c>
    </row>
    <row r="21" customFormat="false" ht="15" hidden="false" customHeight="false" outlineLevel="0" collapsed="false">
      <c r="B21" s="9" t="s">
        <v>2270</v>
      </c>
      <c r="D21" s="11" t="n">
        <f aca="false">COUNTA(3b_Clean_Data!$A$2:$A$1764)</f>
        <v>1763</v>
      </c>
    </row>
    <row r="22" customFormat="false" ht="15" hidden="false" customHeight="false" outlineLevel="0" collapsed="false">
      <c r="B22" s="7" t="s">
        <v>2201</v>
      </c>
      <c r="D22" s="7" t="str">
        <f aca="false">IF(D20=D21,"BALANCED","CHECK")</f>
        <v>BALANCED</v>
      </c>
    </row>
    <row r="23" customFormat="false" ht="15" hidden="false" customHeight="false" outlineLevel="0" collapsed="false">
      <c r="B23" s="9" t="s">
        <v>2271</v>
      </c>
      <c r="D23" s="21" t="n">
        <f aca="false">D19/D18</f>
        <v>0.039760348583878</v>
      </c>
    </row>
    <row r="25" customFormat="false" ht="15" hidden="false" customHeight="false" outlineLevel="0" collapsed="false">
      <c r="B25" s="3" t="s">
        <v>2272</v>
      </c>
    </row>
    <row r="26" customFormat="false" ht="15" hidden="false" customHeight="false" outlineLevel="0" collapsed="false">
      <c r="A26" s="5"/>
      <c r="B26" s="5" t="s">
        <v>57</v>
      </c>
      <c r="C26" s="5" t="s">
        <v>56</v>
      </c>
      <c r="D26" s="5" t="s">
        <v>2273</v>
      </c>
    </row>
    <row r="27" customFormat="false" ht="15" hidden="false" customHeight="false" outlineLevel="0" collapsed="false">
      <c r="B27" s="9" t="s">
        <v>133</v>
      </c>
      <c r="C27" s="9" t="s">
        <v>99</v>
      </c>
      <c r="D27" s="32" t="n">
        <v>90</v>
      </c>
    </row>
    <row r="28" customFormat="false" ht="15" hidden="false" customHeight="false" outlineLevel="0" collapsed="false">
      <c r="B28" s="9" t="s">
        <v>100</v>
      </c>
      <c r="C28" s="9" t="s">
        <v>99</v>
      </c>
      <c r="D28" s="32" t="n">
        <v>110</v>
      </c>
    </row>
    <row r="29" customFormat="false" ht="15" hidden="false" customHeight="false" outlineLevel="0" collapsed="false">
      <c r="B29" s="9" t="s">
        <v>109</v>
      </c>
      <c r="C29" s="9" t="s">
        <v>99</v>
      </c>
      <c r="D29" s="32" t="n">
        <v>130</v>
      </c>
    </row>
    <row r="30" customFormat="false" ht="15" hidden="false" customHeight="false" outlineLevel="0" collapsed="false">
      <c r="B30" s="9" t="s">
        <v>102</v>
      </c>
      <c r="C30" s="9" t="s">
        <v>99</v>
      </c>
      <c r="D30" s="32" t="n">
        <v>140</v>
      </c>
    </row>
    <row r="31" customFormat="false" ht="15" hidden="false" customHeight="false" outlineLevel="0" collapsed="false">
      <c r="B31" s="9" t="s">
        <v>66</v>
      </c>
      <c r="C31" s="9" t="s">
        <v>65</v>
      </c>
      <c r="D31" s="32" t="n">
        <v>120</v>
      </c>
    </row>
    <row r="32" customFormat="false" ht="15" hidden="false" customHeight="false" outlineLevel="0" collapsed="false">
      <c r="B32" s="9" t="s">
        <v>94</v>
      </c>
      <c r="C32" s="9" t="s">
        <v>65</v>
      </c>
      <c r="D32" s="32" t="n">
        <v>150</v>
      </c>
    </row>
    <row r="33" customFormat="false" ht="15" hidden="false" customHeight="false" outlineLevel="0" collapsed="false">
      <c r="B33" s="9" t="s">
        <v>121</v>
      </c>
      <c r="C33" s="9" t="s">
        <v>65</v>
      </c>
      <c r="D33" s="32" t="n">
        <v>170</v>
      </c>
    </row>
    <row r="34" customFormat="false" ht="15" hidden="false" customHeight="false" outlineLevel="0" collapsed="false">
      <c r="B34" s="9" t="s">
        <v>87</v>
      </c>
      <c r="C34" s="9" t="s">
        <v>65</v>
      </c>
      <c r="D34" s="32" t="n">
        <v>160</v>
      </c>
    </row>
    <row r="35" customFormat="false" ht="15" hidden="false" customHeight="false" outlineLevel="0" collapsed="false">
      <c r="B35" s="9" t="s">
        <v>80</v>
      </c>
      <c r="C35" s="9" t="s">
        <v>79</v>
      </c>
      <c r="D35" s="32" t="n">
        <v>160</v>
      </c>
    </row>
    <row r="36" customFormat="false" ht="15" hidden="false" customHeight="false" outlineLevel="0" collapsed="false">
      <c r="B36" s="9" t="s">
        <v>135</v>
      </c>
      <c r="C36" s="9" t="s">
        <v>79</v>
      </c>
      <c r="D36" s="32" t="n">
        <v>130</v>
      </c>
    </row>
    <row r="37" customFormat="false" ht="15" hidden="false" customHeight="false" outlineLevel="0" collapsed="false">
      <c r="B37" s="9" t="s">
        <v>148</v>
      </c>
      <c r="C37" s="9" t="s">
        <v>79</v>
      </c>
      <c r="D37" s="32" t="n">
        <v>120</v>
      </c>
    </row>
    <row r="38" customFormat="false" ht="15" hidden="false" customHeight="false" outlineLevel="0" collapsed="false">
      <c r="B38" s="9" t="s">
        <v>117</v>
      </c>
      <c r="C38" s="9" t="s">
        <v>84</v>
      </c>
      <c r="D38" s="32" t="n">
        <v>95</v>
      </c>
    </row>
    <row r="39" customFormat="false" ht="15" hidden="false" customHeight="false" outlineLevel="0" collapsed="false">
      <c r="B39" s="9" t="s">
        <v>114</v>
      </c>
      <c r="C39" s="9" t="s">
        <v>84</v>
      </c>
      <c r="D39" s="32" t="n">
        <v>85</v>
      </c>
    </row>
    <row r="40" customFormat="false" ht="15" hidden="false" customHeight="false" outlineLevel="0" collapsed="false">
      <c r="B40" s="9" t="s">
        <v>85</v>
      </c>
      <c r="C40" s="9" t="s">
        <v>84</v>
      </c>
      <c r="D40" s="32" t="n">
        <v>150</v>
      </c>
    </row>
    <row r="41" customFormat="false" ht="15" hidden="false" customHeight="false" outlineLevel="0" collapsed="false">
      <c r="B41" s="9" t="s">
        <v>106</v>
      </c>
      <c r="C41" s="9" t="s">
        <v>84</v>
      </c>
      <c r="D41" s="32" t="n">
        <v>60</v>
      </c>
    </row>
    <row r="42" customFormat="false" ht="15" hidden="false" customHeight="false" outlineLevel="0" collapsed="false">
      <c r="B42" s="9" t="s">
        <v>75</v>
      </c>
      <c r="C42" s="9" t="s">
        <v>74</v>
      </c>
      <c r="D42" s="32" t="n">
        <v>220</v>
      </c>
    </row>
    <row r="43" customFormat="false" ht="15" hidden="false" customHeight="false" outlineLevel="0" collapsed="false">
      <c r="B43" s="9" t="s">
        <v>139</v>
      </c>
      <c r="C43" s="9" t="s">
        <v>74</v>
      </c>
      <c r="D43" s="32" t="n">
        <v>260</v>
      </c>
    </row>
    <row r="44" customFormat="false" ht="15" hidden="false" customHeight="false" outlineLevel="0" collapsed="false">
      <c r="B44" s="9" t="s">
        <v>91</v>
      </c>
      <c r="C44" s="9" t="s">
        <v>74</v>
      </c>
      <c r="D44" s="32" t="n">
        <v>200</v>
      </c>
    </row>
    <row r="45" customFormat="false" ht="15" hidden="false" customHeight="false" outlineLevel="0" collapsed="false">
      <c r="B45" s="2" t="s">
        <v>2274</v>
      </c>
    </row>
    <row r="47" customFormat="false" ht="15" hidden="false" customHeight="false" outlineLevel="0" collapsed="false">
      <c r="B47" s="3" t="s">
        <v>2275</v>
      </c>
    </row>
    <row r="48" customFormat="false" ht="15" hidden="false" customHeight="false" outlineLevel="0" collapsed="false">
      <c r="B48" s="4" t="s">
        <v>2276</v>
      </c>
    </row>
    <row r="49" customFormat="false" ht="15" hidden="false" customHeight="false" outlineLevel="0" collapsed="false">
      <c r="B49" s="4" t="s">
        <v>2277</v>
      </c>
    </row>
    <row r="50" customFormat="false" ht="15" hidden="false" customHeight="false" outlineLevel="0" collapsed="false">
      <c r="B50" s="4" t="s">
        <v>2278</v>
      </c>
    </row>
    <row r="51" customFormat="false" ht="15" hidden="false" customHeight="false" outlineLevel="0" collapsed="false">
      <c r="B51" s="4" t="s">
        <v>2279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E23"/>
    <pageSetUpPr fitToPage="false"/>
  </sheetPr>
  <dimension ref="A1:T17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7"/>
    <col collapsed="false" customWidth="true" hidden="false" outlineLevel="0" max="5" min="4" style="0" width="13"/>
    <col collapsed="false" customWidth="true" hidden="false" outlineLevel="0" max="6" min="6" style="0" width="1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4" min="13" style="0" width="13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8"/>
    <col collapsed="false" customWidth="true" hidden="false" outlineLevel="0" max="19" min="19" style="0" width="19"/>
    <col collapsed="false" customWidth="true" hidden="false" outlineLevel="0" max="20" min="20" style="0" width="8"/>
  </cols>
  <sheetData>
    <row r="1" customFormat="false" ht="23.85" hidden="false" customHeight="false" outlineLevel="0" collapsed="false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33" t="s">
        <v>2280</v>
      </c>
      <c r="M1" s="33" t="s">
        <v>2281</v>
      </c>
      <c r="N1" s="33" t="s">
        <v>2282</v>
      </c>
      <c r="O1" s="33" t="s">
        <v>2283</v>
      </c>
      <c r="P1" s="33" t="s">
        <v>2284</v>
      </c>
      <c r="Q1" s="33" t="s">
        <v>2285</v>
      </c>
      <c r="R1" s="33" t="s">
        <v>2286</v>
      </c>
      <c r="S1" s="33" t="s">
        <v>2287</v>
      </c>
      <c r="T1" s="33" t="s">
        <v>2288</v>
      </c>
    </row>
    <row r="2" customFormat="false" ht="15" hidden="false" customHeight="false" outlineLevel="0" collapsed="false">
      <c r="A2" s="4" t="s">
        <v>63</v>
      </c>
      <c r="B2" s="17" t="n">
        <v>45658</v>
      </c>
      <c r="C2" s="4" t="n">
        <v>8</v>
      </c>
      <c r="D2" s="4" t="s">
        <v>64</v>
      </c>
      <c r="E2" s="4" t="s">
        <v>65</v>
      </c>
      <c r="F2" s="4" t="s">
        <v>66</v>
      </c>
      <c r="G2" s="4" t="n">
        <v>2</v>
      </c>
      <c r="H2" s="34" t="n">
        <v>120</v>
      </c>
      <c r="I2" s="18" t="n">
        <v>0.2</v>
      </c>
      <c r="J2" s="4" t="s">
        <v>67</v>
      </c>
      <c r="K2" s="4" t="s">
        <v>68</v>
      </c>
      <c r="L2" s="35" t="n">
        <f aca="false">G2*H2</f>
        <v>240</v>
      </c>
      <c r="M2" s="35" t="n">
        <f aca="false">L2*I2</f>
        <v>48</v>
      </c>
      <c r="N2" s="35" t="n">
        <f aca="false">L2-M2</f>
        <v>192</v>
      </c>
      <c r="O2" s="4" t="n">
        <f aca="false">MONTH(B2)</f>
        <v>1</v>
      </c>
      <c r="P2" s="4" t="str">
        <f aca="false">CHOOSE(WEEKDAY(B2,2),"Mon","Tue","Wed","Thu","Fri","Sat","Sun")</f>
        <v>Wed</v>
      </c>
      <c r="Q2" s="4" t="str">
        <f aca="false">IF(WEEKDAY(B2,2)&gt;5,"Weekend","Weekday")</f>
        <v>Weekday</v>
      </c>
      <c r="R2" s="4" t="str">
        <f aca="false">IF(C2&lt;11,"Morning (7-10)",IF(C2&lt;14,"Lunch (11-13)",IF(C2&lt;18,"Afternoon (14-17)","Evening (18-20)")))</f>
        <v>Morning (7-10)</v>
      </c>
      <c r="S2" s="4" t="str">
        <f aca="false">IF(AND(O2&gt;=3,O2&lt;=5),"Hot Dry (Mar-May)",IF(AND(O2&gt;=6,O2&lt;=11),"Rainy (Jun-Nov)","Cool Dry (Dec-Feb)"))</f>
        <v>Cool Dry (Dec-Feb)</v>
      </c>
      <c r="T2" s="4" t="str">
        <f aca="false">CHOOSE(O2,"Jan","Feb","Mar","Apr","May","Jun","Jul","Aug","Sep","Oct","Nov","Dec")</f>
        <v>Jan</v>
      </c>
    </row>
    <row r="3" customFormat="false" ht="15" hidden="false" customHeight="false" outlineLevel="0" collapsed="false">
      <c r="A3" s="4" t="s">
        <v>69</v>
      </c>
      <c r="B3" s="17" t="n">
        <v>45658</v>
      </c>
      <c r="C3" s="4" t="n">
        <v>12</v>
      </c>
      <c r="D3" s="4" t="s">
        <v>70</v>
      </c>
      <c r="E3" s="4" t="s">
        <v>65</v>
      </c>
      <c r="F3" s="4" t="s">
        <v>66</v>
      </c>
      <c r="G3" s="4" t="n">
        <v>3</v>
      </c>
      <c r="H3" s="34" t="n">
        <v>120</v>
      </c>
      <c r="I3" s="18" t="n">
        <v>0.1</v>
      </c>
      <c r="J3" s="4" t="s">
        <v>67</v>
      </c>
      <c r="K3" s="4" t="s">
        <v>71</v>
      </c>
      <c r="L3" s="35" t="n">
        <f aca="false">G3*H3</f>
        <v>360</v>
      </c>
      <c r="M3" s="35" t="n">
        <f aca="false">L3*I3</f>
        <v>36</v>
      </c>
      <c r="N3" s="35" t="n">
        <f aca="false">L3-M3</f>
        <v>324</v>
      </c>
      <c r="O3" s="4" t="n">
        <f aca="false">MONTH(B3)</f>
        <v>1</v>
      </c>
      <c r="P3" s="4" t="str">
        <f aca="false">CHOOSE(WEEKDAY(B3,2),"Mon","Tue","Wed","Thu","Fri","Sat","Sun")</f>
        <v>Wed</v>
      </c>
      <c r="Q3" s="4" t="str">
        <f aca="false">IF(WEEKDAY(B3,2)&gt;5,"Weekend","Weekday")</f>
        <v>Weekday</v>
      </c>
      <c r="R3" s="4" t="str">
        <f aca="false">IF(C3&lt;11,"Morning (7-10)",IF(C3&lt;14,"Lunch (11-13)",IF(C3&lt;18,"Afternoon (14-17)","Evening (18-20)")))</f>
        <v>Lunch (11-13)</v>
      </c>
      <c r="S3" s="4" t="str">
        <f aca="false">IF(AND(O3&gt;=3,O3&lt;=5),"Hot Dry (Mar-May)",IF(AND(O3&gt;=6,O3&lt;=11),"Rainy (Jun-Nov)","Cool Dry (Dec-Feb)"))</f>
        <v>Cool Dry (Dec-Feb)</v>
      </c>
      <c r="T3" s="4" t="str">
        <f aca="false">CHOOSE(O3,"Jan","Feb","Mar","Apr","May","Jun","Jul","Aug","Sep","Oct","Nov","Dec")</f>
        <v>Jan</v>
      </c>
    </row>
    <row r="4" customFormat="false" ht="15" hidden="false" customHeight="false" outlineLevel="0" collapsed="false">
      <c r="A4" s="4" t="s">
        <v>72</v>
      </c>
      <c r="B4" s="17" t="n">
        <v>45658</v>
      </c>
      <c r="C4" s="4" t="n">
        <v>15</v>
      </c>
      <c r="D4" s="4" t="s">
        <v>73</v>
      </c>
      <c r="E4" s="4" t="s">
        <v>74</v>
      </c>
      <c r="F4" s="4" t="s">
        <v>75</v>
      </c>
      <c r="G4" s="4" t="n">
        <v>1</v>
      </c>
      <c r="H4" s="34" t="n">
        <v>220</v>
      </c>
      <c r="I4" s="18" t="n">
        <v>0</v>
      </c>
      <c r="J4" s="4" t="s">
        <v>76</v>
      </c>
      <c r="K4" s="4" t="s">
        <v>77</v>
      </c>
      <c r="L4" s="35" t="n">
        <f aca="false">G4*H4</f>
        <v>220</v>
      </c>
      <c r="M4" s="35" t="n">
        <f aca="false">L4*I4</f>
        <v>0</v>
      </c>
      <c r="N4" s="35" t="n">
        <f aca="false">L4-M4</f>
        <v>220</v>
      </c>
      <c r="O4" s="4" t="n">
        <f aca="false">MONTH(B4)</f>
        <v>1</v>
      </c>
      <c r="P4" s="4" t="str">
        <f aca="false">CHOOSE(WEEKDAY(B4,2),"Mon","Tue","Wed","Thu","Fri","Sat","Sun")</f>
        <v>Wed</v>
      </c>
      <c r="Q4" s="4" t="str">
        <f aca="false">IF(WEEKDAY(B4,2)&gt;5,"Weekend","Weekday")</f>
        <v>Weekday</v>
      </c>
      <c r="R4" s="4" t="str">
        <f aca="false">IF(C4&lt;11,"Morning (7-10)",IF(C4&lt;14,"Lunch (11-13)",IF(C4&lt;18,"Afternoon (14-17)","Evening (18-20)")))</f>
        <v>Afternoon (14-17)</v>
      </c>
      <c r="S4" s="4" t="str">
        <f aca="false">IF(AND(O4&gt;=3,O4&lt;=5),"Hot Dry (Mar-May)",IF(AND(O4&gt;=6,O4&lt;=11),"Rainy (Jun-Nov)","Cool Dry (Dec-Feb)"))</f>
        <v>Cool Dry (Dec-Feb)</v>
      </c>
      <c r="T4" s="4" t="str">
        <f aca="false">CHOOSE(O4,"Jan","Feb","Mar","Apr","May","Jun","Jul","Aug","Sep","Oct","Nov","Dec")</f>
        <v>Jan</v>
      </c>
    </row>
    <row r="5" customFormat="false" ht="15" hidden="false" customHeight="false" outlineLevel="0" collapsed="false">
      <c r="A5" s="4" t="s">
        <v>78</v>
      </c>
      <c r="B5" s="17" t="n">
        <v>45658</v>
      </c>
      <c r="C5" s="4" t="n">
        <v>17</v>
      </c>
      <c r="D5" s="4" t="s">
        <v>70</v>
      </c>
      <c r="E5" s="4" t="s">
        <v>79</v>
      </c>
      <c r="F5" s="4" t="s">
        <v>80</v>
      </c>
      <c r="G5" s="4" t="n">
        <v>2</v>
      </c>
      <c r="H5" s="34" t="n">
        <v>160</v>
      </c>
      <c r="I5" s="18" t="n">
        <v>0.05</v>
      </c>
      <c r="J5" s="4" t="s">
        <v>81</v>
      </c>
      <c r="K5" s="4" t="s">
        <v>82</v>
      </c>
      <c r="L5" s="35" t="n">
        <f aca="false">G5*H5</f>
        <v>320</v>
      </c>
      <c r="M5" s="35" t="n">
        <f aca="false">L5*I5</f>
        <v>16</v>
      </c>
      <c r="N5" s="35" t="n">
        <f aca="false">L5-M5</f>
        <v>304</v>
      </c>
      <c r="O5" s="4" t="n">
        <f aca="false">MONTH(B5)</f>
        <v>1</v>
      </c>
      <c r="P5" s="4" t="str">
        <f aca="false">CHOOSE(WEEKDAY(B5,2),"Mon","Tue","Wed","Thu","Fri","Sat","Sun")</f>
        <v>Wed</v>
      </c>
      <c r="Q5" s="4" t="str">
        <f aca="false">IF(WEEKDAY(B5,2)&gt;5,"Weekend","Weekday")</f>
        <v>Weekday</v>
      </c>
      <c r="R5" s="4" t="str">
        <f aca="false">IF(C5&lt;11,"Morning (7-10)",IF(C5&lt;14,"Lunch (11-13)",IF(C5&lt;18,"Afternoon (14-17)","Evening (18-20)")))</f>
        <v>Afternoon (14-17)</v>
      </c>
      <c r="S5" s="4" t="str">
        <f aca="false">IF(AND(O5&gt;=3,O5&lt;=5),"Hot Dry (Mar-May)",IF(AND(O5&gt;=6,O5&lt;=11),"Rainy (Jun-Nov)","Cool Dry (Dec-Feb)"))</f>
        <v>Cool Dry (Dec-Feb)</v>
      </c>
      <c r="T5" s="4" t="str">
        <f aca="false">CHOOSE(O5,"Jan","Feb","Mar","Apr","May","Jun","Jul","Aug","Sep","Oct","Nov","Dec")</f>
        <v>Jan</v>
      </c>
    </row>
    <row r="6" customFormat="false" ht="15" hidden="false" customHeight="false" outlineLevel="0" collapsed="false">
      <c r="A6" s="4" t="s">
        <v>83</v>
      </c>
      <c r="B6" s="17" t="n">
        <v>45659</v>
      </c>
      <c r="C6" s="4" t="n">
        <v>8</v>
      </c>
      <c r="D6" s="4" t="s">
        <v>70</v>
      </c>
      <c r="E6" s="4" t="s">
        <v>84</v>
      </c>
      <c r="F6" s="4" t="s">
        <v>85</v>
      </c>
      <c r="G6" s="4" t="n">
        <v>1</v>
      </c>
      <c r="H6" s="34" t="n">
        <v>150</v>
      </c>
      <c r="I6" s="18" t="n">
        <v>0.05</v>
      </c>
      <c r="J6" s="4" t="s">
        <v>76</v>
      </c>
      <c r="K6" s="4" t="s">
        <v>82</v>
      </c>
      <c r="L6" s="35" t="n">
        <f aca="false">G6*H6</f>
        <v>150</v>
      </c>
      <c r="M6" s="35" t="n">
        <f aca="false">L6*I6</f>
        <v>7.5</v>
      </c>
      <c r="N6" s="35" t="n">
        <f aca="false">L6-M6</f>
        <v>142.5</v>
      </c>
      <c r="O6" s="4" t="n">
        <f aca="false">MONTH(B6)</f>
        <v>1</v>
      </c>
      <c r="P6" s="4" t="str">
        <f aca="false">CHOOSE(WEEKDAY(B6,2),"Mon","Tue","Wed","Thu","Fri","Sat","Sun")</f>
        <v>Thu</v>
      </c>
      <c r="Q6" s="4" t="str">
        <f aca="false">IF(WEEKDAY(B6,2)&gt;5,"Weekend","Weekday")</f>
        <v>Weekday</v>
      </c>
      <c r="R6" s="4" t="str">
        <f aca="false">IF(C6&lt;11,"Morning (7-10)",IF(C6&lt;14,"Lunch (11-13)",IF(C6&lt;18,"Afternoon (14-17)","Evening (18-20)")))</f>
        <v>Morning (7-10)</v>
      </c>
      <c r="S6" s="4" t="str">
        <f aca="false">IF(AND(O6&gt;=3,O6&lt;=5),"Hot Dry (Mar-May)",IF(AND(O6&gt;=6,O6&lt;=11),"Rainy (Jun-Nov)","Cool Dry (Dec-Feb)"))</f>
        <v>Cool Dry (Dec-Feb)</v>
      </c>
      <c r="T6" s="4" t="str">
        <f aca="false">CHOOSE(O6,"Jan","Feb","Mar","Apr","May","Jun","Jul","Aug","Sep","Oct","Nov","Dec")</f>
        <v>Jan</v>
      </c>
    </row>
    <row r="7" customFormat="false" ht="15" hidden="false" customHeight="false" outlineLevel="0" collapsed="false">
      <c r="A7" s="4" t="s">
        <v>86</v>
      </c>
      <c r="B7" s="17" t="n">
        <v>45659</v>
      </c>
      <c r="C7" s="4" t="n">
        <v>15</v>
      </c>
      <c r="D7" s="4" t="s">
        <v>70</v>
      </c>
      <c r="E7" s="4" t="s">
        <v>65</v>
      </c>
      <c r="F7" s="4" t="s">
        <v>87</v>
      </c>
      <c r="G7" s="4" t="n">
        <v>1</v>
      </c>
      <c r="H7" s="34" t="n">
        <v>160</v>
      </c>
      <c r="I7" s="18" t="n">
        <v>0</v>
      </c>
      <c r="J7" s="4" t="s">
        <v>88</v>
      </c>
      <c r="K7" s="4" t="s">
        <v>77</v>
      </c>
      <c r="L7" s="35" t="n">
        <f aca="false">G7*H7</f>
        <v>160</v>
      </c>
      <c r="M7" s="35" t="n">
        <f aca="false">L7*I7</f>
        <v>0</v>
      </c>
      <c r="N7" s="35" t="n">
        <f aca="false">L7-M7</f>
        <v>160</v>
      </c>
      <c r="O7" s="4" t="n">
        <f aca="false">MONTH(B7)</f>
        <v>1</v>
      </c>
      <c r="P7" s="4" t="str">
        <f aca="false">CHOOSE(WEEKDAY(B7,2),"Mon","Tue","Wed","Thu","Fri","Sat","Sun")</f>
        <v>Thu</v>
      </c>
      <c r="Q7" s="4" t="str">
        <f aca="false">IF(WEEKDAY(B7,2)&gt;5,"Weekend","Weekday")</f>
        <v>Weekday</v>
      </c>
      <c r="R7" s="4" t="str">
        <f aca="false">IF(C7&lt;11,"Morning (7-10)",IF(C7&lt;14,"Lunch (11-13)",IF(C7&lt;18,"Afternoon (14-17)","Evening (18-20)")))</f>
        <v>Afternoon (14-17)</v>
      </c>
      <c r="S7" s="4" t="str">
        <f aca="false">IF(AND(O7&gt;=3,O7&lt;=5),"Hot Dry (Mar-May)",IF(AND(O7&gt;=6,O7&lt;=11),"Rainy (Jun-Nov)","Cool Dry (Dec-Feb)"))</f>
        <v>Cool Dry (Dec-Feb)</v>
      </c>
      <c r="T7" s="4" t="str">
        <f aca="false">CHOOSE(O7,"Jan","Feb","Mar","Apr","May","Jun","Jul","Aug","Sep","Oct","Nov","Dec")</f>
        <v>Jan</v>
      </c>
    </row>
    <row r="8" customFormat="false" ht="15" hidden="false" customHeight="false" outlineLevel="0" collapsed="false">
      <c r="A8" s="4" t="s">
        <v>89</v>
      </c>
      <c r="B8" s="17" t="n">
        <v>45659</v>
      </c>
      <c r="C8" s="4" t="n">
        <v>19</v>
      </c>
      <c r="D8" s="4" t="s">
        <v>73</v>
      </c>
      <c r="E8" s="4" t="s">
        <v>74</v>
      </c>
      <c r="F8" s="4" t="s">
        <v>91</v>
      </c>
      <c r="G8" s="4" t="n">
        <v>1</v>
      </c>
      <c r="H8" s="34" t="n">
        <v>200</v>
      </c>
      <c r="I8" s="18" t="n">
        <v>0</v>
      </c>
      <c r="J8" s="4" t="s">
        <v>81</v>
      </c>
      <c r="K8" s="4" t="s">
        <v>68</v>
      </c>
      <c r="L8" s="35" t="n">
        <f aca="false">G8*H8</f>
        <v>200</v>
      </c>
      <c r="M8" s="35" t="n">
        <f aca="false">L8*I8</f>
        <v>0</v>
      </c>
      <c r="N8" s="35" t="n">
        <f aca="false">L8-M8</f>
        <v>200</v>
      </c>
      <c r="O8" s="4" t="n">
        <f aca="false">MONTH(B8)</f>
        <v>1</v>
      </c>
      <c r="P8" s="4" t="str">
        <f aca="false">CHOOSE(WEEKDAY(B8,2),"Mon","Tue","Wed","Thu","Fri","Sat","Sun")</f>
        <v>Thu</v>
      </c>
      <c r="Q8" s="4" t="str">
        <f aca="false">IF(WEEKDAY(B8,2)&gt;5,"Weekend","Weekday")</f>
        <v>Weekday</v>
      </c>
      <c r="R8" s="4" t="str">
        <f aca="false">IF(C8&lt;11,"Morning (7-10)",IF(C8&lt;14,"Lunch (11-13)",IF(C8&lt;18,"Afternoon (14-17)","Evening (18-20)")))</f>
        <v>Evening (18-20)</v>
      </c>
      <c r="S8" s="4" t="str">
        <f aca="false">IF(AND(O8&gt;=3,O8&lt;=5),"Hot Dry (Mar-May)",IF(AND(O8&gt;=6,O8&lt;=11),"Rainy (Jun-Nov)","Cool Dry (Dec-Feb)"))</f>
        <v>Cool Dry (Dec-Feb)</v>
      </c>
      <c r="T8" s="4" t="str">
        <f aca="false">CHOOSE(O8,"Jan","Feb","Mar","Apr","May","Jun","Jul","Aug","Sep","Oct","Nov","Dec")</f>
        <v>Jan</v>
      </c>
    </row>
    <row r="9" customFormat="false" ht="15" hidden="false" customHeight="false" outlineLevel="0" collapsed="false">
      <c r="A9" s="4" t="s">
        <v>92</v>
      </c>
      <c r="B9" s="17" t="n">
        <v>45660</v>
      </c>
      <c r="C9" s="4" t="n">
        <v>17</v>
      </c>
      <c r="D9" s="4" t="s">
        <v>64</v>
      </c>
      <c r="E9" s="4" t="s">
        <v>65</v>
      </c>
      <c r="F9" s="4" t="s">
        <v>94</v>
      </c>
      <c r="G9" s="4" t="n">
        <v>4</v>
      </c>
      <c r="H9" s="34" t="n">
        <v>150</v>
      </c>
      <c r="I9" s="18" t="n">
        <v>0</v>
      </c>
      <c r="J9" s="4" t="s">
        <v>76</v>
      </c>
      <c r="K9" s="4" t="s">
        <v>68</v>
      </c>
      <c r="L9" s="35" t="n">
        <f aca="false">G9*H9</f>
        <v>600</v>
      </c>
      <c r="M9" s="35" t="n">
        <f aca="false">L9*I9</f>
        <v>0</v>
      </c>
      <c r="N9" s="35" t="n">
        <f aca="false">L9-M9</f>
        <v>600</v>
      </c>
      <c r="O9" s="4" t="n">
        <f aca="false">MONTH(B9)</f>
        <v>1</v>
      </c>
      <c r="P9" s="4" t="str">
        <f aca="false">CHOOSE(WEEKDAY(B9,2),"Mon","Tue","Wed","Thu","Fri","Sat","Sun")</f>
        <v>Fri</v>
      </c>
      <c r="Q9" s="4" t="str">
        <f aca="false">IF(WEEKDAY(B9,2)&gt;5,"Weekend","Weekday")</f>
        <v>Weekday</v>
      </c>
      <c r="R9" s="4" t="str">
        <f aca="false">IF(C9&lt;11,"Morning (7-10)",IF(C9&lt;14,"Lunch (11-13)",IF(C9&lt;18,"Afternoon (14-17)","Evening (18-20)")))</f>
        <v>Afternoon (14-17)</v>
      </c>
      <c r="S9" s="4" t="str">
        <f aca="false">IF(AND(O9&gt;=3,O9&lt;=5),"Hot Dry (Mar-May)",IF(AND(O9&gt;=6,O9&lt;=11),"Rainy (Jun-Nov)","Cool Dry (Dec-Feb)"))</f>
        <v>Cool Dry (Dec-Feb)</v>
      </c>
      <c r="T9" s="4" t="str">
        <f aca="false">CHOOSE(O9,"Jan","Feb","Mar","Apr","May","Jun","Jul","Aug","Sep","Oct","Nov","Dec")</f>
        <v>Jan</v>
      </c>
    </row>
    <row r="10" customFormat="false" ht="15" hidden="false" customHeight="false" outlineLevel="0" collapsed="false">
      <c r="A10" s="4" t="s">
        <v>95</v>
      </c>
      <c r="B10" s="17" t="n">
        <v>45661</v>
      </c>
      <c r="C10" s="4" t="n">
        <v>8</v>
      </c>
      <c r="D10" s="4" t="s">
        <v>70</v>
      </c>
      <c r="E10" s="4" t="s">
        <v>84</v>
      </c>
      <c r="F10" s="4" t="s">
        <v>85</v>
      </c>
      <c r="G10" s="4" t="n">
        <v>1</v>
      </c>
      <c r="H10" s="34" t="n">
        <v>150</v>
      </c>
      <c r="I10" s="18" t="n">
        <v>0</v>
      </c>
      <c r="J10" s="4" t="s">
        <v>76</v>
      </c>
      <c r="K10" s="4" t="s">
        <v>68</v>
      </c>
      <c r="L10" s="35" t="n">
        <f aca="false">G10*H10</f>
        <v>150</v>
      </c>
      <c r="M10" s="35" t="n">
        <f aca="false">L10*I10</f>
        <v>0</v>
      </c>
      <c r="N10" s="35" t="n">
        <f aca="false">L10-M10</f>
        <v>150</v>
      </c>
      <c r="O10" s="4" t="n">
        <f aca="false">MONTH(B10)</f>
        <v>1</v>
      </c>
      <c r="P10" s="4" t="str">
        <f aca="false">CHOOSE(WEEKDAY(B10,2),"Mon","Tue","Wed","Thu","Fri","Sat","Sun")</f>
        <v>Sat</v>
      </c>
      <c r="Q10" s="4" t="str">
        <f aca="false">IF(WEEKDAY(B10,2)&gt;5,"Weekend","Weekday")</f>
        <v>Weekend</v>
      </c>
      <c r="R10" s="4" t="str">
        <f aca="false">IF(C10&lt;11,"Morning (7-10)",IF(C10&lt;14,"Lunch (11-13)",IF(C10&lt;18,"Afternoon (14-17)","Evening (18-20)")))</f>
        <v>Morning (7-10)</v>
      </c>
      <c r="S10" s="4" t="str">
        <f aca="false">IF(AND(O10&gt;=3,O10&lt;=5),"Hot Dry (Mar-May)",IF(AND(O10&gt;=6,O10&lt;=11),"Rainy (Jun-Nov)","Cool Dry (Dec-Feb)"))</f>
        <v>Cool Dry (Dec-Feb)</v>
      </c>
      <c r="T10" s="4" t="str">
        <f aca="false">CHOOSE(O10,"Jan","Feb","Mar","Apr","May","Jun","Jul","Aug","Sep","Oct","Nov","Dec")</f>
        <v>Jan</v>
      </c>
    </row>
    <row r="11" customFormat="false" ht="15" hidden="false" customHeight="false" outlineLevel="0" collapsed="false">
      <c r="A11" s="4" t="s">
        <v>97</v>
      </c>
      <c r="B11" s="17" t="n">
        <v>45661</v>
      </c>
      <c r="C11" s="4" t="n">
        <v>10</v>
      </c>
      <c r="D11" s="4" t="s">
        <v>98</v>
      </c>
      <c r="E11" s="4" t="s">
        <v>99</v>
      </c>
      <c r="F11" s="4" t="s">
        <v>100</v>
      </c>
      <c r="G11" s="4" t="n">
        <v>1</v>
      </c>
      <c r="H11" s="34" t="n">
        <v>110</v>
      </c>
      <c r="I11" s="18" t="n">
        <v>0</v>
      </c>
      <c r="J11" s="4" t="s">
        <v>67</v>
      </c>
      <c r="K11" s="4" t="s">
        <v>68</v>
      </c>
      <c r="L11" s="35" t="n">
        <f aca="false">G11*H11</f>
        <v>110</v>
      </c>
      <c r="M11" s="35" t="n">
        <f aca="false">L11*I11</f>
        <v>0</v>
      </c>
      <c r="N11" s="35" t="n">
        <f aca="false">L11-M11</f>
        <v>110</v>
      </c>
      <c r="O11" s="4" t="n">
        <f aca="false">MONTH(B11)</f>
        <v>1</v>
      </c>
      <c r="P11" s="4" t="str">
        <f aca="false">CHOOSE(WEEKDAY(B11,2),"Mon","Tue","Wed","Thu","Fri","Sat","Sun")</f>
        <v>Sat</v>
      </c>
      <c r="Q11" s="4" t="str">
        <f aca="false">IF(WEEKDAY(B11,2)&gt;5,"Weekend","Weekday")</f>
        <v>Weekend</v>
      </c>
      <c r="R11" s="4" t="str">
        <f aca="false">IF(C11&lt;11,"Morning (7-10)",IF(C11&lt;14,"Lunch (11-13)",IF(C11&lt;18,"Afternoon (14-17)","Evening (18-20)")))</f>
        <v>Morning (7-10)</v>
      </c>
      <c r="S11" s="4" t="str">
        <f aca="false">IF(AND(O11&gt;=3,O11&lt;=5),"Hot Dry (Mar-May)",IF(AND(O11&gt;=6,O11&lt;=11),"Rainy (Jun-Nov)","Cool Dry (Dec-Feb)"))</f>
        <v>Cool Dry (Dec-Feb)</v>
      </c>
      <c r="T11" s="4" t="str">
        <f aca="false">CHOOSE(O11,"Jan","Feb","Mar","Apr","May","Jun","Jul","Aug","Sep","Oct","Nov","Dec")</f>
        <v>Jan</v>
      </c>
    </row>
    <row r="12" customFormat="false" ht="15" hidden="false" customHeight="false" outlineLevel="0" collapsed="false">
      <c r="A12" s="4" t="s">
        <v>101</v>
      </c>
      <c r="B12" s="17" t="n">
        <v>45661</v>
      </c>
      <c r="C12" s="4" t="n">
        <v>17</v>
      </c>
      <c r="D12" s="4" t="s">
        <v>98</v>
      </c>
      <c r="E12" s="4" t="s">
        <v>99</v>
      </c>
      <c r="F12" s="4" t="s">
        <v>102</v>
      </c>
      <c r="G12" s="4" t="n">
        <v>1</v>
      </c>
      <c r="H12" s="34" t="n">
        <v>140</v>
      </c>
      <c r="I12" s="18" t="n">
        <v>0</v>
      </c>
      <c r="J12" s="4" t="s">
        <v>81</v>
      </c>
      <c r="K12" s="4" t="s">
        <v>77</v>
      </c>
      <c r="L12" s="35" t="n">
        <f aca="false">G12*H12</f>
        <v>140</v>
      </c>
      <c r="M12" s="35" t="n">
        <f aca="false">L12*I12</f>
        <v>0</v>
      </c>
      <c r="N12" s="35" t="n">
        <f aca="false">L12-M12</f>
        <v>140</v>
      </c>
      <c r="O12" s="4" t="n">
        <f aca="false">MONTH(B12)</f>
        <v>1</v>
      </c>
      <c r="P12" s="4" t="str">
        <f aca="false">CHOOSE(WEEKDAY(B12,2),"Mon","Tue","Wed","Thu","Fri","Sat","Sun")</f>
        <v>Sat</v>
      </c>
      <c r="Q12" s="4" t="str">
        <f aca="false">IF(WEEKDAY(B12,2)&gt;5,"Weekend","Weekday")</f>
        <v>Weekend</v>
      </c>
      <c r="R12" s="4" t="str">
        <f aca="false">IF(C12&lt;11,"Morning (7-10)",IF(C12&lt;14,"Lunch (11-13)",IF(C12&lt;18,"Afternoon (14-17)","Evening (18-20)")))</f>
        <v>Afternoon (14-17)</v>
      </c>
      <c r="S12" s="4" t="str">
        <f aca="false">IF(AND(O12&gt;=3,O12&lt;=5),"Hot Dry (Mar-May)",IF(AND(O12&gt;=6,O12&lt;=11),"Rainy (Jun-Nov)","Cool Dry (Dec-Feb)"))</f>
        <v>Cool Dry (Dec-Feb)</v>
      </c>
      <c r="T12" s="4" t="str">
        <f aca="false">CHOOSE(O12,"Jan","Feb","Mar","Apr","May","Jun","Jul","Aug","Sep","Oct","Nov","Dec")</f>
        <v>Jan</v>
      </c>
    </row>
    <row r="13" customFormat="false" ht="15" hidden="false" customHeight="false" outlineLevel="0" collapsed="false">
      <c r="A13" s="4" t="s">
        <v>104</v>
      </c>
      <c r="B13" s="17" t="n">
        <v>45661</v>
      </c>
      <c r="C13" s="4" t="n">
        <v>18</v>
      </c>
      <c r="D13" s="4" t="s">
        <v>98</v>
      </c>
      <c r="E13" s="4" t="s">
        <v>65</v>
      </c>
      <c r="F13" s="4" t="s">
        <v>94</v>
      </c>
      <c r="G13" s="4" t="n">
        <v>2</v>
      </c>
      <c r="H13" s="34" t="n">
        <v>150</v>
      </c>
      <c r="I13" s="18" t="n">
        <v>0.1</v>
      </c>
      <c r="J13" s="4" t="s">
        <v>67</v>
      </c>
      <c r="K13" s="4" t="s">
        <v>71</v>
      </c>
      <c r="L13" s="35" t="n">
        <f aca="false">G13*H13</f>
        <v>300</v>
      </c>
      <c r="M13" s="35" t="n">
        <f aca="false">L13*I13</f>
        <v>30</v>
      </c>
      <c r="N13" s="35" t="n">
        <f aca="false">L13-M13</f>
        <v>270</v>
      </c>
      <c r="O13" s="4" t="n">
        <f aca="false">MONTH(B13)</f>
        <v>1</v>
      </c>
      <c r="P13" s="4" t="str">
        <f aca="false">CHOOSE(WEEKDAY(B13,2),"Mon","Tue","Wed","Thu","Fri","Sat","Sun")</f>
        <v>Sat</v>
      </c>
      <c r="Q13" s="4" t="str">
        <f aca="false">IF(WEEKDAY(B13,2)&gt;5,"Weekend","Weekday")</f>
        <v>Weekend</v>
      </c>
      <c r="R13" s="4" t="str">
        <f aca="false">IF(C13&lt;11,"Morning (7-10)",IF(C13&lt;14,"Lunch (11-13)",IF(C13&lt;18,"Afternoon (14-17)","Evening (18-20)")))</f>
        <v>Evening (18-20)</v>
      </c>
      <c r="S13" s="4" t="str">
        <f aca="false">IF(AND(O13&gt;=3,O13&lt;=5),"Hot Dry (Mar-May)",IF(AND(O13&gt;=6,O13&lt;=11),"Rainy (Jun-Nov)","Cool Dry (Dec-Feb)"))</f>
        <v>Cool Dry (Dec-Feb)</v>
      </c>
      <c r="T13" s="4" t="str">
        <f aca="false">CHOOSE(O13,"Jan","Feb","Mar","Apr","May","Jun","Jul","Aug","Sep","Oct","Nov","Dec")</f>
        <v>Jan</v>
      </c>
    </row>
    <row r="14" customFormat="false" ht="15" hidden="false" customHeight="false" outlineLevel="0" collapsed="false">
      <c r="A14" s="4" t="s">
        <v>105</v>
      </c>
      <c r="B14" s="17" t="n">
        <v>45661</v>
      </c>
      <c r="C14" s="4" t="n">
        <v>20</v>
      </c>
      <c r="D14" s="4" t="s">
        <v>64</v>
      </c>
      <c r="E14" s="4" t="s">
        <v>84</v>
      </c>
      <c r="F14" s="4" t="s">
        <v>106</v>
      </c>
      <c r="G14" s="4" t="n">
        <v>1</v>
      </c>
      <c r="H14" s="34" t="n">
        <v>60</v>
      </c>
      <c r="I14" s="18" t="n">
        <v>0.1</v>
      </c>
      <c r="J14" s="4" t="s">
        <v>81</v>
      </c>
      <c r="K14" s="4" t="s">
        <v>71</v>
      </c>
      <c r="L14" s="35" t="n">
        <f aca="false">G14*H14</f>
        <v>60</v>
      </c>
      <c r="M14" s="35" t="n">
        <f aca="false">L14*I14</f>
        <v>6</v>
      </c>
      <c r="N14" s="35" t="n">
        <f aca="false">L14-M14</f>
        <v>54</v>
      </c>
      <c r="O14" s="4" t="n">
        <f aca="false">MONTH(B14)</f>
        <v>1</v>
      </c>
      <c r="P14" s="4" t="str">
        <f aca="false">CHOOSE(WEEKDAY(B14,2),"Mon","Tue","Wed","Thu","Fri","Sat","Sun")</f>
        <v>Sat</v>
      </c>
      <c r="Q14" s="4" t="str">
        <f aca="false">IF(WEEKDAY(B14,2)&gt;5,"Weekend","Weekday")</f>
        <v>Weekend</v>
      </c>
      <c r="R14" s="4" t="str">
        <f aca="false">IF(C14&lt;11,"Morning (7-10)",IF(C14&lt;14,"Lunch (11-13)",IF(C14&lt;18,"Afternoon (14-17)","Evening (18-20)")))</f>
        <v>Evening (18-20)</v>
      </c>
      <c r="S14" s="4" t="str">
        <f aca="false">IF(AND(O14&gt;=3,O14&lt;=5),"Hot Dry (Mar-May)",IF(AND(O14&gt;=6,O14&lt;=11),"Rainy (Jun-Nov)","Cool Dry (Dec-Feb)"))</f>
        <v>Cool Dry (Dec-Feb)</v>
      </c>
      <c r="T14" s="4" t="str">
        <f aca="false">CHOOSE(O14,"Jan","Feb","Mar","Apr","May","Jun","Jul","Aug","Sep","Oct","Nov","Dec")</f>
        <v>Jan</v>
      </c>
    </row>
    <row r="15" customFormat="false" ht="15" hidden="false" customHeight="false" outlineLevel="0" collapsed="false">
      <c r="A15" s="4" t="s">
        <v>107</v>
      </c>
      <c r="B15" s="17" t="n">
        <v>45662</v>
      </c>
      <c r="C15" s="4" t="n">
        <v>13</v>
      </c>
      <c r="D15" s="4" t="s">
        <v>98</v>
      </c>
      <c r="E15" s="4" t="s">
        <v>99</v>
      </c>
      <c r="F15" s="4" t="s">
        <v>109</v>
      </c>
      <c r="G15" s="4" t="n">
        <v>1</v>
      </c>
      <c r="H15" s="34" t="n">
        <v>130</v>
      </c>
      <c r="I15" s="18" t="n">
        <v>0.1</v>
      </c>
      <c r="J15" s="4" t="s">
        <v>67</v>
      </c>
      <c r="K15" s="4" t="s">
        <v>71</v>
      </c>
      <c r="L15" s="35" t="n">
        <f aca="false">G15*H15</f>
        <v>130</v>
      </c>
      <c r="M15" s="35" t="n">
        <f aca="false">L15*I15</f>
        <v>13</v>
      </c>
      <c r="N15" s="35" t="n">
        <f aca="false">L15-M15</f>
        <v>117</v>
      </c>
      <c r="O15" s="4" t="n">
        <f aca="false">MONTH(B15)</f>
        <v>1</v>
      </c>
      <c r="P15" s="4" t="str">
        <f aca="false">CHOOSE(WEEKDAY(B15,2),"Mon","Tue","Wed","Thu","Fri","Sat","Sun")</f>
        <v>Sun</v>
      </c>
      <c r="Q15" s="4" t="str">
        <f aca="false">IF(WEEKDAY(B15,2)&gt;5,"Weekend","Weekday")</f>
        <v>Weekend</v>
      </c>
      <c r="R15" s="4" t="str">
        <f aca="false">IF(C15&lt;11,"Morning (7-10)",IF(C15&lt;14,"Lunch (11-13)",IF(C15&lt;18,"Afternoon (14-17)","Evening (18-20)")))</f>
        <v>Lunch (11-13)</v>
      </c>
      <c r="S15" s="4" t="str">
        <f aca="false">IF(AND(O15&gt;=3,O15&lt;=5),"Hot Dry (Mar-May)",IF(AND(O15&gt;=6,O15&lt;=11),"Rainy (Jun-Nov)","Cool Dry (Dec-Feb)"))</f>
        <v>Cool Dry (Dec-Feb)</v>
      </c>
      <c r="T15" s="4" t="str">
        <f aca="false">CHOOSE(O15,"Jan","Feb","Mar","Apr","May","Jun","Jul","Aug","Sep","Oct","Nov","Dec")</f>
        <v>Jan</v>
      </c>
    </row>
    <row r="16" customFormat="false" ht="15" hidden="false" customHeight="false" outlineLevel="0" collapsed="false">
      <c r="A16" s="4" t="s">
        <v>110</v>
      </c>
      <c r="B16" s="17" t="n">
        <v>45663</v>
      </c>
      <c r="C16" s="4" t="n">
        <v>9</v>
      </c>
      <c r="D16" s="4" t="s">
        <v>73</v>
      </c>
      <c r="E16" s="4" t="s">
        <v>99</v>
      </c>
      <c r="F16" s="4" t="s">
        <v>102</v>
      </c>
      <c r="G16" s="4" t="n">
        <v>1</v>
      </c>
      <c r="H16" s="34" t="n">
        <v>140</v>
      </c>
      <c r="I16" s="18" t="n">
        <v>0</v>
      </c>
      <c r="J16" s="4" t="s">
        <v>88</v>
      </c>
      <c r="K16" s="4" t="s">
        <v>68</v>
      </c>
      <c r="L16" s="35" t="n">
        <f aca="false">G16*H16</f>
        <v>140</v>
      </c>
      <c r="M16" s="35" t="n">
        <f aca="false">L16*I16</f>
        <v>0</v>
      </c>
      <c r="N16" s="35" t="n">
        <f aca="false">L16-M16</f>
        <v>140</v>
      </c>
      <c r="O16" s="4" t="n">
        <f aca="false">MONTH(B16)</f>
        <v>1</v>
      </c>
      <c r="P16" s="4" t="str">
        <f aca="false">CHOOSE(WEEKDAY(B16,2),"Mon","Tue","Wed","Thu","Fri","Sat","Sun")</f>
        <v>Mon</v>
      </c>
      <c r="Q16" s="4" t="str">
        <f aca="false">IF(WEEKDAY(B16,2)&gt;5,"Weekend","Weekday")</f>
        <v>Weekday</v>
      </c>
      <c r="R16" s="4" t="str">
        <f aca="false">IF(C16&lt;11,"Morning (7-10)",IF(C16&lt;14,"Lunch (11-13)",IF(C16&lt;18,"Afternoon (14-17)","Evening (18-20)")))</f>
        <v>Morning (7-10)</v>
      </c>
      <c r="S16" s="4" t="str">
        <f aca="false">IF(AND(O16&gt;=3,O16&lt;=5),"Hot Dry (Mar-May)",IF(AND(O16&gt;=6,O16&lt;=11),"Rainy (Jun-Nov)","Cool Dry (Dec-Feb)"))</f>
        <v>Cool Dry (Dec-Feb)</v>
      </c>
      <c r="T16" s="4" t="str">
        <f aca="false">CHOOSE(O16,"Jan","Feb","Mar","Apr","May","Jun","Jul","Aug","Sep","Oct","Nov","Dec")</f>
        <v>Jan</v>
      </c>
    </row>
    <row r="17" customFormat="false" ht="15" hidden="false" customHeight="false" outlineLevel="0" collapsed="false">
      <c r="A17" s="4" t="s">
        <v>111</v>
      </c>
      <c r="B17" s="17" t="n">
        <v>45663</v>
      </c>
      <c r="C17" s="4" t="n">
        <v>10</v>
      </c>
      <c r="D17" s="4" t="s">
        <v>70</v>
      </c>
      <c r="E17" s="4" t="s">
        <v>99</v>
      </c>
      <c r="F17" s="4" t="s">
        <v>100</v>
      </c>
      <c r="G17" s="4" t="n">
        <v>1</v>
      </c>
      <c r="H17" s="34" t="n">
        <v>110</v>
      </c>
      <c r="I17" s="18" t="n">
        <v>0.15</v>
      </c>
      <c r="J17" s="4" t="s">
        <v>112</v>
      </c>
      <c r="K17" s="4" t="s">
        <v>77</v>
      </c>
      <c r="L17" s="35" t="n">
        <f aca="false">G17*H17</f>
        <v>110</v>
      </c>
      <c r="M17" s="35" t="n">
        <f aca="false">L17*I17</f>
        <v>16.5</v>
      </c>
      <c r="N17" s="35" t="n">
        <f aca="false">L17-M17</f>
        <v>93.5</v>
      </c>
      <c r="O17" s="4" t="n">
        <f aca="false">MONTH(B17)</f>
        <v>1</v>
      </c>
      <c r="P17" s="4" t="str">
        <f aca="false">CHOOSE(WEEKDAY(B17,2),"Mon","Tue","Wed","Thu","Fri","Sat","Sun")</f>
        <v>Mon</v>
      </c>
      <c r="Q17" s="4" t="str">
        <f aca="false">IF(WEEKDAY(B17,2)&gt;5,"Weekend","Weekday")</f>
        <v>Weekday</v>
      </c>
      <c r="R17" s="4" t="str">
        <f aca="false">IF(C17&lt;11,"Morning (7-10)",IF(C17&lt;14,"Lunch (11-13)",IF(C17&lt;18,"Afternoon (14-17)","Evening (18-20)")))</f>
        <v>Morning (7-10)</v>
      </c>
      <c r="S17" s="4" t="str">
        <f aca="false">IF(AND(O17&gt;=3,O17&lt;=5),"Hot Dry (Mar-May)",IF(AND(O17&gt;=6,O17&lt;=11),"Rainy (Jun-Nov)","Cool Dry (Dec-Feb)"))</f>
        <v>Cool Dry (Dec-Feb)</v>
      </c>
      <c r="T17" s="4" t="str">
        <f aca="false">CHOOSE(O17,"Jan","Feb","Mar","Apr","May","Jun","Jul","Aug","Sep","Oct","Nov","Dec")</f>
        <v>Jan</v>
      </c>
    </row>
    <row r="18" customFormat="false" ht="15" hidden="false" customHeight="false" outlineLevel="0" collapsed="false">
      <c r="A18" s="4" t="s">
        <v>113</v>
      </c>
      <c r="B18" s="17" t="n">
        <v>45663</v>
      </c>
      <c r="C18" s="4" t="n">
        <v>16</v>
      </c>
      <c r="D18" s="4" t="s">
        <v>64</v>
      </c>
      <c r="E18" s="4" t="s">
        <v>84</v>
      </c>
      <c r="F18" s="4" t="s">
        <v>114</v>
      </c>
      <c r="G18" s="4" t="n">
        <v>1</v>
      </c>
      <c r="H18" s="34" t="n">
        <v>85</v>
      </c>
      <c r="I18" s="18" t="n">
        <v>0.15</v>
      </c>
      <c r="J18" s="4" t="s">
        <v>76</v>
      </c>
      <c r="K18" s="4" t="s">
        <v>68</v>
      </c>
      <c r="L18" s="35" t="n">
        <f aca="false">G18*H18</f>
        <v>85</v>
      </c>
      <c r="M18" s="35" t="n">
        <f aca="false">L18*I18</f>
        <v>12.75</v>
      </c>
      <c r="N18" s="35" t="n">
        <f aca="false">L18-M18</f>
        <v>72.25</v>
      </c>
      <c r="O18" s="4" t="n">
        <f aca="false">MONTH(B18)</f>
        <v>1</v>
      </c>
      <c r="P18" s="4" t="str">
        <f aca="false">CHOOSE(WEEKDAY(B18,2),"Mon","Tue","Wed","Thu","Fri","Sat","Sun")</f>
        <v>Mon</v>
      </c>
      <c r="Q18" s="4" t="str">
        <f aca="false">IF(WEEKDAY(B18,2)&gt;5,"Weekend","Weekday")</f>
        <v>Weekday</v>
      </c>
      <c r="R18" s="4" t="str">
        <f aca="false">IF(C18&lt;11,"Morning (7-10)",IF(C18&lt;14,"Lunch (11-13)",IF(C18&lt;18,"Afternoon (14-17)","Evening (18-20)")))</f>
        <v>Afternoon (14-17)</v>
      </c>
      <c r="S18" s="4" t="str">
        <f aca="false">IF(AND(O18&gt;=3,O18&lt;=5),"Hot Dry (Mar-May)",IF(AND(O18&gt;=6,O18&lt;=11),"Rainy (Jun-Nov)","Cool Dry (Dec-Feb)"))</f>
        <v>Cool Dry (Dec-Feb)</v>
      </c>
      <c r="T18" s="4" t="str">
        <f aca="false">CHOOSE(O18,"Jan","Feb","Mar","Apr","May","Jun","Jul","Aug","Sep","Oct","Nov","Dec")</f>
        <v>Jan</v>
      </c>
    </row>
    <row r="19" customFormat="false" ht="15" hidden="false" customHeight="false" outlineLevel="0" collapsed="false">
      <c r="A19" s="4" t="s">
        <v>115</v>
      </c>
      <c r="B19" s="17" t="n">
        <v>45663</v>
      </c>
      <c r="C19" s="4" t="n">
        <v>17</v>
      </c>
      <c r="D19" s="4" t="s">
        <v>64</v>
      </c>
      <c r="E19" s="4" t="s">
        <v>79</v>
      </c>
      <c r="F19" s="4" t="s">
        <v>80</v>
      </c>
      <c r="G19" s="4" t="n">
        <v>4</v>
      </c>
      <c r="H19" s="34" t="n">
        <v>160</v>
      </c>
      <c r="I19" s="18" t="n">
        <v>0</v>
      </c>
      <c r="J19" s="4" t="s">
        <v>81</v>
      </c>
      <c r="K19" s="4" t="s">
        <v>68</v>
      </c>
      <c r="L19" s="35" t="n">
        <f aca="false">G19*H19</f>
        <v>640</v>
      </c>
      <c r="M19" s="35" t="n">
        <f aca="false">L19*I19</f>
        <v>0</v>
      </c>
      <c r="N19" s="35" t="n">
        <f aca="false">L19-M19</f>
        <v>640</v>
      </c>
      <c r="O19" s="4" t="n">
        <f aca="false">MONTH(B19)</f>
        <v>1</v>
      </c>
      <c r="P19" s="4" t="str">
        <f aca="false">CHOOSE(WEEKDAY(B19,2),"Mon","Tue","Wed","Thu","Fri","Sat","Sun")</f>
        <v>Mon</v>
      </c>
      <c r="Q19" s="4" t="str">
        <f aca="false">IF(WEEKDAY(B19,2)&gt;5,"Weekend","Weekday")</f>
        <v>Weekday</v>
      </c>
      <c r="R19" s="4" t="str">
        <f aca="false">IF(C19&lt;11,"Morning (7-10)",IF(C19&lt;14,"Lunch (11-13)",IF(C19&lt;18,"Afternoon (14-17)","Evening (18-20)")))</f>
        <v>Afternoon (14-17)</v>
      </c>
      <c r="S19" s="4" t="str">
        <f aca="false">IF(AND(O19&gt;=3,O19&lt;=5),"Hot Dry (Mar-May)",IF(AND(O19&gt;=6,O19&lt;=11),"Rainy (Jun-Nov)","Cool Dry (Dec-Feb)"))</f>
        <v>Cool Dry (Dec-Feb)</v>
      </c>
      <c r="T19" s="4" t="str">
        <f aca="false">CHOOSE(O19,"Jan","Feb","Mar","Apr","May","Jun","Jul","Aug","Sep","Oct","Nov","Dec")</f>
        <v>Jan</v>
      </c>
    </row>
    <row r="20" customFormat="false" ht="15" hidden="false" customHeight="false" outlineLevel="0" collapsed="false">
      <c r="A20" s="4" t="s">
        <v>116</v>
      </c>
      <c r="B20" s="17" t="n">
        <v>45664</v>
      </c>
      <c r="C20" s="4" t="n">
        <v>7</v>
      </c>
      <c r="D20" s="4" t="s">
        <v>98</v>
      </c>
      <c r="E20" s="4" t="s">
        <v>84</v>
      </c>
      <c r="F20" s="4" t="s">
        <v>117</v>
      </c>
      <c r="G20" s="4" t="n">
        <v>1</v>
      </c>
      <c r="H20" s="34" t="n">
        <v>95</v>
      </c>
      <c r="I20" s="18" t="n">
        <v>0</v>
      </c>
      <c r="J20" s="4" t="s">
        <v>76</v>
      </c>
      <c r="K20" s="4" t="s">
        <v>68</v>
      </c>
      <c r="L20" s="35" t="n">
        <f aca="false">G20*H20</f>
        <v>95</v>
      </c>
      <c r="M20" s="35" t="n">
        <f aca="false">L20*I20</f>
        <v>0</v>
      </c>
      <c r="N20" s="35" t="n">
        <f aca="false">L20-M20</f>
        <v>95</v>
      </c>
      <c r="O20" s="4" t="n">
        <f aca="false">MONTH(B20)</f>
        <v>1</v>
      </c>
      <c r="P20" s="4" t="str">
        <f aca="false">CHOOSE(WEEKDAY(B20,2),"Mon","Tue","Wed","Thu","Fri","Sat","Sun")</f>
        <v>Tue</v>
      </c>
      <c r="Q20" s="4" t="str">
        <f aca="false">IF(WEEKDAY(B20,2)&gt;5,"Weekend","Weekday")</f>
        <v>Weekday</v>
      </c>
      <c r="R20" s="4" t="str">
        <f aca="false">IF(C20&lt;11,"Morning (7-10)",IF(C20&lt;14,"Lunch (11-13)",IF(C20&lt;18,"Afternoon (14-17)","Evening (18-20)")))</f>
        <v>Morning (7-10)</v>
      </c>
      <c r="S20" s="4" t="str">
        <f aca="false">IF(AND(O20&gt;=3,O20&lt;=5),"Hot Dry (Mar-May)",IF(AND(O20&gt;=6,O20&lt;=11),"Rainy (Jun-Nov)","Cool Dry (Dec-Feb)"))</f>
        <v>Cool Dry (Dec-Feb)</v>
      </c>
      <c r="T20" s="4" t="str">
        <f aca="false">CHOOSE(O20,"Jan","Feb","Mar","Apr","May","Jun","Jul","Aug","Sep","Oct","Nov","Dec")</f>
        <v>Jan</v>
      </c>
    </row>
    <row r="21" customFormat="false" ht="15" hidden="false" customHeight="false" outlineLevel="0" collapsed="false">
      <c r="A21" s="4" t="s">
        <v>118</v>
      </c>
      <c r="B21" s="17" t="n">
        <v>45664</v>
      </c>
      <c r="C21" s="4" t="n">
        <v>9</v>
      </c>
      <c r="D21" s="4" t="s">
        <v>64</v>
      </c>
      <c r="E21" s="4" t="s">
        <v>84</v>
      </c>
      <c r="F21" s="4" t="s">
        <v>117</v>
      </c>
      <c r="G21" s="4" t="n">
        <v>1</v>
      </c>
      <c r="H21" s="34" t="n">
        <v>95</v>
      </c>
      <c r="I21" s="18" t="n">
        <v>0.05</v>
      </c>
      <c r="J21" s="4" t="s">
        <v>67</v>
      </c>
      <c r="K21" s="4" t="s">
        <v>82</v>
      </c>
      <c r="L21" s="35" t="n">
        <f aca="false">G21*H21</f>
        <v>95</v>
      </c>
      <c r="M21" s="35" t="n">
        <f aca="false">L21*I21</f>
        <v>4.75</v>
      </c>
      <c r="N21" s="35" t="n">
        <f aca="false">L21-M21</f>
        <v>90.25</v>
      </c>
      <c r="O21" s="4" t="n">
        <f aca="false">MONTH(B21)</f>
        <v>1</v>
      </c>
      <c r="P21" s="4" t="str">
        <f aca="false">CHOOSE(WEEKDAY(B21,2),"Mon","Tue","Wed","Thu","Fri","Sat","Sun")</f>
        <v>Tue</v>
      </c>
      <c r="Q21" s="4" t="str">
        <f aca="false">IF(WEEKDAY(B21,2)&gt;5,"Weekend","Weekday")</f>
        <v>Weekday</v>
      </c>
      <c r="R21" s="4" t="str">
        <f aca="false">IF(C21&lt;11,"Morning (7-10)",IF(C21&lt;14,"Lunch (11-13)",IF(C21&lt;18,"Afternoon (14-17)","Evening (18-20)")))</f>
        <v>Morning (7-10)</v>
      </c>
      <c r="S21" s="4" t="str">
        <f aca="false">IF(AND(O21&gt;=3,O21&lt;=5),"Hot Dry (Mar-May)",IF(AND(O21&gt;=6,O21&lt;=11),"Rainy (Jun-Nov)","Cool Dry (Dec-Feb)"))</f>
        <v>Cool Dry (Dec-Feb)</v>
      </c>
      <c r="T21" s="4" t="str">
        <f aca="false">CHOOSE(O21,"Jan","Feb","Mar","Apr","May","Jun","Jul","Aug","Sep","Oct","Nov","Dec")</f>
        <v>Jan</v>
      </c>
    </row>
    <row r="22" customFormat="false" ht="15" hidden="false" customHeight="false" outlineLevel="0" collapsed="false">
      <c r="A22" s="4" t="s">
        <v>120</v>
      </c>
      <c r="B22" s="17" t="n">
        <v>45664</v>
      </c>
      <c r="C22" s="4" t="n">
        <v>14</v>
      </c>
      <c r="D22" s="4" t="s">
        <v>64</v>
      </c>
      <c r="E22" s="4" t="s">
        <v>65</v>
      </c>
      <c r="F22" s="4" t="s">
        <v>121</v>
      </c>
      <c r="G22" s="4" t="n">
        <v>1</v>
      </c>
      <c r="H22" s="34" t="n">
        <v>170</v>
      </c>
      <c r="I22" s="18" t="n">
        <v>0.1</v>
      </c>
      <c r="J22" s="4" t="s">
        <v>88</v>
      </c>
      <c r="K22" s="4" t="s">
        <v>71</v>
      </c>
      <c r="L22" s="35" t="n">
        <f aca="false">G22*H22</f>
        <v>170</v>
      </c>
      <c r="M22" s="35" t="n">
        <f aca="false">L22*I22</f>
        <v>17</v>
      </c>
      <c r="N22" s="35" t="n">
        <f aca="false">L22-M22</f>
        <v>153</v>
      </c>
      <c r="O22" s="4" t="n">
        <f aca="false">MONTH(B22)</f>
        <v>1</v>
      </c>
      <c r="P22" s="4" t="str">
        <f aca="false">CHOOSE(WEEKDAY(B22,2),"Mon","Tue","Wed","Thu","Fri","Sat","Sun")</f>
        <v>Tue</v>
      </c>
      <c r="Q22" s="4" t="str">
        <f aca="false">IF(WEEKDAY(B22,2)&gt;5,"Weekend","Weekday")</f>
        <v>Weekday</v>
      </c>
      <c r="R22" s="4" t="str">
        <f aca="false">IF(C22&lt;11,"Morning (7-10)",IF(C22&lt;14,"Lunch (11-13)",IF(C22&lt;18,"Afternoon (14-17)","Evening (18-20)")))</f>
        <v>Afternoon (14-17)</v>
      </c>
      <c r="S22" s="4" t="str">
        <f aca="false">IF(AND(O22&gt;=3,O22&lt;=5),"Hot Dry (Mar-May)",IF(AND(O22&gt;=6,O22&lt;=11),"Rainy (Jun-Nov)","Cool Dry (Dec-Feb)"))</f>
        <v>Cool Dry (Dec-Feb)</v>
      </c>
      <c r="T22" s="4" t="str">
        <f aca="false">CHOOSE(O22,"Jan","Feb","Mar","Apr","May","Jun","Jul","Aug","Sep","Oct","Nov","Dec")</f>
        <v>Jan</v>
      </c>
    </row>
    <row r="23" customFormat="false" ht="15" hidden="false" customHeight="false" outlineLevel="0" collapsed="false">
      <c r="A23" s="4" t="s">
        <v>122</v>
      </c>
      <c r="B23" s="17" t="n">
        <v>45665</v>
      </c>
      <c r="C23" s="4" t="n">
        <v>8</v>
      </c>
      <c r="D23" s="4" t="s">
        <v>98</v>
      </c>
      <c r="E23" s="4" t="s">
        <v>65</v>
      </c>
      <c r="F23" s="4" t="s">
        <v>94</v>
      </c>
      <c r="G23" s="4" t="n">
        <v>3</v>
      </c>
      <c r="H23" s="34" t="n">
        <v>150</v>
      </c>
      <c r="I23" s="18" t="n">
        <v>0.1</v>
      </c>
      <c r="J23" s="4" t="s">
        <v>67</v>
      </c>
      <c r="K23" s="4" t="s">
        <v>71</v>
      </c>
      <c r="L23" s="35" t="n">
        <f aca="false">G23*H23</f>
        <v>450</v>
      </c>
      <c r="M23" s="35" t="n">
        <f aca="false">L23*I23</f>
        <v>45</v>
      </c>
      <c r="N23" s="35" t="n">
        <f aca="false">L23-M23</f>
        <v>405</v>
      </c>
      <c r="O23" s="4" t="n">
        <f aca="false">MONTH(B23)</f>
        <v>1</v>
      </c>
      <c r="P23" s="4" t="str">
        <f aca="false">CHOOSE(WEEKDAY(B23,2),"Mon","Tue","Wed","Thu","Fri","Sat","Sun")</f>
        <v>Wed</v>
      </c>
      <c r="Q23" s="4" t="str">
        <f aca="false">IF(WEEKDAY(B23,2)&gt;5,"Weekend","Weekday")</f>
        <v>Weekday</v>
      </c>
      <c r="R23" s="4" t="str">
        <f aca="false">IF(C23&lt;11,"Morning (7-10)",IF(C23&lt;14,"Lunch (11-13)",IF(C23&lt;18,"Afternoon (14-17)","Evening (18-20)")))</f>
        <v>Morning (7-10)</v>
      </c>
      <c r="S23" s="4" t="str">
        <f aca="false">IF(AND(O23&gt;=3,O23&lt;=5),"Hot Dry (Mar-May)",IF(AND(O23&gt;=6,O23&lt;=11),"Rainy (Jun-Nov)","Cool Dry (Dec-Feb)"))</f>
        <v>Cool Dry (Dec-Feb)</v>
      </c>
      <c r="T23" s="4" t="str">
        <f aca="false">CHOOSE(O23,"Jan","Feb","Mar","Apr","May","Jun","Jul","Aug","Sep","Oct","Nov","Dec")</f>
        <v>Jan</v>
      </c>
    </row>
    <row r="24" customFormat="false" ht="15" hidden="false" customHeight="false" outlineLevel="0" collapsed="false">
      <c r="A24" s="4" t="s">
        <v>125</v>
      </c>
      <c r="B24" s="17" t="n">
        <v>45665</v>
      </c>
      <c r="C24" s="4" t="n">
        <v>11</v>
      </c>
      <c r="D24" s="4" t="s">
        <v>70</v>
      </c>
      <c r="E24" s="4" t="s">
        <v>99</v>
      </c>
      <c r="F24" s="4" t="s">
        <v>102</v>
      </c>
      <c r="G24" s="4" t="n">
        <v>4</v>
      </c>
      <c r="H24" s="34" t="n">
        <v>140</v>
      </c>
      <c r="I24" s="18" t="n">
        <v>0.15</v>
      </c>
      <c r="J24" s="4" t="s">
        <v>2289</v>
      </c>
      <c r="K24" s="4" t="s">
        <v>77</v>
      </c>
      <c r="L24" s="35" t="n">
        <f aca="false">G24*H24</f>
        <v>560</v>
      </c>
      <c r="M24" s="35" t="n">
        <f aca="false">L24*I24</f>
        <v>84</v>
      </c>
      <c r="N24" s="35" t="n">
        <f aca="false">L24-M24</f>
        <v>476</v>
      </c>
      <c r="O24" s="4" t="n">
        <f aca="false">MONTH(B24)</f>
        <v>1</v>
      </c>
      <c r="P24" s="4" t="str">
        <f aca="false">CHOOSE(WEEKDAY(B24,2),"Mon","Tue","Wed","Thu","Fri","Sat","Sun")</f>
        <v>Wed</v>
      </c>
      <c r="Q24" s="4" t="str">
        <f aca="false">IF(WEEKDAY(B24,2)&gt;5,"Weekend","Weekday")</f>
        <v>Weekday</v>
      </c>
      <c r="R24" s="4" t="str">
        <f aca="false">IF(C24&lt;11,"Morning (7-10)",IF(C24&lt;14,"Lunch (11-13)",IF(C24&lt;18,"Afternoon (14-17)","Evening (18-20)")))</f>
        <v>Lunch (11-13)</v>
      </c>
      <c r="S24" s="4" t="str">
        <f aca="false">IF(AND(O24&gt;=3,O24&lt;=5),"Hot Dry (Mar-May)",IF(AND(O24&gt;=6,O24&lt;=11),"Rainy (Jun-Nov)","Cool Dry (Dec-Feb)"))</f>
        <v>Cool Dry (Dec-Feb)</v>
      </c>
      <c r="T24" s="4" t="str">
        <f aca="false">CHOOSE(O24,"Jan","Feb","Mar","Apr","May","Jun","Jul","Aug","Sep","Oct","Nov","Dec")</f>
        <v>Jan</v>
      </c>
    </row>
    <row r="25" customFormat="false" ht="15" hidden="false" customHeight="false" outlineLevel="0" collapsed="false">
      <c r="A25" s="4" t="s">
        <v>126</v>
      </c>
      <c r="B25" s="17" t="n">
        <v>45665</v>
      </c>
      <c r="C25" s="4" t="n">
        <v>12</v>
      </c>
      <c r="D25" s="4" t="s">
        <v>64</v>
      </c>
      <c r="E25" s="4" t="s">
        <v>99</v>
      </c>
      <c r="F25" s="4" t="s">
        <v>100</v>
      </c>
      <c r="G25" s="4" t="n">
        <v>2</v>
      </c>
      <c r="H25" s="34" t="n">
        <v>110</v>
      </c>
      <c r="I25" s="18" t="n">
        <v>0</v>
      </c>
      <c r="J25" s="4" t="s">
        <v>76</v>
      </c>
      <c r="K25" s="4" t="s">
        <v>77</v>
      </c>
      <c r="L25" s="35" t="n">
        <f aca="false">G25*H25</f>
        <v>220</v>
      </c>
      <c r="M25" s="35" t="n">
        <f aca="false">L25*I25</f>
        <v>0</v>
      </c>
      <c r="N25" s="35" t="n">
        <f aca="false">L25-M25</f>
        <v>220</v>
      </c>
      <c r="O25" s="4" t="n">
        <f aca="false">MONTH(B25)</f>
        <v>1</v>
      </c>
      <c r="P25" s="4" t="str">
        <f aca="false">CHOOSE(WEEKDAY(B25,2),"Mon","Tue","Wed","Thu","Fri","Sat","Sun")</f>
        <v>Wed</v>
      </c>
      <c r="Q25" s="4" t="str">
        <f aca="false">IF(WEEKDAY(B25,2)&gt;5,"Weekend","Weekday")</f>
        <v>Weekday</v>
      </c>
      <c r="R25" s="4" t="str">
        <f aca="false">IF(C25&lt;11,"Morning (7-10)",IF(C25&lt;14,"Lunch (11-13)",IF(C25&lt;18,"Afternoon (14-17)","Evening (18-20)")))</f>
        <v>Lunch (11-13)</v>
      </c>
      <c r="S25" s="4" t="str">
        <f aca="false">IF(AND(O25&gt;=3,O25&lt;=5),"Hot Dry (Mar-May)",IF(AND(O25&gt;=6,O25&lt;=11),"Rainy (Jun-Nov)","Cool Dry (Dec-Feb)"))</f>
        <v>Cool Dry (Dec-Feb)</v>
      </c>
      <c r="T25" s="4" t="str">
        <f aca="false">CHOOSE(O25,"Jan","Feb","Mar","Apr","May","Jun","Jul","Aug","Sep","Oct","Nov","Dec")</f>
        <v>Jan</v>
      </c>
    </row>
    <row r="26" customFormat="false" ht="15" hidden="false" customHeight="false" outlineLevel="0" collapsed="false">
      <c r="A26" s="4" t="s">
        <v>128</v>
      </c>
      <c r="B26" s="17" t="n">
        <v>45665</v>
      </c>
      <c r="C26" s="4" t="n">
        <v>12</v>
      </c>
      <c r="D26" s="4" t="s">
        <v>70</v>
      </c>
      <c r="E26" s="4" t="s">
        <v>84</v>
      </c>
      <c r="F26" s="4" t="s">
        <v>106</v>
      </c>
      <c r="G26" s="4" t="n">
        <v>1</v>
      </c>
      <c r="H26" s="34" t="n">
        <v>60</v>
      </c>
      <c r="I26" s="18" t="n">
        <v>0</v>
      </c>
      <c r="J26" s="4" t="s">
        <v>88</v>
      </c>
      <c r="K26" s="4" t="s">
        <v>68</v>
      </c>
      <c r="L26" s="35" t="n">
        <f aca="false">G26*H26</f>
        <v>60</v>
      </c>
      <c r="M26" s="35" t="n">
        <f aca="false">L26*I26</f>
        <v>0</v>
      </c>
      <c r="N26" s="35" t="n">
        <f aca="false">L26-M26</f>
        <v>60</v>
      </c>
      <c r="O26" s="4" t="n">
        <f aca="false">MONTH(B26)</f>
        <v>1</v>
      </c>
      <c r="P26" s="4" t="str">
        <f aca="false">CHOOSE(WEEKDAY(B26,2),"Mon","Tue","Wed","Thu","Fri","Sat","Sun")</f>
        <v>Wed</v>
      </c>
      <c r="Q26" s="4" t="str">
        <f aca="false">IF(WEEKDAY(B26,2)&gt;5,"Weekend","Weekday")</f>
        <v>Weekday</v>
      </c>
      <c r="R26" s="4" t="str">
        <f aca="false">IF(C26&lt;11,"Morning (7-10)",IF(C26&lt;14,"Lunch (11-13)",IF(C26&lt;18,"Afternoon (14-17)","Evening (18-20)")))</f>
        <v>Lunch (11-13)</v>
      </c>
      <c r="S26" s="4" t="str">
        <f aca="false">IF(AND(O26&gt;=3,O26&lt;=5),"Hot Dry (Mar-May)",IF(AND(O26&gt;=6,O26&lt;=11),"Rainy (Jun-Nov)","Cool Dry (Dec-Feb)"))</f>
        <v>Cool Dry (Dec-Feb)</v>
      </c>
      <c r="T26" s="4" t="str">
        <f aca="false">CHOOSE(O26,"Jan","Feb","Mar","Apr","May","Jun","Jul","Aug","Sep","Oct","Nov","Dec")</f>
        <v>Jan</v>
      </c>
    </row>
    <row r="27" customFormat="false" ht="15" hidden="false" customHeight="false" outlineLevel="0" collapsed="false">
      <c r="A27" s="4" t="s">
        <v>129</v>
      </c>
      <c r="B27" s="17" t="n">
        <v>45665</v>
      </c>
      <c r="C27" s="4" t="n">
        <v>16</v>
      </c>
      <c r="D27" s="4" t="s">
        <v>70</v>
      </c>
      <c r="E27" s="4" t="s">
        <v>84</v>
      </c>
      <c r="F27" s="4" t="s">
        <v>106</v>
      </c>
      <c r="G27" s="4" t="n">
        <v>2</v>
      </c>
      <c r="H27" s="34" t="n">
        <v>60</v>
      </c>
      <c r="I27" s="18" t="n">
        <v>0</v>
      </c>
      <c r="J27" s="4" t="s">
        <v>112</v>
      </c>
      <c r="K27" s="4" t="s">
        <v>2289</v>
      </c>
      <c r="L27" s="35" t="n">
        <f aca="false">G27*H27</f>
        <v>120</v>
      </c>
      <c r="M27" s="35" t="n">
        <f aca="false">L27*I27</f>
        <v>0</v>
      </c>
      <c r="N27" s="35" t="n">
        <f aca="false">L27-M27</f>
        <v>120</v>
      </c>
      <c r="O27" s="4" t="n">
        <f aca="false">MONTH(B27)</f>
        <v>1</v>
      </c>
      <c r="P27" s="4" t="str">
        <f aca="false">CHOOSE(WEEKDAY(B27,2),"Mon","Tue","Wed","Thu","Fri","Sat","Sun")</f>
        <v>Wed</v>
      </c>
      <c r="Q27" s="4" t="str">
        <f aca="false">IF(WEEKDAY(B27,2)&gt;5,"Weekend","Weekday")</f>
        <v>Weekday</v>
      </c>
      <c r="R27" s="4" t="str">
        <f aca="false">IF(C27&lt;11,"Morning (7-10)",IF(C27&lt;14,"Lunch (11-13)",IF(C27&lt;18,"Afternoon (14-17)","Evening (18-20)")))</f>
        <v>Afternoon (14-17)</v>
      </c>
      <c r="S27" s="4" t="str">
        <f aca="false">IF(AND(O27&gt;=3,O27&lt;=5),"Hot Dry (Mar-May)",IF(AND(O27&gt;=6,O27&lt;=11),"Rainy (Jun-Nov)","Cool Dry (Dec-Feb)"))</f>
        <v>Cool Dry (Dec-Feb)</v>
      </c>
      <c r="T27" s="4" t="str">
        <f aca="false">CHOOSE(O27,"Jan","Feb","Mar","Apr","May","Jun","Jul","Aug","Sep","Oct","Nov","Dec")</f>
        <v>Jan</v>
      </c>
    </row>
    <row r="28" customFormat="false" ht="15" hidden="false" customHeight="false" outlineLevel="0" collapsed="false">
      <c r="A28" s="4" t="s">
        <v>130</v>
      </c>
      <c r="B28" s="17" t="n">
        <v>45665</v>
      </c>
      <c r="C28" s="4" t="n">
        <v>16</v>
      </c>
      <c r="D28" s="4" t="s">
        <v>64</v>
      </c>
      <c r="E28" s="4" t="s">
        <v>79</v>
      </c>
      <c r="F28" s="4" t="s">
        <v>80</v>
      </c>
      <c r="G28" s="4" t="n">
        <v>3</v>
      </c>
      <c r="H28" s="34" t="n">
        <v>160</v>
      </c>
      <c r="I28" s="18" t="n">
        <v>0</v>
      </c>
      <c r="J28" s="4" t="s">
        <v>67</v>
      </c>
      <c r="K28" s="4" t="s">
        <v>77</v>
      </c>
      <c r="L28" s="35" t="n">
        <f aca="false">G28*H28</f>
        <v>480</v>
      </c>
      <c r="M28" s="35" t="n">
        <f aca="false">L28*I28</f>
        <v>0</v>
      </c>
      <c r="N28" s="35" t="n">
        <f aca="false">L28-M28</f>
        <v>480</v>
      </c>
      <c r="O28" s="4" t="n">
        <f aca="false">MONTH(B28)</f>
        <v>1</v>
      </c>
      <c r="P28" s="4" t="str">
        <f aca="false">CHOOSE(WEEKDAY(B28,2),"Mon","Tue","Wed","Thu","Fri","Sat","Sun")</f>
        <v>Wed</v>
      </c>
      <c r="Q28" s="4" t="str">
        <f aca="false">IF(WEEKDAY(B28,2)&gt;5,"Weekend","Weekday")</f>
        <v>Weekday</v>
      </c>
      <c r="R28" s="4" t="str">
        <f aca="false">IF(C28&lt;11,"Morning (7-10)",IF(C28&lt;14,"Lunch (11-13)",IF(C28&lt;18,"Afternoon (14-17)","Evening (18-20)")))</f>
        <v>Afternoon (14-17)</v>
      </c>
      <c r="S28" s="4" t="str">
        <f aca="false">IF(AND(O28&gt;=3,O28&lt;=5),"Hot Dry (Mar-May)",IF(AND(O28&gt;=6,O28&lt;=11),"Rainy (Jun-Nov)","Cool Dry (Dec-Feb)"))</f>
        <v>Cool Dry (Dec-Feb)</v>
      </c>
      <c r="T28" s="4" t="str">
        <f aca="false">CHOOSE(O28,"Jan","Feb","Mar","Apr","May","Jun","Jul","Aug","Sep","Oct","Nov","Dec")</f>
        <v>Jan</v>
      </c>
    </row>
    <row r="29" customFormat="false" ht="15" hidden="false" customHeight="false" outlineLevel="0" collapsed="false">
      <c r="A29" s="4" t="s">
        <v>131</v>
      </c>
      <c r="B29" s="17" t="n">
        <v>45665</v>
      </c>
      <c r="C29" s="4" t="n">
        <v>19</v>
      </c>
      <c r="D29" s="4" t="s">
        <v>73</v>
      </c>
      <c r="E29" s="4" t="s">
        <v>65</v>
      </c>
      <c r="F29" s="4" t="s">
        <v>94</v>
      </c>
      <c r="G29" s="4" t="n">
        <v>4</v>
      </c>
      <c r="H29" s="34" t="n">
        <v>150</v>
      </c>
      <c r="I29" s="18" t="n">
        <v>0.1</v>
      </c>
      <c r="J29" s="4" t="s">
        <v>81</v>
      </c>
      <c r="K29" s="4" t="s">
        <v>77</v>
      </c>
      <c r="L29" s="35" t="n">
        <f aca="false">G29*H29</f>
        <v>600</v>
      </c>
      <c r="M29" s="35" t="n">
        <f aca="false">L29*I29</f>
        <v>60</v>
      </c>
      <c r="N29" s="35" t="n">
        <f aca="false">L29-M29</f>
        <v>540</v>
      </c>
      <c r="O29" s="4" t="n">
        <f aca="false">MONTH(B29)</f>
        <v>1</v>
      </c>
      <c r="P29" s="4" t="str">
        <f aca="false">CHOOSE(WEEKDAY(B29,2),"Mon","Tue","Wed","Thu","Fri","Sat","Sun")</f>
        <v>Wed</v>
      </c>
      <c r="Q29" s="4" t="str">
        <f aca="false">IF(WEEKDAY(B29,2)&gt;5,"Weekend","Weekday")</f>
        <v>Weekday</v>
      </c>
      <c r="R29" s="4" t="str">
        <f aca="false">IF(C29&lt;11,"Morning (7-10)",IF(C29&lt;14,"Lunch (11-13)",IF(C29&lt;18,"Afternoon (14-17)","Evening (18-20)")))</f>
        <v>Evening (18-20)</v>
      </c>
      <c r="S29" s="4" t="str">
        <f aca="false">IF(AND(O29&gt;=3,O29&lt;=5),"Hot Dry (Mar-May)",IF(AND(O29&gt;=6,O29&lt;=11),"Rainy (Jun-Nov)","Cool Dry (Dec-Feb)"))</f>
        <v>Cool Dry (Dec-Feb)</v>
      </c>
      <c r="T29" s="4" t="str">
        <f aca="false">CHOOSE(O29,"Jan","Feb","Mar","Apr","May","Jun","Jul","Aug","Sep","Oct","Nov","Dec")</f>
        <v>Jan</v>
      </c>
    </row>
    <row r="30" customFormat="false" ht="15" hidden="false" customHeight="false" outlineLevel="0" collapsed="false">
      <c r="A30" s="4" t="s">
        <v>132</v>
      </c>
      <c r="B30" s="17" t="n">
        <v>45666</v>
      </c>
      <c r="C30" s="4" t="n">
        <v>9</v>
      </c>
      <c r="D30" s="4" t="s">
        <v>73</v>
      </c>
      <c r="E30" s="4" t="s">
        <v>99</v>
      </c>
      <c r="F30" s="4" t="s">
        <v>133</v>
      </c>
      <c r="G30" s="4" t="n">
        <v>3</v>
      </c>
      <c r="H30" s="34" t="n">
        <v>90</v>
      </c>
      <c r="I30" s="18" t="n">
        <v>0</v>
      </c>
      <c r="J30" s="4" t="s">
        <v>81</v>
      </c>
      <c r="K30" s="4" t="s">
        <v>68</v>
      </c>
      <c r="L30" s="35" t="n">
        <f aca="false">G30*H30</f>
        <v>270</v>
      </c>
      <c r="M30" s="35" t="n">
        <f aca="false">L30*I30</f>
        <v>0</v>
      </c>
      <c r="N30" s="35" t="n">
        <f aca="false">L30-M30</f>
        <v>270</v>
      </c>
      <c r="O30" s="4" t="n">
        <f aca="false">MONTH(B30)</f>
        <v>1</v>
      </c>
      <c r="P30" s="4" t="str">
        <f aca="false">CHOOSE(WEEKDAY(B30,2),"Mon","Tue","Wed","Thu","Fri","Sat","Sun")</f>
        <v>Thu</v>
      </c>
      <c r="Q30" s="4" t="str">
        <f aca="false">IF(WEEKDAY(B30,2)&gt;5,"Weekend","Weekday")</f>
        <v>Weekday</v>
      </c>
      <c r="R30" s="4" t="str">
        <f aca="false">IF(C30&lt;11,"Morning (7-10)",IF(C30&lt;14,"Lunch (11-13)",IF(C30&lt;18,"Afternoon (14-17)","Evening (18-20)")))</f>
        <v>Morning (7-10)</v>
      </c>
      <c r="S30" s="4" t="str">
        <f aca="false">IF(AND(O30&gt;=3,O30&lt;=5),"Hot Dry (Mar-May)",IF(AND(O30&gt;=6,O30&lt;=11),"Rainy (Jun-Nov)","Cool Dry (Dec-Feb)"))</f>
        <v>Cool Dry (Dec-Feb)</v>
      </c>
      <c r="T30" s="4" t="str">
        <f aca="false">CHOOSE(O30,"Jan","Feb","Mar","Apr","May","Jun","Jul","Aug","Sep","Oct","Nov","Dec")</f>
        <v>Jan</v>
      </c>
    </row>
    <row r="31" customFormat="false" ht="15" hidden="false" customHeight="false" outlineLevel="0" collapsed="false">
      <c r="A31" s="4" t="s">
        <v>134</v>
      </c>
      <c r="B31" s="17" t="n">
        <v>45666</v>
      </c>
      <c r="C31" s="4" t="n">
        <v>10</v>
      </c>
      <c r="D31" s="4" t="s">
        <v>64</v>
      </c>
      <c r="E31" s="4" t="s">
        <v>79</v>
      </c>
      <c r="F31" s="4" t="s">
        <v>135</v>
      </c>
      <c r="G31" s="4" t="n">
        <v>4</v>
      </c>
      <c r="H31" s="34" t="n">
        <v>130</v>
      </c>
      <c r="I31" s="18" t="n">
        <v>0.05</v>
      </c>
      <c r="J31" s="4" t="s">
        <v>88</v>
      </c>
      <c r="K31" s="4" t="s">
        <v>82</v>
      </c>
      <c r="L31" s="35" t="n">
        <f aca="false">G31*H31</f>
        <v>520</v>
      </c>
      <c r="M31" s="35" t="n">
        <f aca="false">L31*I31</f>
        <v>26</v>
      </c>
      <c r="N31" s="35" t="n">
        <f aca="false">L31-M31</f>
        <v>494</v>
      </c>
      <c r="O31" s="4" t="n">
        <f aca="false">MONTH(B31)</f>
        <v>1</v>
      </c>
      <c r="P31" s="4" t="str">
        <f aca="false">CHOOSE(WEEKDAY(B31,2),"Mon","Tue","Wed","Thu","Fri","Sat","Sun")</f>
        <v>Thu</v>
      </c>
      <c r="Q31" s="4" t="str">
        <f aca="false">IF(WEEKDAY(B31,2)&gt;5,"Weekend","Weekday")</f>
        <v>Weekday</v>
      </c>
      <c r="R31" s="4" t="str">
        <f aca="false">IF(C31&lt;11,"Morning (7-10)",IF(C31&lt;14,"Lunch (11-13)",IF(C31&lt;18,"Afternoon (14-17)","Evening (18-20)")))</f>
        <v>Morning (7-10)</v>
      </c>
      <c r="S31" s="4" t="str">
        <f aca="false">IF(AND(O31&gt;=3,O31&lt;=5),"Hot Dry (Mar-May)",IF(AND(O31&gt;=6,O31&lt;=11),"Rainy (Jun-Nov)","Cool Dry (Dec-Feb)"))</f>
        <v>Cool Dry (Dec-Feb)</v>
      </c>
      <c r="T31" s="4" t="str">
        <f aca="false">CHOOSE(O31,"Jan","Feb","Mar","Apr","May","Jun","Jul","Aug","Sep","Oct","Nov","Dec")</f>
        <v>Jan</v>
      </c>
    </row>
    <row r="32" customFormat="false" ht="15" hidden="false" customHeight="false" outlineLevel="0" collapsed="false">
      <c r="A32" s="4" t="s">
        <v>136</v>
      </c>
      <c r="B32" s="17" t="n">
        <v>45666</v>
      </c>
      <c r="C32" s="4" t="n">
        <v>12</v>
      </c>
      <c r="D32" s="4" t="s">
        <v>64</v>
      </c>
      <c r="E32" s="4" t="s">
        <v>84</v>
      </c>
      <c r="F32" s="4" t="s">
        <v>85</v>
      </c>
      <c r="G32" s="4" t="n">
        <v>2</v>
      </c>
      <c r="H32" s="34" t="n">
        <v>150</v>
      </c>
      <c r="I32" s="18" t="n">
        <v>0.05</v>
      </c>
      <c r="J32" s="4" t="s">
        <v>67</v>
      </c>
      <c r="K32" s="4" t="s">
        <v>82</v>
      </c>
      <c r="L32" s="35" t="n">
        <f aca="false">G32*H32</f>
        <v>300</v>
      </c>
      <c r="M32" s="35" t="n">
        <f aca="false">L32*I32</f>
        <v>15</v>
      </c>
      <c r="N32" s="35" t="n">
        <f aca="false">L32-M32</f>
        <v>285</v>
      </c>
      <c r="O32" s="4" t="n">
        <f aca="false">MONTH(B32)</f>
        <v>1</v>
      </c>
      <c r="P32" s="4" t="str">
        <f aca="false">CHOOSE(WEEKDAY(B32,2),"Mon","Tue","Wed","Thu","Fri","Sat","Sun")</f>
        <v>Thu</v>
      </c>
      <c r="Q32" s="4" t="str">
        <f aca="false">IF(WEEKDAY(B32,2)&gt;5,"Weekend","Weekday")</f>
        <v>Weekday</v>
      </c>
      <c r="R32" s="4" t="str">
        <f aca="false">IF(C32&lt;11,"Morning (7-10)",IF(C32&lt;14,"Lunch (11-13)",IF(C32&lt;18,"Afternoon (14-17)","Evening (18-20)")))</f>
        <v>Lunch (11-13)</v>
      </c>
      <c r="S32" s="4" t="str">
        <f aca="false">IF(AND(O32&gt;=3,O32&lt;=5),"Hot Dry (Mar-May)",IF(AND(O32&gt;=6,O32&lt;=11),"Rainy (Jun-Nov)","Cool Dry (Dec-Feb)"))</f>
        <v>Cool Dry (Dec-Feb)</v>
      </c>
      <c r="T32" s="4" t="str">
        <f aca="false">CHOOSE(O32,"Jan","Feb","Mar","Apr","May","Jun","Jul","Aug","Sep","Oct","Nov","Dec")</f>
        <v>Jan</v>
      </c>
    </row>
    <row r="33" customFormat="false" ht="15" hidden="false" customHeight="false" outlineLevel="0" collapsed="false">
      <c r="A33" s="4" t="s">
        <v>137</v>
      </c>
      <c r="B33" s="17" t="n">
        <v>45666</v>
      </c>
      <c r="C33" s="4" t="n">
        <v>13</v>
      </c>
      <c r="D33" s="4" t="s">
        <v>98</v>
      </c>
      <c r="E33" s="4" t="s">
        <v>74</v>
      </c>
      <c r="F33" s="4" t="s">
        <v>139</v>
      </c>
      <c r="G33" s="4" t="n">
        <v>1</v>
      </c>
      <c r="H33" s="34" t="n">
        <v>260</v>
      </c>
      <c r="I33" s="18" t="n">
        <v>0</v>
      </c>
      <c r="J33" s="4" t="s">
        <v>67</v>
      </c>
      <c r="K33" s="4" t="s">
        <v>77</v>
      </c>
      <c r="L33" s="35" t="n">
        <f aca="false">G33*H33</f>
        <v>260</v>
      </c>
      <c r="M33" s="35" t="n">
        <f aca="false">L33*I33</f>
        <v>0</v>
      </c>
      <c r="N33" s="35" t="n">
        <f aca="false">L33-M33</f>
        <v>260</v>
      </c>
      <c r="O33" s="4" t="n">
        <f aca="false">MONTH(B33)</f>
        <v>1</v>
      </c>
      <c r="P33" s="4" t="str">
        <f aca="false">CHOOSE(WEEKDAY(B33,2),"Mon","Tue","Wed","Thu","Fri","Sat","Sun")</f>
        <v>Thu</v>
      </c>
      <c r="Q33" s="4" t="str">
        <f aca="false">IF(WEEKDAY(B33,2)&gt;5,"Weekend","Weekday")</f>
        <v>Weekday</v>
      </c>
      <c r="R33" s="4" t="str">
        <f aca="false">IF(C33&lt;11,"Morning (7-10)",IF(C33&lt;14,"Lunch (11-13)",IF(C33&lt;18,"Afternoon (14-17)","Evening (18-20)")))</f>
        <v>Lunch (11-13)</v>
      </c>
      <c r="S33" s="4" t="str">
        <f aca="false">IF(AND(O33&gt;=3,O33&lt;=5),"Hot Dry (Mar-May)",IF(AND(O33&gt;=6,O33&lt;=11),"Rainy (Jun-Nov)","Cool Dry (Dec-Feb)"))</f>
        <v>Cool Dry (Dec-Feb)</v>
      </c>
      <c r="T33" s="4" t="str">
        <f aca="false">CHOOSE(O33,"Jan","Feb","Mar","Apr","May","Jun","Jul","Aug","Sep","Oct","Nov","Dec")</f>
        <v>Jan</v>
      </c>
    </row>
    <row r="34" customFormat="false" ht="15" hidden="false" customHeight="false" outlineLevel="0" collapsed="false">
      <c r="A34" s="4" t="s">
        <v>140</v>
      </c>
      <c r="B34" s="17" t="n">
        <v>45666</v>
      </c>
      <c r="C34" s="4" t="n">
        <v>14</v>
      </c>
      <c r="D34" s="4" t="s">
        <v>64</v>
      </c>
      <c r="E34" s="4" t="s">
        <v>99</v>
      </c>
      <c r="F34" s="4" t="s">
        <v>102</v>
      </c>
      <c r="G34" s="4" t="n">
        <v>2</v>
      </c>
      <c r="H34" s="34" t="n">
        <v>140</v>
      </c>
      <c r="I34" s="18" t="n">
        <v>0</v>
      </c>
      <c r="J34" s="4" t="s">
        <v>67</v>
      </c>
      <c r="K34" s="4" t="s">
        <v>68</v>
      </c>
      <c r="L34" s="35" t="n">
        <f aca="false">G34*H34</f>
        <v>280</v>
      </c>
      <c r="M34" s="35" t="n">
        <f aca="false">L34*I34</f>
        <v>0</v>
      </c>
      <c r="N34" s="35" t="n">
        <f aca="false">L34-M34</f>
        <v>280</v>
      </c>
      <c r="O34" s="4" t="n">
        <f aca="false">MONTH(B34)</f>
        <v>1</v>
      </c>
      <c r="P34" s="4" t="str">
        <f aca="false">CHOOSE(WEEKDAY(B34,2),"Mon","Tue","Wed","Thu","Fri","Sat","Sun")</f>
        <v>Thu</v>
      </c>
      <c r="Q34" s="4" t="str">
        <f aca="false">IF(WEEKDAY(B34,2)&gt;5,"Weekend","Weekday")</f>
        <v>Weekday</v>
      </c>
      <c r="R34" s="4" t="str">
        <f aca="false">IF(C34&lt;11,"Morning (7-10)",IF(C34&lt;14,"Lunch (11-13)",IF(C34&lt;18,"Afternoon (14-17)","Evening (18-20)")))</f>
        <v>Afternoon (14-17)</v>
      </c>
      <c r="S34" s="4" t="str">
        <f aca="false">IF(AND(O34&gt;=3,O34&lt;=5),"Hot Dry (Mar-May)",IF(AND(O34&gt;=6,O34&lt;=11),"Rainy (Jun-Nov)","Cool Dry (Dec-Feb)"))</f>
        <v>Cool Dry (Dec-Feb)</v>
      </c>
      <c r="T34" s="4" t="str">
        <f aca="false">CHOOSE(O34,"Jan","Feb","Mar","Apr","May","Jun","Jul","Aug","Sep","Oct","Nov","Dec")</f>
        <v>Jan</v>
      </c>
    </row>
    <row r="35" customFormat="false" ht="15" hidden="false" customHeight="false" outlineLevel="0" collapsed="false">
      <c r="A35" s="4" t="s">
        <v>141</v>
      </c>
      <c r="B35" s="17" t="n">
        <v>45666</v>
      </c>
      <c r="C35" s="4" t="n">
        <v>15</v>
      </c>
      <c r="D35" s="4" t="s">
        <v>64</v>
      </c>
      <c r="E35" s="4" t="s">
        <v>99</v>
      </c>
      <c r="F35" s="4" t="s">
        <v>100</v>
      </c>
      <c r="G35" s="4" t="n">
        <v>1</v>
      </c>
      <c r="H35" s="34" t="n">
        <v>110</v>
      </c>
      <c r="I35" s="18" t="n">
        <v>0.05</v>
      </c>
      <c r="J35" s="4" t="s">
        <v>88</v>
      </c>
      <c r="K35" s="4" t="s">
        <v>82</v>
      </c>
      <c r="L35" s="35" t="n">
        <f aca="false">G35*H35</f>
        <v>110</v>
      </c>
      <c r="M35" s="35" t="n">
        <f aca="false">L35*I35</f>
        <v>5.5</v>
      </c>
      <c r="N35" s="35" t="n">
        <f aca="false">L35-M35</f>
        <v>104.5</v>
      </c>
      <c r="O35" s="4" t="n">
        <f aca="false">MONTH(B35)</f>
        <v>1</v>
      </c>
      <c r="P35" s="4" t="str">
        <f aca="false">CHOOSE(WEEKDAY(B35,2),"Mon","Tue","Wed","Thu","Fri","Sat","Sun")</f>
        <v>Thu</v>
      </c>
      <c r="Q35" s="4" t="str">
        <f aca="false">IF(WEEKDAY(B35,2)&gt;5,"Weekend","Weekday")</f>
        <v>Weekday</v>
      </c>
      <c r="R35" s="4" t="str">
        <f aca="false">IF(C35&lt;11,"Morning (7-10)",IF(C35&lt;14,"Lunch (11-13)",IF(C35&lt;18,"Afternoon (14-17)","Evening (18-20)")))</f>
        <v>Afternoon (14-17)</v>
      </c>
      <c r="S35" s="4" t="str">
        <f aca="false">IF(AND(O35&gt;=3,O35&lt;=5),"Hot Dry (Mar-May)",IF(AND(O35&gt;=6,O35&lt;=11),"Rainy (Jun-Nov)","Cool Dry (Dec-Feb)"))</f>
        <v>Cool Dry (Dec-Feb)</v>
      </c>
      <c r="T35" s="4" t="str">
        <f aca="false">CHOOSE(O35,"Jan","Feb","Mar","Apr","May","Jun","Jul","Aug","Sep","Oct","Nov","Dec")</f>
        <v>Jan</v>
      </c>
    </row>
    <row r="36" customFormat="false" ht="15" hidden="false" customHeight="false" outlineLevel="0" collapsed="false">
      <c r="A36" s="4" t="s">
        <v>142</v>
      </c>
      <c r="B36" s="17" t="n">
        <v>45666</v>
      </c>
      <c r="C36" s="4" t="n">
        <v>15</v>
      </c>
      <c r="D36" s="4" t="s">
        <v>64</v>
      </c>
      <c r="E36" s="4" t="s">
        <v>65</v>
      </c>
      <c r="F36" s="4" t="s">
        <v>66</v>
      </c>
      <c r="G36" s="4" t="n">
        <v>2</v>
      </c>
      <c r="H36" s="34" t="n">
        <v>120</v>
      </c>
      <c r="I36" s="18" t="n">
        <v>0.05</v>
      </c>
      <c r="J36" s="4" t="s">
        <v>81</v>
      </c>
      <c r="K36" s="4" t="s">
        <v>82</v>
      </c>
      <c r="L36" s="35" t="n">
        <f aca="false">G36*H36</f>
        <v>240</v>
      </c>
      <c r="M36" s="35" t="n">
        <f aca="false">L36*I36</f>
        <v>12</v>
      </c>
      <c r="N36" s="35" t="n">
        <f aca="false">L36-M36</f>
        <v>228</v>
      </c>
      <c r="O36" s="4" t="n">
        <f aca="false">MONTH(B36)</f>
        <v>1</v>
      </c>
      <c r="P36" s="4" t="str">
        <f aca="false">CHOOSE(WEEKDAY(B36,2),"Mon","Tue","Wed","Thu","Fri","Sat","Sun")</f>
        <v>Thu</v>
      </c>
      <c r="Q36" s="4" t="str">
        <f aca="false">IF(WEEKDAY(B36,2)&gt;5,"Weekend","Weekday")</f>
        <v>Weekday</v>
      </c>
      <c r="R36" s="4" t="str">
        <f aca="false">IF(C36&lt;11,"Morning (7-10)",IF(C36&lt;14,"Lunch (11-13)",IF(C36&lt;18,"Afternoon (14-17)","Evening (18-20)")))</f>
        <v>Afternoon (14-17)</v>
      </c>
      <c r="S36" s="4" t="str">
        <f aca="false">IF(AND(O36&gt;=3,O36&lt;=5),"Hot Dry (Mar-May)",IF(AND(O36&gt;=6,O36&lt;=11),"Rainy (Jun-Nov)","Cool Dry (Dec-Feb)"))</f>
        <v>Cool Dry (Dec-Feb)</v>
      </c>
      <c r="T36" s="4" t="str">
        <f aca="false">CHOOSE(O36,"Jan","Feb","Mar","Apr","May","Jun","Jul","Aug","Sep","Oct","Nov","Dec")</f>
        <v>Jan</v>
      </c>
    </row>
    <row r="37" customFormat="false" ht="15" hidden="false" customHeight="false" outlineLevel="0" collapsed="false">
      <c r="A37" s="4" t="s">
        <v>143</v>
      </c>
      <c r="B37" s="17" t="n">
        <v>45666</v>
      </c>
      <c r="C37" s="4" t="n">
        <v>19</v>
      </c>
      <c r="D37" s="4" t="s">
        <v>98</v>
      </c>
      <c r="E37" s="4" t="s">
        <v>79</v>
      </c>
      <c r="F37" s="4" t="s">
        <v>135</v>
      </c>
      <c r="G37" s="4" t="n">
        <v>2</v>
      </c>
      <c r="H37" s="34" t="n">
        <v>130</v>
      </c>
      <c r="I37" s="18" t="n">
        <v>0</v>
      </c>
      <c r="J37" s="4" t="s">
        <v>76</v>
      </c>
      <c r="K37" s="4" t="s">
        <v>68</v>
      </c>
      <c r="L37" s="35" t="n">
        <f aca="false">G37*H37</f>
        <v>260</v>
      </c>
      <c r="M37" s="35" t="n">
        <f aca="false">L37*I37</f>
        <v>0</v>
      </c>
      <c r="N37" s="35" t="n">
        <f aca="false">L37-M37</f>
        <v>260</v>
      </c>
      <c r="O37" s="4" t="n">
        <f aca="false">MONTH(B37)</f>
        <v>1</v>
      </c>
      <c r="P37" s="4" t="str">
        <f aca="false">CHOOSE(WEEKDAY(B37,2),"Mon","Tue","Wed","Thu","Fri","Sat","Sun")</f>
        <v>Thu</v>
      </c>
      <c r="Q37" s="4" t="str">
        <f aca="false">IF(WEEKDAY(B37,2)&gt;5,"Weekend","Weekday")</f>
        <v>Weekday</v>
      </c>
      <c r="R37" s="4" t="str">
        <f aca="false">IF(C37&lt;11,"Morning (7-10)",IF(C37&lt;14,"Lunch (11-13)",IF(C37&lt;18,"Afternoon (14-17)","Evening (18-20)")))</f>
        <v>Evening (18-20)</v>
      </c>
      <c r="S37" s="4" t="str">
        <f aca="false">IF(AND(O37&gt;=3,O37&lt;=5),"Hot Dry (Mar-May)",IF(AND(O37&gt;=6,O37&lt;=11),"Rainy (Jun-Nov)","Cool Dry (Dec-Feb)"))</f>
        <v>Cool Dry (Dec-Feb)</v>
      </c>
      <c r="T37" s="4" t="str">
        <f aca="false">CHOOSE(O37,"Jan","Feb","Mar","Apr","May","Jun","Jul","Aug","Sep","Oct","Nov","Dec")</f>
        <v>Jan</v>
      </c>
    </row>
    <row r="38" customFormat="false" ht="15" hidden="false" customHeight="false" outlineLevel="0" collapsed="false">
      <c r="A38" s="4" t="s">
        <v>144</v>
      </c>
      <c r="B38" s="17" t="n">
        <v>45667</v>
      </c>
      <c r="C38" s="4" t="n">
        <v>8</v>
      </c>
      <c r="D38" s="4" t="s">
        <v>64</v>
      </c>
      <c r="E38" s="4" t="s">
        <v>74</v>
      </c>
      <c r="F38" s="4" t="s">
        <v>139</v>
      </c>
      <c r="G38" s="4" t="n">
        <v>1</v>
      </c>
      <c r="H38" s="34" t="n">
        <v>260</v>
      </c>
      <c r="I38" s="18" t="n">
        <v>0</v>
      </c>
      <c r="J38" s="4" t="s">
        <v>81</v>
      </c>
      <c r="K38" s="4" t="s">
        <v>77</v>
      </c>
      <c r="L38" s="35" t="n">
        <f aca="false">G38*H38</f>
        <v>260</v>
      </c>
      <c r="M38" s="35" t="n">
        <f aca="false">L38*I38</f>
        <v>0</v>
      </c>
      <c r="N38" s="35" t="n">
        <f aca="false">L38-M38</f>
        <v>260</v>
      </c>
      <c r="O38" s="4" t="n">
        <f aca="false">MONTH(B38)</f>
        <v>1</v>
      </c>
      <c r="P38" s="4" t="str">
        <f aca="false">CHOOSE(WEEKDAY(B38,2),"Mon","Tue","Wed","Thu","Fri","Sat","Sun")</f>
        <v>Fri</v>
      </c>
      <c r="Q38" s="4" t="str">
        <f aca="false">IF(WEEKDAY(B38,2)&gt;5,"Weekend","Weekday")</f>
        <v>Weekday</v>
      </c>
      <c r="R38" s="4" t="str">
        <f aca="false">IF(C38&lt;11,"Morning (7-10)",IF(C38&lt;14,"Lunch (11-13)",IF(C38&lt;18,"Afternoon (14-17)","Evening (18-20)")))</f>
        <v>Morning (7-10)</v>
      </c>
      <c r="S38" s="4" t="str">
        <f aca="false">IF(AND(O38&gt;=3,O38&lt;=5),"Hot Dry (Mar-May)",IF(AND(O38&gt;=6,O38&lt;=11),"Rainy (Jun-Nov)","Cool Dry (Dec-Feb)"))</f>
        <v>Cool Dry (Dec-Feb)</v>
      </c>
      <c r="T38" s="4" t="str">
        <f aca="false">CHOOSE(O38,"Jan","Feb","Mar","Apr","May","Jun","Jul","Aug","Sep","Oct","Nov","Dec")</f>
        <v>Jan</v>
      </c>
    </row>
    <row r="39" customFormat="false" ht="15" hidden="false" customHeight="false" outlineLevel="0" collapsed="false">
      <c r="A39" s="4" t="s">
        <v>145</v>
      </c>
      <c r="B39" s="17" t="n">
        <v>45667</v>
      </c>
      <c r="C39" s="4" t="n">
        <v>10</v>
      </c>
      <c r="D39" s="4" t="s">
        <v>70</v>
      </c>
      <c r="E39" s="4" t="s">
        <v>79</v>
      </c>
      <c r="F39" s="4" t="s">
        <v>80</v>
      </c>
      <c r="G39" s="4" t="n">
        <v>3</v>
      </c>
      <c r="H39" s="34" t="n">
        <v>160</v>
      </c>
      <c r="I39" s="18" t="n">
        <v>0.15</v>
      </c>
      <c r="J39" s="4" t="s">
        <v>76</v>
      </c>
      <c r="K39" s="4" t="s">
        <v>82</v>
      </c>
      <c r="L39" s="35" t="n">
        <f aca="false">G39*H39</f>
        <v>480</v>
      </c>
      <c r="M39" s="35" t="n">
        <f aca="false">L39*I39</f>
        <v>72</v>
      </c>
      <c r="N39" s="35" t="n">
        <f aca="false">L39-M39</f>
        <v>408</v>
      </c>
      <c r="O39" s="4" t="n">
        <f aca="false">MONTH(B39)</f>
        <v>1</v>
      </c>
      <c r="P39" s="4" t="str">
        <f aca="false">CHOOSE(WEEKDAY(B39,2),"Mon","Tue","Wed","Thu","Fri","Sat","Sun")</f>
        <v>Fri</v>
      </c>
      <c r="Q39" s="4" t="str">
        <f aca="false">IF(WEEKDAY(B39,2)&gt;5,"Weekend","Weekday")</f>
        <v>Weekday</v>
      </c>
      <c r="R39" s="4" t="str">
        <f aca="false">IF(C39&lt;11,"Morning (7-10)",IF(C39&lt;14,"Lunch (11-13)",IF(C39&lt;18,"Afternoon (14-17)","Evening (18-20)")))</f>
        <v>Morning (7-10)</v>
      </c>
      <c r="S39" s="4" t="str">
        <f aca="false">IF(AND(O39&gt;=3,O39&lt;=5),"Hot Dry (Mar-May)",IF(AND(O39&gt;=6,O39&lt;=11),"Rainy (Jun-Nov)","Cool Dry (Dec-Feb)"))</f>
        <v>Cool Dry (Dec-Feb)</v>
      </c>
      <c r="T39" s="4" t="str">
        <f aca="false">CHOOSE(O39,"Jan","Feb","Mar","Apr","May","Jun","Jul","Aug","Sep","Oct","Nov","Dec")</f>
        <v>Jan</v>
      </c>
    </row>
    <row r="40" customFormat="false" ht="15" hidden="false" customHeight="false" outlineLevel="0" collapsed="false">
      <c r="A40" s="4" t="s">
        <v>146</v>
      </c>
      <c r="B40" s="17" t="n">
        <v>45667</v>
      </c>
      <c r="C40" s="4" t="n">
        <v>14</v>
      </c>
      <c r="D40" s="4" t="s">
        <v>70</v>
      </c>
      <c r="E40" s="4" t="s">
        <v>99</v>
      </c>
      <c r="F40" s="4" t="s">
        <v>102</v>
      </c>
      <c r="G40" s="4" t="n">
        <v>1</v>
      </c>
      <c r="H40" s="34" t="n">
        <v>140</v>
      </c>
      <c r="I40" s="18" t="n">
        <v>0</v>
      </c>
      <c r="J40" s="4" t="s">
        <v>112</v>
      </c>
      <c r="K40" s="4" t="s">
        <v>77</v>
      </c>
      <c r="L40" s="35" t="n">
        <f aca="false">G40*H40</f>
        <v>140</v>
      </c>
      <c r="M40" s="35" t="n">
        <f aca="false">L40*I40</f>
        <v>0</v>
      </c>
      <c r="N40" s="35" t="n">
        <f aca="false">L40-M40</f>
        <v>140</v>
      </c>
      <c r="O40" s="4" t="n">
        <f aca="false">MONTH(B40)</f>
        <v>1</v>
      </c>
      <c r="P40" s="4" t="str">
        <f aca="false">CHOOSE(WEEKDAY(B40,2),"Mon","Tue","Wed","Thu","Fri","Sat","Sun")</f>
        <v>Fri</v>
      </c>
      <c r="Q40" s="4" t="str">
        <f aca="false">IF(WEEKDAY(B40,2)&gt;5,"Weekend","Weekday")</f>
        <v>Weekday</v>
      </c>
      <c r="R40" s="4" t="str">
        <f aca="false">IF(C40&lt;11,"Morning (7-10)",IF(C40&lt;14,"Lunch (11-13)",IF(C40&lt;18,"Afternoon (14-17)","Evening (18-20)")))</f>
        <v>Afternoon (14-17)</v>
      </c>
      <c r="S40" s="4" t="str">
        <f aca="false">IF(AND(O40&gt;=3,O40&lt;=5),"Hot Dry (Mar-May)",IF(AND(O40&gt;=6,O40&lt;=11),"Rainy (Jun-Nov)","Cool Dry (Dec-Feb)"))</f>
        <v>Cool Dry (Dec-Feb)</v>
      </c>
      <c r="T40" s="4" t="str">
        <f aca="false">CHOOSE(O40,"Jan","Feb","Mar","Apr","May","Jun","Jul","Aug","Sep","Oct","Nov","Dec")</f>
        <v>Jan</v>
      </c>
    </row>
    <row r="41" customFormat="false" ht="15" hidden="false" customHeight="false" outlineLevel="0" collapsed="false">
      <c r="A41" s="4" t="s">
        <v>147</v>
      </c>
      <c r="B41" s="17" t="n">
        <v>45667</v>
      </c>
      <c r="C41" s="4" t="n">
        <v>17</v>
      </c>
      <c r="D41" s="4" t="s">
        <v>64</v>
      </c>
      <c r="E41" s="4" t="s">
        <v>79</v>
      </c>
      <c r="F41" s="4" t="s">
        <v>148</v>
      </c>
      <c r="G41" s="4" t="n">
        <v>2</v>
      </c>
      <c r="H41" s="34" t="n">
        <v>120</v>
      </c>
      <c r="I41" s="18" t="n">
        <v>0.05</v>
      </c>
      <c r="J41" s="4" t="s">
        <v>76</v>
      </c>
      <c r="K41" s="4" t="s">
        <v>82</v>
      </c>
      <c r="L41" s="35" t="n">
        <f aca="false">G41*H41</f>
        <v>240</v>
      </c>
      <c r="M41" s="35" t="n">
        <f aca="false">L41*I41</f>
        <v>12</v>
      </c>
      <c r="N41" s="35" t="n">
        <f aca="false">L41-M41</f>
        <v>228</v>
      </c>
      <c r="O41" s="4" t="n">
        <f aca="false">MONTH(B41)</f>
        <v>1</v>
      </c>
      <c r="P41" s="4" t="str">
        <f aca="false">CHOOSE(WEEKDAY(B41,2),"Mon","Tue","Wed","Thu","Fri","Sat","Sun")</f>
        <v>Fri</v>
      </c>
      <c r="Q41" s="4" t="str">
        <f aca="false">IF(WEEKDAY(B41,2)&gt;5,"Weekend","Weekday")</f>
        <v>Weekday</v>
      </c>
      <c r="R41" s="4" t="str">
        <f aca="false">IF(C41&lt;11,"Morning (7-10)",IF(C41&lt;14,"Lunch (11-13)",IF(C41&lt;18,"Afternoon (14-17)","Evening (18-20)")))</f>
        <v>Afternoon (14-17)</v>
      </c>
      <c r="S41" s="4" t="str">
        <f aca="false">IF(AND(O41&gt;=3,O41&lt;=5),"Hot Dry (Mar-May)",IF(AND(O41&gt;=6,O41&lt;=11),"Rainy (Jun-Nov)","Cool Dry (Dec-Feb)"))</f>
        <v>Cool Dry (Dec-Feb)</v>
      </c>
      <c r="T41" s="4" t="str">
        <f aca="false">CHOOSE(O41,"Jan","Feb","Mar","Apr","May","Jun","Jul","Aug","Sep","Oct","Nov","Dec")</f>
        <v>Jan</v>
      </c>
    </row>
    <row r="42" customFormat="false" ht="15" hidden="false" customHeight="false" outlineLevel="0" collapsed="false">
      <c r="A42" s="4" t="s">
        <v>149</v>
      </c>
      <c r="B42" s="17" t="n">
        <v>45667</v>
      </c>
      <c r="C42" s="4" t="n">
        <v>20</v>
      </c>
      <c r="D42" s="4" t="s">
        <v>98</v>
      </c>
      <c r="E42" s="4" t="s">
        <v>99</v>
      </c>
      <c r="F42" s="4" t="s">
        <v>102</v>
      </c>
      <c r="G42" s="4" t="n">
        <v>1</v>
      </c>
      <c r="H42" s="34" t="n">
        <v>140</v>
      </c>
      <c r="I42" s="18" t="n">
        <v>0</v>
      </c>
      <c r="J42" s="4" t="s">
        <v>67</v>
      </c>
      <c r="K42" s="4" t="s">
        <v>68</v>
      </c>
      <c r="L42" s="35" t="n">
        <f aca="false">G42*H42</f>
        <v>140</v>
      </c>
      <c r="M42" s="35" t="n">
        <f aca="false">L42*I42</f>
        <v>0</v>
      </c>
      <c r="N42" s="35" t="n">
        <f aca="false">L42-M42</f>
        <v>140</v>
      </c>
      <c r="O42" s="4" t="n">
        <f aca="false">MONTH(B42)</f>
        <v>1</v>
      </c>
      <c r="P42" s="4" t="str">
        <f aca="false">CHOOSE(WEEKDAY(B42,2),"Mon","Tue","Wed","Thu","Fri","Sat","Sun")</f>
        <v>Fri</v>
      </c>
      <c r="Q42" s="4" t="str">
        <f aca="false">IF(WEEKDAY(B42,2)&gt;5,"Weekend","Weekday")</f>
        <v>Weekday</v>
      </c>
      <c r="R42" s="4" t="str">
        <f aca="false">IF(C42&lt;11,"Morning (7-10)",IF(C42&lt;14,"Lunch (11-13)",IF(C42&lt;18,"Afternoon (14-17)","Evening (18-20)")))</f>
        <v>Evening (18-20)</v>
      </c>
      <c r="S42" s="4" t="str">
        <f aca="false">IF(AND(O42&gt;=3,O42&lt;=5),"Hot Dry (Mar-May)",IF(AND(O42&gt;=6,O42&lt;=11),"Rainy (Jun-Nov)","Cool Dry (Dec-Feb)"))</f>
        <v>Cool Dry (Dec-Feb)</v>
      </c>
      <c r="T42" s="4" t="str">
        <f aca="false">CHOOSE(O42,"Jan","Feb","Mar","Apr","May","Jun","Jul","Aug","Sep","Oct","Nov","Dec")</f>
        <v>Jan</v>
      </c>
    </row>
    <row r="43" customFormat="false" ht="15" hidden="false" customHeight="false" outlineLevel="0" collapsed="false">
      <c r="A43" s="4" t="s">
        <v>150</v>
      </c>
      <c r="B43" s="17" t="n">
        <v>45668</v>
      </c>
      <c r="C43" s="4" t="n">
        <v>8</v>
      </c>
      <c r="D43" s="4" t="s">
        <v>70</v>
      </c>
      <c r="E43" s="4" t="s">
        <v>79</v>
      </c>
      <c r="F43" s="4" t="s">
        <v>80</v>
      </c>
      <c r="G43" s="4" t="n">
        <v>2</v>
      </c>
      <c r="H43" s="34" t="n">
        <v>160</v>
      </c>
      <c r="I43" s="18" t="n">
        <v>0</v>
      </c>
      <c r="J43" s="4" t="s">
        <v>67</v>
      </c>
      <c r="K43" s="4" t="s">
        <v>68</v>
      </c>
      <c r="L43" s="35" t="n">
        <f aca="false">G43*H43</f>
        <v>320</v>
      </c>
      <c r="M43" s="35" t="n">
        <f aca="false">L43*I43</f>
        <v>0</v>
      </c>
      <c r="N43" s="35" t="n">
        <f aca="false">L43-M43</f>
        <v>320</v>
      </c>
      <c r="O43" s="4" t="n">
        <f aca="false">MONTH(B43)</f>
        <v>1</v>
      </c>
      <c r="P43" s="4" t="str">
        <f aca="false">CHOOSE(WEEKDAY(B43,2),"Mon","Tue","Wed","Thu","Fri","Sat","Sun")</f>
        <v>Sat</v>
      </c>
      <c r="Q43" s="4" t="str">
        <f aca="false">IF(WEEKDAY(B43,2)&gt;5,"Weekend","Weekday")</f>
        <v>Weekend</v>
      </c>
      <c r="R43" s="4" t="str">
        <f aca="false">IF(C43&lt;11,"Morning (7-10)",IF(C43&lt;14,"Lunch (11-13)",IF(C43&lt;18,"Afternoon (14-17)","Evening (18-20)")))</f>
        <v>Morning (7-10)</v>
      </c>
      <c r="S43" s="4" t="str">
        <f aca="false">IF(AND(O43&gt;=3,O43&lt;=5),"Hot Dry (Mar-May)",IF(AND(O43&gt;=6,O43&lt;=11),"Rainy (Jun-Nov)","Cool Dry (Dec-Feb)"))</f>
        <v>Cool Dry (Dec-Feb)</v>
      </c>
      <c r="T43" s="4" t="str">
        <f aca="false">CHOOSE(O43,"Jan","Feb","Mar","Apr","May","Jun","Jul","Aug","Sep","Oct","Nov","Dec")</f>
        <v>Jan</v>
      </c>
    </row>
    <row r="44" customFormat="false" ht="15" hidden="false" customHeight="false" outlineLevel="0" collapsed="false">
      <c r="A44" s="4" t="s">
        <v>151</v>
      </c>
      <c r="B44" s="17" t="n">
        <v>45669</v>
      </c>
      <c r="C44" s="4" t="n">
        <v>14</v>
      </c>
      <c r="D44" s="4" t="s">
        <v>70</v>
      </c>
      <c r="E44" s="4" t="s">
        <v>65</v>
      </c>
      <c r="F44" s="4" t="s">
        <v>87</v>
      </c>
      <c r="G44" s="4" t="n">
        <v>3</v>
      </c>
      <c r="H44" s="34" t="n">
        <v>160</v>
      </c>
      <c r="I44" s="18" t="n">
        <v>0</v>
      </c>
      <c r="J44" s="4" t="s">
        <v>67</v>
      </c>
      <c r="K44" s="4" t="s">
        <v>77</v>
      </c>
      <c r="L44" s="35" t="n">
        <f aca="false">G44*H44</f>
        <v>480</v>
      </c>
      <c r="M44" s="35" t="n">
        <f aca="false">L44*I44</f>
        <v>0</v>
      </c>
      <c r="N44" s="35" t="n">
        <f aca="false">L44-M44</f>
        <v>480</v>
      </c>
      <c r="O44" s="4" t="n">
        <f aca="false">MONTH(B44)</f>
        <v>1</v>
      </c>
      <c r="P44" s="4" t="str">
        <f aca="false">CHOOSE(WEEKDAY(B44,2),"Mon","Tue","Wed","Thu","Fri","Sat","Sun")</f>
        <v>Sun</v>
      </c>
      <c r="Q44" s="4" t="str">
        <f aca="false">IF(WEEKDAY(B44,2)&gt;5,"Weekend","Weekday")</f>
        <v>Weekend</v>
      </c>
      <c r="R44" s="4" t="str">
        <f aca="false">IF(C44&lt;11,"Morning (7-10)",IF(C44&lt;14,"Lunch (11-13)",IF(C44&lt;18,"Afternoon (14-17)","Evening (18-20)")))</f>
        <v>Afternoon (14-17)</v>
      </c>
      <c r="S44" s="4" t="str">
        <f aca="false">IF(AND(O44&gt;=3,O44&lt;=5),"Hot Dry (Mar-May)",IF(AND(O44&gt;=6,O44&lt;=11),"Rainy (Jun-Nov)","Cool Dry (Dec-Feb)"))</f>
        <v>Cool Dry (Dec-Feb)</v>
      </c>
      <c r="T44" s="4" t="str">
        <f aca="false">CHOOSE(O44,"Jan","Feb","Mar","Apr","May","Jun","Jul","Aug","Sep","Oct","Nov","Dec")</f>
        <v>Jan</v>
      </c>
    </row>
    <row r="45" customFormat="false" ht="15" hidden="false" customHeight="false" outlineLevel="0" collapsed="false">
      <c r="A45" s="4" t="s">
        <v>152</v>
      </c>
      <c r="B45" s="17" t="n">
        <v>45669</v>
      </c>
      <c r="C45" s="4" t="n">
        <v>16</v>
      </c>
      <c r="D45" s="4" t="s">
        <v>73</v>
      </c>
      <c r="E45" s="4" t="s">
        <v>74</v>
      </c>
      <c r="F45" s="4" t="s">
        <v>139</v>
      </c>
      <c r="G45" s="4" t="n">
        <v>2</v>
      </c>
      <c r="H45" s="34" t="n">
        <v>260</v>
      </c>
      <c r="I45" s="18" t="n">
        <v>0</v>
      </c>
      <c r="J45" s="4" t="s">
        <v>67</v>
      </c>
      <c r="K45" s="4" t="s">
        <v>68</v>
      </c>
      <c r="L45" s="35" t="n">
        <f aca="false">G45*H45</f>
        <v>520</v>
      </c>
      <c r="M45" s="35" t="n">
        <f aca="false">L45*I45</f>
        <v>0</v>
      </c>
      <c r="N45" s="35" t="n">
        <f aca="false">L45-M45</f>
        <v>520</v>
      </c>
      <c r="O45" s="4" t="n">
        <f aca="false">MONTH(B45)</f>
        <v>1</v>
      </c>
      <c r="P45" s="4" t="str">
        <f aca="false">CHOOSE(WEEKDAY(B45,2),"Mon","Tue","Wed","Thu","Fri","Sat","Sun")</f>
        <v>Sun</v>
      </c>
      <c r="Q45" s="4" t="str">
        <f aca="false">IF(WEEKDAY(B45,2)&gt;5,"Weekend","Weekday")</f>
        <v>Weekend</v>
      </c>
      <c r="R45" s="4" t="str">
        <f aca="false">IF(C45&lt;11,"Morning (7-10)",IF(C45&lt;14,"Lunch (11-13)",IF(C45&lt;18,"Afternoon (14-17)","Evening (18-20)")))</f>
        <v>Afternoon (14-17)</v>
      </c>
      <c r="S45" s="4" t="str">
        <f aca="false">IF(AND(O45&gt;=3,O45&lt;=5),"Hot Dry (Mar-May)",IF(AND(O45&gt;=6,O45&lt;=11),"Rainy (Jun-Nov)","Cool Dry (Dec-Feb)"))</f>
        <v>Cool Dry (Dec-Feb)</v>
      </c>
      <c r="T45" s="4" t="str">
        <f aca="false">CHOOSE(O45,"Jan","Feb","Mar","Apr","May","Jun","Jul","Aug","Sep","Oct","Nov","Dec")</f>
        <v>Jan</v>
      </c>
    </row>
    <row r="46" customFormat="false" ht="15" hidden="false" customHeight="false" outlineLevel="0" collapsed="false">
      <c r="A46" s="4" t="s">
        <v>154</v>
      </c>
      <c r="B46" s="17" t="n">
        <v>45669</v>
      </c>
      <c r="C46" s="4" t="n">
        <v>18</v>
      </c>
      <c r="D46" s="4" t="s">
        <v>64</v>
      </c>
      <c r="E46" s="4" t="s">
        <v>65</v>
      </c>
      <c r="F46" s="4" t="s">
        <v>121</v>
      </c>
      <c r="G46" s="4" t="n">
        <v>1</v>
      </c>
      <c r="H46" s="34" t="n">
        <v>170</v>
      </c>
      <c r="I46" s="18" t="n">
        <v>0.05</v>
      </c>
      <c r="J46" s="4" t="s">
        <v>67</v>
      </c>
      <c r="K46" s="4" t="s">
        <v>82</v>
      </c>
      <c r="L46" s="35" t="n">
        <f aca="false">G46*H46</f>
        <v>170</v>
      </c>
      <c r="M46" s="35" t="n">
        <f aca="false">L46*I46</f>
        <v>8.5</v>
      </c>
      <c r="N46" s="35" t="n">
        <f aca="false">L46-M46</f>
        <v>161.5</v>
      </c>
      <c r="O46" s="4" t="n">
        <f aca="false">MONTH(B46)</f>
        <v>1</v>
      </c>
      <c r="P46" s="4" t="str">
        <f aca="false">CHOOSE(WEEKDAY(B46,2),"Mon","Tue","Wed","Thu","Fri","Sat","Sun")</f>
        <v>Sun</v>
      </c>
      <c r="Q46" s="4" t="str">
        <f aca="false">IF(WEEKDAY(B46,2)&gt;5,"Weekend","Weekday")</f>
        <v>Weekend</v>
      </c>
      <c r="R46" s="4" t="str">
        <f aca="false">IF(C46&lt;11,"Morning (7-10)",IF(C46&lt;14,"Lunch (11-13)",IF(C46&lt;18,"Afternoon (14-17)","Evening (18-20)")))</f>
        <v>Evening (18-20)</v>
      </c>
      <c r="S46" s="4" t="str">
        <f aca="false">IF(AND(O46&gt;=3,O46&lt;=5),"Hot Dry (Mar-May)",IF(AND(O46&gt;=6,O46&lt;=11),"Rainy (Jun-Nov)","Cool Dry (Dec-Feb)"))</f>
        <v>Cool Dry (Dec-Feb)</v>
      </c>
      <c r="T46" s="4" t="str">
        <f aca="false">CHOOSE(O46,"Jan","Feb","Mar","Apr","May","Jun","Jul","Aug","Sep","Oct","Nov","Dec")</f>
        <v>Jan</v>
      </c>
    </row>
    <row r="47" customFormat="false" ht="15" hidden="false" customHeight="false" outlineLevel="0" collapsed="false">
      <c r="A47" s="4" t="s">
        <v>155</v>
      </c>
      <c r="B47" s="17" t="n">
        <v>45670</v>
      </c>
      <c r="C47" s="4" t="n">
        <v>7</v>
      </c>
      <c r="D47" s="4" t="s">
        <v>98</v>
      </c>
      <c r="E47" s="4" t="s">
        <v>79</v>
      </c>
      <c r="F47" s="4" t="s">
        <v>148</v>
      </c>
      <c r="G47" s="4" t="n">
        <v>1</v>
      </c>
      <c r="H47" s="34" t="n">
        <v>120</v>
      </c>
      <c r="I47" s="18" t="n">
        <v>0</v>
      </c>
      <c r="J47" s="4" t="s">
        <v>81</v>
      </c>
      <c r="K47" s="4" t="s">
        <v>68</v>
      </c>
      <c r="L47" s="35" t="n">
        <f aca="false">G47*H47</f>
        <v>120</v>
      </c>
      <c r="M47" s="35" t="n">
        <f aca="false">L47*I47</f>
        <v>0</v>
      </c>
      <c r="N47" s="35" t="n">
        <f aca="false">L47-M47</f>
        <v>120</v>
      </c>
      <c r="O47" s="4" t="n">
        <f aca="false">MONTH(B47)</f>
        <v>1</v>
      </c>
      <c r="P47" s="4" t="str">
        <f aca="false">CHOOSE(WEEKDAY(B47,2),"Mon","Tue","Wed","Thu","Fri","Sat","Sun")</f>
        <v>Mon</v>
      </c>
      <c r="Q47" s="4" t="str">
        <f aca="false">IF(WEEKDAY(B47,2)&gt;5,"Weekend","Weekday")</f>
        <v>Weekday</v>
      </c>
      <c r="R47" s="4" t="str">
        <f aca="false">IF(C47&lt;11,"Morning (7-10)",IF(C47&lt;14,"Lunch (11-13)",IF(C47&lt;18,"Afternoon (14-17)","Evening (18-20)")))</f>
        <v>Morning (7-10)</v>
      </c>
      <c r="S47" s="4" t="str">
        <f aca="false">IF(AND(O47&gt;=3,O47&lt;=5),"Hot Dry (Mar-May)",IF(AND(O47&gt;=6,O47&lt;=11),"Rainy (Jun-Nov)","Cool Dry (Dec-Feb)"))</f>
        <v>Cool Dry (Dec-Feb)</v>
      </c>
      <c r="T47" s="4" t="str">
        <f aca="false">CHOOSE(O47,"Jan","Feb","Mar","Apr","May","Jun","Jul","Aug","Sep","Oct","Nov","Dec")</f>
        <v>Jan</v>
      </c>
    </row>
    <row r="48" customFormat="false" ht="15" hidden="false" customHeight="false" outlineLevel="0" collapsed="false">
      <c r="A48" s="4" t="s">
        <v>156</v>
      </c>
      <c r="B48" s="17" t="n">
        <v>45670</v>
      </c>
      <c r="C48" s="4" t="n">
        <v>7</v>
      </c>
      <c r="D48" s="4" t="s">
        <v>73</v>
      </c>
      <c r="E48" s="4" t="s">
        <v>99</v>
      </c>
      <c r="F48" s="4" t="s">
        <v>100</v>
      </c>
      <c r="G48" s="4" t="n">
        <v>3</v>
      </c>
      <c r="H48" s="34" t="n">
        <v>110</v>
      </c>
      <c r="I48" s="18" t="n">
        <v>0.1</v>
      </c>
      <c r="J48" s="4" t="s">
        <v>67</v>
      </c>
      <c r="K48" s="4" t="s">
        <v>71</v>
      </c>
      <c r="L48" s="35" t="n">
        <f aca="false">G48*H48</f>
        <v>330</v>
      </c>
      <c r="M48" s="35" t="n">
        <f aca="false">L48*I48</f>
        <v>33</v>
      </c>
      <c r="N48" s="35" t="n">
        <f aca="false">L48-M48</f>
        <v>297</v>
      </c>
      <c r="O48" s="4" t="n">
        <f aca="false">MONTH(B48)</f>
        <v>1</v>
      </c>
      <c r="P48" s="4" t="str">
        <f aca="false">CHOOSE(WEEKDAY(B48,2),"Mon","Tue","Wed","Thu","Fri","Sat","Sun")</f>
        <v>Mon</v>
      </c>
      <c r="Q48" s="4" t="str">
        <f aca="false">IF(WEEKDAY(B48,2)&gt;5,"Weekend","Weekday")</f>
        <v>Weekday</v>
      </c>
      <c r="R48" s="4" t="str">
        <f aca="false">IF(C48&lt;11,"Morning (7-10)",IF(C48&lt;14,"Lunch (11-13)",IF(C48&lt;18,"Afternoon (14-17)","Evening (18-20)")))</f>
        <v>Morning (7-10)</v>
      </c>
      <c r="S48" s="4" t="str">
        <f aca="false">IF(AND(O48&gt;=3,O48&lt;=5),"Hot Dry (Mar-May)",IF(AND(O48&gt;=6,O48&lt;=11),"Rainy (Jun-Nov)","Cool Dry (Dec-Feb)"))</f>
        <v>Cool Dry (Dec-Feb)</v>
      </c>
      <c r="T48" s="4" t="str">
        <f aca="false">CHOOSE(O48,"Jan","Feb","Mar","Apr","May","Jun","Jul","Aug","Sep","Oct","Nov","Dec")</f>
        <v>Jan</v>
      </c>
    </row>
    <row r="49" customFormat="false" ht="15" hidden="false" customHeight="false" outlineLevel="0" collapsed="false">
      <c r="A49" s="4" t="s">
        <v>157</v>
      </c>
      <c r="B49" s="17" t="n">
        <v>45670</v>
      </c>
      <c r="C49" s="4" t="n">
        <v>13</v>
      </c>
      <c r="D49" s="4" t="s">
        <v>70</v>
      </c>
      <c r="E49" s="4" t="s">
        <v>84</v>
      </c>
      <c r="F49" s="4" t="s">
        <v>117</v>
      </c>
      <c r="G49" s="4" t="n">
        <v>1</v>
      </c>
      <c r="H49" s="34" t="n">
        <v>95</v>
      </c>
      <c r="I49" s="18" t="n">
        <v>0</v>
      </c>
      <c r="J49" s="4" t="s">
        <v>76</v>
      </c>
      <c r="K49" s="4" t="s">
        <v>68</v>
      </c>
      <c r="L49" s="35" t="n">
        <f aca="false">G49*H49</f>
        <v>95</v>
      </c>
      <c r="M49" s="35" t="n">
        <f aca="false">L49*I49</f>
        <v>0</v>
      </c>
      <c r="N49" s="35" t="n">
        <f aca="false">L49-M49</f>
        <v>95</v>
      </c>
      <c r="O49" s="4" t="n">
        <f aca="false">MONTH(B49)</f>
        <v>1</v>
      </c>
      <c r="P49" s="4" t="str">
        <f aca="false">CHOOSE(WEEKDAY(B49,2),"Mon","Tue","Wed","Thu","Fri","Sat","Sun")</f>
        <v>Mon</v>
      </c>
      <c r="Q49" s="4" t="str">
        <f aca="false">IF(WEEKDAY(B49,2)&gt;5,"Weekend","Weekday")</f>
        <v>Weekday</v>
      </c>
      <c r="R49" s="4" t="str">
        <f aca="false">IF(C49&lt;11,"Morning (7-10)",IF(C49&lt;14,"Lunch (11-13)",IF(C49&lt;18,"Afternoon (14-17)","Evening (18-20)")))</f>
        <v>Lunch (11-13)</v>
      </c>
      <c r="S49" s="4" t="str">
        <f aca="false">IF(AND(O49&gt;=3,O49&lt;=5),"Hot Dry (Mar-May)",IF(AND(O49&gt;=6,O49&lt;=11),"Rainy (Jun-Nov)","Cool Dry (Dec-Feb)"))</f>
        <v>Cool Dry (Dec-Feb)</v>
      </c>
      <c r="T49" s="4" t="str">
        <f aca="false">CHOOSE(O49,"Jan","Feb","Mar","Apr","May","Jun","Jul","Aug","Sep","Oct","Nov","Dec")</f>
        <v>Jan</v>
      </c>
    </row>
    <row r="50" customFormat="false" ht="15" hidden="false" customHeight="false" outlineLevel="0" collapsed="false">
      <c r="A50" s="4" t="s">
        <v>158</v>
      </c>
      <c r="B50" s="17" t="n">
        <v>45670</v>
      </c>
      <c r="C50" s="4" t="n">
        <v>16</v>
      </c>
      <c r="D50" s="4" t="s">
        <v>73</v>
      </c>
      <c r="E50" s="4" t="s">
        <v>74</v>
      </c>
      <c r="F50" s="4" t="s">
        <v>91</v>
      </c>
      <c r="G50" s="4" t="n">
        <v>1</v>
      </c>
      <c r="H50" s="34" t="n">
        <v>200</v>
      </c>
      <c r="I50" s="18" t="n">
        <v>0.05</v>
      </c>
      <c r="J50" s="4" t="s">
        <v>67</v>
      </c>
      <c r="K50" s="4" t="s">
        <v>82</v>
      </c>
      <c r="L50" s="35" t="n">
        <f aca="false">G50*H50</f>
        <v>200</v>
      </c>
      <c r="M50" s="35" t="n">
        <f aca="false">L50*I50</f>
        <v>10</v>
      </c>
      <c r="N50" s="35" t="n">
        <f aca="false">L50-M50</f>
        <v>190</v>
      </c>
      <c r="O50" s="4" t="n">
        <f aca="false">MONTH(B50)</f>
        <v>1</v>
      </c>
      <c r="P50" s="4" t="str">
        <f aca="false">CHOOSE(WEEKDAY(B50,2),"Mon","Tue","Wed","Thu","Fri","Sat","Sun")</f>
        <v>Mon</v>
      </c>
      <c r="Q50" s="4" t="str">
        <f aca="false">IF(WEEKDAY(B50,2)&gt;5,"Weekend","Weekday")</f>
        <v>Weekday</v>
      </c>
      <c r="R50" s="4" t="str">
        <f aca="false">IF(C50&lt;11,"Morning (7-10)",IF(C50&lt;14,"Lunch (11-13)",IF(C50&lt;18,"Afternoon (14-17)","Evening (18-20)")))</f>
        <v>Afternoon (14-17)</v>
      </c>
      <c r="S50" s="4" t="str">
        <f aca="false">IF(AND(O50&gt;=3,O50&lt;=5),"Hot Dry (Mar-May)",IF(AND(O50&gt;=6,O50&lt;=11),"Rainy (Jun-Nov)","Cool Dry (Dec-Feb)"))</f>
        <v>Cool Dry (Dec-Feb)</v>
      </c>
      <c r="T50" s="4" t="str">
        <f aca="false">CHOOSE(O50,"Jan","Feb","Mar","Apr","May","Jun","Jul","Aug","Sep","Oct","Nov","Dec")</f>
        <v>Jan</v>
      </c>
    </row>
    <row r="51" customFormat="false" ht="15" hidden="false" customHeight="false" outlineLevel="0" collapsed="false">
      <c r="A51" s="4" t="s">
        <v>160</v>
      </c>
      <c r="B51" s="17" t="n">
        <v>45670</v>
      </c>
      <c r="C51" s="4" t="n">
        <v>17</v>
      </c>
      <c r="D51" s="4" t="s">
        <v>70</v>
      </c>
      <c r="E51" s="4" t="s">
        <v>84</v>
      </c>
      <c r="F51" s="4" t="s">
        <v>114</v>
      </c>
      <c r="G51" s="4" t="n">
        <v>2</v>
      </c>
      <c r="H51" s="34" t="n">
        <v>85</v>
      </c>
      <c r="I51" s="18" t="n">
        <v>0</v>
      </c>
      <c r="J51" s="4" t="s">
        <v>67</v>
      </c>
      <c r="K51" s="4" t="s">
        <v>68</v>
      </c>
      <c r="L51" s="35" t="n">
        <f aca="false">G51*H51</f>
        <v>170</v>
      </c>
      <c r="M51" s="35" t="n">
        <f aca="false">L51*I51</f>
        <v>0</v>
      </c>
      <c r="N51" s="35" t="n">
        <f aca="false">L51-M51</f>
        <v>170</v>
      </c>
      <c r="O51" s="4" t="n">
        <f aca="false">MONTH(B51)</f>
        <v>1</v>
      </c>
      <c r="P51" s="4" t="str">
        <f aca="false">CHOOSE(WEEKDAY(B51,2),"Mon","Tue","Wed","Thu","Fri","Sat","Sun")</f>
        <v>Mon</v>
      </c>
      <c r="Q51" s="4" t="str">
        <f aca="false">IF(WEEKDAY(B51,2)&gt;5,"Weekend","Weekday")</f>
        <v>Weekday</v>
      </c>
      <c r="R51" s="4" t="str">
        <f aca="false">IF(C51&lt;11,"Morning (7-10)",IF(C51&lt;14,"Lunch (11-13)",IF(C51&lt;18,"Afternoon (14-17)","Evening (18-20)")))</f>
        <v>Afternoon (14-17)</v>
      </c>
      <c r="S51" s="4" t="str">
        <f aca="false">IF(AND(O51&gt;=3,O51&lt;=5),"Hot Dry (Mar-May)",IF(AND(O51&gt;=6,O51&lt;=11),"Rainy (Jun-Nov)","Cool Dry (Dec-Feb)"))</f>
        <v>Cool Dry (Dec-Feb)</v>
      </c>
      <c r="T51" s="4" t="str">
        <f aca="false">CHOOSE(O51,"Jan","Feb","Mar","Apr","May","Jun","Jul","Aug","Sep","Oct","Nov","Dec")</f>
        <v>Jan</v>
      </c>
    </row>
    <row r="52" customFormat="false" ht="15" hidden="false" customHeight="false" outlineLevel="0" collapsed="false">
      <c r="A52" s="4" t="s">
        <v>161</v>
      </c>
      <c r="B52" s="17" t="n">
        <v>45670</v>
      </c>
      <c r="C52" s="4" t="n">
        <v>18</v>
      </c>
      <c r="D52" s="4" t="s">
        <v>64</v>
      </c>
      <c r="E52" s="4" t="s">
        <v>99</v>
      </c>
      <c r="F52" s="4" t="s">
        <v>102</v>
      </c>
      <c r="G52" s="4" t="n">
        <v>4</v>
      </c>
      <c r="H52" s="34" t="n">
        <v>140</v>
      </c>
      <c r="I52" s="18" t="n">
        <v>0</v>
      </c>
      <c r="J52" s="4" t="s">
        <v>88</v>
      </c>
      <c r="K52" s="4" t="s">
        <v>68</v>
      </c>
      <c r="L52" s="35" t="n">
        <f aca="false">G52*H52</f>
        <v>560</v>
      </c>
      <c r="M52" s="35" t="n">
        <f aca="false">L52*I52</f>
        <v>0</v>
      </c>
      <c r="N52" s="35" t="n">
        <f aca="false">L52-M52</f>
        <v>560</v>
      </c>
      <c r="O52" s="4" t="n">
        <f aca="false">MONTH(B52)</f>
        <v>1</v>
      </c>
      <c r="P52" s="4" t="str">
        <f aca="false">CHOOSE(WEEKDAY(B52,2),"Mon","Tue","Wed","Thu","Fri","Sat","Sun")</f>
        <v>Mon</v>
      </c>
      <c r="Q52" s="4" t="str">
        <f aca="false">IF(WEEKDAY(B52,2)&gt;5,"Weekend","Weekday")</f>
        <v>Weekday</v>
      </c>
      <c r="R52" s="4" t="str">
        <f aca="false">IF(C52&lt;11,"Morning (7-10)",IF(C52&lt;14,"Lunch (11-13)",IF(C52&lt;18,"Afternoon (14-17)","Evening (18-20)")))</f>
        <v>Evening (18-20)</v>
      </c>
      <c r="S52" s="4" t="str">
        <f aca="false">IF(AND(O52&gt;=3,O52&lt;=5),"Hot Dry (Mar-May)",IF(AND(O52&gt;=6,O52&lt;=11),"Rainy (Jun-Nov)","Cool Dry (Dec-Feb)"))</f>
        <v>Cool Dry (Dec-Feb)</v>
      </c>
      <c r="T52" s="4" t="str">
        <f aca="false">CHOOSE(O52,"Jan","Feb","Mar","Apr","May","Jun","Jul","Aug","Sep","Oct","Nov","Dec")</f>
        <v>Jan</v>
      </c>
    </row>
    <row r="53" customFormat="false" ht="15" hidden="false" customHeight="false" outlineLevel="0" collapsed="false">
      <c r="A53" s="4" t="s">
        <v>162</v>
      </c>
      <c r="B53" s="17" t="n">
        <v>45671</v>
      </c>
      <c r="C53" s="4" t="n">
        <v>7</v>
      </c>
      <c r="D53" s="4" t="s">
        <v>98</v>
      </c>
      <c r="E53" s="4" t="s">
        <v>65</v>
      </c>
      <c r="F53" s="4" t="s">
        <v>121</v>
      </c>
      <c r="G53" s="4" t="n">
        <v>1</v>
      </c>
      <c r="H53" s="34" t="n">
        <v>170</v>
      </c>
      <c r="I53" s="18" t="n">
        <v>0.1</v>
      </c>
      <c r="J53" s="4" t="s">
        <v>67</v>
      </c>
      <c r="K53" s="4" t="s">
        <v>71</v>
      </c>
      <c r="L53" s="35" t="n">
        <f aca="false">G53*H53</f>
        <v>170</v>
      </c>
      <c r="M53" s="35" t="n">
        <f aca="false">L53*I53</f>
        <v>17</v>
      </c>
      <c r="N53" s="35" t="n">
        <f aca="false">L53-M53</f>
        <v>153</v>
      </c>
      <c r="O53" s="4" t="n">
        <f aca="false">MONTH(B53)</f>
        <v>1</v>
      </c>
      <c r="P53" s="4" t="str">
        <f aca="false">CHOOSE(WEEKDAY(B53,2),"Mon","Tue","Wed","Thu","Fri","Sat","Sun")</f>
        <v>Tue</v>
      </c>
      <c r="Q53" s="4" t="str">
        <f aca="false">IF(WEEKDAY(B53,2)&gt;5,"Weekend","Weekday")</f>
        <v>Weekday</v>
      </c>
      <c r="R53" s="4" t="str">
        <f aca="false">IF(C53&lt;11,"Morning (7-10)",IF(C53&lt;14,"Lunch (11-13)",IF(C53&lt;18,"Afternoon (14-17)","Evening (18-20)")))</f>
        <v>Morning (7-10)</v>
      </c>
      <c r="S53" s="4" t="str">
        <f aca="false">IF(AND(O53&gt;=3,O53&lt;=5),"Hot Dry (Mar-May)",IF(AND(O53&gt;=6,O53&lt;=11),"Rainy (Jun-Nov)","Cool Dry (Dec-Feb)"))</f>
        <v>Cool Dry (Dec-Feb)</v>
      </c>
      <c r="T53" s="4" t="str">
        <f aca="false">CHOOSE(O53,"Jan","Feb","Mar","Apr","May","Jun","Jul","Aug","Sep","Oct","Nov","Dec")</f>
        <v>Jan</v>
      </c>
    </row>
    <row r="54" customFormat="false" ht="15" hidden="false" customHeight="false" outlineLevel="0" collapsed="false">
      <c r="A54" s="4" t="s">
        <v>163</v>
      </c>
      <c r="B54" s="17" t="n">
        <v>45671</v>
      </c>
      <c r="C54" s="4" t="n">
        <v>12</v>
      </c>
      <c r="D54" s="4" t="s">
        <v>64</v>
      </c>
      <c r="E54" s="4" t="s">
        <v>99</v>
      </c>
      <c r="F54" s="4" t="s">
        <v>102</v>
      </c>
      <c r="G54" s="4" t="n">
        <v>1</v>
      </c>
      <c r="H54" s="34" t="n">
        <v>140</v>
      </c>
      <c r="I54" s="18" t="n">
        <v>0</v>
      </c>
      <c r="J54" s="4" t="s">
        <v>81</v>
      </c>
      <c r="K54" s="4" t="s">
        <v>82</v>
      </c>
      <c r="L54" s="35" t="n">
        <f aca="false">G54*H54</f>
        <v>140</v>
      </c>
      <c r="M54" s="35" t="n">
        <f aca="false">L54*I54</f>
        <v>0</v>
      </c>
      <c r="N54" s="35" t="n">
        <f aca="false">L54-M54</f>
        <v>140</v>
      </c>
      <c r="O54" s="4" t="n">
        <f aca="false">MONTH(B54)</f>
        <v>1</v>
      </c>
      <c r="P54" s="4" t="str">
        <f aca="false">CHOOSE(WEEKDAY(B54,2),"Mon","Tue","Wed","Thu","Fri","Sat","Sun")</f>
        <v>Tue</v>
      </c>
      <c r="Q54" s="4" t="str">
        <f aca="false">IF(WEEKDAY(B54,2)&gt;5,"Weekend","Weekday")</f>
        <v>Weekday</v>
      </c>
      <c r="R54" s="4" t="str">
        <f aca="false">IF(C54&lt;11,"Morning (7-10)",IF(C54&lt;14,"Lunch (11-13)",IF(C54&lt;18,"Afternoon (14-17)","Evening (18-20)")))</f>
        <v>Lunch (11-13)</v>
      </c>
      <c r="S54" s="4" t="str">
        <f aca="false">IF(AND(O54&gt;=3,O54&lt;=5),"Hot Dry (Mar-May)",IF(AND(O54&gt;=6,O54&lt;=11),"Rainy (Jun-Nov)","Cool Dry (Dec-Feb)"))</f>
        <v>Cool Dry (Dec-Feb)</v>
      </c>
      <c r="T54" s="4" t="str">
        <f aca="false">CHOOSE(O54,"Jan","Feb","Mar","Apr","May","Jun","Jul","Aug","Sep","Oct","Nov","Dec")</f>
        <v>Jan</v>
      </c>
    </row>
    <row r="55" customFormat="false" ht="15" hidden="false" customHeight="false" outlineLevel="0" collapsed="false">
      <c r="A55" s="4" t="s">
        <v>165</v>
      </c>
      <c r="B55" s="17" t="n">
        <v>45671</v>
      </c>
      <c r="C55" s="4" t="n">
        <v>12</v>
      </c>
      <c r="D55" s="4" t="s">
        <v>70</v>
      </c>
      <c r="E55" s="4" t="s">
        <v>74</v>
      </c>
      <c r="F55" s="4" t="s">
        <v>75</v>
      </c>
      <c r="G55" s="4" t="n">
        <v>4</v>
      </c>
      <c r="H55" s="34" t="n">
        <v>220</v>
      </c>
      <c r="I55" s="18" t="n">
        <v>0</v>
      </c>
      <c r="J55" s="4" t="s">
        <v>88</v>
      </c>
      <c r="K55" s="4" t="s">
        <v>77</v>
      </c>
      <c r="L55" s="35" t="n">
        <f aca="false">G55*H55</f>
        <v>880</v>
      </c>
      <c r="M55" s="35" t="n">
        <f aca="false">L55*I55</f>
        <v>0</v>
      </c>
      <c r="N55" s="35" t="n">
        <f aca="false">L55-M55</f>
        <v>880</v>
      </c>
      <c r="O55" s="4" t="n">
        <f aca="false">MONTH(B55)</f>
        <v>1</v>
      </c>
      <c r="P55" s="4" t="str">
        <f aca="false">CHOOSE(WEEKDAY(B55,2),"Mon","Tue","Wed","Thu","Fri","Sat","Sun")</f>
        <v>Tue</v>
      </c>
      <c r="Q55" s="4" t="str">
        <f aca="false">IF(WEEKDAY(B55,2)&gt;5,"Weekend","Weekday")</f>
        <v>Weekday</v>
      </c>
      <c r="R55" s="4" t="str">
        <f aca="false">IF(C55&lt;11,"Morning (7-10)",IF(C55&lt;14,"Lunch (11-13)",IF(C55&lt;18,"Afternoon (14-17)","Evening (18-20)")))</f>
        <v>Lunch (11-13)</v>
      </c>
      <c r="S55" s="4" t="str">
        <f aca="false">IF(AND(O55&gt;=3,O55&lt;=5),"Hot Dry (Mar-May)",IF(AND(O55&gt;=6,O55&lt;=11),"Rainy (Jun-Nov)","Cool Dry (Dec-Feb)"))</f>
        <v>Cool Dry (Dec-Feb)</v>
      </c>
      <c r="T55" s="4" t="str">
        <f aca="false">CHOOSE(O55,"Jan","Feb","Mar","Apr","May","Jun","Jul","Aug","Sep","Oct","Nov","Dec")</f>
        <v>Jan</v>
      </c>
    </row>
    <row r="56" customFormat="false" ht="15" hidden="false" customHeight="false" outlineLevel="0" collapsed="false">
      <c r="A56" s="4" t="s">
        <v>167</v>
      </c>
      <c r="B56" s="17" t="n">
        <v>45671</v>
      </c>
      <c r="C56" s="4" t="n">
        <v>12</v>
      </c>
      <c r="D56" s="4" t="s">
        <v>64</v>
      </c>
      <c r="E56" s="4" t="s">
        <v>84</v>
      </c>
      <c r="F56" s="4" t="s">
        <v>114</v>
      </c>
      <c r="G56" s="4" t="n">
        <v>1</v>
      </c>
      <c r="H56" s="34" t="n">
        <v>85</v>
      </c>
      <c r="I56" s="18" t="n">
        <v>0</v>
      </c>
      <c r="J56" s="4" t="s">
        <v>81</v>
      </c>
      <c r="K56" s="4" t="s">
        <v>68</v>
      </c>
      <c r="L56" s="35" t="n">
        <f aca="false">G56*H56</f>
        <v>85</v>
      </c>
      <c r="M56" s="35" t="n">
        <f aca="false">L56*I56</f>
        <v>0</v>
      </c>
      <c r="N56" s="35" t="n">
        <f aca="false">L56-M56</f>
        <v>85</v>
      </c>
      <c r="O56" s="4" t="n">
        <f aca="false">MONTH(B56)</f>
        <v>1</v>
      </c>
      <c r="P56" s="4" t="str">
        <f aca="false">CHOOSE(WEEKDAY(B56,2),"Mon","Tue","Wed","Thu","Fri","Sat","Sun")</f>
        <v>Tue</v>
      </c>
      <c r="Q56" s="4" t="str">
        <f aca="false">IF(WEEKDAY(B56,2)&gt;5,"Weekend","Weekday")</f>
        <v>Weekday</v>
      </c>
      <c r="R56" s="4" t="str">
        <f aca="false">IF(C56&lt;11,"Morning (7-10)",IF(C56&lt;14,"Lunch (11-13)",IF(C56&lt;18,"Afternoon (14-17)","Evening (18-20)")))</f>
        <v>Lunch (11-13)</v>
      </c>
      <c r="S56" s="4" t="str">
        <f aca="false">IF(AND(O56&gt;=3,O56&lt;=5),"Hot Dry (Mar-May)",IF(AND(O56&gt;=6,O56&lt;=11),"Rainy (Jun-Nov)","Cool Dry (Dec-Feb)"))</f>
        <v>Cool Dry (Dec-Feb)</v>
      </c>
      <c r="T56" s="4" t="str">
        <f aca="false">CHOOSE(O56,"Jan","Feb","Mar","Apr","May","Jun","Jul","Aug","Sep","Oct","Nov","Dec")</f>
        <v>Jan</v>
      </c>
    </row>
    <row r="57" customFormat="false" ht="15" hidden="false" customHeight="false" outlineLevel="0" collapsed="false">
      <c r="A57" s="4" t="s">
        <v>168</v>
      </c>
      <c r="B57" s="17" t="n">
        <v>45671</v>
      </c>
      <c r="C57" s="4" t="n">
        <v>16</v>
      </c>
      <c r="D57" s="4" t="s">
        <v>98</v>
      </c>
      <c r="E57" s="4" t="s">
        <v>84</v>
      </c>
      <c r="F57" s="4" t="s">
        <v>117</v>
      </c>
      <c r="G57" s="4" t="n">
        <v>4</v>
      </c>
      <c r="H57" s="34" t="n">
        <v>95</v>
      </c>
      <c r="I57" s="18" t="n">
        <v>0</v>
      </c>
      <c r="J57" s="4" t="s">
        <v>81</v>
      </c>
      <c r="K57" s="4" t="s">
        <v>68</v>
      </c>
      <c r="L57" s="35" t="n">
        <f aca="false">G57*H57</f>
        <v>380</v>
      </c>
      <c r="M57" s="35" t="n">
        <f aca="false">L57*I57</f>
        <v>0</v>
      </c>
      <c r="N57" s="35" t="n">
        <f aca="false">L57-M57</f>
        <v>380</v>
      </c>
      <c r="O57" s="4" t="n">
        <f aca="false">MONTH(B57)</f>
        <v>1</v>
      </c>
      <c r="P57" s="4" t="str">
        <f aca="false">CHOOSE(WEEKDAY(B57,2),"Mon","Tue","Wed","Thu","Fri","Sat","Sun")</f>
        <v>Tue</v>
      </c>
      <c r="Q57" s="4" t="str">
        <f aca="false">IF(WEEKDAY(B57,2)&gt;5,"Weekend","Weekday")</f>
        <v>Weekday</v>
      </c>
      <c r="R57" s="4" t="str">
        <f aca="false">IF(C57&lt;11,"Morning (7-10)",IF(C57&lt;14,"Lunch (11-13)",IF(C57&lt;18,"Afternoon (14-17)","Evening (18-20)")))</f>
        <v>Afternoon (14-17)</v>
      </c>
      <c r="S57" s="4" t="str">
        <f aca="false">IF(AND(O57&gt;=3,O57&lt;=5),"Hot Dry (Mar-May)",IF(AND(O57&gt;=6,O57&lt;=11),"Rainy (Jun-Nov)","Cool Dry (Dec-Feb)"))</f>
        <v>Cool Dry (Dec-Feb)</v>
      </c>
      <c r="T57" s="4" t="str">
        <f aca="false">CHOOSE(O57,"Jan","Feb","Mar","Apr","May","Jun","Jul","Aug","Sep","Oct","Nov","Dec")</f>
        <v>Jan</v>
      </c>
    </row>
    <row r="58" customFormat="false" ht="15" hidden="false" customHeight="false" outlineLevel="0" collapsed="false">
      <c r="A58" s="4" t="s">
        <v>170</v>
      </c>
      <c r="B58" s="17" t="n">
        <v>45671</v>
      </c>
      <c r="C58" s="4" t="n">
        <v>17</v>
      </c>
      <c r="D58" s="4" t="s">
        <v>70</v>
      </c>
      <c r="E58" s="4" t="s">
        <v>99</v>
      </c>
      <c r="F58" s="4" t="s">
        <v>100</v>
      </c>
      <c r="G58" s="4" t="n">
        <v>1</v>
      </c>
      <c r="H58" s="34" t="n">
        <v>110</v>
      </c>
      <c r="I58" s="18" t="n">
        <v>0.1</v>
      </c>
      <c r="J58" s="4" t="s">
        <v>81</v>
      </c>
      <c r="K58" s="4" t="s">
        <v>71</v>
      </c>
      <c r="L58" s="35" t="n">
        <f aca="false">G58*H58</f>
        <v>110</v>
      </c>
      <c r="M58" s="35" t="n">
        <f aca="false">L58*I58</f>
        <v>11</v>
      </c>
      <c r="N58" s="35" t="n">
        <f aca="false">L58-M58</f>
        <v>99</v>
      </c>
      <c r="O58" s="4" t="n">
        <f aca="false">MONTH(B58)</f>
        <v>1</v>
      </c>
      <c r="P58" s="4" t="str">
        <f aca="false">CHOOSE(WEEKDAY(B58,2),"Mon","Tue","Wed","Thu","Fri","Sat","Sun")</f>
        <v>Tue</v>
      </c>
      <c r="Q58" s="4" t="str">
        <f aca="false">IF(WEEKDAY(B58,2)&gt;5,"Weekend","Weekday")</f>
        <v>Weekday</v>
      </c>
      <c r="R58" s="4" t="str">
        <f aca="false">IF(C58&lt;11,"Morning (7-10)",IF(C58&lt;14,"Lunch (11-13)",IF(C58&lt;18,"Afternoon (14-17)","Evening (18-20)")))</f>
        <v>Afternoon (14-17)</v>
      </c>
      <c r="S58" s="4" t="str">
        <f aca="false">IF(AND(O58&gt;=3,O58&lt;=5),"Hot Dry (Mar-May)",IF(AND(O58&gt;=6,O58&lt;=11),"Rainy (Jun-Nov)","Cool Dry (Dec-Feb)"))</f>
        <v>Cool Dry (Dec-Feb)</v>
      </c>
      <c r="T58" s="4" t="str">
        <f aca="false">CHOOSE(O58,"Jan","Feb","Mar","Apr","May","Jun","Jul","Aug","Sep","Oct","Nov","Dec")</f>
        <v>Jan</v>
      </c>
    </row>
    <row r="59" customFormat="false" ht="15" hidden="false" customHeight="false" outlineLevel="0" collapsed="false">
      <c r="A59" s="4" t="s">
        <v>171</v>
      </c>
      <c r="B59" s="17" t="n">
        <v>45672</v>
      </c>
      <c r="C59" s="4" t="n">
        <v>7</v>
      </c>
      <c r="D59" s="4" t="s">
        <v>70</v>
      </c>
      <c r="E59" s="4" t="s">
        <v>99</v>
      </c>
      <c r="F59" s="4" t="s">
        <v>102</v>
      </c>
      <c r="G59" s="4" t="n">
        <v>1</v>
      </c>
      <c r="H59" s="34" t="n">
        <v>140</v>
      </c>
      <c r="I59" s="18" t="n">
        <v>0.05</v>
      </c>
      <c r="J59" s="4" t="s">
        <v>81</v>
      </c>
      <c r="K59" s="4" t="s">
        <v>82</v>
      </c>
      <c r="L59" s="35" t="n">
        <f aca="false">G59*H59</f>
        <v>140</v>
      </c>
      <c r="M59" s="35" t="n">
        <f aca="false">L59*I59</f>
        <v>7</v>
      </c>
      <c r="N59" s="35" t="n">
        <f aca="false">L59-M59</f>
        <v>133</v>
      </c>
      <c r="O59" s="4" t="n">
        <f aca="false">MONTH(B59)</f>
        <v>1</v>
      </c>
      <c r="P59" s="4" t="str">
        <f aca="false">CHOOSE(WEEKDAY(B59,2),"Mon","Tue","Wed","Thu","Fri","Sat","Sun")</f>
        <v>Wed</v>
      </c>
      <c r="Q59" s="4" t="str">
        <f aca="false">IF(WEEKDAY(B59,2)&gt;5,"Weekend","Weekday")</f>
        <v>Weekday</v>
      </c>
      <c r="R59" s="4" t="str">
        <f aca="false">IF(C59&lt;11,"Morning (7-10)",IF(C59&lt;14,"Lunch (11-13)",IF(C59&lt;18,"Afternoon (14-17)","Evening (18-20)")))</f>
        <v>Morning (7-10)</v>
      </c>
      <c r="S59" s="4" t="str">
        <f aca="false">IF(AND(O59&gt;=3,O59&lt;=5),"Hot Dry (Mar-May)",IF(AND(O59&gt;=6,O59&lt;=11),"Rainy (Jun-Nov)","Cool Dry (Dec-Feb)"))</f>
        <v>Cool Dry (Dec-Feb)</v>
      </c>
      <c r="T59" s="4" t="str">
        <f aca="false">CHOOSE(O59,"Jan","Feb","Mar","Apr","May","Jun","Jul","Aug","Sep","Oct","Nov","Dec")</f>
        <v>Jan</v>
      </c>
    </row>
    <row r="60" customFormat="false" ht="15" hidden="false" customHeight="false" outlineLevel="0" collapsed="false">
      <c r="A60" s="4" t="s">
        <v>173</v>
      </c>
      <c r="B60" s="17" t="n">
        <v>45672</v>
      </c>
      <c r="C60" s="4" t="n">
        <v>8</v>
      </c>
      <c r="D60" s="4" t="s">
        <v>64</v>
      </c>
      <c r="E60" s="4" t="s">
        <v>65</v>
      </c>
      <c r="F60" s="4" t="s">
        <v>121</v>
      </c>
      <c r="G60" s="4" t="n">
        <v>1</v>
      </c>
      <c r="H60" s="34" t="n">
        <v>170</v>
      </c>
      <c r="I60" s="18" t="n">
        <v>0</v>
      </c>
      <c r="J60" s="4" t="s">
        <v>112</v>
      </c>
      <c r="K60" s="4" t="s">
        <v>68</v>
      </c>
      <c r="L60" s="35" t="n">
        <f aca="false">G60*H60</f>
        <v>170</v>
      </c>
      <c r="M60" s="35" t="n">
        <f aca="false">L60*I60</f>
        <v>0</v>
      </c>
      <c r="N60" s="35" t="n">
        <f aca="false">L60-M60</f>
        <v>170</v>
      </c>
      <c r="O60" s="4" t="n">
        <f aca="false">MONTH(B60)</f>
        <v>1</v>
      </c>
      <c r="P60" s="4" t="str">
        <f aca="false">CHOOSE(WEEKDAY(B60,2),"Mon","Tue","Wed","Thu","Fri","Sat","Sun")</f>
        <v>Wed</v>
      </c>
      <c r="Q60" s="4" t="str">
        <f aca="false">IF(WEEKDAY(B60,2)&gt;5,"Weekend","Weekday")</f>
        <v>Weekday</v>
      </c>
      <c r="R60" s="4" t="str">
        <f aca="false">IF(C60&lt;11,"Morning (7-10)",IF(C60&lt;14,"Lunch (11-13)",IF(C60&lt;18,"Afternoon (14-17)","Evening (18-20)")))</f>
        <v>Morning (7-10)</v>
      </c>
      <c r="S60" s="4" t="str">
        <f aca="false">IF(AND(O60&gt;=3,O60&lt;=5),"Hot Dry (Mar-May)",IF(AND(O60&gt;=6,O60&lt;=11),"Rainy (Jun-Nov)","Cool Dry (Dec-Feb)"))</f>
        <v>Cool Dry (Dec-Feb)</v>
      </c>
      <c r="T60" s="4" t="str">
        <f aca="false">CHOOSE(O60,"Jan","Feb","Mar","Apr","May","Jun","Jul","Aug","Sep","Oct","Nov","Dec")</f>
        <v>Jan</v>
      </c>
    </row>
    <row r="61" customFormat="false" ht="15" hidden="false" customHeight="false" outlineLevel="0" collapsed="false">
      <c r="A61" s="4" t="s">
        <v>175</v>
      </c>
      <c r="B61" s="17" t="n">
        <v>45672</v>
      </c>
      <c r="C61" s="4" t="n">
        <v>8</v>
      </c>
      <c r="D61" s="4" t="s">
        <v>64</v>
      </c>
      <c r="E61" s="4" t="s">
        <v>99</v>
      </c>
      <c r="F61" s="4" t="s">
        <v>102</v>
      </c>
      <c r="G61" s="4" t="n">
        <v>2</v>
      </c>
      <c r="H61" s="34" t="n">
        <v>140</v>
      </c>
      <c r="I61" s="18" t="n">
        <v>0.05</v>
      </c>
      <c r="J61" s="4" t="s">
        <v>88</v>
      </c>
      <c r="K61" s="4" t="s">
        <v>82</v>
      </c>
      <c r="L61" s="35" t="n">
        <f aca="false">G61*H61</f>
        <v>280</v>
      </c>
      <c r="M61" s="35" t="n">
        <f aca="false">L61*I61</f>
        <v>14</v>
      </c>
      <c r="N61" s="35" t="n">
        <f aca="false">L61-M61</f>
        <v>266</v>
      </c>
      <c r="O61" s="4" t="n">
        <f aca="false">MONTH(B61)</f>
        <v>1</v>
      </c>
      <c r="P61" s="4" t="str">
        <f aca="false">CHOOSE(WEEKDAY(B61,2),"Mon","Tue","Wed","Thu","Fri","Sat","Sun")</f>
        <v>Wed</v>
      </c>
      <c r="Q61" s="4" t="str">
        <f aca="false">IF(WEEKDAY(B61,2)&gt;5,"Weekend","Weekday")</f>
        <v>Weekday</v>
      </c>
      <c r="R61" s="4" t="str">
        <f aca="false">IF(C61&lt;11,"Morning (7-10)",IF(C61&lt;14,"Lunch (11-13)",IF(C61&lt;18,"Afternoon (14-17)","Evening (18-20)")))</f>
        <v>Morning (7-10)</v>
      </c>
      <c r="S61" s="4" t="str">
        <f aca="false">IF(AND(O61&gt;=3,O61&lt;=5),"Hot Dry (Mar-May)",IF(AND(O61&gt;=6,O61&lt;=11),"Rainy (Jun-Nov)","Cool Dry (Dec-Feb)"))</f>
        <v>Cool Dry (Dec-Feb)</v>
      </c>
      <c r="T61" s="4" t="str">
        <f aca="false">CHOOSE(O61,"Jan","Feb","Mar","Apr","May","Jun","Jul","Aug","Sep","Oct","Nov","Dec")</f>
        <v>Jan</v>
      </c>
    </row>
    <row r="62" customFormat="false" ht="15" hidden="false" customHeight="false" outlineLevel="0" collapsed="false">
      <c r="A62" s="4" t="s">
        <v>176</v>
      </c>
      <c r="B62" s="17" t="n">
        <v>45672</v>
      </c>
      <c r="C62" s="4" t="n">
        <v>9</v>
      </c>
      <c r="D62" s="4" t="s">
        <v>73</v>
      </c>
      <c r="E62" s="4" t="s">
        <v>65</v>
      </c>
      <c r="F62" s="4" t="s">
        <v>87</v>
      </c>
      <c r="G62" s="4" t="n">
        <v>2</v>
      </c>
      <c r="H62" s="34" t="n">
        <v>160</v>
      </c>
      <c r="I62" s="18" t="n">
        <v>0</v>
      </c>
      <c r="J62" s="4" t="s">
        <v>81</v>
      </c>
      <c r="K62" s="4" t="s">
        <v>68</v>
      </c>
      <c r="L62" s="35" t="n">
        <f aca="false">G62*H62</f>
        <v>320</v>
      </c>
      <c r="M62" s="35" t="n">
        <f aca="false">L62*I62</f>
        <v>0</v>
      </c>
      <c r="N62" s="35" t="n">
        <f aca="false">L62-M62</f>
        <v>320</v>
      </c>
      <c r="O62" s="4" t="n">
        <f aca="false">MONTH(B62)</f>
        <v>1</v>
      </c>
      <c r="P62" s="4" t="str">
        <f aca="false">CHOOSE(WEEKDAY(B62,2),"Mon","Tue","Wed","Thu","Fri","Sat","Sun")</f>
        <v>Wed</v>
      </c>
      <c r="Q62" s="4" t="str">
        <f aca="false">IF(WEEKDAY(B62,2)&gt;5,"Weekend","Weekday")</f>
        <v>Weekday</v>
      </c>
      <c r="R62" s="4" t="str">
        <f aca="false">IF(C62&lt;11,"Morning (7-10)",IF(C62&lt;14,"Lunch (11-13)",IF(C62&lt;18,"Afternoon (14-17)","Evening (18-20)")))</f>
        <v>Morning (7-10)</v>
      </c>
      <c r="S62" s="4" t="str">
        <f aca="false">IF(AND(O62&gt;=3,O62&lt;=5),"Hot Dry (Mar-May)",IF(AND(O62&gt;=6,O62&lt;=11),"Rainy (Jun-Nov)","Cool Dry (Dec-Feb)"))</f>
        <v>Cool Dry (Dec-Feb)</v>
      </c>
      <c r="T62" s="4" t="str">
        <f aca="false">CHOOSE(O62,"Jan","Feb","Mar","Apr","May","Jun","Jul","Aug","Sep","Oct","Nov","Dec")</f>
        <v>Jan</v>
      </c>
    </row>
    <row r="63" customFormat="false" ht="15" hidden="false" customHeight="false" outlineLevel="0" collapsed="false">
      <c r="A63" s="4" t="s">
        <v>177</v>
      </c>
      <c r="B63" s="17" t="n">
        <v>45672</v>
      </c>
      <c r="C63" s="4" t="n">
        <v>12</v>
      </c>
      <c r="D63" s="4" t="s">
        <v>70</v>
      </c>
      <c r="E63" s="4" t="s">
        <v>65</v>
      </c>
      <c r="F63" s="4" t="s">
        <v>94</v>
      </c>
      <c r="G63" s="4" t="n">
        <v>2</v>
      </c>
      <c r="H63" s="34" t="n">
        <v>150</v>
      </c>
      <c r="I63" s="18" t="n">
        <v>0</v>
      </c>
      <c r="J63" s="4" t="s">
        <v>67</v>
      </c>
      <c r="K63" s="4" t="s">
        <v>77</v>
      </c>
      <c r="L63" s="35" t="n">
        <f aca="false">G63*H63</f>
        <v>300</v>
      </c>
      <c r="M63" s="35" t="n">
        <f aca="false">L63*I63</f>
        <v>0</v>
      </c>
      <c r="N63" s="35" t="n">
        <f aca="false">L63-M63</f>
        <v>300</v>
      </c>
      <c r="O63" s="4" t="n">
        <f aca="false">MONTH(B63)</f>
        <v>1</v>
      </c>
      <c r="P63" s="4" t="str">
        <f aca="false">CHOOSE(WEEKDAY(B63,2),"Mon","Tue","Wed","Thu","Fri","Sat","Sun")</f>
        <v>Wed</v>
      </c>
      <c r="Q63" s="4" t="str">
        <f aca="false">IF(WEEKDAY(B63,2)&gt;5,"Weekend","Weekday")</f>
        <v>Weekday</v>
      </c>
      <c r="R63" s="4" t="str">
        <f aca="false">IF(C63&lt;11,"Morning (7-10)",IF(C63&lt;14,"Lunch (11-13)",IF(C63&lt;18,"Afternoon (14-17)","Evening (18-20)")))</f>
        <v>Lunch (11-13)</v>
      </c>
      <c r="S63" s="4" t="str">
        <f aca="false">IF(AND(O63&gt;=3,O63&lt;=5),"Hot Dry (Mar-May)",IF(AND(O63&gt;=6,O63&lt;=11),"Rainy (Jun-Nov)","Cool Dry (Dec-Feb)"))</f>
        <v>Cool Dry (Dec-Feb)</v>
      </c>
      <c r="T63" s="4" t="str">
        <f aca="false">CHOOSE(O63,"Jan","Feb","Mar","Apr","May","Jun","Jul","Aug","Sep","Oct","Nov","Dec")</f>
        <v>Jan</v>
      </c>
    </row>
    <row r="64" customFormat="false" ht="15" hidden="false" customHeight="false" outlineLevel="0" collapsed="false">
      <c r="A64" s="4" t="s">
        <v>178</v>
      </c>
      <c r="B64" s="17" t="n">
        <v>45672</v>
      </c>
      <c r="C64" s="4" t="n">
        <v>13</v>
      </c>
      <c r="D64" s="4" t="s">
        <v>64</v>
      </c>
      <c r="E64" s="4" t="s">
        <v>99</v>
      </c>
      <c r="F64" s="4" t="s">
        <v>109</v>
      </c>
      <c r="G64" s="4" t="n">
        <v>2</v>
      </c>
      <c r="H64" s="34" t="n">
        <v>130</v>
      </c>
      <c r="I64" s="18" t="n">
        <v>0</v>
      </c>
      <c r="J64" s="4" t="s">
        <v>81</v>
      </c>
      <c r="K64" s="4" t="s">
        <v>68</v>
      </c>
      <c r="L64" s="35" t="n">
        <f aca="false">G64*H64</f>
        <v>260</v>
      </c>
      <c r="M64" s="35" t="n">
        <f aca="false">L64*I64</f>
        <v>0</v>
      </c>
      <c r="N64" s="35" t="n">
        <f aca="false">L64-M64</f>
        <v>260</v>
      </c>
      <c r="O64" s="4" t="n">
        <f aca="false">MONTH(B64)</f>
        <v>1</v>
      </c>
      <c r="P64" s="4" t="str">
        <f aca="false">CHOOSE(WEEKDAY(B64,2),"Mon","Tue","Wed","Thu","Fri","Sat","Sun")</f>
        <v>Wed</v>
      </c>
      <c r="Q64" s="4" t="str">
        <f aca="false">IF(WEEKDAY(B64,2)&gt;5,"Weekend","Weekday")</f>
        <v>Weekday</v>
      </c>
      <c r="R64" s="4" t="str">
        <f aca="false">IF(C64&lt;11,"Morning (7-10)",IF(C64&lt;14,"Lunch (11-13)",IF(C64&lt;18,"Afternoon (14-17)","Evening (18-20)")))</f>
        <v>Lunch (11-13)</v>
      </c>
      <c r="S64" s="4" t="str">
        <f aca="false">IF(AND(O64&gt;=3,O64&lt;=5),"Hot Dry (Mar-May)",IF(AND(O64&gt;=6,O64&lt;=11),"Rainy (Jun-Nov)","Cool Dry (Dec-Feb)"))</f>
        <v>Cool Dry (Dec-Feb)</v>
      </c>
      <c r="T64" s="4" t="str">
        <f aca="false">CHOOSE(O64,"Jan","Feb","Mar","Apr","May","Jun","Jul","Aug","Sep","Oct","Nov","Dec")</f>
        <v>Jan</v>
      </c>
    </row>
    <row r="65" customFormat="false" ht="15" hidden="false" customHeight="false" outlineLevel="0" collapsed="false">
      <c r="A65" s="4" t="s">
        <v>179</v>
      </c>
      <c r="B65" s="17" t="n">
        <v>45672</v>
      </c>
      <c r="C65" s="4" t="n">
        <v>18</v>
      </c>
      <c r="D65" s="4" t="s">
        <v>98</v>
      </c>
      <c r="E65" s="4" t="s">
        <v>99</v>
      </c>
      <c r="F65" s="4" t="s">
        <v>100</v>
      </c>
      <c r="G65" s="4" t="n">
        <v>1</v>
      </c>
      <c r="H65" s="34" t="n">
        <v>110</v>
      </c>
      <c r="I65" s="18" t="n">
        <v>0.1</v>
      </c>
      <c r="J65" s="4" t="s">
        <v>112</v>
      </c>
      <c r="K65" s="4" t="s">
        <v>71</v>
      </c>
      <c r="L65" s="35" t="n">
        <f aca="false">G65*H65</f>
        <v>110</v>
      </c>
      <c r="M65" s="35" t="n">
        <f aca="false">L65*I65</f>
        <v>11</v>
      </c>
      <c r="N65" s="35" t="n">
        <f aca="false">L65-M65</f>
        <v>99</v>
      </c>
      <c r="O65" s="4" t="n">
        <f aca="false">MONTH(B65)</f>
        <v>1</v>
      </c>
      <c r="P65" s="4" t="str">
        <f aca="false">CHOOSE(WEEKDAY(B65,2),"Mon","Tue","Wed","Thu","Fri","Sat","Sun")</f>
        <v>Wed</v>
      </c>
      <c r="Q65" s="4" t="str">
        <f aca="false">IF(WEEKDAY(B65,2)&gt;5,"Weekend","Weekday")</f>
        <v>Weekday</v>
      </c>
      <c r="R65" s="4" t="str">
        <f aca="false">IF(C65&lt;11,"Morning (7-10)",IF(C65&lt;14,"Lunch (11-13)",IF(C65&lt;18,"Afternoon (14-17)","Evening (18-20)")))</f>
        <v>Evening (18-20)</v>
      </c>
      <c r="S65" s="4" t="str">
        <f aca="false">IF(AND(O65&gt;=3,O65&lt;=5),"Hot Dry (Mar-May)",IF(AND(O65&gt;=6,O65&lt;=11),"Rainy (Jun-Nov)","Cool Dry (Dec-Feb)"))</f>
        <v>Cool Dry (Dec-Feb)</v>
      </c>
      <c r="T65" s="4" t="str">
        <f aca="false">CHOOSE(O65,"Jan","Feb","Mar","Apr","May","Jun","Jul","Aug","Sep","Oct","Nov","Dec")</f>
        <v>Jan</v>
      </c>
    </row>
    <row r="66" customFormat="false" ht="15" hidden="false" customHeight="false" outlineLevel="0" collapsed="false">
      <c r="A66" s="4" t="s">
        <v>180</v>
      </c>
      <c r="B66" s="17" t="n">
        <v>45673</v>
      </c>
      <c r="C66" s="4" t="n">
        <v>7</v>
      </c>
      <c r="D66" s="4" t="s">
        <v>70</v>
      </c>
      <c r="E66" s="4" t="s">
        <v>99</v>
      </c>
      <c r="F66" s="4" t="s">
        <v>109</v>
      </c>
      <c r="G66" s="4" t="n">
        <v>2</v>
      </c>
      <c r="H66" s="34" t="n">
        <v>130</v>
      </c>
      <c r="I66" s="18" t="n">
        <v>0.05</v>
      </c>
      <c r="J66" s="4" t="s">
        <v>76</v>
      </c>
      <c r="K66" s="4" t="s">
        <v>82</v>
      </c>
      <c r="L66" s="35" t="n">
        <f aca="false">G66*H66</f>
        <v>260</v>
      </c>
      <c r="M66" s="35" t="n">
        <f aca="false">L66*I66</f>
        <v>13</v>
      </c>
      <c r="N66" s="35" t="n">
        <f aca="false">L66-M66</f>
        <v>247</v>
      </c>
      <c r="O66" s="4" t="n">
        <f aca="false">MONTH(B66)</f>
        <v>1</v>
      </c>
      <c r="P66" s="4" t="str">
        <f aca="false">CHOOSE(WEEKDAY(B66,2),"Mon","Tue","Wed","Thu","Fri","Sat","Sun")</f>
        <v>Thu</v>
      </c>
      <c r="Q66" s="4" t="str">
        <f aca="false">IF(WEEKDAY(B66,2)&gt;5,"Weekend","Weekday")</f>
        <v>Weekday</v>
      </c>
      <c r="R66" s="4" t="str">
        <f aca="false">IF(C66&lt;11,"Morning (7-10)",IF(C66&lt;14,"Lunch (11-13)",IF(C66&lt;18,"Afternoon (14-17)","Evening (18-20)")))</f>
        <v>Morning (7-10)</v>
      </c>
      <c r="S66" s="4" t="str">
        <f aca="false">IF(AND(O66&gt;=3,O66&lt;=5),"Hot Dry (Mar-May)",IF(AND(O66&gt;=6,O66&lt;=11),"Rainy (Jun-Nov)","Cool Dry (Dec-Feb)"))</f>
        <v>Cool Dry (Dec-Feb)</v>
      </c>
      <c r="T66" s="4" t="str">
        <f aca="false">CHOOSE(O66,"Jan","Feb","Mar","Apr","May","Jun","Jul","Aug","Sep","Oct","Nov","Dec")</f>
        <v>Jan</v>
      </c>
    </row>
    <row r="67" customFormat="false" ht="15" hidden="false" customHeight="false" outlineLevel="0" collapsed="false">
      <c r="A67" s="4" t="s">
        <v>181</v>
      </c>
      <c r="B67" s="17" t="n">
        <v>45673</v>
      </c>
      <c r="C67" s="4" t="n">
        <v>11</v>
      </c>
      <c r="D67" s="4" t="s">
        <v>70</v>
      </c>
      <c r="E67" s="4" t="s">
        <v>99</v>
      </c>
      <c r="F67" s="4" t="s">
        <v>109</v>
      </c>
      <c r="G67" s="4" t="n">
        <v>1</v>
      </c>
      <c r="H67" s="34" t="n">
        <v>130</v>
      </c>
      <c r="I67" s="18" t="n">
        <v>0</v>
      </c>
      <c r="J67" s="4" t="s">
        <v>81</v>
      </c>
      <c r="K67" s="4" t="s">
        <v>68</v>
      </c>
      <c r="L67" s="35" t="n">
        <f aca="false">G67*H67</f>
        <v>130</v>
      </c>
      <c r="M67" s="35" t="n">
        <f aca="false">L67*I67</f>
        <v>0</v>
      </c>
      <c r="N67" s="35" t="n">
        <f aca="false">L67-M67</f>
        <v>130</v>
      </c>
      <c r="O67" s="4" t="n">
        <f aca="false">MONTH(B67)</f>
        <v>1</v>
      </c>
      <c r="P67" s="4" t="str">
        <f aca="false">CHOOSE(WEEKDAY(B67,2),"Mon","Tue","Wed","Thu","Fri","Sat","Sun")</f>
        <v>Thu</v>
      </c>
      <c r="Q67" s="4" t="str">
        <f aca="false">IF(WEEKDAY(B67,2)&gt;5,"Weekend","Weekday")</f>
        <v>Weekday</v>
      </c>
      <c r="R67" s="4" t="str">
        <f aca="false">IF(C67&lt;11,"Morning (7-10)",IF(C67&lt;14,"Lunch (11-13)",IF(C67&lt;18,"Afternoon (14-17)","Evening (18-20)")))</f>
        <v>Lunch (11-13)</v>
      </c>
      <c r="S67" s="4" t="str">
        <f aca="false">IF(AND(O67&gt;=3,O67&lt;=5),"Hot Dry (Mar-May)",IF(AND(O67&gt;=6,O67&lt;=11),"Rainy (Jun-Nov)","Cool Dry (Dec-Feb)"))</f>
        <v>Cool Dry (Dec-Feb)</v>
      </c>
      <c r="T67" s="4" t="str">
        <f aca="false">CHOOSE(O67,"Jan","Feb","Mar","Apr","May","Jun","Jul","Aug","Sep","Oct","Nov","Dec")</f>
        <v>Jan</v>
      </c>
    </row>
    <row r="68" customFormat="false" ht="15" hidden="false" customHeight="false" outlineLevel="0" collapsed="false">
      <c r="A68" s="4" t="s">
        <v>182</v>
      </c>
      <c r="B68" s="17" t="n">
        <v>45673</v>
      </c>
      <c r="C68" s="4" t="n">
        <v>12</v>
      </c>
      <c r="D68" s="4" t="s">
        <v>98</v>
      </c>
      <c r="E68" s="4" t="s">
        <v>99</v>
      </c>
      <c r="F68" s="4" t="s">
        <v>133</v>
      </c>
      <c r="G68" s="4" t="n">
        <v>3</v>
      </c>
      <c r="H68" s="34" t="n">
        <v>90</v>
      </c>
      <c r="I68" s="18" t="n">
        <v>0.1</v>
      </c>
      <c r="J68" s="4" t="s">
        <v>67</v>
      </c>
      <c r="K68" s="4" t="s">
        <v>71</v>
      </c>
      <c r="L68" s="35" t="n">
        <f aca="false">G68*H68</f>
        <v>270</v>
      </c>
      <c r="M68" s="35" t="n">
        <f aca="false">L68*I68</f>
        <v>27</v>
      </c>
      <c r="N68" s="35" t="n">
        <f aca="false">L68-M68</f>
        <v>243</v>
      </c>
      <c r="O68" s="4" t="n">
        <f aca="false">MONTH(B68)</f>
        <v>1</v>
      </c>
      <c r="P68" s="4" t="str">
        <f aca="false">CHOOSE(WEEKDAY(B68,2),"Mon","Tue","Wed","Thu","Fri","Sat","Sun")</f>
        <v>Thu</v>
      </c>
      <c r="Q68" s="4" t="str">
        <f aca="false">IF(WEEKDAY(B68,2)&gt;5,"Weekend","Weekday")</f>
        <v>Weekday</v>
      </c>
      <c r="R68" s="4" t="str">
        <f aca="false">IF(C68&lt;11,"Morning (7-10)",IF(C68&lt;14,"Lunch (11-13)",IF(C68&lt;18,"Afternoon (14-17)","Evening (18-20)")))</f>
        <v>Lunch (11-13)</v>
      </c>
      <c r="S68" s="4" t="str">
        <f aca="false">IF(AND(O68&gt;=3,O68&lt;=5),"Hot Dry (Mar-May)",IF(AND(O68&gt;=6,O68&lt;=11),"Rainy (Jun-Nov)","Cool Dry (Dec-Feb)"))</f>
        <v>Cool Dry (Dec-Feb)</v>
      </c>
      <c r="T68" s="4" t="str">
        <f aca="false">CHOOSE(O68,"Jan","Feb","Mar","Apr","May","Jun","Jul","Aug","Sep","Oct","Nov","Dec")</f>
        <v>Jan</v>
      </c>
    </row>
    <row r="69" customFormat="false" ht="15" hidden="false" customHeight="false" outlineLevel="0" collapsed="false">
      <c r="A69" s="4" t="s">
        <v>184</v>
      </c>
      <c r="B69" s="17" t="n">
        <v>45673</v>
      </c>
      <c r="C69" s="4" t="n">
        <v>13</v>
      </c>
      <c r="D69" s="4" t="s">
        <v>70</v>
      </c>
      <c r="E69" s="4" t="s">
        <v>65</v>
      </c>
      <c r="F69" s="4" t="s">
        <v>94</v>
      </c>
      <c r="G69" s="4" t="n">
        <v>3</v>
      </c>
      <c r="H69" s="34" t="n">
        <v>150</v>
      </c>
      <c r="I69" s="18" t="n">
        <v>0.1</v>
      </c>
      <c r="J69" s="4" t="s">
        <v>76</v>
      </c>
      <c r="K69" s="4" t="s">
        <v>71</v>
      </c>
      <c r="L69" s="35" t="n">
        <f aca="false">G69*H69</f>
        <v>450</v>
      </c>
      <c r="M69" s="35" t="n">
        <f aca="false">L69*I69</f>
        <v>45</v>
      </c>
      <c r="N69" s="35" t="n">
        <f aca="false">L69-M69</f>
        <v>405</v>
      </c>
      <c r="O69" s="4" t="n">
        <f aca="false">MONTH(B69)</f>
        <v>1</v>
      </c>
      <c r="P69" s="4" t="str">
        <f aca="false">CHOOSE(WEEKDAY(B69,2),"Mon","Tue","Wed","Thu","Fri","Sat","Sun")</f>
        <v>Thu</v>
      </c>
      <c r="Q69" s="4" t="str">
        <f aca="false">IF(WEEKDAY(B69,2)&gt;5,"Weekend","Weekday")</f>
        <v>Weekday</v>
      </c>
      <c r="R69" s="4" t="str">
        <f aca="false">IF(C69&lt;11,"Morning (7-10)",IF(C69&lt;14,"Lunch (11-13)",IF(C69&lt;18,"Afternoon (14-17)","Evening (18-20)")))</f>
        <v>Lunch (11-13)</v>
      </c>
      <c r="S69" s="4" t="str">
        <f aca="false">IF(AND(O69&gt;=3,O69&lt;=5),"Hot Dry (Mar-May)",IF(AND(O69&gt;=6,O69&lt;=11),"Rainy (Jun-Nov)","Cool Dry (Dec-Feb)"))</f>
        <v>Cool Dry (Dec-Feb)</v>
      </c>
      <c r="T69" s="4" t="str">
        <f aca="false">CHOOSE(O69,"Jan","Feb","Mar","Apr","May","Jun","Jul","Aug","Sep","Oct","Nov","Dec")</f>
        <v>Jan</v>
      </c>
    </row>
    <row r="70" customFormat="false" ht="15" hidden="false" customHeight="false" outlineLevel="0" collapsed="false">
      <c r="A70" s="4" t="s">
        <v>185</v>
      </c>
      <c r="B70" s="17" t="n">
        <v>45673</v>
      </c>
      <c r="C70" s="4" t="n">
        <v>14</v>
      </c>
      <c r="D70" s="4" t="s">
        <v>70</v>
      </c>
      <c r="E70" s="4" t="s">
        <v>79</v>
      </c>
      <c r="F70" s="4" t="s">
        <v>80</v>
      </c>
      <c r="G70" s="4" t="n">
        <v>2</v>
      </c>
      <c r="H70" s="34" t="n">
        <v>160</v>
      </c>
      <c r="I70" s="18" t="n">
        <v>0</v>
      </c>
      <c r="J70" s="4" t="s">
        <v>67</v>
      </c>
      <c r="K70" s="4" t="s">
        <v>77</v>
      </c>
      <c r="L70" s="35" t="n">
        <f aca="false">G70*H70</f>
        <v>320</v>
      </c>
      <c r="M70" s="35" t="n">
        <f aca="false">L70*I70</f>
        <v>0</v>
      </c>
      <c r="N70" s="35" t="n">
        <f aca="false">L70-M70</f>
        <v>320</v>
      </c>
      <c r="O70" s="4" t="n">
        <f aca="false">MONTH(B70)</f>
        <v>1</v>
      </c>
      <c r="P70" s="4" t="str">
        <f aca="false">CHOOSE(WEEKDAY(B70,2),"Mon","Tue","Wed","Thu","Fri","Sat","Sun")</f>
        <v>Thu</v>
      </c>
      <c r="Q70" s="4" t="str">
        <f aca="false">IF(WEEKDAY(B70,2)&gt;5,"Weekend","Weekday")</f>
        <v>Weekday</v>
      </c>
      <c r="R70" s="4" t="str">
        <f aca="false">IF(C70&lt;11,"Morning (7-10)",IF(C70&lt;14,"Lunch (11-13)",IF(C70&lt;18,"Afternoon (14-17)","Evening (18-20)")))</f>
        <v>Afternoon (14-17)</v>
      </c>
      <c r="S70" s="4" t="str">
        <f aca="false">IF(AND(O70&gt;=3,O70&lt;=5),"Hot Dry (Mar-May)",IF(AND(O70&gt;=6,O70&lt;=11),"Rainy (Jun-Nov)","Cool Dry (Dec-Feb)"))</f>
        <v>Cool Dry (Dec-Feb)</v>
      </c>
      <c r="T70" s="4" t="str">
        <f aca="false">CHOOSE(O70,"Jan","Feb","Mar","Apr","May","Jun","Jul","Aug","Sep","Oct","Nov","Dec")</f>
        <v>Jan</v>
      </c>
    </row>
    <row r="71" customFormat="false" ht="15" hidden="false" customHeight="false" outlineLevel="0" collapsed="false">
      <c r="A71" s="4" t="s">
        <v>186</v>
      </c>
      <c r="B71" s="17" t="n">
        <v>45673</v>
      </c>
      <c r="C71" s="4" t="n">
        <v>15</v>
      </c>
      <c r="D71" s="4" t="s">
        <v>98</v>
      </c>
      <c r="E71" s="4" t="s">
        <v>65</v>
      </c>
      <c r="F71" s="4" t="s">
        <v>87</v>
      </c>
      <c r="G71" s="4" t="n">
        <v>1</v>
      </c>
      <c r="H71" s="34" t="n">
        <v>160</v>
      </c>
      <c r="I71" s="18" t="n">
        <v>0.1</v>
      </c>
      <c r="J71" s="4" t="s">
        <v>67</v>
      </c>
      <c r="K71" s="4" t="s">
        <v>71</v>
      </c>
      <c r="L71" s="35" t="n">
        <f aca="false">G71*H71</f>
        <v>160</v>
      </c>
      <c r="M71" s="35" t="n">
        <f aca="false">L71*I71</f>
        <v>16</v>
      </c>
      <c r="N71" s="35" t="n">
        <f aca="false">L71-M71</f>
        <v>144</v>
      </c>
      <c r="O71" s="4" t="n">
        <f aca="false">MONTH(B71)</f>
        <v>1</v>
      </c>
      <c r="P71" s="4" t="str">
        <f aca="false">CHOOSE(WEEKDAY(B71,2),"Mon","Tue","Wed","Thu","Fri","Sat","Sun")</f>
        <v>Thu</v>
      </c>
      <c r="Q71" s="4" t="str">
        <f aca="false">IF(WEEKDAY(B71,2)&gt;5,"Weekend","Weekday")</f>
        <v>Weekday</v>
      </c>
      <c r="R71" s="4" t="str">
        <f aca="false">IF(C71&lt;11,"Morning (7-10)",IF(C71&lt;14,"Lunch (11-13)",IF(C71&lt;18,"Afternoon (14-17)","Evening (18-20)")))</f>
        <v>Afternoon (14-17)</v>
      </c>
      <c r="S71" s="4" t="str">
        <f aca="false">IF(AND(O71&gt;=3,O71&lt;=5),"Hot Dry (Mar-May)",IF(AND(O71&gt;=6,O71&lt;=11),"Rainy (Jun-Nov)","Cool Dry (Dec-Feb)"))</f>
        <v>Cool Dry (Dec-Feb)</v>
      </c>
      <c r="T71" s="4" t="str">
        <f aca="false">CHOOSE(O71,"Jan","Feb","Mar","Apr","May","Jun","Jul","Aug","Sep","Oct","Nov","Dec")</f>
        <v>Jan</v>
      </c>
    </row>
    <row r="72" customFormat="false" ht="15" hidden="false" customHeight="false" outlineLevel="0" collapsed="false">
      <c r="A72" s="4" t="s">
        <v>188</v>
      </c>
      <c r="B72" s="17" t="n">
        <v>45673</v>
      </c>
      <c r="C72" s="4" t="n">
        <v>15</v>
      </c>
      <c r="D72" s="4" t="s">
        <v>70</v>
      </c>
      <c r="E72" s="4" t="s">
        <v>74</v>
      </c>
      <c r="F72" s="4" t="s">
        <v>139</v>
      </c>
      <c r="G72" s="4" t="n">
        <v>2</v>
      </c>
      <c r="H72" s="34" t="n">
        <v>260</v>
      </c>
      <c r="I72" s="18" t="n">
        <v>0</v>
      </c>
      <c r="J72" s="4" t="s">
        <v>67</v>
      </c>
      <c r="K72" s="4" t="s">
        <v>77</v>
      </c>
      <c r="L72" s="35" t="n">
        <f aca="false">G72*H72</f>
        <v>520</v>
      </c>
      <c r="M72" s="35" t="n">
        <f aca="false">L72*I72</f>
        <v>0</v>
      </c>
      <c r="N72" s="35" t="n">
        <f aca="false">L72-M72</f>
        <v>520</v>
      </c>
      <c r="O72" s="4" t="n">
        <f aca="false">MONTH(B72)</f>
        <v>1</v>
      </c>
      <c r="P72" s="4" t="str">
        <f aca="false">CHOOSE(WEEKDAY(B72,2),"Mon","Tue","Wed","Thu","Fri","Sat","Sun")</f>
        <v>Thu</v>
      </c>
      <c r="Q72" s="4" t="str">
        <f aca="false">IF(WEEKDAY(B72,2)&gt;5,"Weekend","Weekday")</f>
        <v>Weekday</v>
      </c>
      <c r="R72" s="4" t="str">
        <f aca="false">IF(C72&lt;11,"Morning (7-10)",IF(C72&lt;14,"Lunch (11-13)",IF(C72&lt;18,"Afternoon (14-17)","Evening (18-20)")))</f>
        <v>Afternoon (14-17)</v>
      </c>
      <c r="S72" s="4" t="str">
        <f aca="false">IF(AND(O72&gt;=3,O72&lt;=5),"Hot Dry (Mar-May)",IF(AND(O72&gt;=6,O72&lt;=11),"Rainy (Jun-Nov)","Cool Dry (Dec-Feb)"))</f>
        <v>Cool Dry (Dec-Feb)</v>
      </c>
      <c r="T72" s="4" t="str">
        <f aca="false">CHOOSE(O72,"Jan","Feb","Mar","Apr","May","Jun","Jul","Aug","Sep","Oct","Nov","Dec")</f>
        <v>Jan</v>
      </c>
    </row>
    <row r="73" customFormat="false" ht="15" hidden="false" customHeight="false" outlineLevel="0" collapsed="false">
      <c r="A73" s="4" t="s">
        <v>190</v>
      </c>
      <c r="B73" s="17" t="n">
        <v>45674</v>
      </c>
      <c r="C73" s="4" t="n">
        <v>9</v>
      </c>
      <c r="D73" s="4" t="s">
        <v>73</v>
      </c>
      <c r="E73" s="4" t="s">
        <v>74</v>
      </c>
      <c r="F73" s="4" t="s">
        <v>91</v>
      </c>
      <c r="G73" s="4" t="n">
        <v>4</v>
      </c>
      <c r="H73" s="34" t="n">
        <v>200</v>
      </c>
      <c r="I73" s="18" t="n">
        <v>0.1</v>
      </c>
      <c r="J73" s="4" t="s">
        <v>76</v>
      </c>
      <c r="K73" s="4" t="s">
        <v>71</v>
      </c>
      <c r="L73" s="35" t="n">
        <f aca="false">G73*H73</f>
        <v>800</v>
      </c>
      <c r="M73" s="35" t="n">
        <f aca="false">L73*I73</f>
        <v>80</v>
      </c>
      <c r="N73" s="35" t="n">
        <f aca="false">L73-M73</f>
        <v>720</v>
      </c>
      <c r="O73" s="4" t="n">
        <f aca="false">MONTH(B73)</f>
        <v>1</v>
      </c>
      <c r="P73" s="4" t="str">
        <f aca="false">CHOOSE(WEEKDAY(B73,2),"Mon","Tue","Wed","Thu","Fri","Sat","Sun")</f>
        <v>Fri</v>
      </c>
      <c r="Q73" s="4" t="str">
        <f aca="false">IF(WEEKDAY(B73,2)&gt;5,"Weekend","Weekday")</f>
        <v>Weekday</v>
      </c>
      <c r="R73" s="4" t="str">
        <f aca="false">IF(C73&lt;11,"Morning (7-10)",IF(C73&lt;14,"Lunch (11-13)",IF(C73&lt;18,"Afternoon (14-17)","Evening (18-20)")))</f>
        <v>Morning (7-10)</v>
      </c>
      <c r="S73" s="4" t="str">
        <f aca="false">IF(AND(O73&gt;=3,O73&lt;=5),"Hot Dry (Mar-May)",IF(AND(O73&gt;=6,O73&lt;=11),"Rainy (Jun-Nov)","Cool Dry (Dec-Feb)"))</f>
        <v>Cool Dry (Dec-Feb)</v>
      </c>
      <c r="T73" s="4" t="str">
        <f aca="false">CHOOSE(O73,"Jan","Feb","Mar","Apr","May","Jun","Jul","Aug","Sep","Oct","Nov","Dec")</f>
        <v>Jan</v>
      </c>
    </row>
    <row r="74" customFormat="false" ht="15" hidden="false" customHeight="false" outlineLevel="0" collapsed="false">
      <c r="A74" s="4" t="s">
        <v>191</v>
      </c>
      <c r="B74" s="17" t="n">
        <v>45674</v>
      </c>
      <c r="C74" s="4" t="n">
        <v>9</v>
      </c>
      <c r="D74" s="4" t="s">
        <v>70</v>
      </c>
      <c r="E74" s="4" t="s">
        <v>99</v>
      </c>
      <c r="F74" s="4" t="s">
        <v>109</v>
      </c>
      <c r="G74" s="4" t="n">
        <v>1</v>
      </c>
      <c r="H74" s="34" t="n">
        <v>130</v>
      </c>
      <c r="I74" s="18" t="n">
        <v>0.05</v>
      </c>
      <c r="J74" s="4" t="s">
        <v>67</v>
      </c>
      <c r="K74" s="4" t="s">
        <v>82</v>
      </c>
      <c r="L74" s="35" t="n">
        <f aca="false">G74*H74</f>
        <v>130</v>
      </c>
      <c r="M74" s="35" t="n">
        <f aca="false">L74*I74</f>
        <v>6.5</v>
      </c>
      <c r="N74" s="35" t="n">
        <f aca="false">L74-M74</f>
        <v>123.5</v>
      </c>
      <c r="O74" s="4" t="n">
        <f aca="false">MONTH(B74)</f>
        <v>1</v>
      </c>
      <c r="P74" s="4" t="str">
        <f aca="false">CHOOSE(WEEKDAY(B74,2),"Mon","Tue","Wed","Thu","Fri","Sat","Sun")</f>
        <v>Fri</v>
      </c>
      <c r="Q74" s="4" t="str">
        <f aca="false">IF(WEEKDAY(B74,2)&gt;5,"Weekend","Weekday")</f>
        <v>Weekday</v>
      </c>
      <c r="R74" s="4" t="str">
        <f aca="false">IF(C74&lt;11,"Morning (7-10)",IF(C74&lt;14,"Lunch (11-13)",IF(C74&lt;18,"Afternoon (14-17)","Evening (18-20)")))</f>
        <v>Morning (7-10)</v>
      </c>
      <c r="S74" s="4" t="str">
        <f aca="false">IF(AND(O74&gt;=3,O74&lt;=5),"Hot Dry (Mar-May)",IF(AND(O74&gt;=6,O74&lt;=11),"Rainy (Jun-Nov)","Cool Dry (Dec-Feb)"))</f>
        <v>Cool Dry (Dec-Feb)</v>
      </c>
      <c r="T74" s="4" t="str">
        <f aca="false">CHOOSE(O74,"Jan","Feb","Mar","Apr","May","Jun","Jul","Aug","Sep","Oct","Nov","Dec")</f>
        <v>Jan</v>
      </c>
    </row>
    <row r="75" customFormat="false" ht="15" hidden="false" customHeight="false" outlineLevel="0" collapsed="false">
      <c r="A75" s="4" t="s">
        <v>192</v>
      </c>
      <c r="B75" s="17" t="n">
        <v>45674</v>
      </c>
      <c r="C75" s="4" t="n">
        <v>12</v>
      </c>
      <c r="D75" s="4" t="s">
        <v>73</v>
      </c>
      <c r="E75" s="4" t="s">
        <v>74</v>
      </c>
      <c r="F75" s="4" t="s">
        <v>75</v>
      </c>
      <c r="G75" s="4" t="n">
        <v>2</v>
      </c>
      <c r="H75" s="34" t="n">
        <v>220</v>
      </c>
      <c r="I75" s="18" t="n">
        <v>0</v>
      </c>
      <c r="J75" s="4" t="s">
        <v>67</v>
      </c>
      <c r="K75" s="4" t="s">
        <v>77</v>
      </c>
      <c r="L75" s="35" t="n">
        <f aca="false">G75*H75</f>
        <v>440</v>
      </c>
      <c r="M75" s="35" t="n">
        <f aca="false">L75*I75</f>
        <v>0</v>
      </c>
      <c r="N75" s="35" t="n">
        <f aca="false">L75-M75</f>
        <v>440</v>
      </c>
      <c r="O75" s="4" t="n">
        <f aca="false">MONTH(B75)</f>
        <v>1</v>
      </c>
      <c r="P75" s="4" t="str">
        <f aca="false">CHOOSE(WEEKDAY(B75,2),"Mon","Tue","Wed","Thu","Fri","Sat","Sun")</f>
        <v>Fri</v>
      </c>
      <c r="Q75" s="4" t="str">
        <f aca="false">IF(WEEKDAY(B75,2)&gt;5,"Weekend","Weekday")</f>
        <v>Weekday</v>
      </c>
      <c r="R75" s="4" t="str">
        <f aca="false">IF(C75&lt;11,"Morning (7-10)",IF(C75&lt;14,"Lunch (11-13)",IF(C75&lt;18,"Afternoon (14-17)","Evening (18-20)")))</f>
        <v>Lunch (11-13)</v>
      </c>
      <c r="S75" s="4" t="str">
        <f aca="false">IF(AND(O75&gt;=3,O75&lt;=5),"Hot Dry (Mar-May)",IF(AND(O75&gt;=6,O75&lt;=11),"Rainy (Jun-Nov)","Cool Dry (Dec-Feb)"))</f>
        <v>Cool Dry (Dec-Feb)</v>
      </c>
      <c r="T75" s="4" t="str">
        <f aca="false">CHOOSE(O75,"Jan","Feb","Mar","Apr","May","Jun","Jul","Aug","Sep","Oct","Nov","Dec")</f>
        <v>Jan</v>
      </c>
    </row>
    <row r="76" customFormat="false" ht="15" hidden="false" customHeight="false" outlineLevel="0" collapsed="false">
      <c r="A76" s="4" t="s">
        <v>194</v>
      </c>
      <c r="B76" s="17" t="n">
        <v>45674</v>
      </c>
      <c r="C76" s="4" t="n">
        <v>15</v>
      </c>
      <c r="D76" s="4" t="s">
        <v>73</v>
      </c>
      <c r="E76" s="4" t="s">
        <v>65</v>
      </c>
      <c r="F76" s="4" t="s">
        <v>94</v>
      </c>
      <c r="G76" s="4" t="n">
        <v>2</v>
      </c>
      <c r="H76" s="34" t="n">
        <v>150</v>
      </c>
      <c r="I76" s="18" t="n">
        <v>0.15</v>
      </c>
      <c r="J76" s="4" t="s">
        <v>81</v>
      </c>
      <c r="K76" s="4" t="s">
        <v>68</v>
      </c>
      <c r="L76" s="35" t="n">
        <f aca="false">G76*H76</f>
        <v>300</v>
      </c>
      <c r="M76" s="35" t="n">
        <f aca="false">L76*I76</f>
        <v>45</v>
      </c>
      <c r="N76" s="35" t="n">
        <f aca="false">L76-M76</f>
        <v>255</v>
      </c>
      <c r="O76" s="4" t="n">
        <f aca="false">MONTH(B76)</f>
        <v>1</v>
      </c>
      <c r="P76" s="4" t="str">
        <f aca="false">CHOOSE(WEEKDAY(B76,2),"Mon","Tue","Wed","Thu","Fri","Sat","Sun")</f>
        <v>Fri</v>
      </c>
      <c r="Q76" s="4" t="str">
        <f aca="false">IF(WEEKDAY(B76,2)&gt;5,"Weekend","Weekday")</f>
        <v>Weekday</v>
      </c>
      <c r="R76" s="4" t="str">
        <f aca="false">IF(C76&lt;11,"Morning (7-10)",IF(C76&lt;14,"Lunch (11-13)",IF(C76&lt;18,"Afternoon (14-17)","Evening (18-20)")))</f>
        <v>Afternoon (14-17)</v>
      </c>
      <c r="S76" s="4" t="str">
        <f aca="false">IF(AND(O76&gt;=3,O76&lt;=5),"Hot Dry (Mar-May)",IF(AND(O76&gt;=6,O76&lt;=11),"Rainy (Jun-Nov)","Cool Dry (Dec-Feb)"))</f>
        <v>Cool Dry (Dec-Feb)</v>
      </c>
      <c r="T76" s="4" t="str">
        <f aca="false">CHOOSE(O76,"Jan","Feb","Mar","Apr","May","Jun","Jul","Aug","Sep","Oct","Nov","Dec")</f>
        <v>Jan</v>
      </c>
    </row>
    <row r="77" customFormat="false" ht="15" hidden="false" customHeight="false" outlineLevel="0" collapsed="false">
      <c r="A77" s="4" t="s">
        <v>195</v>
      </c>
      <c r="B77" s="17" t="n">
        <v>45675</v>
      </c>
      <c r="C77" s="4" t="n">
        <v>7</v>
      </c>
      <c r="D77" s="4" t="s">
        <v>70</v>
      </c>
      <c r="E77" s="4" t="s">
        <v>99</v>
      </c>
      <c r="F77" s="4" t="s">
        <v>109</v>
      </c>
      <c r="G77" s="4" t="n">
        <v>1</v>
      </c>
      <c r="H77" s="34" t="n">
        <v>130</v>
      </c>
      <c r="I77" s="18" t="n">
        <v>0.05</v>
      </c>
      <c r="J77" s="4" t="s">
        <v>88</v>
      </c>
      <c r="K77" s="4" t="s">
        <v>82</v>
      </c>
      <c r="L77" s="35" t="n">
        <f aca="false">G77*H77</f>
        <v>130</v>
      </c>
      <c r="M77" s="35" t="n">
        <f aca="false">L77*I77</f>
        <v>6.5</v>
      </c>
      <c r="N77" s="35" t="n">
        <f aca="false">L77-M77</f>
        <v>123.5</v>
      </c>
      <c r="O77" s="4" t="n">
        <f aca="false">MONTH(B77)</f>
        <v>1</v>
      </c>
      <c r="P77" s="4" t="str">
        <f aca="false">CHOOSE(WEEKDAY(B77,2),"Mon","Tue","Wed","Thu","Fri","Sat","Sun")</f>
        <v>Sat</v>
      </c>
      <c r="Q77" s="4" t="str">
        <f aca="false">IF(WEEKDAY(B77,2)&gt;5,"Weekend","Weekday")</f>
        <v>Weekend</v>
      </c>
      <c r="R77" s="4" t="str">
        <f aca="false">IF(C77&lt;11,"Morning (7-10)",IF(C77&lt;14,"Lunch (11-13)",IF(C77&lt;18,"Afternoon (14-17)","Evening (18-20)")))</f>
        <v>Morning (7-10)</v>
      </c>
      <c r="S77" s="4" t="str">
        <f aca="false">IF(AND(O77&gt;=3,O77&lt;=5),"Hot Dry (Mar-May)",IF(AND(O77&gt;=6,O77&lt;=11),"Rainy (Jun-Nov)","Cool Dry (Dec-Feb)"))</f>
        <v>Cool Dry (Dec-Feb)</v>
      </c>
      <c r="T77" s="4" t="str">
        <f aca="false">CHOOSE(O77,"Jan","Feb","Mar","Apr","May","Jun","Jul","Aug","Sep","Oct","Nov","Dec")</f>
        <v>Jan</v>
      </c>
    </row>
    <row r="78" customFormat="false" ht="15" hidden="false" customHeight="false" outlineLevel="0" collapsed="false">
      <c r="A78" s="4" t="s">
        <v>196</v>
      </c>
      <c r="B78" s="17" t="n">
        <v>45675</v>
      </c>
      <c r="C78" s="4" t="n">
        <v>7</v>
      </c>
      <c r="D78" s="4" t="s">
        <v>98</v>
      </c>
      <c r="E78" s="4" t="s">
        <v>79</v>
      </c>
      <c r="F78" s="4" t="s">
        <v>135</v>
      </c>
      <c r="G78" s="4" t="n">
        <v>4</v>
      </c>
      <c r="H78" s="34" t="n">
        <v>130</v>
      </c>
      <c r="I78" s="18" t="n">
        <v>0.2</v>
      </c>
      <c r="J78" s="4" t="s">
        <v>81</v>
      </c>
      <c r="K78" s="4" t="s">
        <v>71</v>
      </c>
      <c r="L78" s="35" t="n">
        <f aca="false">G78*H78</f>
        <v>520</v>
      </c>
      <c r="M78" s="35" t="n">
        <f aca="false">L78*I78</f>
        <v>104</v>
      </c>
      <c r="N78" s="35" t="n">
        <f aca="false">L78-M78</f>
        <v>416</v>
      </c>
      <c r="O78" s="4" t="n">
        <f aca="false">MONTH(B78)</f>
        <v>1</v>
      </c>
      <c r="P78" s="4" t="str">
        <f aca="false">CHOOSE(WEEKDAY(B78,2),"Mon","Tue","Wed","Thu","Fri","Sat","Sun")</f>
        <v>Sat</v>
      </c>
      <c r="Q78" s="4" t="str">
        <f aca="false">IF(WEEKDAY(B78,2)&gt;5,"Weekend","Weekday")</f>
        <v>Weekend</v>
      </c>
      <c r="R78" s="4" t="str">
        <f aca="false">IF(C78&lt;11,"Morning (7-10)",IF(C78&lt;14,"Lunch (11-13)",IF(C78&lt;18,"Afternoon (14-17)","Evening (18-20)")))</f>
        <v>Morning (7-10)</v>
      </c>
      <c r="S78" s="4" t="str">
        <f aca="false">IF(AND(O78&gt;=3,O78&lt;=5),"Hot Dry (Mar-May)",IF(AND(O78&gt;=6,O78&lt;=11),"Rainy (Jun-Nov)","Cool Dry (Dec-Feb)"))</f>
        <v>Cool Dry (Dec-Feb)</v>
      </c>
      <c r="T78" s="4" t="str">
        <f aca="false">CHOOSE(O78,"Jan","Feb","Mar","Apr","May","Jun","Jul","Aug","Sep","Oct","Nov","Dec")</f>
        <v>Jan</v>
      </c>
    </row>
    <row r="79" customFormat="false" ht="15" hidden="false" customHeight="false" outlineLevel="0" collapsed="false">
      <c r="A79" s="4" t="s">
        <v>197</v>
      </c>
      <c r="B79" s="17" t="n">
        <v>45675</v>
      </c>
      <c r="C79" s="4" t="n">
        <v>7</v>
      </c>
      <c r="D79" s="4" t="s">
        <v>73</v>
      </c>
      <c r="E79" s="4" t="s">
        <v>65</v>
      </c>
      <c r="F79" s="4" t="s">
        <v>94</v>
      </c>
      <c r="G79" s="4" t="n">
        <v>2</v>
      </c>
      <c r="H79" s="34" t="n">
        <v>150</v>
      </c>
      <c r="I79" s="18" t="n">
        <v>0</v>
      </c>
      <c r="J79" s="4" t="s">
        <v>67</v>
      </c>
      <c r="K79" s="4" t="s">
        <v>68</v>
      </c>
      <c r="L79" s="35" t="n">
        <f aca="false">G79*H79</f>
        <v>300</v>
      </c>
      <c r="M79" s="35" t="n">
        <f aca="false">L79*I79</f>
        <v>0</v>
      </c>
      <c r="N79" s="35" t="n">
        <f aca="false">L79-M79</f>
        <v>300</v>
      </c>
      <c r="O79" s="4" t="n">
        <f aca="false">MONTH(B79)</f>
        <v>1</v>
      </c>
      <c r="P79" s="4" t="str">
        <f aca="false">CHOOSE(WEEKDAY(B79,2),"Mon","Tue","Wed","Thu","Fri","Sat","Sun")</f>
        <v>Sat</v>
      </c>
      <c r="Q79" s="4" t="str">
        <f aca="false">IF(WEEKDAY(B79,2)&gt;5,"Weekend","Weekday")</f>
        <v>Weekend</v>
      </c>
      <c r="R79" s="4" t="str">
        <f aca="false">IF(C79&lt;11,"Morning (7-10)",IF(C79&lt;14,"Lunch (11-13)",IF(C79&lt;18,"Afternoon (14-17)","Evening (18-20)")))</f>
        <v>Morning (7-10)</v>
      </c>
      <c r="S79" s="4" t="str">
        <f aca="false">IF(AND(O79&gt;=3,O79&lt;=5),"Hot Dry (Mar-May)",IF(AND(O79&gt;=6,O79&lt;=11),"Rainy (Jun-Nov)","Cool Dry (Dec-Feb)"))</f>
        <v>Cool Dry (Dec-Feb)</v>
      </c>
      <c r="T79" s="4" t="str">
        <f aca="false">CHOOSE(O79,"Jan","Feb","Mar","Apr","May","Jun","Jul","Aug","Sep","Oct","Nov","Dec")</f>
        <v>Jan</v>
      </c>
    </row>
    <row r="80" customFormat="false" ht="15" hidden="false" customHeight="false" outlineLevel="0" collapsed="false">
      <c r="A80" s="4" t="s">
        <v>198</v>
      </c>
      <c r="B80" s="17" t="n">
        <v>45675</v>
      </c>
      <c r="C80" s="4" t="n">
        <v>8</v>
      </c>
      <c r="D80" s="4" t="s">
        <v>98</v>
      </c>
      <c r="E80" s="4" t="s">
        <v>84</v>
      </c>
      <c r="F80" s="4" t="s">
        <v>85</v>
      </c>
      <c r="G80" s="4" t="n">
        <v>1</v>
      </c>
      <c r="H80" s="34" t="n">
        <v>150</v>
      </c>
      <c r="I80" s="18" t="n">
        <v>0.05</v>
      </c>
      <c r="J80" s="4" t="s">
        <v>81</v>
      </c>
      <c r="K80" s="4" t="s">
        <v>82</v>
      </c>
      <c r="L80" s="35" t="n">
        <f aca="false">G80*H80</f>
        <v>150</v>
      </c>
      <c r="M80" s="35" t="n">
        <f aca="false">L80*I80</f>
        <v>7.5</v>
      </c>
      <c r="N80" s="35" t="n">
        <f aca="false">L80-M80</f>
        <v>142.5</v>
      </c>
      <c r="O80" s="4" t="n">
        <f aca="false">MONTH(B80)</f>
        <v>1</v>
      </c>
      <c r="P80" s="4" t="str">
        <f aca="false">CHOOSE(WEEKDAY(B80,2),"Mon","Tue","Wed","Thu","Fri","Sat","Sun")</f>
        <v>Sat</v>
      </c>
      <c r="Q80" s="4" t="str">
        <f aca="false">IF(WEEKDAY(B80,2)&gt;5,"Weekend","Weekday")</f>
        <v>Weekend</v>
      </c>
      <c r="R80" s="4" t="str">
        <f aca="false">IF(C80&lt;11,"Morning (7-10)",IF(C80&lt;14,"Lunch (11-13)",IF(C80&lt;18,"Afternoon (14-17)","Evening (18-20)")))</f>
        <v>Morning (7-10)</v>
      </c>
      <c r="S80" s="4" t="str">
        <f aca="false">IF(AND(O80&gt;=3,O80&lt;=5),"Hot Dry (Mar-May)",IF(AND(O80&gt;=6,O80&lt;=11),"Rainy (Jun-Nov)","Cool Dry (Dec-Feb)"))</f>
        <v>Cool Dry (Dec-Feb)</v>
      </c>
      <c r="T80" s="4" t="str">
        <f aca="false">CHOOSE(O80,"Jan","Feb","Mar","Apr","May","Jun","Jul","Aug","Sep","Oct","Nov","Dec")</f>
        <v>Jan</v>
      </c>
    </row>
    <row r="81" customFormat="false" ht="15" hidden="false" customHeight="false" outlineLevel="0" collapsed="false">
      <c r="A81" s="4" t="s">
        <v>199</v>
      </c>
      <c r="B81" s="17" t="n">
        <v>45675</v>
      </c>
      <c r="C81" s="4" t="n">
        <v>12</v>
      </c>
      <c r="D81" s="4" t="s">
        <v>64</v>
      </c>
      <c r="E81" s="4" t="s">
        <v>74</v>
      </c>
      <c r="F81" s="4" t="s">
        <v>75</v>
      </c>
      <c r="G81" s="4" t="n">
        <v>1</v>
      </c>
      <c r="H81" s="34" t="n">
        <v>220</v>
      </c>
      <c r="I81" s="18" t="n">
        <v>0.1</v>
      </c>
      <c r="J81" s="4" t="s">
        <v>112</v>
      </c>
      <c r="K81" s="4" t="s">
        <v>71</v>
      </c>
      <c r="L81" s="35" t="n">
        <f aca="false">G81*H81</f>
        <v>220</v>
      </c>
      <c r="M81" s="35" t="n">
        <f aca="false">L81*I81</f>
        <v>22</v>
      </c>
      <c r="N81" s="35" t="n">
        <f aca="false">L81-M81</f>
        <v>198</v>
      </c>
      <c r="O81" s="4" t="n">
        <f aca="false">MONTH(B81)</f>
        <v>1</v>
      </c>
      <c r="P81" s="4" t="str">
        <f aca="false">CHOOSE(WEEKDAY(B81,2),"Mon","Tue","Wed","Thu","Fri","Sat","Sun")</f>
        <v>Sat</v>
      </c>
      <c r="Q81" s="4" t="str">
        <f aca="false">IF(WEEKDAY(B81,2)&gt;5,"Weekend","Weekday")</f>
        <v>Weekend</v>
      </c>
      <c r="R81" s="4" t="str">
        <f aca="false">IF(C81&lt;11,"Morning (7-10)",IF(C81&lt;14,"Lunch (11-13)",IF(C81&lt;18,"Afternoon (14-17)","Evening (18-20)")))</f>
        <v>Lunch (11-13)</v>
      </c>
      <c r="S81" s="4" t="str">
        <f aca="false">IF(AND(O81&gt;=3,O81&lt;=5),"Hot Dry (Mar-May)",IF(AND(O81&gt;=6,O81&lt;=11),"Rainy (Jun-Nov)","Cool Dry (Dec-Feb)"))</f>
        <v>Cool Dry (Dec-Feb)</v>
      </c>
      <c r="T81" s="4" t="str">
        <f aca="false">CHOOSE(O81,"Jan","Feb","Mar","Apr","May","Jun","Jul","Aug","Sep","Oct","Nov","Dec")</f>
        <v>Jan</v>
      </c>
    </row>
    <row r="82" customFormat="false" ht="15" hidden="false" customHeight="false" outlineLevel="0" collapsed="false">
      <c r="A82" s="4" t="s">
        <v>201</v>
      </c>
      <c r="B82" s="17" t="n">
        <v>45675</v>
      </c>
      <c r="C82" s="4" t="n">
        <v>13</v>
      </c>
      <c r="D82" s="4" t="s">
        <v>70</v>
      </c>
      <c r="E82" s="4" t="s">
        <v>99</v>
      </c>
      <c r="F82" s="4" t="s">
        <v>133</v>
      </c>
      <c r="G82" s="4" t="n">
        <v>1</v>
      </c>
      <c r="H82" s="34" t="n">
        <v>90</v>
      </c>
      <c r="I82" s="18" t="n">
        <v>0.05</v>
      </c>
      <c r="J82" s="4" t="s">
        <v>81</v>
      </c>
      <c r="K82" s="4" t="s">
        <v>82</v>
      </c>
      <c r="L82" s="35" t="n">
        <f aca="false">G82*H82</f>
        <v>90</v>
      </c>
      <c r="M82" s="35" t="n">
        <f aca="false">L82*I82</f>
        <v>4.5</v>
      </c>
      <c r="N82" s="35" t="n">
        <f aca="false">L82-M82</f>
        <v>85.5</v>
      </c>
      <c r="O82" s="4" t="n">
        <f aca="false">MONTH(B82)</f>
        <v>1</v>
      </c>
      <c r="P82" s="4" t="str">
        <f aca="false">CHOOSE(WEEKDAY(B82,2),"Mon","Tue","Wed","Thu","Fri","Sat","Sun")</f>
        <v>Sat</v>
      </c>
      <c r="Q82" s="4" t="str">
        <f aca="false">IF(WEEKDAY(B82,2)&gt;5,"Weekend","Weekday")</f>
        <v>Weekend</v>
      </c>
      <c r="R82" s="4" t="str">
        <f aca="false">IF(C82&lt;11,"Morning (7-10)",IF(C82&lt;14,"Lunch (11-13)",IF(C82&lt;18,"Afternoon (14-17)","Evening (18-20)")))</f>
        <v>Lunch (11-13)</v>
      </c>
      <c r="S82" s="4" t="str">
        <f aca="false">IF(AND(O82&gt;=3,O82&lt;=5),"Hot Dry (Mar-May)",IF(AND(O82&gt;=6,O82&lt;=11),"Rainy (Jun-Nov)","Cool Dry (Dec-Feb)"))</f>
        <v>Cool Dry (Dec-Feb)</v>
      </c>
      <c r="T82" s="4" t="str">
        <f aca="false">CHOOSE(O82,"Jan","Feb","Mar","Apr","May","Jun","Jul","Aug","Sep","Oct","Nov","Dec")</f>
        <v>Jan</v>
      </c>
    </row>
    <row r="83" customFormat="false" ht="15" hidden="false" customHeight="false" outlineLevel="0" collapsed="false">
      <c r="A83" s="4" t="s">
        <v>202</v>
      </c>
      <c r="B83" s="17" t="n">
        <v>45675</v>
      </c>
      <c r="C83" s="4" t="n">
        <v>16</v>
      </c>
      <c r="D83" s="4" t="s">
        <v>64</v>
      </c>
      <c r="E83" s="4" t="s">
        <v>65</v>
      </c>
      <c r="F83" s="4" t="s">
        <v>87</v>
      </c>
      <c r="G83" s="4" t="n">
        <v>1</v>
      </c>
      <c r="H83" s="34" t="n">
        <v>160</v>
      </c>
      <c r="I83" s="18" t="n">
        <v>0</v>
      </c>
      <c r="J83" s="4" t="s">
        <v>67</v>
      </c>
      <c r="K83" s="4" t="s">
        <v>77</v>
      </c>
      <c r="L83" s="35" t="n">
        <f aca="false">G83*H83</f>
        <v>160</v>
      </c>
      <c r="M83" s="35" t="n">
        <f aca="false">L83*I83</f>
        <v>0</v>
      </c>
      <c r="N83" s="35" t="n">
        <f aca="false">L83-M83</f>
        <v>160</v>
      </c>
      <c r="O83" s="4" t="n">
        <f aca="false">MONTH(B83)</f>
        <v>1</v>
      </c>
      <c r="P83" s="4" t="str">
        <f aca="false">CHOOSE(WEEKDAY(B83,2),"Mon","Tue","Wed","Thu","Fri","Sat","Sun")</f>
        <v>Sat</v>
      </c>
      <c r="Q83" s="4" t="str">
        <f aca="false">IF(WEEKDAY(B83,2)&gt;5,"Weekend","Weekday")</f>
        <v>Weekend</v>
      </c>
      <c r="R83" s="4" t="str">
        <f aca="false">IF(C83&lt;11,"Morning (7-10)",IF(C83&lt;14,"Lunch (11-13)",IF(C83&lt;18,"Afternoon (14-17)","Evening (18-20)")))</f>
        <v>Afternoon (14-17)</v>
      </c>
      <c r="S83" s="4" t="str">
        <f aca="false">IF(AND(O83&gt;=3,O83&lt;=5),"Hot Dry (Mar-May)",IF(AND(O83&gt;=6,O83&lt;=11),"Rainy (Jun-Nov)","Cool Dry (Dec-Feb)"))</f>
        <v>Cool Dry (Dec-Feb)</v>
      </c>
      <c r="T83" s="4" t="str">
        <f aca="false">CHOOSE(O83,"Jan","Feb","Mar","Apr","May","Jun","Jul","Aug","Sep","Oct","Nov","Dec")</f>
        <v>Jan</v>
      </c>
    </row>
    <row r="84" customFormat="false" ht="15" hidden="false" customHeight="false" outlineLevel="0" collapsed="false">
      <c r="A84" s="4" t="s">
        <v>204</v>
      </c>
      <c r="B84" s="17" t="n">
        <v>45675</v>
      </c>
      <c r="C84" s="4" t="n">
        <v>17</v>
      </c>
      <c r="D84" s="4" t="s">
        <v>98</v>
      </c>
      <c r="E84" s="4" t="s">
        <v>74</v>
      </c>
      <c r="F84" s="4" t="s">
        <v>139</v>
      </c>
      <c r="G84" s="4" t="n">
        <v>1</v>
      </c>
      <c r="H84" s="34" t="n">
        <v>260</v>
      </c>
      <c r="I84" s="18" t="n">
        <v>0.1</v>
      </c>
      <c r="J84" s="4" t="s">
        <v>81</v>
      </c>
      <c r="K84" s="4" t="s">
        <v>71</v>
      </c>
      <c r="L84" s="35" t="n">
        <f aca="false">G84*H84</f>
        <v>260</v>
      </c>
      <c r="M84" s="35" t="n">
        <f aca="false">L84*I84</f>
        <v>26</v>
      </c>
      <c r="N84" s="35" t="n">
        <f aca="false">L84-M84</f>
        <v>234</v>
      </c>
      <c r="O84" s="4" t="n">
        <f aca="false">MONTH(B84)</f>
        <v>1</v>
      </c>
      <c r="P84" s="4" t="str">
        <f aca="false">CHOOSE(WEEKDAY(B84,2),"Mon","Tue","Wed","Thu","Fri","Sat","Sun")</f>
        <v>Sat</v>
      </c>
      <c r="Q84" s="4" t="str">
        <f aca="false">IF(WEEKDAY(B84,2)&gt;5,"Weekend","Weekday")</f>
        <v>Weekend</v>
      </c>
      <c r="R84" s="4" t="str">
        <f aca="false">IF(C84&lt;11,"Morning (7-10)",IF(C84&lt;14,"Lunch (11-13)",IF(C84&lt;18,"Afternoon (14-17)","Evening (18-20)")))</f>
        <v>Afternoon (14-17)</v>
      </c>
      <c r="S84" s="4" t="str">
        <f aca="false">IF(AND(O84&gt;=3,O84&lt;=5),"Hot Dry (Mar-May)",IF(AND(O84&gt;=6,O84&lt;=11),"Rainy (Jun-Nov)","Cool Dry (Dec-Feb)"))</f>
        <v>Cool Dry (Dec-Feb)</v>
      </c>
      <c r="T84" s="4" t="str">
        <f aca="false">CHOOSE(O84,"Jan","Feb","Mar","Apr","May","Jun","Jul","Aug","Sep","Oct","Nov","Dec")</f>
        <v>Jan</v>
      </c>
    </row>
    <row r="85" customFormat="false" ht="15" hidden="false" customHeight="false" outlineLevel="0" collapsed="false">
      <c r="A85" s="4" t="s">
        <v>205</v>
      </c>
      <c r="B85" s="17" t="n">
        <v>45676</v>
      </c>
      <c r="C85" s="4" t="n">
        <v>9</v>
      </c>
      <c r="D85" s="4" t="s">
        <v>98</v>
      </c>
      <c r="E85" s="4" t="s">
        <v>99</v>
      </c>
      <c r="F85" s="4" t="s">
        <v>102</v>
      </c>
      <c r="G85" s="4" t="n">
        <v>4</v>
      </c>
      <c r="H85" s="34" t="n">
        <v>140</v>
      </c>
      <c r="I85" s="18" t="n">
        <v>0.2</v>
      </c>
      <c r="J85" s="4" t="s">
        <v>112</v>
      </c>
      <c r="K85" s="4" t="s">
        <v>71</v>
      </c>
      <c r="L85" s="35" t="n">
        <f aca="false">G85*H85</f>
        <v>560</v>
      </c>
      <c r="M85" s="35" t="n">
        <f aca="false">L85*I85</f>
        <v>112</v>
      </c>
      <c r="N85" s="35" t="n">
        <f aca="false">L85-M85</f>
        <v>448</v>
      </c>
      <c r="O85" s="4" t="n">
        <f aca="false">MONTH(B85)</f>
        <v>1</v>
      </c>
      <c r="P85" s="4" t="str">
        <f aca="false">CHOOSE(WEEKDAY(B85,2),"Mon","Tue","Wed","Thu","Fri","Sat","Sun")</f>
        <v>Sun</v>
      </c>
      <c r="Q85" s="4" t="str">
        <f aca="false">IF(WEEKDAY(B85,2)&gt;5,"Weekend","Weekday")</f>
        <v>Weekend</v>
      </c>
      <c r="R85" s="4" t="str">
        <f aca="false">IF(C85&lt;11,"Morning (7-10)",IF(C85&lt;14,"Lunch (11-13)",IF(C85&lt;18,"Afternoon (14-17)","Evening (18-20)")))</f>
        <v>Morning (7-10)</v>
      </c>
      <c r="S85" s="4" t="str">
        <f aca="false">IF(AND(O85&gt;=3,O85&lt;=5),"Hot Dry (Mar-May)",IF(AND(O85&gt;=6,O85&lt;=11),"Rainy (Jun-Nov)","Cool Dry (Dec-Feb)"))</f>
        <v>Cool Dry (Dec-Feb)</v>
      </c>
      <c r="T85" s="4" t="str">
        <f aca="false">CHOOSE(O85,"Jan","Feb","Mar","Apr","May","Jun","Jul","Aug","Sep","Oct","Nov","Dec")</f>
        <v>Jan</v>
      </c>
    </row>
    <row r="86" customFormat="false" ht="15" hidden="false" customHeight="false" outlineLevel="0" collapsed="false">
      <c r="A86" s="4" t="s">
        <v>206</v>
      </c>
      <c r="B86" s="17" t="n">
        <v>45676</v>
      </c>
      <c r="C86" s="4" t="n">
        <v>12</v>
      </c>
      <c r="D86" s="4" t="s">
        <v>70</v>
      </c>
      <c r="E86" s="4" t="s">
        <v>74</v>
      </c>
      <c r="F86" s="4" t="s">
        <v>139</v>
      </c>
      <c r="G86" s="4" t="n">
        <v>2</v>
      </c>
      <c r="H86" s="34" t="n">
        <v>260</v>
      </c>
      <c r="I86" s="18" t="n">
        <v>0</v>
      </c>
      <c r="J86" s="4" t="s">
        <v>81</v>
      </c>
      <c r="K86" s="4" t="s">
        <v>77</v>
      </c>
      <c r="L86" s="35" t="n">
        <f aca="false">G86*H86</f>
        <v>520</v>
      </c>
      <c r="M86" s="35" t="n">
        <f aca="false">L86*I86</f>
        <v>0</v>
      </c>
      <c r="N86" s="35" t="n">
        <f aca="false">L86-M86</f>
        <v>520</v>
      </c>
      <c r="O86" s="4" t="n">
        <f aca="false">MONTH(B86)</f>
        <v>1</v>
      </c>
      <c r="P86" s="4" t="str">
        <f aca="false">CHOOSE(WEEKDAY(B86,2),"Mon","Tue","Wed","Thu","Fri","Sat","Sun")</f>
        <v>Sun</v>
      </c>
      <c r="Q86" s="4" t="str">
        <f aca="false">IF(WEEKDAY(B86,2)&gt;5,"Weekend","Weekday")</f>
        <v>Weekend</v>
      </c>
      <c r="R86" s="4" t="str">
        <f aca="false">IF(C86&lt;11,"Morning (7-10)",IF(C86&lt;14,"Lunch (11-13)",IF(C86&lt;18,"Afternoon (14-17)","Evening (18-20)")))</f>
        <v>Lunch (11-13)</v>
      </c>
      <c r="S86" s="4" t="str">
        <f aca="false">IF(AND(O86&gt;=3,O86&lt;=5),"Hot Dry (Mar-May)",IF(AND(O86&gt;=6,O86&lt;=11),"Rainy (Jun-Nov)","Cool Dry (Dec-Feb)"))</f>
        <v>Cool Dry (Dec-Feb)</v>
      </c>
      <c r="T86" s="4" t="str">
        <f aca="false">CHOOSE(O86,"Jan","Feb","Mar","Apr","May","Jun","Jul","Aug","Sep","Oct","Nov","Dec")</f>
        <v>Jan</v>
      </c>
    </row>
    <row r="87" customFormat="false" ht="15" hidden="false" customHeight="false" outlineLevel="0" collapsed="false">
      <c r="A87" s="4" t="s">
        <v>207</v>
      </c>
      <c r="B87" s="17" t="n">
        <v>45676</v>
      </c>
      <c r="C87" s="4" t="n">
        <v>12</v>
      </c>
      <c r="D87" s="4" t="s">
        <v>70</v>
      </c>
      <c r="E87" s="4" t="s">
        <v>99</v>
      </c>
      <c r="F87" s="4" t="s">
        <v>102</v>
      </c>
      <c r="G87" s="4" t="n">
        <v>1</v>
      </c>
      <c r="H87" s="34" t="n">
        <v>140</v>
      </c>
      <c r="I87" s="18" t="n">
        <v>0.05</v>
      </c>
      <c r="J87" s="4" t="s">
        <v>67</v>
      </c>
      <c r="K87" s="4" t="s">
        <v>82</v>
      </c>
      <c r="L87" s="35" t="n">
        <f aca="false">G87*H87</f>
        <v>140</v>
      </c>
      <c r="M87" s="35" t="n">
        <f aca="false">L87*I87</f>
        <v>7</v>
      </c>
      <c r="N87" s="35" t="n">
        <f aca="false">L87-M87</f>
        <v>133</v>
      </c>
      <c r="O87" s="4" t="n">
        <f aca="false">MONTH(B87)</f>
        <v>1</v>
      </c>
      <c r="P87" s="4" t="str">
        <f aca="false">CHOOSE(WEEKDAY(B87,2),"Mon","Tue","Wed","Thu","Fri","Sat","Sun")</f>
        <v>Sun</v>
      </c>
      <c r="Q87" s="4" t="str">
        <f aca="false">IF(WEEKDAY(B87,2)&gt;5,"Weekend","Weekday")</f>
        <v>Weekend</v>
      </c>
      <c r="R87" s="4" t="str">
        <f aca="false">IF(C87&lt;11,"Morning (7-10)",IF(C87&lt;14,"Lunch (11-13)",IF(C87&lt;18,"Afternoon (14-17)","Evening (18-20)")))</f>
        <v>Lunch (11-13)</v>
      </c>
      <c r="S87" s="4" t="str">
        <f aca="false">IF(AND(O87&gt;=3,O87&lt;=5),"Hot Dry (Mar-May)",IF(AND(O87&gt;=6,O87&lt;=11),"Rainy (Jun-Nov)","Cool Dry (Dec-Feb)"))</f>
        <v>Cool Dry (Dec-Feb)</v>
      </c>
      <c r="T87" s="4" t="str">
        <f aca="false">CHOOSE(O87,"Jan","Feb","Mar","Apr","May","Jun","Jul","Aug","Sep","Oct","Nov","Dec")</f>
        <v>Jan</v>
      </c>
    </row>
    <row r="88" customFormat="false" ht="15" hidden="false" customHeight="false" outlineLevel="0" collapsed="false">
      <c r="A88" s="4" t="s">
        <v>208</v>
      </c>
      <c r="B88" s="17" t="n">
        <v>45676</v>
      </c>
      <c r="C88" s="4" t="n">
        <v>18</v>
      </c>
      <c r="D88" s="4" t="s">
        <v>98</v>
      </c>
      <c r="E88" s="4" t="s">
        <v>65</v>
      </c>
      <c r="F88" s="4" t="s">
        <v>87</v>
      </c>
      <c r="G88" s="4" t="n">
        <v>3</v>
      </c>
      <c r="H88" s="34" t="n">
        <v>160</v>
      </c>
      <c r="I88" s="18" t="n">
        <v>0</v>
      </c>
      <c r="J88" s="4" t="s">
        <v>88</v>
      </c>
      <c r="K88" s="4" t="s">
        <v>68</v>
      </c>
      <c r="L88" s="35" t="n">
        <f aca="false">G88*H88</f>
        <v>480</v>
      </c>
      <c r="M88" s="35" t="n">
        <f aca="false">L88*I88</f>
        <v>0</v>
      </c>
      <c r="N88" s="35" t="n">
        <f aca="false">L88-M88</f>
        <v>480</v>
      </c>
      <c r="O88" s="4" t="n">
        <f aca="false">MONTH(B88)</f>
        <v>1</v>
      </c>
      <c r="P88" s="4" t="str">
        <f aca="false">CHOOSE(WEEKDAY(B88,2),"Mon","Tue","Wed","Thu","Fri","Sat","Sun")</f>
        <v>Sun</v>
      </c>
      <c r="Q88" s="4" t="str">
        <f aca="false">IF(WEEKDAY(B88,2)&gt;5,"Weekend","Weekday")</f>
        <v>Weekend</v>
      </c>
      <c r="R88" s="4" t="str">
        <f aca="false">IF(C88&lt;11,"Morning (7-10)",IF(C88&lt;14,"Lunch (11-13)",IF(C88&lt;18,"Afternoon (14-17)","Evening (18-20)")))</f>
        <v>Evening (18-20)</v>
      </c>
      <c r="S88" s="4" t="str">
        <f aca="false">IF(AND(O88&gt;=3,O88&lt;=5),"Hot Dry (Mar-May)",IF(AND(O88&gt;=6,O88&lt;=11),"Rainy (Jun-Nov)","Cool Dry (Dec-Feb)"))</f>
        <v>Cool Dry (Dec-Feb)</v>
      </c>
      <c r="T88" s="4" t="str">
        <f aca="false">CHOOSE(O88,"Jan","Feb","Mar","Apr","May","Jun","Jul","Aug","Sep","Oct","Nov","Dec")</f>
        <v>Jan</v>
      </c>
    </row>
    <row r="89" customFormat="false" ht="15" hidden="false" customHeight="false" outlineLevel="0" collapsed="false">
      <c r="A89" s="4" t="s">
        <v>209</v>
      </c>
      <c r="B89" s="17" t="n">
        <v>45677</v>
      </c>
      <c r="C89" s="4" t="n">
        <v>7</v>
      </c>
      <c r="D89" s="4" t="s">
        <v>98</v>
      </c>
      <c r="E89" s="4" t="s">
        <v>65</v>
      </c>
      <c r="F89" s="4" t="s">
        <v>94</v>
      </c>
      <c r="G89" s="4" t="n">
        <v>1</v>
      </c>
      <c r="H89" s="34" t="n">
        <v>150</v>
      </c>
      <c r="I89" s="18" t="n">
        <v>0</v>
      </c>
      <c r="J89" s="4" t="s">
        <v>112</v>
      </c>
      <c r="K89" s="4" t="s">
        <v>77</v>
      </c>
      <c r="L89" s="35" t="n">
        <f aca="false">G89*H89</f>
        <v>150</v>
      </c>
      <c r="M89" s="35" t="n">
        <f aca="false">L89*I89</f>
        <v>0</v>
      </c>
      <c r="N89" s="35" t="n">
        <f aca="false">L89-M89</f>
        <v>150</v>
      </c>
      <c r="O89" s="4" t="n">
        <f aca="false">MONTH(B89)</f>
        <v>1</v>
      </c>
      <c r="P89" s="4" t="str">
        <f aca="false">CHOOSE(WEEKDAY(B89,2),"Mon","Tue","Wed","Thu","Fri","Sat","Sun")</f>
        <v>Mon</v>
      </c>
      <c r="Q89" s="4" t="str">
        <f aca="false">IF(WEEKDAY(B89,2)&gt;5,"Weekend","Weekday")</f>
        <v>Weekday</v>
      </c>
      <c r="R89" s="4" t="str">
        <f aca="false">IF(C89&lt;11,"Morning (7-10)",IF(C89&lt;14,"Lunch (11-13)",IF(C89&lt;18,"Afternoon (14-17)","Evening (18-20)")))</f>
        <v>Morning (7-10)</v>
      </c>
      <c r="S89" s="4" t="str">
        <f aca="false">IF(AND(O89&gt;=3,O89&lt;=5),"Hot Dry (Mar-May)",IF(AND(O89&gt;=6,O89&lt;=11),"Rainy (Jun-Nov)","Cool Dry (Dec-Feb)"))</f>
        <v>Cool Dry (Dec-Feb)</v>
      </c>
      <c r="T89" s="4" t="str">
        <f aca="false">CHOOSE(O89,"Jan","Feb","Mar","Apr","May","Jun","Jul","Aug","Sep","Oct","Nov","Dec")</f>
        <v>Jan</v>
      </c>
    </row>
    <row r="90" customFormat="false" ht="15" hidden="false" customHeight="false" outlineLevel="0" collapsed="false">
      <c r="A90" s="4" t="s">
        <v>210</v>
      </c>
      <c r="B90" s="17" t="n">
        <v>45677</v>
      </c>
      <c r="C90" s="4" t="n">
        <v>8</v>
      </c>
      <c r="D90" s="4" t="s">
        <v>70</v>
      </c>
      <c r="E90" s="4" t="s">
        <v>65</v>
      </c>
      <c r="F90" s="4" t="s">
        <v>94</v>
      </c>
      <c r="G90" s="4" t="n">
        <v>3</v>
      </c>
      <c r="H90" s="34" t="n">
        <v>150</v>
      </c>
      <c r="I90" s="18" t="n">
        <v>0</v>
      </c>
      <c r="J90" s="4" t="s">
        <v>67</v>
      </c>
      <c r="K90" s="4" t="s">
        <v>77</v>
      </c>
      <c r="L90" s="35" t="n">
        <f aca="false">G90*H90</f>
        <v>450</v>
      </c>
      <c r="M90" s="35" t="n">
        <f aca="false">L90*I90</f>
        <v>0</v>
      </c>
      <c r="N90" s="35" t="n">
        <f aca="false">L90-M90</f>
        <v>450</v>
      </c>
      <c r="O90" s="4" t="n">
        <f aca="false">MONTH(B90)</f>
        <v>1</v>
      </c>
      <c r="P90" s="4" t="str">
        <f aca="false">CHOOSE(WEEKDAY(B90,2),"Mon","Tue","Wed","Thu","Fri","Sat","Sun")</f>
        <v>Mon</v>
      </c>
      <c r="Q90" s="4" t="str">
        <f aca="false">IF(WEEKDAY(B90,2)&gt;5,"Weekend","Weekday")</f>
        <v>Weekday</v>
      </c>
      <c r="R90" s="4" t="str">
        <f aca="false">IF(C90&lt;11,"Morning (7-10)",IF(C90&lt;14,"Lunch (11-13)",IF(C90&lt;18,"Afternoon (14-17)","Evening (18-20)")))</f>
        <v>Morning (7-10)</v>
      </c>
      <c r="S90" s="4" t="str">
        <f aca="false">IF(AND(O90&gt;=3,O90&lt;=5),"Hot Dry (Mar-May)",IF(AND(O90&gt;=6,O90&lt;=11),"Rainy (Jun-Nov)","Cool Dry (Dec-Feb)"))</f>
        <v>Cool Dry (Dec-Feb)</v>
      </c>
      <c r="T90" s="4" t="str">
        <f aca="false">CHOOSE(O90,"Jan","Feb","Mar","Apr","May","Jun","Jul","Aug","Sep","Oct","Nov","Dec")</f>
        <v>Jan</v>
      </c>
    </row>
    <row r="91" customFormat="false" ht="15" hidden="false" customHeight="false" outlineLevel="0" collapsed="false">
      <c r="A91" s="4" t="s">
        <v>211</v>
      </c>
      <c r="B91" s="17" t="n">
        <v>45677</v>
      </c>
      <c r="C91" s="4" t="n">
        <v>8</v>
      </c>
      <c r="D91" s="4" t="s">
        <v>64</v>
      </c>
      <c r="E91" s="4" t="s">
        <v>84</v>
      </c>
      <c r="F91" s="4" t="s">
        <v>106</v>
      </c>
      <c r="G91" s="4" t="n">
        <v>1</v>
      </c>
      <c r="H91" s="34" t="n">
        <v>60</v>
      </c>
      <c r="I91" s="18" t="n">
        <v>0.05</v>
      </c>
      <c r="J91" s="4" t="s">
        <v>76</v>
      </c>
      <c r="K91" s="4" t="s">
        <v>82</v>
      </c>
      <c r="L91" s="35" t="n">
        <f aca="false">G91*H91</f>
        <v>60</v>
      </c>
      <c r="M91" s="35" t="n">
        <f aca="false">L91*I91</f>
        <v>3</v>
      </c>
      <c r="N91" s="35" t="n">
        <f aca="false">L91-M91</f>
        <v>57</v>
      </c>
      <c r="O91" s="4" t="n">
        <f aca="false">MONTH(B91)</f>
        <v>1</v>
      </c>
      <c r="P91" s="4" t="str">
        <f aca="false">CHOOSE(WEEKDAY(B91,2),"Mon","Tue","Wed","Thu","Fri","Sat","Sun")</f>
        <v>Mon</v>
      </c>
      <c r="Q91" s="4" t="str">
        <f aca="false">IF(WEEKDAY(B91,2)&gt;5,"Weekend","Weekday")</f>
        <v>Weekday</v>
      </c>
      <c r="R91" s="4" t="str">
        <f aca="false">IF(C91&lt;11,"Morning (7-10)",IF(C91&lt;14,"Lunch (11-13)",IF(C91&lt;18,"Afternoon (14-17)","Evening (18-20)")))</f>
        <v>Morning (7-10)</v>
      </c>
      <c r="S91" s="4" t="str">
        <f aca="false">IF(AND(O91&gt;=3,O91&lt;=5),"Hot Dry (Mar-May)",IF(AND(O91&gt;=6,O91&lt;=11),"Rainy (Jun-Nov)","Cool Dry (Dec-Feb)"))</f>
        <v>Cool Dry (Dec-Feb)</v>
      </c>
      <c r="T91" s="4" t="str">
        <f aca="false">CHOOSE(O91,"Jan","Feb","Mar","Apr","May","Jun","Jul","Aug","Sep","Oct","Nov","Dec")</f>
        <v>Jan</v>
      </c>
    </row>
    <row r="92" customFormat="false" ht="15" hidden="false" customHeight="false" outlineLevel="0" collapsed="false">
      <c r="A92" s="4" t="s">
        <v>212</v>
      </c>
      <c r="B92" s="17" t="n">
        <v>45677</v>
      </c>
      <c r="C92" s="4" t="n">
        <v>12</v>
      </c>
      <c r="D92" s="4" t="s">
        <v>64</v>
      </c>
      <c r="E92" s="4" t="s">
        <v>65</v>
      </c>
      <c r="F92" s="4" t="s">
        <v>94</v>
      </c>
      <c r="G92" s="4" t="n">
        <v>1</v>
      </c>
      <c r="H92" s="34" t="n">
        <v>150</v>
      </c>
      <c r="I92" s="18" t="n">
        <v>0</v>
      </c>
      <c r="J92" s="4" t="s">
        <v>76</v>
      </c>
      <c r="K92" s="4" t="s">
        <v>68</v>
      </c>
      <c r="L92" s="35" t="n">
        <f aca="false">G92*H92</f>
        <v>150</v>
      </c>
      <c r="M92" s="35" t="n">
        <f aca="false">L92*I92</f>
        <v>0</v>
      </c>
      <c r="N92" s="35" t="n">
        <f aca="false">L92-M92</f>
        <v>150</v>
      </c>
      <c r="O92" s="4" t="n">
        <f aca="false">MONTH(B92)</f>
        <v>1</v>
      </c>
      <c r="P92" s="4" t="str">
        <f aca="false">CHOOSE(WEEKDAY(B92,2),"Mon","Tue","Wed","Thu","Fri","Sat","Sun")</f>
        <v>Mon</v>
      </c>
      <c r="Q92" s="4" t="str">
        <f aca="false">IF(WEEKDAY(B92,2)&gt;5,"Weekend","Weekday")</f>
        <v>Weekday</v>
      </c>
      <c r="R92" s="4" t="str">
        <f aca="false">IF(C92&lt;11,"Morning (7-10)",IF(C92&lt;14,"Lunch (11-13)",IF(C92&lt;18,"Afternoon (14-17)","Evening (18-20)")))</f>
        <v>Lunch (11-13)</v>
      </c>
      <c r="S92" s="4" t="str">
        <f aca="false">IF(AND(O92&gt;=3,O92&lt;=5),"Hot Dry (Mar-May)",IF(AND(O92&gt;=6,O92&lt;=11),"Rainy (Jun-Nov)","Cool Dry (Dec-Feb)"))</f>
        <v>Cool Dry (Dec-Feb)</v>
      </c>
      <c r="T92" s="4" t="str">
        <f aca="false">CHOOSE(O92,"Jan","Feb","Mar","Apr","May","Jun","Jul","Aug","Sep","Oct","Nov","Dec")</f>
        <v>Jan</v>
      </c>
    </row>
    <row r="93" customFormat="false" ht="15" hidden="false" customHeight="false" outlineLevel="0" collapsed="false">
      <c r="A93" s="4" t="s">
        <v>213</v>
      </c>
      <c r="B93" s="17" t="n">
        <v>45678</v>
      </c>
      <c r="C93" s="4" t="n">
        <v>7</v>
      </c>
      <c r="D93" s="4" t="s">
        <v>70</v>
      </c>
      <c r="E93" s="4" t="s">
        <v>84</v>
      </c>
      <c r="F93" s="4" t="s">
        <v>85</v>
      </c>
      <c r="G93" s="4" t="n">
        <v>1</v>
      </c>
      <c r="H93" s="34" t="n">
        <v>150</v>
      </c>
      <c r="I93" s="18" t="n">
        <v>0.05</v>
      </c>
      <c r="J93" s="4" t="s">
        <v>76</v>
      </c>
      <c r="K93" s="4" t="s">
        <v>82</v>
      </c>
      <c r="L93" s="35" t="n">
        <f aca="false">G93*H93</f>
        <v>150</v>
      </c>
      <c r="M93" s="35" t="n">
        <f aca="false">L93*I93</f>
        <v>7.5</v>
      </c>
      <c r="N93" s="35" t="n">
        <f aca="false">L93-M93</f>
        <v>142.5</v>
      </c>
      <c r="O93" s="4" t="n">
        <f aca="false">MONTH(B93)</f>
        <v>1</v>
      </c>
      <c r="P93" s="4" t="str">
        <f aca="false">CHOOSE(WEEKDAY(B93,2),"Mon","Tue","Wed","Thu","Fri","Sat","Sun")</f>
        <v>Tue</v>
      </c>
      <c r="Q93" s="4" t="str">
        <f aca="false">IF(WEEKDAY(B93,2)&gt;5,"Weekend","Weekday")</f>
        <v>Weekday</v>
      </c>
      <c r="R93" s="4" t="str">
        <f aca="false">IF(C93&lt;11,"Morning (7-10)",IF(C93&lt;14,"Lunch (11-13)",IF(C93&lt;18,"Afternoon (14-17)","Evening (18-20)")))</f>
        <v>Morning (7-10)</v>
      </c>
      <c r="S93" s="4" t="str">
        <f aca="false">IF(AND(O93&gt;=3,O93&lt;=5),"Hot Dry (Mar-May)",IF(AND(O93&gt;=6,O93&lt;=11),"Rainy (Jun-Nov)","Cool Dry (Dec-Feb)"))</f>
        <v>Cool Dry (Dec-Feb)</v>
      </c>
      <c r="T93" s="4" t="str">
        <f aca="false">CHOOSE(O93,"Jan","Feb","Mar","Apr","May","Jun","Jul","Aug","Sep","Oct","Nov","Dec")</f>
        <v>Jan</v>
      </c>
    </row>
    <row r="94" customFormat="false" ht="15" hidden="false" customHeight="false" outlineLevel="0" collapsed="false">
      <c r="A94" s="4" t="s">
        <v>214</v>
      </c>
      <c r="B94" s="17" t="n">
        <v>45678</v>
      </c>
      <c r="C94" s="4" t="n">
        <v>8</v>
      </c>
      <c r="D94" s="4" t="s">
        <v>73</v>
      </c>
      <c r="E94" s="4" t="s">
        <v>99</v>
      </c>
      <c r="F94" s="4" t="s">
        <v>100</v>
      </c>
      <c r="G94" s="4" t="n">
        <v>2</v>
      </c>
      <c r="H94" s="34" t="n">
        <v>110</v>
      </c>
      <c r="I94" s="18" t="n">
        <v>0</v>
      </c>
      <c r="J94" s="4" t="s">
        <v>112</v>
      </c>
      <c r="K94" s="4" t="s">
        <v>68</v>
      </c>
      <c r="L94" s="35" t="n">
        <f aca="false">G94*H94</f>
        <v>220</v>
      </c>
      <c r="M94" s="35" t="n">
        <f aca="false">L94*I94</f>
        <v>0</v>
      </c>
      <c r="N94" s="35" t="n">
        <f aca="false">L94-M94</f>
        <v>220</v>
      </c>
      <c r="O94" s="4" t="n">
        <f aca="false">MONTH(B94)</f>
        <v>1</v>
      </c>
      <c r="P94" s="4" t="str">
        <f aca="false">CHOOSE(WEEKDAY(B94,2),"Mon","Tue","Wed","Thu","Fri","Sat","Sun")</f>
        <v>Tue</v>
      </c>
      <c r="Q94" s="4" t="str">
        <f aca="false">IF(WEEKDAY(B94,2)&gt;5,"Weekend","Weekday")</f>
        <v>Weekday</v>
      </c>
      <c r="R94" s="4" t="str">
        <f aca="false">IF(C94&lt;11,"Morning (7-10)",IF(C94&lt;14,"Lunch (11-13)",IF(C94&lt;18,"Afternoon (14-17)","Evening (18-20)")))</f>
        <v>Morning (7-10)</v>
      </c>
      <c r="S94" s="4" t="str">
        <f aca="false">IF(AND(O94&gt;=3,O94&lt;=5),"Hot Dry (Mar-May)",IF(AND(O94&gt;=6,O94&lt;=11),"Rainy (Jun-Nov)","Cool Dry (Dec-Feb)"))</f>
        <v>Cool Dry (Dec-Feb)</v>
      </c>
      <c r="T94" s="4" t="str">
        <f aca="false">CHOOSE(O94,"Jan","Feb","Mar","Apr","May","Jun","Jul","Aug","Sep","Oct","Nov","Dec")</f>
        <v>Jan</v>
      </c>
    </row>
    <row r="95" customFormat="false" ht="15" hidden="false" customHeight="false" outlineLevel="0" collapsed="false">
      <c r="A95" s="4" t="s">
        <v>216</v>
      </c>
      <c r="B95" s="17" t="n">
        <v>45678</v>
      </c>
      <c r="C95" s="4" t="n">
        <v>10</v>
      </c>
      <c r="D95" s="4" t="s">
        <v>64</v>
      </c>
      <c r="E95" s="4" t="s">
        <v>65</v>
      </c>
      <c r="F95" s="4" t="s">
        <v>66</v>
      </c>
      <c r="G95" s="4" t="n">
        <v>3</v>
      </c>
      <c r="H95" s="34" t="n">
        <v>120</v>
      </c>
      <c r="I95" s="18" t="n">
        <v>0</v>
      </c>
      <c r="J95" s="4" t="s">
        <v>76</v>
      </c>
      <c r="K95" s="4" t="s">
        <v>77</v>
      </c>
      <c r="L95" s="35" t="n">
        <f aca="false">G95*H95</f>
        <v>360</v>
      </c>
      <c r="M95" s="35" t="n">
        <f aca="false">L95*I95</f>
        <v>0</v>
      </c>
      <c r="N95" s="35" t="n">
        <f aca="false">L95-M95</f>
        <v>360</v>
      </c>
      <c r="O95" s="4" t="n">
        <f aca="false">MONTH(B95)</f>
        <v>1</v>
      </c>
      <c r="P95" s="4" t="str">
        <f aca="false">CHOOSE(WEEKDAY(B95,2),"Mon","Tue","Wed","Thu","Fri","Sat","Sun")</f>
        <v>Tue</v>
      </c>
      <c r="Q95" s="4" t="str">
        <f aca="false">IF(WEEKDAY(B95,2)&gt;5,"Weekend","Weekday")</f>
        <v>Weekday</v>
      </c>
      <c r="R95" s="4" t="str">
        <f aca="false">IF(C95&lt;11,"Morning (7-10)",IF(C95&lt;14,"Lunch (11-13)",IF(C95&lt;18,"Afternoon (14-17)","Evening (18-20)")))</f>
        <v>Morning (7-10)</v>
      </c>
      <c r="S95" s="4" t="str">
        <f aca="false">IF(AND(O95&gt;=3,O95&lt;=5),"Hot Dry (Mar-May)",IF(AND(O95&gt;=6,O95&lt;=11),"Rainy (Jun-Nov)","Cool Dry (Dec-Feb)"))</f>
        <v>Cool Dry (Dec-Feb)</v>
      </c>
      <c r="T95" s="4" t="str">
        <f aca="false">CHOOSE(O95,"Jan","Feb","Mar","Apr","May","Jun","Jul","Aug","Sep","Oct","Nov","Dec")</f>
        <v>Jan</v>
      </c>
    </row>
    <row r="96" customFormat="false" ht="15" hidden="false" customHeight="false" outlineLevel="0" collapsed="false">
      <c r="A96" s="4" t="s">
        <v>217</v>
      </c>
      <c r="B96" s="17" t="n">
        <v>45678</v>
      </c>
      <c r="C96" s="4" t="n">
        <v>12</v>
      </c>
      <c r="D96" s="4" t="s">
        <v>70</v>
      </c>
      <c r="E96" s="4" t="s">
        <v>79</v>
      </c>
      <c r="F96" s="4" t="s">
        <v>80</v>
      </c>
      <c r="G96" s="4" t="n">
        <v>2</v>
      </c>
      <c r="H96" s="34" t="n">
        <v>160</v>
      </c>
      <c r="I96" s="18" t="n">
        <v>0.2</v>
      </c>
      <c r="J96" s="4" t="s">
        <v>67</v>
      </c>
      <c r="K96" s="4" t="s">
        <v>68</v>
      </c>
      <c r="L96" s="35" t="n">
        <f aca="false">G96*H96</f>
        <v>320</v>
      </c>
      <c r="M96" s="35" t="n">
        <f aca="false">L96*I96</f>
        <v>64</v>
      </c>
      <c r="N96" s="35" t="n">
        <f aca="false">L96-M96</f>
        <v>256</v>
      </c>
      <c r="O96" s="4" t="n">
        <f aca="false">MONTH(B96)</f>
        <v>1</v>
      </c>
      <c r="P96" s="4" t="str">
        <f aca="false">CHOOSE(WEEKDAY(B96,2),"Mon","Tue","Wed","Thu","Fri","Sat","Sun")</f>
        <v>Tue</v>
      </c>
      <c r="Q96" s="4" t="str">
        <f aca="false">IF(WEEKDAY(B96,2)&gt;5,"Weekend","Weekday")</f>
        <v>Weekday</v>
      </c>
      <c r="R96" s="4" t="str">
        <f aca="false">IF(C96&lt;11,"Morning (7-10)",IF(C96&lt;14,"Lunch (11-13)",IF(C96&lt;18,"Afternoon (14-17)","Evening (18-20)")))</f>
        <v>Lunch (11-13)</v>
      </c>
      <c r="S96" s="4" t="str">
        <f aca="false">IF(AND(O96&gt;=3,O96&lt;=5),"Hot Dry (Mar-May)",IF(AND(O96&gt;=6,O96&lt;=11),"Rainy (Jun-Nov)","Cool Dry (Dec-Feb)"))</f>
        <v>Cool Dry (Dec-Feb)</v>
      </c>
      <c r="T96" s="4" t="str">
        <f aca="false">CHOOSE(O96,"Jan","Feb","Mar","Apr","May","Jun","Jul","Aug","Sep","Oct","Nov","Dec")</f>
        <v>Jan</v>
      </c>
    </row>
    <row r="97" customFormat="false" ht="15" hidden="false" customHeight="false" outlineLevel="0" collapsed="false">
      <c r="A97" s="4" t="s">
        <v>218</v>
      </c>
      <c r="B97" s="17" t="n">
        <v>45678</v>
      </c>
      <c r="C97" s="4" t="n">
        <v>16</v>
      </c>
      <c r="D97" s="4" t="s">
        <v>70</v>
      </c>
      <c r="E97" s="4" t="s">
        <v>79</v>
      </c>
      <c r="F97" s="4" t="s">
        <v>148</v>
      </c>
      <c r="G97" s="4" t="n">
        <v>2</v>
      </c>
      <c r="H97" s="34" t="n">
        <v>120</v>
      </c>
      <c r="I97" s="18" t="n">
        <v>0</v>
      </c>
      <c r="J97" s="4" t="s">
        <v>76</v>
      </c>
      <c r="K97" s="4" t="s">
        <v>77</v>
      </c>
      <c r="L97" s="35" t="n">
        <f aca="false">G97*H97</f>
        <v>240</v>
      </c>
      <c r="M97" s="35" t="n">
        <f aca="false">L97*I97</f>
        <v>0</v>
      </c>
      <c r="N97" s="35" t="n">
        <f aca="false">L97-M97</f>
        <v>240</v>
      </c>
      <c r="O97" s="4" t="n">
        <f aca="false">MONTH(B97)</f>
        <v>1</v>
      </c>
      <c r="P97" s="4" t="str">
        <f aca="false">CHOOSE(WEEKDAY(B97,2),"Mon","Tue","Wed","Thu","Fri","Sat","Sun")</f>
        <v>Tue</v>
      </c>
      <c r="Q97" s="4" t="str">
        <f aca="false">IF(WEEKDAY(B97,2)&gt;5,"Weekend","Weekday")</f>
        <v>Weekday</v>
      </c>
      <c r="R97" s="4" t="str">
        <f aca="false">IF(C97&lt;11,"Morning (7-10)",IF(C97&lt;14,"Lunch (11-13)",IF(C97&lt;18,"Afternoon (14-17)","Evening (18-20)")))</f>
        <v>Afternoon (14-17)</v>
      </c>
      <c r="S97" s="4" t="str">
        <f aca="false">IF(AND(O97&gt;=3,O97&lt;=5),"Hot Dry (Mar-May)",IF(AND(O97&gt;=6,O97&lt;=11),"Rainy (Jun-Nov)","Cool Dry (Dec-Feb)"))</f>
        <v>Cool Dry (Dec-Feb)</v>
      </c>
      <c r="T97" s="4" t="str">
        <f aca="false">CHOOSE(O97,"Jan","Feb","Mar","Apr","May","Jun","Jul","Aug","Sep","Oct","Nov","Dec")</f>
        <v>Jan</v>
      </c>
    </row>
    <row r="98" customFormat="false" ht="15" hidden="false" customHeight="false" outlineLevel="0" collapsed="false">
      <c r="A98" s="4" t="s">
        <v>220</v>
      </c>
      <c r="B98" s="17" t="n">
        <v>45678</v>
      </c>
      <c r="C98" s="4" t="n">
        <v>17</v>
      </c>
      <c r="D98" s="4" t="s">
        <v>98</v>
      </c>
      <c r="E98" s="4" t="s">
        <v>79</v>
      </c>
      <c r="F98" s="4" t="s">
        <v>148</v>
      </c>
      <c r="G98" s="4" t="n">
        <v>1</v>
      </c>
      <c r="H98" s="34" t="n">
        <v>120</v>
      </c>
      <c r="I98" s="18" t="n">
        <v>0.1</v>
      </c>
      <c r="J98" s="4" t="s">
        <v>76</v>
      </c>
      <c r="K98" s="4" t="s">
        <v>71</v>
      </c>
      <c r="L98" s="35" t="n">
        <f aca="false">G98*H98</f>
        <v>120</v>
      </c>
      <c r="M98" s="35" t="n">
        <f aca="false">L98*I98</f>
        <v>12</v>
      </c>
      <c r="N98" s="35" t="n">
        <f aca="false">L98-M98</f>
        <v>108</v>
      </c>
      <c r="O98" s="4" t="n">
        <f aca="false">MONTH(B98)</f>
        <v>1</v>
      </c>
      <c r="P98" s="4" t="str">
        <f aca="false">CHOOSE(WEEKDAY(B98,2),"Mon","Tue","Wed","Thu","Fri","Sat","Sun")</f>
        <v>Tue</v>
      </c>
      <c r="Q98" s="4" t="str">
        <f aca="false">IF(WEEKDAY(B98,2)&gt;5,"Weekend","Weekday")</f>
        <v>Weekday</v>
      </c>
      <c r="R98" s="4" t="str">
        <f aca="false">IF(C98&lt;11,"Morning (7-10)",IF(C98&lt;14,"Lunch (11-13)",IF(C98&lt;18,"Afternoon (14-17)","Evening (18-20)")))</f>
        <v>Afternoon (14-17)</v>
      </c>
      <c r="S98" s="4" t="str">
        <f aca="false">IF(AND(O98&gt;=3,O98&lt;=5),"Hot Dry (Mar-May)",IF(AND(O98&gt;=6,O98&lt;=11),"Rainy (Jun-Nov)","Cool Dry (Dec-Feb)"))</f>
        <v>Cool Dry (Dec-Feb)</v>
      </c>
      <c r="T98" s="4" t="str">
        <f aca="false">CHOOSE(O98,"Jan","Feb","Mar","Apr","May","Jun","Jul","Aug","Sep","Oct","Nov","Dec")</f>
        <v>Jan</v>
      </c>
    </row>
    <row r="99" customFormat="false" ht="15" hidden="false" customHeight="false" outlineLevel="0" collapsed="false">
      <c r="A99" s="4" t="s">
        <v>222</v>
      </c>
      <c r="B99" s="17" t="n">
        <v>45679</v>
      </c>
      <c r="C99" s="4" t="n">
        <v>8</v>
      </c>
      <c r="D99" s="4" t="s">
        <v>70</v>
      </c>
      <c r="E99" s="4" t="s">
        <v>65</v>
      </c>
      <c r="F99" s="4" t="s">
        <v>94</v>
      </c>
      <c r="G99" s="4" t="n">
        <v>1</v>
      </c>
      <c r="H99" s="34" t="n">
        <v>150</v>
      </c>
      <c r="I99" s="18" t="n">
        <v>0</v>
      </c>
      <c r="J99" s="4" t="s">
        <v>81</v>
      </c>
      <c r="K99" s="4" t="s">
        <v>68</v>
      </c>
      <c r="L99" s="35" t="n">
        <f aca="false">G99*H99</f>
        <v>150</v>
      </c>
      <c r="M99" s="35" t="n">
        <f aca="false">L99*I99</f>
        <v>0</v>
      </c>
      <c r="N99" s="35" t="n">
        <f aca="false">L99-M99</f>
        <v>150</v>
      </c>
      <c r="O99" s="4" t="n">
        <f aca="false">MONTH(B99)</f>
        <v>1</v>
      </c>
      <c r="P99" s="4" t="str">
        <f aca="false">CHOOSE(WEEKDAY(B99,2),"Mon","Tue","Wed","Thu","Fri","Sat","Sun")</f>
        <v>Wed</v>
      </c>
      <c r="Q99" s="4" t="str">
        <f aca="false">IF(WEEKDAY(B99,2)&gt;5,"Weekend","Weekday")</f>
        <v>Weekday</v>
      </c>
      <c r="R99" s="4" t="str">
        <f aca="false">IF(C99&lt;11,"Morning (7-10)",IF(C99&lt;14,"Lunch (11-13)",IF(C99&lt;18,"Afternoon (14-17)","Evening (18-20)")))</f>
        <v>Morning (7-10)</v>
      </c>
      <c r="S99" s="4" t="str">
        <f aca="false">IF(AND(O99&gt;=3,O99&lt;=5),"Hot Dry (Mar-May)",IF(AND(O99&gt;=6,O99&lt;=11),"Rainy (Jun-Nov)","Cool Dry (Dec-Feb)"))</f>
        <v>Cool Dry (Dec-Feb)</v>
      </c>
      <c r="T99" s="4" t="str">
        <f aca="false">CHOOSE(O99,"Jan","Feb","Mar","Apr","May","Jun","Jul","Aug","Sep","Oct","Nov","Dec")</f>
        <v>Jan</v>
      </c>
    </row>
    <row r="100" customFormat="false" ht="15" hidden="false" customHeight="false" outlineLevel="0" collapsed="false">
      <c r="A100" s="4" t="s">
        <v>223</v>
      </c>
      <c r="B100" s="17" t="n">
        <v>45679</v>
      </c>
      <c r="C100" s="4" t="n">
        <v>9</v>
      </c>
      <c r="D100" s="4" t="s">
        <v>64</v>
      </c>
      <c r="E100" s="4" t="s">
        <v>84</v>
      </c>
      <c r="F100" s="4" t="s">
        <v>85</v>
      </c>
      <c r="G100" s="4" t="n">
        <v>4</v>
      </c>
      <c r="H100" s="34" t="n">
        <v>150</v>
      </c>
      <c r="I100" s="18" t="n">
        <v>0</v>
      </c>
      <c r="J100" s="4" t="s">
        <v>67</v>
      </c>
      <c r="K100" s="4" t="s">
        <v>77</v>
      </c>
      <c r="L100" s="35" t="n">
        <f aca="false">G100*H100</f>
        <v>600</v>
      </c>
      <c r="M100" s="35" t="n">
        <f aca="false">L100*I100</f>
        <v>0</v>
      </c>
      <c r="N100" s="35" t="n">
        <f aca="false">L100-M100</f>
        <v>600</v>
      </c>
      <c r="O100" s="4" t="n">
        <f aca="false">MONTH(B100)</f>
        <v>1</v>
      </c>
      <c r="P100" s="4" t="str">
        <f aca="false">CHOOSE(WEEKDAY(B100,2),"Mon","Tue","Wed","Thu","Fri","Sat","Sun")</f>
        <v>Wed</v>
      </c>
      <c r="Q100" s="4" t="str">
        <f aca="false">IF(WEEKDAY(B100,2)&gt;5,"Weekend","Weekday")</f>
        <v>Weekday</v>
      </c>
      <c r="R100" s="4" t="str">
        <f aca="false">IF(C100&lt;11,"Morning (7-10)",IF(C100&lt;14,"Lunch (11-13)",IF(C100&lt;18,"Afternoon (14-17)","Evening (18-20)")))</f>
        <v>Morning (7-10)</v>
      </c>
      <c r="S100" s="4" t="str">
        <f aca="false">IF(AND(O100&gt;=3,O100&lt;=5),"Hot Dry (Mar-May)",IF(AND(O100&gt;=6,O100&lt;=11),"Rainy (Jun-Nov)","Cool Dry (Dec-Feb)"))</f>
        <v>Cool Dry (Dec-Feb)</v>
      </c>
      <c r="T100" s="4" t="str">
        <f aca="false">CHOOSE(O100,"Jan","Feb","Mar","Apr","May","Jun","Jul","Aug","Sep","Oct","Nov","Dec")</f>
        <v>Jan</v>
      </c>
    </row>
    <row r="101" customFormat="false" ht="15" hidden="false" customHeight="false" outlineLevel="0" collapsed="false">
      <c r="A101" s="4" t="s">
        <v>226</v>
      </c>
      <c r="B101" s="17" t="n">
        <v>45679</v>
      </c>
      <c r="C101" s="4" t="n">
        <v>9</v>
      </c>
      <c r="D101" s="4" t="s">
        <v>64</v>
      </c>
      <c r="E101" s="4" t="s">
        <v>99</v>
      </c>
      <c r="F101" s="4" t="s">
        <v>133</v>
      </c>
      <c r="G101" s="4" t="n">
        <v>1</v>
      </c>
      <c r="H101" s="34" t="n">
        <v>90</v>
      </c>
      <c r="I101" s="18" t="n">
        <v>0.05</v>
      </c>
      <c r="J101" s="4" t="s">
        <v>81</v>
      </c>
      <c r="K101" s="4" t="s">
        <v>82</v>
      </c>
      <c r="L101" s="35" t="n">
        <f aca="false">G101*H101</f>
        <v>90</v>
      </c>
      <c r="M101" s="35" t="n">
        <f aca="false">L101*I101</f>
        <v>4.5</v>
      </c>
      <c r="N101" s="35" t="n">
        <f aca="false">L101-M101</f>
        <v>85.5</v>
      </c>
      <c r="O101" s="4" t="n">
        <f aca="false">MONTH(B101)</f>
        <v>1</v>
      </c>
      <c r="P101" s="4" t="str">
        <f aca="false">CHOOSE(WEEKDAY(B101,2),"Mon","Tue","Wed","Thu","Fri","Sat","Sun")</f>
        <v>Wed</v>
      </c>
      <c r="Q101" s="4" t="str">
        <f aca="false">IF(WEEKDAY(B101,2)&gt;5,"Weekend","Weekday")</f>
        <v>Weekday</v>
      </c>
      <c r="R101" s="4" t="str">
        <f aca="false">IF(C101&lt;11,"Morning (7-10)",IF(C101&lt;14,"Lunch (11-13)",IF(C101&lt;18,"Afternoon (14-17)","Evening (18-20)")))</f>
        <v>Morning (7-10)</v>
      </c>
      <c r="S101" s="4" t="str">
        <f aca="false">IF(AND(O101&gt;=3,O101&lt;=5),"Hot Dry (Mar-May)",IF(AND(O101&gt;=6,O101&lt;=11),"Rainy (Jun-Nov)","Cool Dry (Dec-Feb)"))</f>
        <v>Cool Dry (Dec-Feb)</v>
      </c>
      <c r="T101" s="4" t="str">
        <f aca="false">CHOOSE(O101,"Jan","Feb","Mar","Apr","May","Jun","Jul","Aug","Sep","Oct","Nov","Dec")</f>
        <v>Jan</v>
      </c>
    </row>
    <row r="102" customFormat="false" ht="15" hidden="false" customHeight="false" outlineLevel="0" collapsed="false">
      <c r="A102" s="4" t="s">
        <v>227</v>
      </c>
      <c r="B102" s="17" t="n">
        <v>45679</v>
      </c>
      <c r="C102" s="4" t="n">
        <v>11</v>
      </c>
      <c r="D102" s="4" t="s">
        <v>73</v>
      </c>
      <c r="E102" s="4" t="s">
        <v>99</v>
      </c>
      <c r="F102" s="4" t="s">
        <v>102</v>
      </c>
      <c r="G102" s="4" t="n">
        <v>1</v>
      </c>
      <c r="H102" s="34" t="n">
        <v>140</v>
      </c>
      <c r="I102" s="18" t="n">
        <v>0</v>
      </c>
      <c r="J102" s="4" t="s">
        <v>67</v>
      </c>
      <c r="K102" s="4" t="s">
        <v>68</v>
      </c>
      <c r="L102" s="35" t="n">
        <f aca="false">G102*H102</f>
        <v>140</v>
      </c>
      <c r="M102" s="35" t="n">
        <f aca="false">L102*I102</f>
        <v>0</v>
      </c>
      <c r="N102" s="35" t="n">
        <f aca="false">L102-M102</f>
        <v>140</v>
      </c>
      <c r="O102" s="4" t="n">
        <f aca="false">MONTH(B102)</f>
        <v>1</v>
      </c>
      <c r="P102" s="4" t="str">
        <f aca="false">CHOOSE(WEEKDAY(B102,2),"Mon","Tue","Wed","Thu","Fri","Sat","Sun")</f>
        <v>Wed</v>
      </c>
      <c r="Q102" s="4" t="str">
        <f aca="false">IF(WEEKDAY(B102,2)&gt;5,"Weekend","Weekday")</f>
        <v>Weekday</v>
      </c>
      <c r="R102" s="4" t="str">
        <f aca="false">IF(C102&lt;11,"Morning (7-10)",IF(C102&lt;14,"Lunch (11-13)",IF(C102&lt;18,"Afternoon (14-17)","Evening (18-20)")))</f>
        <v>Lunch (11-13)</v>
      </c>
      <c r="S102" s="4" t="str">
        <f aca="false">IF(AND(O102&gt;=3,O102&lt;=5),"Hot Dry (Mar-May)",IF(AND(O102&gt;=6,O102&lt;=11),"Rainy (Jun-Nov)","Cool Dry (Dec-Feb)"))</f>
        <v>Cool Dry (Dec-Feb)</v>
      </c>
      <c r="T102" s="4" t="str">
        <f aca="false">CHOOSE(O102,"Jan","Feb","Mar","Apr","May","Jun","Jul","Aug","Sep","Oct","Nov","Dec")</f>
        <v>Jan</v>
      </c>
    </row>
    <row r="103" customFormat="false" ht="15" hidden="false" customHeight="false" outlineLevel="0" collapsed="false">
      <c r="A103" s="4" t="s">
        <v>228</v>
      </c>
      <c r="B103" s="17" t="n">
        <v>45679</v>
      </c>
      <c r="C103" s="4" t="n">
        <v>16</v>
      </c>
      <c r="D103" s="4" t="s">
        <v>64</v>
      </c>
      <c r="E103" s="4" t="s">
        <v>99</v>
      </c>
      <c r="F103" s="4" t="s">
        <v>133</v>
      </c>
      <c r="G103" s="4" t="n">
        <v>1</v>
      </c>
      <c r="H103" s="34" t="n">
        <v>90</v>
      </c>
      <c r="I103" s="18" t="n">
        <v>0</v>
      </c>
      <c r="J103" s="4" t="s">
        <v>81</v>
      </c>
      <c r="K103" s="4" t="s">
        <v>68</v>
      </c>
      <c r="L103" s="35" t="n">
        <f aca="false">G103*H103</f>
        <v>90</v>
      </c>
      <c r="M103" s="35" t="n">
        <f aca="false">L103*I103</f>
        <v>0</v>
      </c>
      <c r="N103" s="35" t="n">
        <f aca="false">L103-M103</f>
        <v>90</v>
      </c>
      <c r="O103" s="4" t="n">
        <f aca="false">MONTH(B103)</f>
        <v>1</v>
      </c>
      <c r="P103" s="4" t="str">
        <f aca="false">CHOOSE(WEEKDAY(B103,2),"Mon","Tue","Wed","Thu","Fri","Sat","Sun")</f>
        <v>Wed</v>
      </c>
      <c r="Q103" s="4" t="str">
        <f aca="false">IF(WEEKDAY(B103,2)&gt;5,"Weekend","Weekday")</f>
        <v>Weekday</v>
      </c>
      <c r="R103" s="4" t="str">
        <f aca="false">IF(C103&lt;11,"Morning (7-10)",IF(C103&lt;14,"Lunch (11-13)",IF(C103&lt;18,"Afternoon (14-17)","Evening (18-20)")))</f>
        <v>Afternoon (14-17)</v>
      </c>
      <c r="S103" s="4" t="str">
        <f aca="false">IF(AND(O103&gt;=3,O103&lt;=5),"Hot Dry (Mar-May)",IF(AND(O103&gt;=6,O103&lt;=11),"Rainy (Jun-Nov)","Cool Dry (Dec-Feb)"))</f>
        <v>Cool Dry (Dec-Feb)</v>
      </c>
      <c r="T103" s="4" t="str">
        <f aca="false">CHOOSE(O103,"Jan","Feb","Mar","Apr","May","Jun","Jul","Aug","Sep","Oct","Nov","Dec")</f>
        <v>Jan</v>
      </c>
    </row>
    <row r="104" customFormat="false" ht="15" hidden="false" customHeight="false" outlineLevel="0" collapsed="false">
      <c r="A104" s="4" t="s">
        <v>229</v>
      </c>
      <c r="B104" s="17" t="n">
        <v>45679</v>
      </c>
      <c r="C104" s="4" t="n">
        <v>16</v>
      </c>
      <c r="D104" s="4" t="s">
        <v>64</v>
      </c>
      <c r="E104" s="4" t="s">
        <v>99</v>
      </c>
      <c r="F104" s="4" t="s">
        <v>100</v>
      </c>
      <c r="G104" s="4" t="n">
        <v>2</v>
      </c>
      <c r="H104" s="34" t="n">
        <v>110</v>
      </c>
      <c r="I104" s="18" t="n">
        <v>0.05</v>
      </c>
      <c r="J104" s="4" t="s">
        <v>81</v>
      </c>
      <c r="K104" s="4" t="s">
        <v>82</v>
      </c>
      <c r="L104" s="35" t="n">
        <f aca="false">G104*H104</f>
        <v>220</v>
      </c>
      <c r="M104" s="35" t="n">
        <f aca="false">L104*I104</f>
        <v>11</v>
      </c>
      <c r="N104" s="35" t="n">
        <f aca="false">L104-M104</f>
        <v>209</v>
      </c>
      <c r="O104" s="4" t="n">
        <f aca="false">MONTH(B104)</f>
        <v>1</v>
      </c>
      <c r="P104" s="4" t="str">
        <f aca="false">CHOOSE(WEEKDAY(B104,2),"Mon","Tue","Wed","Thu","Fri","Sat","Sun")</f>
        <v>Wed</v>
      </c>
      <c r="Q104" s="4" t="str">
        <f aca="false">IF(WEEKDAY(B104,2)&gt;5,"Weekend","Weekday")</f>
        <v>Weekday</v>
      </c>
      <c r="R104" s="4" t="str">
        <f aca="false">IF(C104&lt;11,"Morning (7-10)",IF(C104&lt;14,"Lunch (11-13)",IF(C104&lt;18,"Afternoon (14-17)","Evening (18-20)")))</f>
        <v>Afternoon (14-17)</v>
      </c>
      <c r="S104" s="4" t="str">
        <f aca="false">IF(AND(O104&gt;=3,O104&lt;=5),"Hot Dry (Mar-May)",IF(AND(O104&gt;=6,O104&lt;=11),"Rainy (Jun-Nov)","Cool Dry (Dec-Feb)"))</f>
        <v>Cool Dry (Dec-Feb)</v>
      </c>
      <c r="T104" s="4" t="str">
        <f aca="false">CHOOSE(O104,"Jan","Feb","Mar","Apr","May","Jun","Jul","Aug","Sep","Oct","Nov","Dec")</f>
        <v>Jan</v>
      </c>
    </row>
    <row r="105" customFormat="false" ht="15" hidden="false" customHeight="false" outlineLevel="0" collapsed="false">
      <c r="A105" s="4" t="s">
        <v>231</v>
      </c>
      <c r="B105" s="17" t="n">
        <v>45679</v>
      </c>
      <c r="C105" s="4" t="n">
        <v>18</v>
      </c>
      <c r="D105" s="4" t="s">
        <v>64</v>
      </c>
      <c r="E105" s="4" t="s">
        <v>99</v>
      </c>
      <c r="F105" s="4" t="s">
        <v>102</v>
      </c>
      <c r="G105" s="4" t="n">
        <v>1</v>
      </c>
      <c r="H105" s="34" t="n">
        <v>140</v>
      </c>
      <c r="I105" s="18" t="n">
        <v>0.1</v>
      </c>
      <c r="J105" s="4" t="s">
        <v>67</v>
      </c>
      <c r="K105" s="4" t="s">
        <v>71</v>
      </c>
      <c r="L105" s="35" t="n">
        <f aca="false">G105*H105</f>
        <v>140</v>
      </c>
      <c r="M105" s="35" t="n">
        <f aca="false">L105*I105</f>
        <v>14</v>
      </c>
      <c r="N105" s="35" t="n">
        <f aca="false">L105-M105</f>
        <v>126</v>
      </c>
      <c r="O105" s="4" t="n">
        <f aca="false">MONTH(B105)</f>
        <v>1</v>
      </c>
      <c r="P105" s="4" t="str">
        <f aca="false">CHOOSE(WEEKDAY(B105,2),"Mon","Tue","Wed","Thu","Fri","Sat","Sun")</f>
        <v>Wed</v>
      </c>
      <c r="Q105" s="4" t="str">
        <f aca="false">IF(WEEKDAY(B105,2)&gt;5,"Weekend","Weekday")</f>
        <v>Weekday</v>
      </c>
      <c r="R105" s="4" t="str">
        <f aca="false">IF(C105&lt;11,"Morning (7-10)",IF(C105&lt;14,"Lunch (11-13)",IF(C105&lt;18,"Afternoon (14-17)","Evening (18-20)")))</f>
        <v>Evening (18-20)</v>
      </c>
      <c r="S105" s="4" t="str">
        <f aca="false">IF(AND(O105&gt;=3,O105&lt;=5),"Hot Dry (Mar-May)",IF(AND(O105&gt;=6,O105&lt;=11),"Rainy (Jun-Nov)","Cool Dry (Dec-Feb)"))</f>
        <v>Cool Dry (Dec-Feb)</v>
      </c>
      <c r="T105" s="4" t="str">
        <f aca="false">CHOOSE(O105,"Jan","Feb","Mar","Apr","May","Jun","Jul","Aug","Sep","Oct","Nov","Dec")</f>
        <v>Jan</v>
      </c>
    </row>
    <row r="106" customFormat="false" ht="15" hidden="false" customHeight="false" outlineLevel="0" collapsed="false">
      <c r="A106" s="4" t="s">
        <v>232</v>
      </c>
      <c r="B106" s="17" t="n">
        <v>45680</v>
      </c>
      <c r="C106" s="4" t="n">
        <v>9</v>
      </c>
      <c r="D106" s="4" t="s">
        <v>70</v>
      </c>
      <c r="E106" s="4" t="s">
        <v>65</v>
      </c>
      <c r="F106" s="4" t="s">
        <v>66</v>
      </c>
      <c r="G106" s="4" t="n">
        <v>2</v>
      </c>
      <c r="H106" s="34" t="n">
        <v>120</v>
      </c>
      <c r="I106" s="18" t="n">
        <v>0</v>
      </c>
      <c r="J106" s="4" t="s">
        <v>76</v>
      </c>
      <c r="K106" s="4" t="s">
        <v>68</v>
      </c>
      <c r="L106" s="35" t="n">
        <f aca="false">G106*H106</f>
        <v>240</v>
      </c>
      <c r="M106" s="35" t="n">
        <f aca="false">L106*I106</f>
        <v>0</v>
      </c>
      <c r="N106" s="35" t="n">
        <f aca="false">L106-M106</f>
        <v>240</v>
      </c>
      <c r="O106" s="4" t="n">
        <f aca="false">MONTH(B106)</f>
        <v>1</v>
      </c>
      <c r="P106" s="4" t="str">
        <f aca="false">CHOOSE(WEEKDAY(B106,2),"Mon","Tue","Wed","Thu","Fri","Sat","Sun")</f>
        <v>Thu</v>
      </c>
      <c r="Q106" s="4" t="str">
        <f aca="false">IF(WEEKDAY(B106,2)&gt;5,"Weekend","Weekday")</f>
        <v>Weekday</v>
      </c>
      <c r="R106" s="4" t="str">
        <f aca="false">IF(C106&lt;11,"Morning (7-10)",IF(C106&lt;14,"Lunch (11-13)",IF(C106&lt;18,"Afternoon (14-17)","Evening (18-20)")))</f>
        <v>Morning (7-10)</v>
      </c>
      <c r="S106" s="4" t="str">
        <f aca="false">IF(AND(O106&gt;=3,O106&lt;=5),"Hot Dry (Mar-May)",IF(AND(O106&gt;=6,O106&lt;=11),"Rainy (Jun-Nov)","Cool Dry (Dec-Feb)"))</f>
        <v>Cool Dry (Dec-Feb)</v>
      </c>
      <c r="T106" s="4" t="str">
        <f aca="false">CHOOSE(O106,"Jan","Feb","Mar","Apr","May","Jun","Jul","Aug","Sep","Oct","Nov","Dec")</f>
        <v>Jan</v>
      </c>
    </row>
    <row r="107" customFormat="false" ht="15" hidden="false" customHeight="false" outlineLevel="0" collapsed="false">
      <c r="A107" s="4" t="s">
        <v>233</v>
      </c>
      <c r="B107" s="17" t="n">
        <v>45680</v>
      </c>
      <c r="C107" s="4" t="n">
        <v>10</v>
      </c>
      <c r="D107" s="4" t="s">
        <v>73</v>
      </c>
      <c r="E107" s="4" t="s">
        <v>79</v>
      </c>
      <c r="F107" s="4" t="s">
        <v>80</v>
      </c>
      <c r="G107" s="4" t="n">
        <v>1</v>
      </c>
      <c r="H107" s="34" t="n">
        <v>160</v>
      </c>
      <c r="I107" s="18" t="n">
        <v>0.05</v>
      </c>
      <c r="J107" s="4" t="s">
        <v>67</v>
      </c>
      <c r="K107" s="4" t="s">
        <v>82</v>
      </c>
      <c r="L107" s="35" t="n">
        <f aca="false">G107*H107</f>
        <v>160</v>
      </c>
      <c r="M107" s="35" t="n">
        <f aca="false">L107*I107</f>
        <v>8</v>
      </c>
      <c r="N107" s="35" t="n">
        <f aca="false">L107-M107</f>
        <v>152</v>
      </c>
      <c r="O107" s="4" t="n">
        <f aca="false">MONTH(B107)</f>
        <v>1</v>
      </c>
      <c r="P107" s="4" t="str">
        <f aca="false">CHOOSE(WEEKDAY(B107,2),"Mon","Tue","Wed","Thu","Fri","Sat","Sun")</f>
        <v>Thu</v>
      </c>
      <c r="Q107" s="4" t="str">
        <f aca="false">IF(WEEKDAY(B107,2)&gt;5,"Weekend","Weekday")</f>
        <v>Weekday</v>
      </c>
      <c r="R107" s="4" t="str">
        <f aca="false">IF(C107&lt;11,"Morning (7-10)",IF(C107&lt;14,"Lunch (11-13)",IF(C107&lt;18,"Afternoon (14-17)","Evening (18-20)")))</f>
        <v>Morning (7-10)</v>
      </c>
      <c r="S107" s="4" t="str">
        <f aca="false">IF(AND(O107&gt;=3,O107&lt;=5),"Hot Dry (Mar-May)",IF(AND(O107&gt;=6,O107&lt;=11),"Rainy (Jun-Nov)","Cool Dry (Dec-Feb)"))</f>
        <v>Cool Dry (Dec-Feb)</v>
      </c>
      <c r="T107" s="4" t="str">
        <f aca="false">CHOOSE(O107,"Jan","Feb","Mar","Apr","May","Jun","Jul","Aug","Sep","Oct","Nov","Dec")</f>
        <v>Jan</v>
      </c>
    </row>
    <row r="108" customFormat="false" ht="15" hidden="false" customHeight="false" outlineLevel="0" collapsed="false">
      <c r="A108" s="4" t="s">
        <v>234</v>
      </c>
      <c r="B108" s="17" t="n">
        <v>45680</v>
      </c>
      <c r="C108" s="4" t="n">
        <v>15</v>
      </c>
      <c r="D108" s="4" t="s">
        <v>70</v>
      </c>
      <c r="E108" s="4" t="s">
        <v>65</v>
      </c>
      <c r="F108" s="4" t="s">
        <v>94</v>
      </c>
      <c r="G108" s="4" t="n">
        <v>2</v>
      </c>
      <c r="H108" s="34" t="n">
        <v>150</v>
      </c>
      <c r="I108" s="18" t="n">
        <v>0.05</v>
      </c>
      <c r="J108" s="4" t="s">
        <v>88</v>
      </c>
      <c r="K108" s="4" t="s">
        <v>82</v>
      </c>
      <c r="L108" s="35" t="n">
        <f aca="false">G108*H108</f>
        <v>300</v>
      </c>
      <c r="M108" s="35" t="n">
        <f aca="false">L108*I108</f>
        <v>15</v>
      </c>
      <c r="N108" s="35" t="n">
        <f aca="false">L108-M108</f>
        <v>285</v>
      </c>
      <c r="O108" s="4" t="n">
        <f aca="false">MONTH(B108)</f>
        <v>1</v>
      </c>
      <c r="P108" s="4" t="str">
        <f aca="false">CHOOSE(WEEKDAY(B108,2),"Mon","Tue","Wed","Thu","Fri","Sat","Sun")</f>
        <v>Thu</v>
      </c>
      <c r="Q108" s="4" t="str">
        <f aca="false">IF(WEEKDAY(B108,2)&gt;5,"Weekend","Weekday")</f>
        <v>Weekday</v>
      </c>
      <c r="R108" s="4" t="str">
        <f aca="false">IF(C108&lt;11,"Morning (7-10)",IF(C108&lt;14,"Lunch (11-13)",IF(C108&lt;18,"Afternoon (14-17)","Evening (18-20)")))</f>
        <v>Afternoon (14-17)</v>
      </c>
      <c r="S108" s="4" t="str">
        <f aca="false">IF(AND(O108&gt;=3,O108&lt;=5),"Hot Dry (Mar-May)",IF(AND(O108&gt;=6,O108&lt;=11),"Rainy (Jun-Nov)","Cool Dry (Dec-Feb)"))</f>
        <v>Cool Dry (Dec-Feb)</v>
      </c>
      <c r="T108" s="4" t="str">
        <f aca="false">CHOOSE(O108,"Jan","Feb","Mar","Apr","May","Jun","Jul","Aug","Sep","Oct","Nov","Dec")</f>
        <v>Jan</v>
      </c>
    </row>
    <row r="109" customFormat="false" ht="15" hidden="false" customHeight="false" outlineLevel="0" collapsed="false">
      <c r="A109" s="4" t="s">
        <v>238</v>
      </c>
      <c r="B109" s="17" t="n">
        <v>45681</v>
      </c>
      <c r="C109" s="4" t="n">
        <v>11</v>
      </c>
      <c r="D109" s="4" t="s">
        <v>64</v>
      </c>
      <c r="E109" s="4" t="s">
        <v>74</v>
      </c>
      <c r="F109" s="4" t="s">
        <v>75</v>
      </c>
      <c r="G109" s="4" t="n">
        <v>1</v>
      </c>
      <c r="H109" s="34" t="n">
        <v>220</v>
      </c>
      <c r="I109" s="18" t="n">
        <v>0.1</v>
      </c>
      <c r="J109" s="4" t="s">
        <v>81</v>
      </c>
      <c r="K109" s="4" t="s">
        <v>71</v>
      </c>
      <c r="L109" s="35" t="n">
        <f aca="false">G109*H109</f>
        <v>220</v>
      </c>
      <c r="M109" s="35" t="n">
        <f aca="false">L109*I109</f>
        <v>22</v>
      </c>
      <c r="N109" s="35" t="n">
        <f aca="false">L109-M109</f>
        <v>198</v>
      </c>
      <c r="O109" s="4" t="n">
        <f aca="false">MONTH(B109)</f>
        <v>1</v>
      </c>
      <c r="P109" s="4" t="str">
        <f aca="false">CHOOSE(WEEKDAY(B109,2),"Mon","Tue","Wed","Thu","Fri","Sat","Sun")</f>
        <v>Fri</v>
      </c>
      <c r="Q109" s="4" t="str">
        <f aca="false">IF(WEEKDAY(B109,2)&gt;5,"Weekend","Weekday")</f>
        <v>Weekday</v>
      </c>
      <c r="R109" s="4" t="str">
        <f aca="false">IF(C109&lt;11,"Morning (7-10)",IF(C109&lt;14,"Lunch (11-13)",IF(C109&lt;18,"Afternoon (14-17)","Evening (18-20)")))</f>
        <v>Lunch (11-13)</v>
      </c>
      <c r="S109" s="4" t="str">
        <f aca="false">IF(AND(O109&gt;=3,O109&lt;=5),"Hot Dry (Mar-May)",IF(AND(O109&gt;=6,O109&lt;=11),"Rainy (Jun-Nov)","Cool Dry (Dec-Feb)"))</f>
        <v>Cool Dry (Dec-Feb)</v>
      </c>
      <c r="T109" s="4" t="str">
        <f aca="false">CHOOSE(O109,"Jan","Feb","Mar","Apr","May","Jun","Jul","Aug","Sep","Oct","Nov","Dec")</f>
        <v>Jan</v>
      </c>
    </row>
    <row r="110" customFormat="false" ht="15" hidden="false" customHeight="false" outlineLevel="0" collapsed="false">
      <c r="A110" s="4" t="s">
        <v>239</v>
      </c>
      <c r="B110" s="17" t="n">
        <v>45681</v>
      </c>
      <c r="C110" s="4" t="n">
        <v>12</v>
      </c>
      <c r="D110" s="4" t="s">
        <v>64</v>
      </c>
      <c r="E110" s="4" t="s">
        <v>65</v>
      </c>
      <c r="F110" s="4" t="s">
        <v>121</v>
      </c>
      <c r="G110" s="4" t="n">
        <v>1</v>
      </c>
      <c r="H110" s="34" t="n">
        <v>170</v>
      </c>
      <c r="I110" s="18" t="n">
        <v>0.05</v>
      </c>
      <c r="J110" s="4" t="s">
        <v>67</v>
      </c>
      <c r="K110" s="4" t="s">
        <v>82</v>
      </c>
      <c r="L110" s="35" t="n">
        <f aca="false">G110*H110</f>
        <v>170</v>
      </c>
      <c r="M110" s="35" t="n">
        <f aca="false">L110*I110</f>
        <v>8.5</v>
      </c>
      <c r="N110" s="35" t="n">
        <f aca="false">L110-M110</f>
        <v>161.5</v>
      </c>
      <c r="O110" s="4" t="n">
        <f aca="false">MONTH(B110)</f>
        <v>1</v>
      </c>
      <c r="P110" s="4" t="str">
        <f aca="false">CHOOSE(WEEKDAY(B110,2),"Mon","Tue","Wed","Thu","Fri","Sat","Sun")</f>
        <v>Fri</v>
      </c>
      <c r="Q110" s="4" t="str">
        <f aca="false">IF(WEEKDAY(B110,2)&gt;5,"Weekend","Weekday")</f>
        <v>Weekday</v>
      </c>
      <c r="R110" s="4" t="str">
        <f aca="false">IF(C110&lt;11,"Morning (7-10)",IF(C110&lt;14,"Lunch (11-13)",IF(C110&lt;18,"Afternoon (14-17)","Evening (18-20)")))</f>
        <v>Lunch (11-13)</v>
      </c>
      <c r="S110" s="4" t="str">
        <f aca="false">IF(AND(O110&gt;=3,O110&lt;=5),"Hot Dry (Mar-May)",IF(AND(O110&gt;=6,O110&lt;=11),"Rainy (Jun-Nov)","Cool Dry (Dec-Feb)"))</f>
        <v>Cool Dry (Dec-Feb)</v>
      </c>
      <c r="T110" s="4" t="str">
        <f aca="false">CHOOSE(O110,"Jan","Feb","Mar","Apr","May","Jun","Jul","Aug","Sep","Oct","Nov","Dec")</f>
        <v>Jan</v>
      </c>
    </row>
    <row r="111" customFormat="false" ht="15" hidden="false" customHeight="false" outlineLevel="0" collapsed="false">
      <c r="A111" s="4" t="s">
        <v>241</v>
      </c>
      <c r="B111" s="17" t="n">
        <v>45681</v>
      </c>
      <c r="C111" s="4" t="n">
        <v>14</v>
      </c>
      <c r="D111" s="4" t="s">
        <v>73</v>
      </c>
      <c r="E111" s="4" t="s">
        <v>99</v>
      </c>
      <c r="F111" s="4" t="s">
        <v>133</v>
      </c>
      <c r="G111" s="4" t="n">
        <v>2</v>
      </c>
      <c r="H111" s="34" t="n">
        <v>90</v>
      </c>
      <c r="I111" s="18" t="n">
        <v>0.05</v>
      </c>
      <c r="J111" s="4" t="s">
        <v>67</v>
      </c>
      <c r="K111" s="4" t="s">
        <v>82</v>
      </c>
      <c r="L111" s="35" t="n">
        <f aca="false">G111*H111</f>
        <v>180</v>
      </c>
      <c r="M111" s="35" t="n">
        <f aca="false">L111*I111</f>
        <v>9</v>
      </c>
      <c r="N111" s="35" t="n">
        <f aca="false">L111-M111</f>
        <v>171</v>
      </c>
      <c r="O111" s="4" t="n">
        <f aca="false">MONTH(B111)</f>
        <v>1</v>
      </c>
      <c r="P111" s="4" t="str">
        <f aca="false">CHOOSE(WEEKDAY(B111,2),"Mon","Tue","Wed","Thu","Fri","Sat","Sun")</f>
        <v>Fri</v>
      </c>
      <c r="Q111" s="4" t="str">
        <f aca="false">IF(WEEKDAY(B111,2)&gt;5,"Weekend","Weekday")</f>
        <v>Weekday</v>
      </c>
      <c r="R111" s="4" t="str">
        <f aca="false">IF(C111&lt;11,"Morning (7-10)",IF(C111&lt;14,"Lunch (11-13)",IF(C111&lt;18,"Afternoon (14-17)","Evening (18-20)")))</f>
        <v>Afternoon (14-17)</v>
      </c>
      <c r="S111" s="4" t="str">
        <f aca="false">IF(AND(O111&gt;=3,O111&lt;=5),"Hot Dry (Mar-May)",IF(AND(O111&gt;=6,O111&lt;=11),"Rainy (Jun-Nov)","Cool Dry (Dec-Feb)"))</f>
        <v>Cool Dry (Dec-Feb)</v>
      </c>
      <c r="T111" s="4" t="str">
        <f aca="false">CHOOSE(O111,"Jan","Feb","Mar","Apr","May","Jun","Jul","Aug","Sep","Oct","Nov","Dec")</f>
        <v>Jan</v>
      </c>
    </row>
    <row r="112" customFormat="false" ht="15" hidden="false" customHeight="false" outlineLevel="0" collapsed="false">
      <c r="A112" s="4" t="s">
        <v>242</v>
      </c>
      <c r="B112" s="17" t="n">
        <v>45682</v>
      </c>
      <c r="C112" s="4" t="n">
        <v>13</v>
      </c>
      <c r="D112" s="4" t="s">
        <v>70</v>
      </c>
      <c r="E112" s="4" t="s">
        <v>79</v>
      </c>
      <c r="F112" s="4" t="s">
        <v>148</v>
      </c>
      <c r="G112" s="4" t="n">
        <v>2</v>
      </c>
      <c r="H112" s="34" t="n">
        <v>120</v>
      </c>
      <c r="I112" s="18" t="n">
        <v>0</v>
      </c>
      <c r="J112" s="4" t="s">
        <v>88</v>
      </c>
      <c r="K112" s="4" t="s">
        <v>77</v>
      </c>
      <c r="L112" s="35" t="n">
        <f aca="false">G112*H112</f>
        <v>240</v>
      </c>
      <c r="M112" s="35" t="n">
        <f aca="false">L112*I112</f>
        <v>0</v>
      </c>
      <c r="N112" s="35" t="n">
        <f aca="false">L112-M112</f>
        <v>240</v>
      </c>
      <c r="O112" s="4" t="n">
        <f aca="false">MONTH(B112)</f>
        <v>1</v>
      </c>
      <c r="P112" s="4" t="str">
        <f aca="false">CHOOSE(WEEKDAY(B112,2),"Mon","Tue","Wed","Thu","Fri","Sat","Sun")</f>
        <v>Sat</v>
      </c>
      <c r="Q112" s="4" t="str">
        <f aca="false">IF(WEEKDAY(B112,2)&gt;5,"Weekend","Weekday")</f>
        <v>Weekend</v>
      </c>
      <c r="R112" s="4" t="str">
        <f aca="false">IF(C112&lt;11,"Morning (7-10)",IF(C112&lt;14,"Lunch (11-13)",IF(C112&lt;18,"Afternoon (14-17)","Evening (18-20)")))</f>
        <v>Lunch (11-13)</v>
      </c>
      <c r="S112" s="4" t="str">
        <f aca="false">IF(AND(O112&gt;=3,O112&lt;=5),"Hot Dry (Mar-May)",IF(AND(O112&gt;=6,O112&lt;=11),"Rainy (Jun-Nov)","Cool Dry (Dec-Feb)"))</f>
        <v>Cool Dry (Dec-Feb)</v>
      </c>
      <c r="T112" s="4" t="str">
        <f aca="false">CHOOSE(O112,"Jan","Feb","Mar","Apr","May","Jun","Jul","Aug","Sep","Oct","Nov","Dec")</f>
        <v>Jan</v>
      </c>
    </row>
    <row r="113" customFormat="false" ht="15" hidden="false" customHeight="false" outlineLevel="0" collapsed="false">
      <c r="A113" s="4" t="s">
        <v>243</v>
      </c>
      <c r="B113" s="17" t="n">
        <v>45682</v>
      </c>
      <c r="C113" s="4" t="n">
        <v>18</v>
      </c>
      <c r="D113" s="4" t="s">
        <v>70</v>
      </c>
      <c r="E113" s="4" t="s">
        <v>79</v>
      </c>
      <c r="F113" s="4" t="s">
        <v>148</v>
      </c>
      <c r="G113" s="4" t="n">
        <v>1</v>
      </c>
      <c r="H113" s="34" t="n">
        <v>120</v>
      </c>
      <c r="I113" s="18" t="n">
        <v>0</v>
      </c>
      <c r="J113" s="4" t="s">
        <v>67</v>
      </c>
      <c r="K113" s="4" t="s">
        <v>68</v>
      </c>
      <c r="L113" s="35" t="n">
        <f aca="false">G113*H113</f>
        <v>120</v>
      </c>
      <c r="M113" s="35" t="n">
        <f aca="false">L113*I113</f>
        <v>0</v>
      </c>
      <c r="N113" s="35" t="n">
        <f aca="false">L113-M113</f>
        <v>120</v>
      </c>
      <c r="O113" s="4" t="n">
        <f aca="false">MONTH(B113)</f>
        <v>1</v>
      </c>
      <c r="P113" s="4" t="str">
        <f aca="false">CHOOSE(WEEKDAY(B113,2),"Mon","Tue","Wed","Thu","Fri","Sat","Sun")</f>
        <v>Sat</v>
      </c>
      <c r="Q113" s="4" t="str">
        <f aca="false">IF(WEEKDAY(B113,2)&gt;5,"Weekend","Weekday")</f>
        <v>Weekend</v>
      </c>
      <c r="R113" s="4" t="str">
        <f aca="false">IF(C113&lt;11,"Morning (7-10)",IF(C113&lt;14,"Lunch (11-13)",IF(C113&lt;18,"Afternoon (14-17)","Evening (18-20)")))</f>
        <v>Evening (18-20)</v>
      </c>
      <c r="S113" s="4" t="str">
        <f aca="false">IF(AND(O113&gt;=3,O113&lt;=5),"Hot Dry (Mar-May)",IF(AND(O113&gt;=6,O113&lt;=11),"Rainy (Jun-Nov)","Cool Dry (Dec-Feb)"))</f>
        <v>Cool Dry (Dec-Feb)</v>
      </c>
      <c r="T113" s="4" t="str">
        <f aca="false">CHOOSE(O113,"Jan","Feb","Mar","Apr","May","Jun","Jul","Aug","Sep","Oct","Nov","Dec")</f>
        <v>Jan</v>
      </c>
    </row>
    <row r="114" customFormat="false" ht="15" hidden="false" customHeight="false" outlineLevel="0" collapsed="false">
      <c r="A114" s="4" t="s">
        <v>244</v>
      </c>
      <c r="B114" s="17" t="n">
        <v>45682</v>
      </c>
      <c r="C114" s="4" t="n">
        <v>18</v>
      </c>
      <c r="D114" s="4" t="s">
        <v>98</v>
      </c>
      <c r="E114" s="4" t="s">
        <v>99</v>
      </c>
      <c r="F114" s="4" t="s">
        <v>109</v>
      </c>
      <c r="G114" s="4" t="n">
        <v>2</v>
      </c>
      <c r="H114" s="34" t="n">
        <v>130</v>
      </c>
      <c r="I114" s="18" t="n">
        <v>0</v>
      </c>
      <c r="J114" s="4" t="s">
        <v>67</v>
      </c>
      <c r="K114" s="4" t="s">
        <v>68</v>
      </c>
      <c r="L114" s="35" t="n">
        <f aca="false">G114*H114</f>
        <v>260</v>
      </c>
      <c r="M114" s="35" t="n">
        <f aca="false">L114*I114</f>
        <v>0</v>
      </c>
      <c r="N114" s="35" t="n">
        <f aca="false">L114-M114</f>
        <v>260</v>
      </c>
      <c r="O114" s="4" t="n">
        <f aca="false">MONTH(B114)</f>
        <v>1</v>
      </c>
      <c r="P114" s="4" t="str">
        <f aca="false">CHOOSE(WEEKDAY(B114,2),"Mon","Tue","Wed","Thu","Fri","Sat","Sun")</f>
        <v>Sat</v>
      </c>
      <c r="Q114" s="4" t="str">
        <f aca="false">IF(WEEKDAY(B114,2)&gt;5,"Weekend","Weekday")</f>
        <v>Weekend</v>
      </c>
      <c r="R114" s="4" t="str">
        <f aca="false">IF(C114&lt;11,"Morning (7-10)",IF(C114&lt;14,"Lunch (11-13)",IF(C114&lt;18,"Afternoon (14-17)","Evening (18-20)")))</f>
        <v>Evening (18-20)</v>
      </c>
      <c r="S114" s="4" t="str">
        <f aca="false">IF(AND(O114&gt;=3,O114&lt;=5),"Hot Dry (Mar-May)",IF(AND(O114&gt;=6,O114&lt;=11),"Rainy (Jun-Nov)","Cool Dry (Dec-Feb)"))</f>
        <v>Cool Dry (Dec-Feb)</v>
      </c>
      <c r="T114" s="4" t="str">
        <f aca="false">CHOOSE(O114,"Jan","Feb","Mar","Apr","May","Jun","Jul","Aug","Sep","Oct","Nov","Dec")</f>
        <v>Jan</v>
      </c>
    </row>
    <row r="115" customFormat="false" ht="15" hidden="false" customHeight="false" outlineLevel="0" collapsed="false">
      <c r="A115" s="4" t="s">
        <v>245</v>
      </c>
      <c r="B115" s="17" t="n">
        <v>45683</v>
      </c>
      <c r="C115" s="4" t="n">
        <v>13</v>
      </c>
      <c r="D115" s="4" t="s">
        <v>64</v>
      </c>
      <c r="E115" s="4" t="s">
        <v>65</v>
      </c>
      <c r="F115" s="4" t="s">
        <v>94</v>
      </c>
      <c r="G115" s="4" t="n">
        <v>3</v>
      </c>
      <c r="H115" s="34" t="n">
        <v>150</v>
      </c>
      <c r="I115" s="18" t="n">
        <v>0</v>
      </c>
      <c r="J115" s="4" t="s">
        <v>67</v>
      </c>
      <c r="K115" s="4" t="s">
        <v>77</v>
      </c>
      <c r="L115" s="35" t="n">
        <f aca="false">G115*H115</f>
        <v>450</v>
      </c>
      <c r="M115" s="35" t="n">
        <f aca="false">L115*I115</f>
        <v>0</v>
      </c>
      <c r="N115" s="35" t="n">
        <f aca="false">L115-M115</f>
        <v>450</v>
      </c>
      <c r="O115" s="4" t="n">
        <f aca="false">MONTH(B115)</f>
        <v>1</v>
      </c>
      <c r="P115" s="4" t="str">
        <f aca="false">CHOOSE(WEEKDAY(B115,2),"Mon","Tue","Wed","Thu","Fri","Sat","Sun")</f>
        <v>Sun</v>
      </c>
      <c r="Q115" s="4" t="str">
        <f aca="false">IF(WEEKDAY(B115,2)&gt;5,"Weekend","Weekday")</f>
        <v>Weekend</v>
      </c>
      <c r="R115" s="4" t="str">
        <f aca="false">IF(C115&lt;11,"Morning (7-10)",IF(C115&lt;14,"Lunch (11-13)",IF(C115&lt;18,"Afternoon (14-17)","Evening (18-20)")))</f>
        <v>Lunch (11-13)</v>
      </c>
      <c r="S115" s="4" t="str">
        <f aca="false">IF(AND(O115&gt;=3,O115&lt;=5),"Hot Dry (Mar-May)",IF(AND(O115&gt;=6,O115&lt;=11),"Rainy (Jun-Nov)","Cool Dry (Dec-Feb)"))</f>
        <v>Cool Dry (Dec-Feb)</v>
      </c>
      <c r="T115" s="4" t="str">
        <f aca="false">CHOOSE(O115,"Jan","Feb","Mar","Apr","May","Jun","Jul","Aug","Sep","Oct","Nov","Dec")</f>
        <v>Jan</v>
      </c>
    </row>
    <row r="116" customFormat="false" ht="15" hidden="false" customHeight="false" outlineLevel="0" collapsed="false">
      <c r="A116" s="4" t="s">
        <v>246</v>
      </c>
      <c r="B116" s="17" t="n">
        <v>45683</v>
      </c>
      <c r="C116" s="4" t="n">
        <v>15</v>
      </c>
      <c r="D116" s="4" t="s">
        <v>64</v>
      </c>
      <c r="E116" s="4" t="s">
        <v>99</v>
      </c>
      <c r="F116" s="4" t="s">
        <v>102</v>
      </c>
      <c r="G116" s="4" t="n">
        <v>1</v>
      </c>
      <c r="H116" s="34" t="n">
        <v>140</v>
      </c>
      <c r="I116" s="18" t="n">
        <v>0.05</v>
      </c>
      <c r="J116" s="4" t="s">
        <v>88</v>
      </c>
      <c r="K116" s="4" t="s">
        <v>82</v>
      </c>
      <c r="L116" s="35" t="n">
        <f aca="false">G116*H116</f>
        <v>140</v>
      </c>
      <c r="M116" s="35" t="n">
        <f aca="false">L116*I116</f>
        <v>7</v>
      </c>
      <c r="N116" s="35" t="n">
        <f aca="false">L116-M116</f>
        <v>133</v>
      </c>
      <c r="O116" s="4" t="n">
        <f aca="false">MONTH(B116)</f>
        <v>1</v>
      </c>
      <c r="P116" s="4" t="str">
        <f aca="false">CHOOSE(WEEKDAY(B116,2),"Mon","Tue","Wed","Thu","Fri","Sat","Sun")</f>
        <v>Sun</v>
      </c>
      <c r="Q116" s="4" t="str">
        <f aca="false">IF(WEEKDAY(B116,2)&gt;5,"Weekend","Weekday")</f>
        <v>Weekend</v>
      </c>
      <c r="R116" s="4" t="str">
        <f aca="false">IF(C116&lt;11,"Morning (7-10)",IF(C116&lt;14,"Lunch (11-13)",IF(C116&lt;18,"Afternoon (14-17)","Evening (18-20)")))</f>
        <v>Afternoon (14-17)</v>
      </c>
      <c r="S116" s="4" t="str">
        <f aca="false">IF(AND(O116&gt;=3,O116&lt;=5),"Hot Dry (Mar-May)",IF(AND(O116&gt;=6,O116&lt;=11),"Rainy (Jun-Nov)","Cool Dry (Dec-Feb)"))</f>
        <v>Cool Dry (Dec-Feb)</v>
      </c>
      <c r="T116" s="4" t="str">
        <f aca="false">CHOOSE(O116,"Jan","Feb","Mar","Apr","May","Jun","Jul","Aug","Sep","Oct","Nov","Dec")</f>
        <v>Jan</v>
      </c>
    </row>
    <row r="117" customFormat="false" ht="15" hidden="false" customHeight="false" outlineLevel="0" collapsed="false">
      <c r="A117" s="4" t="s">
        <v>247</v>
      </c>
      <c r="B117" s="17" t="n">
        <v>45684</v>
      </c>
      <c r="C117" s="4" t="n">
        <v>7</v>
      </c>
      <c r="D117" s="4" t="s">
        <v>64</v>
      </c>
      <c r="E117" s="4" t="s">
        <v>99</v>
      </c>
      <c r="F117" s="4" t="s">
        <v>100</v>
      </c>
      <c r="G117" s="4" t="n">
        <v>2</v>
      </c>
      <c r="H117" s="34" t="n">
        <v>110</v>
      </c>
      <c r="I117" s="18" t="n">
        <v>0.1</v>
      </c>
      <c r="J117" s="4" t="s">
        <v>67</v>
      </c>
      <c r="K117" s="4" t="s">
        <v>71</v>
      </c>
      <c r="L117" s="35" t="n">
        <f aca="false">G117*H117</f>
        <v>220</v>
      </c>
      <c r="M117" s="35" t="n">
        <f aca="false">L117*I117</f>
        <v>22</v>
      </c>
      <c r="N117" s="35" t="n">
        <f aca="false">L117-M117</f>
        <v>198</v>
      </c>
      <c r="O117" s="4" t="n">
        <f aca="false">MONTH(B117)</f>
        <v>1</v>
      </c>
      <c r="P117" s="4" t="str">
        <f aca="false">CHOOSE(WEEKDAY(B117,2),"Mon","Tue","Wed","Thu","Fri","Sat","Sun")</f>
        <v>Mon</v>
      </c>
      <c r="Q117" s="4" t="str">
        <f aca="false">IF(WEEKDAY(B117,2)&gt;5,"Weekend","Weekday")</f>
        <v>Weekday</v>
      </c>
      <c r="R117" s="4" t="str">
        <f aca="false">IF(C117&lt;11,"Morning (7-10)",IF(C117&lt;14,"Lunch (11-13)",IF(C117&lt;18,"Afternoon (14-17)","Evening (18-20)")))</f>
        <v>Morning (7-10)</v>
      </c>
      <c r="S117" s="4" t="str">
        <f aca="false">IF(AND(O117&gt;=3,O117&lt;=5),"Hot Dry (Mar-May)",IF(AND(O117&gt;=6,O117&lt;=11),"Rainy (Jun-Nov)","Cool Dry (Dec-Feb)"))</f>
        <v>Cool Dry (Dec-Feb)</v>
      </c>
      <c r="T117" s="4" t="str">
        <f aca="false">CHOOSE(O117,"Jan","Feb","Mar","Apr","May","Jun","Jul","Aug","Sep","Oct","Nov","Dec")</f>
        <v>Jan</v>
      </c>
    </row>
    <row r="118" customFormat="false" ht="15" hidden="false" customHeight="false" outlineLevel="0" collapsed="false">
      <c r="A118" s="4" t="s">
        <v>248</v>
      </c>
      <c r="B118" s="17" t="n">
        <v>45684</v>
      </c>
      <c r="C118" s="4" t="n">
        <v>7</v>
      </c>
      <c r="D118" s="4" t="s">
        <v>64</v>
      </c>
      <c r="E118" s="4" t="s">
        <v>84</v>
      </c>
      <c r="F118" s="4" t="s">
        <v>117</v>
      </c>
      <c r="G118" s="4" t="n">
        <v>4</v>
      </c>
      <c r="H118" s="34" t="n">
        <v>95</v>
      </c>
      <c r="I118" s="18" t="n">
        <v>0</v>
      </c>
      <c r="J118" s="4" t="s">
        <v>67</v>
      </c>
      <c r="K118" s="4" t="s">
        <v>68</v>
      </c>
      <c r="L118" s="35" t="n">
        <f aca="false">G118*H118</f>
        <v>380</v>
      </c>
      <c r="M118" s="35" t="n">
        <f aca="false">L118*I118</f>
        <v>0</v>
      </c>
      <c r="N118" s="35" t="n">
        <f aca="false">L118-M118</f>
        <v>380</v>
      </c>
      <c r="O118" s="4" t="n">
        <f aca="false">MONTH(B118)</f>
        <v>1</v>
      </c>
      <c r="P118" s="4" t="str">
        <f aca="false">CHOOSE(WEEKDAY(B118,2),"Mon","Tue","Wed","Thu","Fri","Sat","Sun")</f>
        <v>Mon</v>
      </c>
      <c r="Q118" s="4" t="str">
        <f aca="false">IF(WEEKDAY(B118,2)&gt;5,"Weekend","Weekday")</f>
        <v>Weekday</v>
      </c>
      <c r="R118" s="4" t="str">
        <f aca="false">IF(C118&lt;11,"Morning (7-10)",IF(C118&lt;14,"Lunch (11-13)",IF(C118&lt;18,"Afternoon (14-17)","Evening (18-20)")))</f>
        <v>Morning (7-10)</v>
      </c>
      <c r="S118" s="4" t="str">
        <f aca="false">IF(AND(O118&gt;=3,O118&lt;=5),"Hot Dry (Mar-May)",IF(AND(O118&gt;=6,O118&lt;=11),"Rainy (Jun-Nov)","Cool Dry (Dec-Feb)"))</f>
        <v>Cool Dry (Dec-Feb)</v>
      </c>
      <c r="T118" s="4" t="str">
        <f aca="false">CHOOSE(O118,"Jan","Feb","Mar","Apr","May","Jun","Jul","Aug","Sep","Oct","Nov","Dec")</f>
        <v>Jan</v>
      </c>
    </row>
    <row r="119" customFormat="false" ht="15" hidden="false" customHeight="false" outlineLevel="0" collapsed="false">
      <c r="A119" s="4" t="s">
        <v>251</v>
      </c>
      <c r="B119" s="17" t="n">
        <v>45684</v>
      </c>
      <c r="C119" s="4" t="n">
        <v>11</v>
      </c>
      <c r="D119" s="4" t="s">
        <v>98</v>
      </c>
      <c r="E119" s="4" t="s">
        <v>99</v>
      </c>
      <c r="F119" s="4" t="s">
        <v>109</v>
      </c>
      <c r="G119" s="4" t="n">
        <v>3</v>
      </c>
      <c r="H119" s="34" t="n">
        <v>130</v>
      </c>
      <c r="I119" s="18" t="n">
        <v>0.05</v>
      </c>
      <c r="J119" s="4" t="s">
        <v>112</v>
      </c>
      <c r="K119" s="4" t="s">
        <v>82</v>
      </c>
      <c r="L119" s="35" t="n">
        <f aca="false">G119*H119</f>
        <v>390</v>
      </c>
      <c r="M119" s="35" t="n">
        <f aca="false">L119*I119</f>
        <v>19.5</v>
      </c>
      <c r="N119" s="35" t="n">
        <f aca="false">L119-M119</f>
        <v>370.5</v>
      </c>
      <c r="O119" s="4" t="n">
        <f aca="false">MONTH(B119)</f>
        <v>1</v>
      </c>
      <c r="P119" s="4" t="str">
        <f aca="false">CHOOSE(WEEKDAY(B119,2),"Mon","Tue","Wed","Thu","Fri","Sat","Sun")</f>
        <v>Mon</v>
      </c>
      <c r="Q119" s="4" t="str">
        <f aca="false">IF(WEEKDAY(B119,2)&gt;5,"Weekend","Weekday")</f>
        <v>Weekday</v>
      </c>
      <c r="R119" s="4" t="str">
        <f aca="false">IF(C119&lt;11,"Morning (7-10)",IF(C119&lt;14,"Lunch (11-13)",IF(C119&lt;18,"Afternoon (14-17)","Evening (18-20)")))</f>
        <v>Lunch (11-13)</v>
      </c>
      <c r="S119" s="4" t="str">
        <f aca="false">IF(AND(O119&gt;=3,O119&lt;=5),"Hot Dry (Mar-May)",IF(AND(O119&gt;=6,O119&lt;=11),"Rainy (Jun-Nov)","Cool Dry (Dec-Feb)"))</f>
        <v>Cool Dry (Dec-Feb)</v>
      </c>
      <c r="T119" s="4" t="str">
        <f aca="false">CHOOSE(O119,"Jan","Feb","Mar","Apr","May","Jun","Jul","Aug","Sep","Oct","Nov","Dec")</f>
        <v>Jan</v>
      </c>
    </row>
    <row r="120" customFormat="false" ht="15" hidden="false" customHeight="false" outlineLevel="0" collapsed="false">
      <c r="A120" s="4" t="s">
        <v>253</v>
      </c>
      <c r="B120" s="17" t="n">
        <v>45684</v>
      </c>
      <c r="C120" s="4" t="n">
        <v>13</v>
      </c>
      <c r="D120" s="4" t="s">
        <v>73</v>
      </c>
      <c r="E120" s="4" t="s">
        <v>99</v>
      </c>
      <c r="F120" s="4" t="s">
        <v>109</v>
      </c>
      <c r="G120" s="4" t="n">
        <v>1</v>
      </c>
      <c r="H120" s="34" t="n">
        <v>130</v>
      </c>
      <c r="I120" s="18" t="n">
        <v>0</v>
      </c>
      <c r="J120" s="4" t="s">
        <v>67</v>
      </c>
      <c r="K120" s="4" t="s">
        <v>68</v>
      </c>
      <c r="L120" s="35" t="n">
        <f aca="false">G120*H120</f>
        <v>130</v>
      </c>
      <c r="M120" s="35" t="n">
        <f aca="false">L120*I120</f>
        <v>0</v>
      </c>
      <c r="N120" s="35" t="n">
        <f aca="false">L120-M120</f>
        <v>130</v>
      </c>
      <c r="O120" s="4" t="n">
        <f aca="false">MONTH(B120)</f>
        <v>1</v>
      </c>
      <c r="P120" s="4" t="str">
        <f aca="false">CHOOSE(WEEKDAY(B120,2),"Mon","Tue","Wed","Thu","Fri","Sat","Sun")</f>
        <v>Mon</v>
      </c>
      <c r="Q120" s="4" t="str">
        <f aca="false">IF(WEEKDAY(B120,2)&gt;5,"Weekend","Weekday")</f>
        <v>Weekday</v>
      </c>
      <c r="R120" s="4" t="str">
        <f aca="false">IF(C120&lt;11,"Morning (7-10)",IF(C120&lt;14,"Lunch (11-13)",IF(C120&lt;18,"Afternoon (14-17)","Evening (18-20)")))</f>
        <v>Lunch (11-13)</v>
      </c>
      <c r="S120" s="4" t="str">
        <f aca="false">IF(AND(O120&gt;=3,O120&lt;=5),"Hot Dry (Mar-May)",IF(AND(O120&gt;=6,O120&lt;=11),"Rainy (Jun-Nov)","Cool Dry (Dec-Feb)"))</f>
        <v>Cool Dry (Dec-Feb)</v>
      </c>
      <c r="T120" s="4" t="str">
        <f aca="false">CHOOSE(O120,"Jan","Feb","Mar","Apr","May","Jun","Jul","Aug","Sep","Oct","Nov","Dec")</f>
        <v>Jan</v>
      </c>
    </row>
    <row r="121" customFormat="false" ht="15" hidden="false" customHeight="false" outlineLevel="0" collapsed="false">
      <c r="A121" s="4" t="s">
        <v>254</v>
      </c>
      <c r="B121" s="17" t="n">
        <v>45684</v>
      </c>
      <c r="C121" s="4" t="n">
        <v>17</v>
      </c>
      <c r="D121" s="4" t="s">
        <v>70</v>
      </c>
      <c r="E121" s="4" t="s">
        <v>99</v>
      </c>
      <c r="F121" s="4" t="s">
        <v>102</v>
      </c>
      <c r="G121" s="4" t="n">
        <v>3</v>
      </c>
      <c r="H121" s="34" t="n">
        <v>140</v>
      </c>
      <c r="I121" s="18" t="n">
        <v>0</v>
      </c>
      <c r="J121" s="4" t="s">
        <v>76</v>
      </c>
      <c r="K121" s="4" t="s">
        <v>68</v>
      </c>
      <c r="L121" s="35" t="n">
        <f aca="false">G121*H121</f>
        <v>420</v>
      </c>
      <c r="M121" s="35" t="n">
        <f aca="false">L121*I121</f>
        <v>0</v>
      </c>
      <c r="N121" s="35" t="n">
        <f aca="false">L121-M121</f>
        <v>420</v>
      </c>
      <c r="O121" s="4" t="n">
        <f aca="false">MONTH(B121)</f>
        <v>1</v>
      </c>
      <c r="P121" s="4" t="str">
        <f aca="false">CHOOSE(WEEKDAY(B121,2),"Mon","Tue","Wed","Thu","Fri","Sat","Sun")</f>
        <v>Mon</v>
      </c>
      <c r="Q121" s="4" t="str">
        <f aca="false">IF(WEEKDAY(B121,2)&gt;5,"Weekend","Weekday")</f>
        <v>Weekday</v>
      </c>
      <c r="R121" s="4" t="str">
        <f aca="false">IF(C121&lt;11,"Morning (7-10)",IF(C121&lt;14,"Lunch (11-13)",IF(C121&lt;18,"Afternoon (14-17)","Evening (18-20)")))</f>
        <v>Afternoon (14-17)</v>
      </c>
      <c r="S121" s="4" t="str">
        <f aca="false">IF(AND(O121&gt;=3,O121&lt;=5),"Hot Dry (Mar-May)",IF(AND(O121&gt;=6,O121&lt;=11),"Rainy (Jun-Nov)","Cool Dry (Dec-Feb)"))</f>
        <v>Cool Dry (Dec-Feb)</v>
      </c>
      <c r="T121" s="4" t="str">
        <f aca="false">CHOOSE(O121,"Jan","Feb","Mar","Apr","May","Jun","Jul","Aug","Sep","Oct","Nov","Dec")</f>
        <v>Jan</v>
      </c>
    </row>
    <row r="122" customFormat="false" ht="15" hidden="false" customHeight="false" outlineLevel="0" collapsed="false">
      <c r="A122" s="4" t="s">
        <v>255</v>
      </c>
      <c r="B122" s="17" t="n">
        <v>45684</v>
      </c>
      <c r="C122" s="4" t="n">
        <v>17</v>
      </c>
      <c r="D122" s="4" t="s">
        <v>70</v>
      </c>
      <c r="E122" s="4" t="s">
        <v>99</v>
      </c>
      <c r="F122" s="4" t="s">
        <v>100</v>
      </c>
      <c r="G122" s="4" t="n">
        <v>3</v>
      </c>
      <c r="H122" s="34" t="n">
        <v>110</v>
      </c>
      <c r="I122" s="18" t="n">
        <v>0</v>
      </c>
      <c r="J122" s="4" t="s">
        <v>88</v>
      </c>
      <c r="K122" s="4" t="s">
        <v>68</v>
      </c>
      <c r="L122" s="35" t="n">
        <f aca="false">G122*H122</f>
        <v>330</v>
      </c>
      <c r="M122" s="35" t="n">
        <f aca="false">L122*I122</f>
        <v>0</v>
      </c>
      <c r="N122" s="35" t="n">
        <f aca="false">L122-M122</f>
        <v>330</v>
      </c>
      <c r="O122" s="4" t="n">
        <f aca="false">MONTH(B122)</f>
        <v>1</v>
      </c>
      <c r="P122" s="4" t="str">
        <f aca="false">CHOOSE(WEEKDAY(B122,2),"Mon","Tue","Wed","Thu","Fri","Sat","Sun")</f>
        <v>Mon</v>
      </c>
      <c r="Q122" s="4" t="str">
        <f aca="false">IF(WEEKDAY(B122,2)&gt;5,"Weekend","Weekday")</f>
        <v>Weekday</v>
      </c>
      <c r="R122" s="4" t="str">
        <f aca="false">IF(C122&lt;11,"Morning (7-10)",IF(C122&lt;14,"Lunch (11-13)",IF(C122&lt;18,"Afternoon (14-17)","Evening (18-20)")))</f>
        <v>Afternoon (14-17)</v>
      </c>
      <c r="S122" s="4" t="str">
        <f aca="false">IF(AND(O122&gt;=3,O122&lt;=5),"Hot Dry (Mar-May)",IF(AND(O122&gt;=6,O122&lt;=11),"Rainy (Jun-Nov)","Cool Dry (Dec-Feb)"))</f>
        <v>Cool Dry (Dec-Feb)</v>
      </c>
      <c r="T122" s="4" t="str">
        <f aca="false">CHOOSE(O122,"Jan","Feb","Mar","Apr","May","Jun","Jul","Aug","Sep","Oct","Nov","Dec")</f>
        <v>Jan</v>
      </c>
    </row>
    <row r="123" customFormat="false" ht="15" hidden="false" customHeight="false" outlineLevel="0" collapsed="false">
      <c r="A123" s="4" t="s">
        <v>256</v>
      </c>
      <c r="B123" s="17" t="n">
        <v>45684</v>
      </c>
      <c r="C123" s="4" t="n">
        <v>19</v>
      </c>
      <c r="D123" s="4" t="s">
        <v>70</v>
      </c>
      <c r="E123" s="4" t="s">
        <v>99</v>
      </c>
      <c r="F123" s="4" t="s">
        <v>100</v>
      </c>
      <c r="G123" s="4" t="n">
        <v>3</v>
      </c>
      <c r="H123" s="34" t="n">
        <v>110</v>
      </c>
      <c r="I123" s="18" t="n">
        <v>0.15</v>
      </c>
      <c r="J123" s="4" t="s">
        <v>112</v>
      </c>
      <c r="K123" s="4" t="s">
        <v>82</v>
      </c>
      <c r="L123" s="35" t="n">
        <f aca="false">G123*H123</f>
        <v>330</v>
      </c>
      <c r="M123" s="35" t="n">
        <f aca="false">L123*I123</f>
        <v>49.5</v>
      </c>
      <c r="N123" s="35" t="n">
        <f aca="false">L123-M123</f>
        <v>280.5</v>
      </c>
      <c r="O123" s="4" t="n">
        <f aca="false">MONTH(B123)</f>
        <v>1</v>
      </c>
      <c r="P123" s="4" t="str">
        <f aca="false">CHOOSE(WEEKDAY(B123,2),"Mon","Tue","Wed","Thu","Fri","Sat","Sun")</f>
        <v>Mon</v>
      </c>
      <c r="Q123" s="4" t="str">
        <f aca="false">IF(WEEKDAY(B123,2)&gt;5,"Weekend","Weekday")</f>
        <v>Weekday</v>
      </c>
      <c r="R123" s="4" t="str">
        <f aca="false">IF(C123&lt;11,"Morning (7-10)",IF(C123&lt;14,"Lunch (11-13)",IF(C123&lt;18,"Afternoon (14-17)","Evening (18-20)")))</f>
        <v>Evening (18-20)</v>
      </c>
      <c r="S123" s="4" t="str">
        <f aca="false">IF(AND(O123&gt;=3,O123&lt;=5),"Hot Dry (Mar-May)",IF(AND(O123&gt;=6,O123&lt;=11),"Rainy (Jun-Nov)","Cool Dry (Dec-Feb)"))</f>
        <v>Cool Dry (Dec-Feb)</v>
      </c>
      <c r="T123" s="4" t="str">
        <f aca="false">CHOOSE(O123,"Jan","Feb","Mar","Apr","May","Jun","Jul","Aug","Sep","Oct","Nov","Dec")</f>
        <v>Jan</v>
      </c>
    </row>
    <row r="124" customFormat="false" ht="15" hidden="false" customHeight="false" outlineLevel="0" collapsed="false">
      <c r="A124" s="4" t="s">
        <v>257</v>
      </c>
      <c r="B124" s="17" t="n">
        <v>45685</v>
      </c>
      <c r="C124" s="4" t="n">
        <v>7</v>
      </c>
      <c r="D124" s="4" t="s">
        <v>73</v>
      </c>
      <c r="E124" s="4" t="s">
        <v>84</v>
      </c>
      <c r="F124" s="4" t="s">
        <v>117</v>
      </c>
      <c r="G124" s="4" t="n">
        <v>1</v>
      </c>
      <c r="H124" s="34" t="n">
        <v>95</v>
      </c>
      <c r="I124" s="18" t="n">
        <v>0.1</v>
      </c>
      <c r="J124" s="4" t="s">
        <v>81</v>
      </c>
      <c r="K124" s="4" t="s">
        <v>71</v>
      </c>
      <c r="L124" s="35" t="n">
        <f aca="false">G124*H124</f>
        <v>95</v>
      </c>
      <c r="M124" s="35" t="n">
        <f aca="false">L124*I124</f>
        <v>9.5</v>
      </c>
      <c r="N124" s="35" t="n">
        <f aca="false">L124-M124</f>
        <v>85.5</v>
      </c>
      <c r="O124" s="4" t="n">
        <f aca="false">MONTH(B124)</f>
        <v>1</v>
      </c>
      <c r="P124" s="4" t="str">
        <f aca="false">CHOOSE(WEEKDAY(B124,2),"Mon","Tue","Wed","Thu","Fri","Sat","Sun")</f>
        <v>Tue</v>
      </c>
      <c r="Q124" s="4" t="str">
        <f aca="false">IF(WEEKDAY(B124,2)&gt;5,"Weekend","Weekday")</f>
        <v>Weekday</v>
      </c>
      <c r="R124" s="4" t="str">
        <f aca="false">IF(C124&lt;11,"Morning (7-10)",IF(C124&lt;14,"Lunch (11-13)",IF(C124&lt;18,"Afternoon (14-17)","Evening (18-20)")))</f>
        <v>Morning (7-10)</v>
      </c>
      <c r="S124" s="4" t="str">
        <f aca="false">IF(AND(O124&gt;=3,O124&lt;=5),"Hot Dry (Mar-May)",IF(AND(O124&gt;=6,O124&lt;=11),"Rainy (Jun-Nov)","Cool Dry (Dec-Feb)"))</f>
        <v>Cool Dry (Dec-Feb)</v>
      </c>
      <c r="T124" s="4" t="str">
        <f aca="false">CHOOSE(O124,"Jan","Feb","Mar","Apr","May","Jun","Jul","Aug","Sep","Oct","Nov","Dec")</f>
        <v>Jan</v>
      </c>
    </row>
    <row r="125" customFormat="false" ht="15" hidden="false" customHeight="false" outlineLevel="0" collapsed="false">
      <c r="A125" s="4" t="s">
        <v>259</v>
      </c>
      <c r="B125" s="17" t="n">
        <v>45685</v>
      </c>
      <c r="C125" s="4" t="n">
        <v>17</v>
      </c>
      <c r="D125" s="4" t="s">
        <v>70</v>
      </c>
      <c r="E125" s="4" t="s">
        <v>74</v>
      </c>
      <c r="F125" s="4" t="s">
        <v>75</v>
      </c>
      <c r="G125" s="4" t="n">
        <v>1</v>
      </c>
      <c r="H125" s="34" t="n">
        <v>220</v>
      </c>
      <c r="I125" s="18" t="n">
        <v>0.05</v>
      </c>
      <c r="J125" s="4" t="s">
        <v>112</v>
      </c>
      <c r="K125" s="4" t="s">
        <v>82</v>
      </c>
      <c r="L125" s="35" t="n">
        <f aca="false">G125*H125</f>
        <v>220</v>
      </c>
      <c r="M125" s="35" t="n">
        <f aca="false">L125*I125</f>
        <v>11</v>
      </c>
      <c r="N125" s="35" t="n">
        <f aca="false">L125-M125</f>
        <v>209</v>
      </c>
      <c r="O125" s="4" t="n">
        <f aca="false">MONTH(B125)</f>
        <v>1</v>
      </c>
      <c r="P125" s="4" t="str">
        <f aca="false">CHOOSE(WEEKDAY(B125,2),"Mon","Tue","Wed","Thu","Fri","Sat","Sun")</f>
        <v>Tue</v>
      </c>
      <c r="Q125" s="4" t="str">
        <f aca="false">IF(WEEKDAY(B125,2)&gt;5,"Weekend","Weekday")</f>
        <v>Weekday</v>
      </c>
      <c r="R125" s="4" t="str">
        <f aca="false">IF(C125&lt;11,"Morning (7-10)",IF(C125&lt;14,"Lunch (11-13)",IF(C125&lt;18,"Afternoon (14-17)","Evening (18-20)")))</f>
        <v>Afternoon (14-17)</v>
      </c>
      <c r="S125" s="4" t="str">
        <f aca="false">IF(AND(O125&gt;=3,O125&lt;=5),"Hot Dry (Mar-May)",IF(AND(O125&gt;=6,O125&lt;=11),"Rainy (Jun-Nov)","Cool Dry (Dec-Feb)"))</f>
        <v>Cool Dry (Dec-Feb)</v>
      </c>
      <c r="T125" s="4" t="str">
        <f aca="false">CHOOSE(O125,"Jan","Feb","Mar","Apr","May","Jun","Jul","Aug","Sep","Oct","Nov","Dec")</f>
        <v>Jan</v>
      </c>
    </row>
    <row r="126" customFormat="false" ht="15" hidden="false" customHeight="false" outlineLevel="0" collapsed="false">
      <c r="A126" s="4" t="s">
        <v>261</v>
      </c>
      <c r="B126" s="17" t="n">
        <v>45686</v>
      </c>
      <c r="C126" s="4" t="n">
        <v>9</v>
      </c>
      <c r="D126" s="4" t="s">
        <v>64</v>
      </c>
      <c r="E126" s="4" t="s">
        <v>84</v>
      </c>
      <c r="F126" s="4" t="s">
        <v>85</v>
      </c>
      <c r="G126" s="4" t="n">
        <v>1</v>
      </c>
      <c r="H126" s="34" t="n">
        <v>150</v>
      </c>
      <c r="I126" s="18" t="n">
        <v>0.05</v>
      </c>
      <c r="J126" s="4" t="s">
        <v>67</v>
      </c>
      <c r="K126" s="4" t="s">
        <v>82</v>
      </c>
      <c r="L126" s="35" t="n">
        <f aca="false">G126*H126</f>
        <v>150</v>
      </c>
      <c r="M126" s="35" t="n">
        <f aca="false">L126*I126</f>
        <v>7.5</v>
      </c>
      <c r="N126" s="35" t="n">
        <f aca="false">L126-M126</f>
        <v>142.5</v>
      </c>
      <c r="O126" s="4" t="n">
        <f aca="false">MONTH(B126)</f>
        <v>1</v>
      </c>
      <c r="P126" s="4" t="str">
        <f aca="false">CHOOSE(WEEKDAY(B126,2),"Mon","Tue","Wed","Thu","Fri","Sat","Sun")</f>
        <v>Wed</v>
      </c>
      <c r="Q126" s="4" t="str">
        <f aca="false">IF(WEEKDAY(B126,2)&gt;5,"Weekend","Weekday")</f>
        <v>Weekday</v>
      </c>
      <c r="R126" s="4" t="str">
        <f aca="false">IF(C126&lt;11,"Morning (7-10)",IF(C126&lt;14,"Lunch (11-13)",IF(C126&lt;18,"Afternoon (14-17)","Evening (18-20)")))</f>
        <v>Morning (7-10)</v>
      </c>
      <c r="S126" s="4" t="str">
        <f aca="false">IF(AND(O126&gt;=3,O126&lt;=5),"Hot Dry (Mar-May)",IF(AND(O126&gt;=6,O126&lt;=11),"Rainy (Jun-Nov)","Cool Dry (Dec-Feb)"))</f>
        <v>Cool Dry (Dec-Feb)</v>
      </c>
      <c r="T126" s="4" t="str">
        <f aca="false">CHOOSE(O126,"Jan","Feb","Mar","Apr","May","Jun","Jul","Aug","Sep","Oct","Nov","Dec")</f>
        <v>Jan</v>
      </c>
    </row>
    <row r="127" customFormat="false" ht="15" hidden="false" customHeight="false" outlineLevel="0" collapsed="false">
      <c r="A127" s="4" t="s">
        <v>262</v>
      </c>
      <c r="B127" s="17" t="n">
        <v>45686</v>
      </c>
      <c r="C127" s="4" t="n">
        <v>11</v>
      </c>
      <c r="D127" s="4" t="s">
        <v>70</v>
      </c>
      <c r="E127" s="4" t="s">
        <v>74</v>
      </c>
      <c r="F127" s="4" t="s">
        <v>91</v>
      </c>
      <c r="G127" s="4" t="n">
        <v>1</v>
      </c>
      <c r="H127" s="34" t="n">
        <v>200</v>
      </c>
      <c r="I127" s="18" t="n">
        <v>0.05</v>
      </c>
      <c r="J127" s="4" t="s">
        <v>81</v>
      </c>
      <c r="K127" s="4" t="s">
        <v>82</v>
      </c>
      <c r="L127" s="35" t="n">
        <f aca="false">G127*H127</f>
        <v>200</v>
      </c>
      <c r="M127" s="35" t="n">
        <f aca="false">L127*I127</f>
        <v>10</v>
      </c>
      <c r="N127" s="35" t="n">
        <f aca="false">L127-M127</f>
        <v>190</v>
      </c>
      <c r="O127" s="4" t="n">
        <f aca="false">MONTH(B127)</f>
        <v>1</v>
      </c>
      <c r="P127" s="4" t="str">
        <f aca="false">CHOOSE(WEEKDAY(B127,2),"Mon","Tue","Wed","Thu","Fri","Sat","Sun")</f>
        <v>Wed</v>
      </c>
      <c r="Q127" s="4" t="str">
        <f aca="false">IF(WEEKDAY(B127,2)&gt;5,"Weekend","Weekday")</f>
        <v>Weekday</v>
      </c>
      <c r="R127" s="4" t="str">
        <f aca="false">IF(C127&lt;11,"Morning (7-10)",IF(C127&lt;14,"Lunch (11-13)",IF(C127&lt;18,"Afternoon (14-17)","Evening (18-20)")))</f>
        <v>Lunch (11-13)</v>
      </c>
      <c r="S127" s="4" t="str">
        <f aca="false">IF(AND(O127&gt;=3,O127&lt;=5),"Hot Dry (Mar-May)",IF(AND(O127&gt;=6,O127&lt;=11),"Rainy (Jun-Nov)","Cool Dry (Dec-Feb)"))</f>
        <v>Cool Dry (Dec-Feb)</v>
      </c>
      <c r="T127" s="4" t="str">
        <f aca="false">CHOOSE(O127,"Jan","Feb","Mar","Apr","May","Jun","Jul","Aug","Sep","Oct","Nov","Dec")</f>
        <v>Jan</v>
      </c>
    </row>
    <row r="128" customFormat="false" ht="15" hidden="false" customHeight="false" outlineLevel="0" collapsed="false">
      <c r="A128" s="4" t="s">
        <v>263</v>
      </c>
      <c r="B128" s="17" t="n">
        <v>45686</v>
      </c>
      <c r="C128" s="4" t="n">
        <v>11</v>
      </c>
      <c r="D128" s="4" t="s">
        <v>64</v>
      </c>
      <c r="E128" s="4" t="s">
        <v>79</v>
      </c>
      <c r="F128" s="4" t="s">
        <v>148</v>
      </c>
      <c r="G128" s="4" t="n">
        <v>1</v>
      </c>
      <c r="H128" s="34" t="n">
        <v>120</v>
      </c>
      <c r="I128" s="18" t="n">
        <v>0.05</v>
      </c>
      <c r="J128" s="4" t="s">
        <v>67</v>
      </c>
      <c r="K128" s="4" t="s">
        <v>82</v>
      </c>
      <c r="L128" s="35" t="n">
        <f aca="false">G128*H128</f>
        <v>120</v>
      </c>
      <c r="M128" s="35" t="n">
        <f aca="false">L128*I128</f>
        <v>6</v>
      </c>
      <c r="N128" s="35" t="n">
        <f aca="false">L128-M128</f>
        <v>114</v>
      </c>
      <c r="O128" s="4" t="n">
        <f aca="false">MONTH(B128)</f>
        <v>1</v>
      </c>
      <c r="P128" s="4" t="str">
        <f aca="false">CHOOSE(WEEKDAY(B128,2),"Mon","Tue","Wed","Thu","Fri","Sat","Sun")</f>
        <v>Wed</v>
      </c>
      <c r="Q128" s="4" t="str">
        <f aca="false">IF(WEEKDAY(B128,2)&gt;5,"Weekend","Weekday")</f>
        <v>Weekday</v>
      </c>
      <c r="R128" s="4" t="str">
        <f aca="false">IF(C128&lt;11,"Morning (7-10)",IF(C128&lt;14,"Lunch (11-13)",IF(C128&lt;18,"Afternoon (14-17)","Evening (18-20)")))</f>
        <v>Lunch (11-13)</v>
      </c>
      <c r="S128" s="4" t="str">
        <f aca="false">IF(AND(O128&gt;=3,O128&lt;=5),"Hot Dry (Mar-May)",IF(AND(O128&gt;=6,O128&lt;=11),"Rainy (Jun-Nov)","Cool Dry (Dec-Feb)"))</f>
        <v>Cool Dry (Dec-Feb)</v>
      </c>
      <c r="T128" s="4" t="str">
        <f aca="false">CHOOSE(O128,"Jan","Feb","Mar","Apr","May","Jun","Jul","Aug","Sep","Oct","Nov","Dec")</f>
        <v>Jan</v>
      </c>
    </row>
    <row r="129" customFormat="false" ht="15" hidden="false" customHeight="false" outlineLevel="0" collapsed="false">
      <c r="A129" s="4" t="s">
        <v>265</v>
      </c>
      <c r="B129" s="17" t="n">
        <v>45686</v>
      </c>
      <c r="C129" s="4" t="n">
        <v>14</v>
      </c>
      <c r="D129" s="4" t="s">
        <v>70</v>
      </c>
      <c r="E129" s="4" t="s">
        <v>84</v>
      </c>
      <c r="F129" s="4" t="s">
        <v>106</v>
      </c>
      <c r="G129" s="4" t="n">
        <v>1</v>
      </c>
      <c r="H129" s="34" t="n">
        <v>60</v>
      </c>
      <c r="I129" s="18" t="n">
        <v>0</v>
      </c>
      <c r="J129" s="4" t="s">
        <v>112</v>
      </c>
      <c r="K129" s="4" t="s">
        <v>68</v>
      </c>
      <c r="L129" s="35" t="n">
        <f aca="false">G129*H129</f>
        <v>60</v>
      </c>
      <c r="M129" s="35" t="n">
        <f aca="false">L129*I129</f>
        <v>0</v>
      </c>
      <c r="N129" s="35" t="n">
        <f aca="false">L129-M129</f>
        <v>60</v>
      </c>
      <c r="O129" s="4" t="n">
        <f aca="false">MONTH(B129)</f>
        <v>1</v>
      </c>
      <c r="P129" s="4" t="str">
        <f aca="false">CHOOSE(WEEKDAY(B129,2),"Mon","Tue","Wed","Thu","Fri","Sat","Sun")</f>
        <v>Wed</v>
      </c>
      <c r="Q129" s="4" t="str">
        <f aca="false">IF(WEEKDAY(B129,2)&gt;5,"Weekend","Weekday")</f>
        <v>Weekday</v>
      </c>
      <c r="R129" s="4" t="str">
        <f aca="false">IF(C129&lt;11,"Morning (7-10)",IF(C129&lt;14,"Lunch (11-13)",IF(C129&lt;18,"Afternoon (14-17)","Evening (18-20)")))</f>
        <v>Afternoon (14-17)</v>
      </c>
      <c r="S129" s="4" t="str">
        <f aca="false">IF(AND(O129&gt;=3,O129&lt;=5),"Hot Dry (Mar-May)",IF(AND(O129&gt;=6,O129&lt;=11),"Rainy (Jun-Nov)","Cool Dry (Dec-Feb)"))</f>
        <v>Cool Dry (Dec-Feb)</v>
      </c>
      <c r="T129" s="4" t="str">
        <f aca="false">CHOOSE(O129,"Jan","Feb","Mar","Apr","May","Jun","Jul","Aug","Sep","Oct","Nov","Dec")</f>
        <v>Jan</v>
      </c>
    </row>
    <row r="130" customFormat="false" ht="15" hidden="false" customHeight="false" outlineLevel="0" collapsed="false">
      <c r="A130" s="4" t="s">
        <v>267</v>
      </c>
      <c r="B130" s="17" t="n">
        <v>45687</v>
      </c>
      <c r="C130" s="4" t="n">
        <v>8</v>
      </c>
      <c r="D130" s="4" t="s">
        <v>70</v>
      </c>
      <c r="E130" s="4" t="s">
        <v>65</v>
      </c>
      <c r="F130" s="4" t="s">
        <v>66</v>
      </c>
      <c r="G130" s="4" t="n">
        <v>2</v>
      </c>
      <c r="H130" s="34" t="n">
        <v>120</v>
      </c>
      <c r="I130" s="18" t="n">
        <v>0.15</v>
      </c>
      <c r="J130" s="4" t="s">
        <v>76</v>
      </c>
      <c r="K130" s="4" t="s">
        <v>77</v>
      </c>
      <c r="L130" s="35" t="n">
        <f aca="false">G130*H130</f>
        <v>240</v>
      </c>
      <c r="M130" s="35" t="n">
        <f aca="false">L130*I130</f>
        <v>36</v>
      </c>
      <c r="N130" s="35" t="n">
        <f aca="false">L130-M130</f>
        <v>204</v>
      </c>
      <c r="O130" s="4" t="n">
        <f aca="false">MONTH(B130)</f>
        <v>1</v>
      </c>
      <c r="P130" s="4" t="str">
        <f aca="false">CHOOSE(WEEKDAY(B130,2),"Mon","Tue","Wed","Thu","Fri","Sat","Sun")</f>
        <v>Thu</v>
      </c>
      <c r="Q130" s="4" t="str">
        <f aca="false">IF(WEEKDAY(B130,2)&gt;5,"Weekend","Weekday")</f>
        <v>Weekday</v>
      </c>
      <c r="R130" s="4" t="str">
        <f aca="false">IF(C130&lt;11,"Morning (7-10)",IF(C130&lt;14,"Lunch (11-13)",IF(C130&lt;18,"Afternoon (14-17)","Evening (18-20)")))</f>
        <v>Morning (7-10)</v>
      </c>
      <c r="S130" s="4" t="str">
        <f aca="false">IF(AND(O130&gt;=3,O130&lt;=5),"Hot Dry (Mar-May)",IF(AND(O130&gt;=6,O130&lt;=11),"Rainy (Jun-Nov)","Cool Dry (Dec-Feb)"))</f>
        <v>Cool Dry (Dec-Feb)</v>
      </c>
      <c r="T130" s="4" t="str">
        <f aca="false">CHOOSE(O130,"Jan","Feb","Mar","Apr","May","Jun","Jul","Aug","Sep","Oct","Nov","Dec")</f>
        <v>Jan</v>
      </c>
    </row>
    <row r="131" customFormat="false" ht="15" hidden="false" customHeight="false" outlineLevel="0" collapsed="false">
      <c r="A131" s="4" t="s">
        <v>269</v>
      </c>
      <c r="B131" s="17" t="n">
        <v>45687</v>
      </c>
      <c r="C131" s="4" t="n">
        <v>9</v>
      </c>
      <c r="D131" s="4" t="s">
        <v>70</v>
      </c>
      <c r="E131" s="4" t="s">
        <v>65</v>
      </c>
      <c r="F131" s="4" t="s">
        <v>94</v>
      </c>
      <c r="G131" s="4" t="n">
        <v>1</v>
      </c>
      <c r="H131" s="34" t="n">
        <v>150</v>
      </c>
      <c r="I131" s="18" t="n">
        <v>0</v>
      </c>
      <c r="J131" s="4" t="s">
        <v>76</v>
      </c>
      <c r="K131" s="4" t="s">
        <v>71</v>
      </c>
      <c r="L131" s="35" t="n">
        <f aca="false">G131*H131</f>
        <v>150</v>
      </c>
      <c r="M131" s="35" t="n">
        <f aca="false">L131*I131</f>
        <v>0</v>
      </c>
      <c r="N131" s="35" t="n">
        <f aca="false">L131-M131</f>
        <v>150</v>
      </c>
      <c r="O131" s="4" t="n">
        <f aca="false">MONTH(B131)</f>
        <v>1</v>
      </c>
      <c r="P131" s="4" t="str">
        <f aca="false">CHOOSE(WEEKDAY(B131,2),"Mon","Tue","Wed","Thu","Fri","Sat","Sun")</f>
        <v>Thu</v>
      </c>
      <c r="Q131" s="4" t="str">
        <f aca="false">IF(WEEKDAY(B131,2)&gt;5,"Weekend","Weekday")</f>
        <v>Weekday</v>
      </c>
      <c r="R131" s="4" t="str">
        <f aca="false">IF(C131&lt;11,"Morning (7-10)",IF(C131&lt;14,"Lunch (11-13)",IF(C131&lt;18,"Afternoon (14-17)","Evening (18-20)")))</f>
        <v>Morning (7-10)</v>
      </c>
      <c r="S131" s="4" t="str">
        <f aca="false">IF(AND(O131&gt;=3,O131&lt;=5),"Hot Dry (Mar-May)",IF(AND(O131&gt;=6,O131&lt;=11),"Rainy (Jun-Nov)","Cool Dry (Dec-Feb)"))</f>
        <v>Cool Dry (Dec-Feb)</v>
      </c>
      <c r="T131" s="4" t="str">
        <f aca="false">CHOOSE(O131,"Jan","Feb","Mar","Apr","May","Jun","Jul","Aug","Sep","Oct","Nov","Dec")</f>
        <v>Jan</v>
      </c>
    </row>
    <row r="132" customFormat="false" ht="15" hidden="false" customHeight="false" outlineLevel="0" collapsed="false">
      <c r="A132" s="4" t="s">
        <v>271</v>
      </c>
      <c r="B132" s="17" t="n">
        <v>45687</v>
      </c>
      <c r="C132" s="4" t="n">
        <v>13</v>
      </c>
      <c r="D132" s="4" t="s">
        <v>98</v>
      </c>
      <c r="E132" s="4" t="s">
        <v>99</v>
      </c>
      <c r="F132" s="4" t="s">
        <v>109</v>
      </c>
      <c r="G132" s="4" t="n">
        <v>2</v>
      </c>
      <c r="H132" s="34" t="n">
        <v>130</v>
      </c>
      <c r="I132" s="18" t="n">
        <v>0.1</v>
      </c>
      <c r="J132" s="4" t="s">
        <v>81</v>
      </c>
      <c r="K132" s="4" t="s">
        <v>71</v>
      </c>
      <c r="L132" s="35" t="n">
        <f aca="false">G132*H132</f>
        <v>260</v>
      </c>
      <c r="M132" s="35" t="n">
        <f aca="false">L132*I132</f>
        <v>26</v>
      </c>
      <c r="N132" s="35" t="n">
        <f aca="false">L132-M132</f>
        <v>234</v>
      </c>
      <c r="O132" s="4" t="n">
        <f aca="false">MONTH(B132)</f>
        <v>1</v>
      </c>
      <c r="P132" s="4" t="str">
        <f aca="false">CHOOSE(WEEKDAY(B132,2),"Mon","Tue","Wed","Thu","Fri","Sat","Sun")</f>
        <v>Thu</v>
      </c>
      <c r="Q132" s="4" t="str">
        <f aca="false">IF(WEEKDAY(B132,2)&gt;5,"Weekend","Weekday")</f>
        <v>Weekday</v>
      </c>
      <c r="R132" s="4" t="str">
        <f aca="false">IF(C132&lt;11,"Morning (7-10)",IF(C132&lt;14,"Lunch (11-13)",IF(C132&lt;18,"Afternoon (14-17)","Evening (18-20)")))</f>
        <v>Lunch (11-13)</v>
      </c>
      <c r="S132" s="4" t="str">
        <f aca="false">IF(AND(O132&gt;=3,O132&lt;=5),"Hot Dry (Mar-May)",IF(AND(O132&gt;=6,O132&lt;=11),"Rainy (Jun-Nov)","Cool Dry (Dec-Feb)"))</f>
        <v>Cool Dry (Dec-Feb)</v>
      </c>
      <c r="T132" s="4" t="str">
        <f aca="false">CHOOSE(O132,"Jan","Feb","Mar","Apr","May","Jun","Jul","Aug","Sep","Oct","Nov","Dec")</f>
        <v>Jan</v>
      </c>
    </row>
    <row r="133" customFormat="false" ht="15" hidden="false" customHeight="false" outlineLevel="0" collapsed="false">
      <c r="A133" s="4" t="s">
        <v>272</v>
      </c>
      <c r="B133" s="17" t="n">
        <v>45687</v>
      </c>
      <c r="C133" s="4" t="n">
        <v>13</v>
      </c>
      <c r="D133" s="4" t="s">
        <v>70</v>
      </c>
      <c r="E133" s="4" t="s">
        <v>65</v>
      </c>
      <c r="F133" s="4" t="s">
        <v>94</v>
      </c>
      <c r="G133" s="4" t="n">
        <v>2</v>
      </c>
      <c r="H133" s="34" t="n">
        <v>150</v>
      </c>
      <c r="I133" s="18" t="n">
        <v>0.15</v>
      </c>
      <c r="J133" s="4" t="s">
        <v>81</v>
      </c>
      <c r="K133" s="4" t="s">
        <v>77</v>
      </c>
      <c r="L133" s="35" t="n">
        <f aca="false">G133*H133</f>
        <v>300</v>
      </c>
      <c r="M133" s="35" t="n">
        <f aca="false">L133*I133</f>
        <v>45</v>
      </c>
      <c r="N133" s="35" t="n">
        <f aca="false">L133-M133</f>
        <v>255</v>
      </c>
      <c r="O133" s="4" t="n">
        <f aca="false">MONTH(B133)</f>
        <v>1</v>
      </c>
      <c r="P133" s="4" t="str">
        <f aca="false">CHOOSE(WEEKDAY(B133,2),"Mon","Tue","Wed","Thu","Fri","Sat","Sun")</f>
        <v>Thu</v>
      </c>
      <c r="Q133" s="4" t="str">
        <f aca="false">IF(WEEKDAY(B133,2)&gt;5,"Weekend","Weekday")</f>
        <v>Weekday</v>
      </c>
      <c r="R133" s="4" t="str">
        <f aca="false">IF(C133&lt;11,"Morning (7-10)",IF(C133&lt;14,"Lunch (11-13)",IF(C133&lt;18,"Afternoon (14-17)","Evening (18-20)")))</f>
        <v>Lunch (11-13)</v>
      </c>
      <c r="S133" s="4" t="str">
        <f aca="false">IF(AND(O133&gt;=3,O133&lt;=5),"Hot Dry (Mar-May)",IF(AND(O133&gt;=6,O133&lt;=11),"Rainy (Jun-Nov)","Cool Dry (Dec-Feb)"))</f>
        <v>Cool Dry (Dec-Feb)</v>
      </c>
      <c r="T133" s="4" t="str">
        <f aca="false">CHOOSE(O133,"Jan","Feb","Mar","Apr","May","Jun","Jul","Aug","Sep","Oct","Nov","Dec")</f>
        <v>Jan</v>
      </c>
    </row>
    <row r="134" customFormat="false" ht="15" hidden="false" customHeight="false" outlineLevel="0" collapsed="false">
      <c r="A134" s="4" t="s">
        <v>274</v>
      </c>
      <c r="B134" s="17" t="n">
        <v>45687</v>
      </c>
      <c r="C134" s="4" t="n">
        <v>19</v>
      </c>
      <c r="D134" s="4" t="s">
        <v>64</v>
      </c>
      <c r="E134" s="4" t="s">
        <v>99</v>
      </c>
      <c r="F134" s="4" t="s">
        <v>102</v>
      </c>
      <c r="G134" s="4" t="n">
        <v>3</v>
      </c>
      <c r="H134" s="34" t="n">
        <v>140</v>
      </c>
      <c r="I134" s="18" t="n">
        <v>0.1</v>
      </c>
      <c r="J134" s="4" t="s">
        <v>112</v>
      </c>
      <c r="K134" s="4" t="s">
        <v>71</v>
      </c>
      <c r="L134" s="35" t="n">
        <f aca="false">G134*H134</f>
        <v>420</v>
      </c>
      <c r="M134" s="35" t="n">
        <f aca="false">L134*I134</f>
        <v>42</v>
      </c>
      <c r="N134" s="35" t="n">
        <f aca="false">L134-M134</f>
        <v>378</v>
      </c>
      <c r="O134" s="4" t="n">
        <f aca="false">MONTH(B134)</f>
        <v>1</v>
      </c>
      <c r="P134" s="4" t="str">
        <f aca="false">CHOOSE(WEEKDAY(B134,2),"Mon","Tue","Wed","Thu","Fri","Sat","Sun")</f>
        <v>Thu</v>
      </c>
      <c r="Q134" s="4" t="str">
        <f aca="false">IF(WEEKDAY(B134,2)&gt;5,"Weekend","Weekday")</f>
        <v>Weekday</v>
      </c>
      <c r="R134" s="4" t="str">
        <f aca="false">IF(C134&lt;11,"Morning (7-10)",IF(C134&lt;14,"Lunch (11-13)",IF(C134&lt;18,"Afternoon (14-17)","Evening (18-20)")))</f>
        <v>Evening (18-20)</v>
      </c>
      <c r="S134" s="4" t="str">
        <f aca="false">IF(AND(O134&gt;=3,O134&lt;=5),"Hot Dry (Mar-May)",IF(AND(O134&gt;=6,O134&lt;=11),"Rainy (Jun-Nov)","Cool Dry (Dec-Feb)"))</f>
        <v>Cool Dry (Dec-Feb)</v>
      </c>
      <c r="T134" s="4" t="str">
        <f aca="false">CHOOSE(O134,"Jan","Feb","Mar","Apr","May","Jun","Jul","Aug","Sep","Oct","Nov","Dec")</f>
        <v>Jan</v>
      </c>
    </row>
    <row r="135" customFormat="false" ht="15" hidden="false" customHeight="false" outlineLevel="0" collapsed="false">
      <c r="A135" s="4" t="s">
        <v>276</v>
      </c>
      <c r="B135" s="17" t="n">
        <v>45687</v>
      </c>
      <c r="C135" s="4" t="n">
        <v>20</v>
      </c>
      <c r="D135" s="4" t="s">
        <v>70</v>
      </c>
      <c r="E135" s="4" t="s">
        <v>65</v>
      </c>
      <c r="F135" s="4" t="s">
        <v>66</v>
      </c>
      <c r="G135" s="4" t="n">
        <v>1</v>
      </c>
      <c r="H135" s="34" t="n">
        <v>120</v>
      </c>
      <c r="I135" s="18" t="n">
        <v>0.05</v>
      </c>
      <c r="J135" s="4" t="s">
        <v>81</v>
      </c>
      <c r="K135" s="4" t="s">
        <v>82</v>
      </c>
      <c r="L135" s="35" t="n">
        <f aca="false">G135*H135</f>
        <v>120</v>
      </c>
      <c r="M135" s="35" t="n">
        <f aca="false">L135*I135</f>
        <v>6</v>
      </c>
      <c r="N135" s="35" t="n">
        <f aca="false">L135-M135</f>
        <v>114</v>
      </c>
      <c r="O135" s="4" t="n">
        <f aca="false">MONTH(B135)</f>
        <v>1</v>
      </c>
      <c r="P135" s="4" t="str">
        <f aca="false">CHOOSE(WEEKDAY(B135,2),"Mon","Tue","Wed","Thu","Fri","Sat","Sun")</f>
        <v>Thu</v>
      </c>
      <c r="Q135" s="4" t="str">
        <f aca="false">IF(WEEKDAY(B135,2)&gt;5,"Weekend","Weekday")</f>
        <v>Weekday</v>
      </c>
      <c r="R135" s="4" t="str">
        <f aca="false">IF(C135&lt;11,"Morning (7-10)",IF(C135&lt;14,"Lunch (11-13)",IF(C135&lt;18,"Afternoon (14-17)","Evening (18-20)")))</f>
        <v>Evening (18-20)</v>
      </c>
      <c r="S135" s="4" t="str">
        <f aca="false">IF(AND(O135&gt;=3,O135&lt;=5),"Hot Dry (Mar-May)",IF(AND(O135&gt;=6,O135&lt;=11),"Rainy (Jun-Nov)","Cool Dry (Dec-Feb)"))</f>
        <v>Cool Dry (Dec-Feb)</v>
      </c>
      <c r="T135" s="4" t="str">
        <f aca="false">CHOOSE(O135,"Jan","Feb","Mar","Apr","May","Jun","Jul","Aug","Sep","Oct","Nov","Dec")</f>
        <v>Jan</v>
      </c>
    </row>
    <row r="136" customFormat="false" ht="15" hidden="false" customHeight="false" outlineLevel="0" collapsed="false">
      <c r="A136" s="4" t="s">
        <v>277</v>
      </c>
      <c r="B136" s="17" t="n">
        <v>45688</v>
      </c>
      <c r="C136" s="4" t="n">
        <v>17</v>
      </c>
      <c r="D136" s="4" t="s">
        <v>70</v>
      </c>
      <c r="E136" s="4" t="s">
        <v>99</v>
      </c>
      <c r="F136" s="4" t="s">
        <v>133</v>
      </c>
      <c r="G136" s="4" t="n">
        <v>1</v>
      </c>
      <c r="H136" s="34" t="n">
        <v>90</v>
      </c>
      <c r="I136" s="18" t="n">
        <v>0.05</v>
      </c>
      <c r="J136" s="4" t="s">
        <v>67</v>
      </c>
      <c r="K136" s="4" t="s">
        <v>82</v>
      </c>
      <c r="L136" s="35" t="n">
        <f aca="false">G136*H136</f>
        <v>90</v>
      </c>
      <c r="M136" s="35" t="n">
        <f aca="false">L136*I136</f>
        <v>4.5</v>
      </c>
      <c r="N136" s="35" t="n">
        <f aca="false">L136-M136</f>
        <v>85.5</v>
      </c>
      <c r="O136" s="4" t="n">
        <f aca="false">MONTH(B136)</f>
        <v>1</v>
      </c>
      <c r="P136" s="4" t="str">
        <f aca="false">CHOOSE(WEEKDAY(B136,2),"Mon","Tue","Wed","Thu","Fri","Sat","Sun")</f>
        <v>Fri</v>
      </c>
      <c r="Q136" s="4" t="str">
        <f aca="false">IF(WEEKDAY(B136,2)&gt;5,"Weekend","Weekday")</f>
        <v>Weekday</v>
      </c>
      <c r="R136" s="4" t="str">
        <f aca="false">IF(C136&lt;11,"Morning (7-10)",IF(C136&lt;14,"Lunch (11-13)",IF(C136&lt;18,"Afternoon (14-17)","Evening (18-20)")))</f>
        <v>Afternoon (14-17)</v>
      </c>
      <c r="S136" s="4" t="str">
        <f aca="false">IF(AND(O136&gt;=3,O136&lt;=5),"Hot Dry (Mar-May)",IF(AND(O136&gt;=6,O136&lt;=11),"Rainy (Jun-Nov)","Cool Dry (Dec-Feb)"))</f>
        <v>Cool Dry (Dec-Feb)</v>
      </c>
      <c r="T136" s="4" t="str">
        <f aca="false">CHOOSE(O136,"Jan","Feb","Mar","Apr","May","Jun","Jul","Aug","Sep","Oct","Nov","Dec")</f>
        <v>Jan</v>
      </c>
    </row>
    <row r="137" customFormat="false" ht="15" hidden="false" customHeight="false" outlineLevel="0" collapsed="false">
      <c r="A137" s="4" t="s">
        <v>278</v>
      </c>
      <c r="B137" s="17" t="n">
        <v>45688</v>
      </c>
      <c r="C137" s="4" t="n">
        <v>17</v>
      </c>
      <c r="D137" s="4" t="s">
        <v>73</v>
      </c>
      <c r="E137" s="4" t="s">
        <v>74</v>
      </c>
      <c r="F137" s="4" t="s">
        <v>139</v>
      </c>
      <c r="G137" s="4" t="n">
        <v>2</v>
      </c>
      <c r="H137" s="34" t="n">
        <v>260</v>
      </c>
      <c r="I137" s="18" t="n">
        <v>0.1</v>
      </c>
      <c r="J137" s="4" t="s">
        <v>88</v>
      </c>
      <c r="K137" s="4" t="s">
        <v>71</v>
      </c>
      <c r="L137" s="35" t="n">
        <f aca="false">G137*H137</f>
        <v>520</v>
      </c>
      <c r="M137" s="35" t="n">
        <f aca="false">L137*I137</f>
        <v>52</v>
      </c>
      <c r="N137" s="35" t="n">
        <f aca="false">L137-M137</f>
        <v>468</v>
      </c>
      <c r="O137" s="4" t="n">
        <f aca="false">MONTH(B137)</f>
        <v>1</v>
      </c>
      <c r="P137" s="4" t="str">
        <f aca="false">CHOOSE(WEEKDAY(B137,2),"Mon","Tue","Wed","Thu","Fri","Sat","Sun")</f>
        <v>Fri</v>
      </c>
      <c r="Q137" s="4" t="str">
        <f aca="false">IF(WEEKDAY(B137,2)&gt;5,"Weekend","Weekday")</f>
        <v>Weekday</v>
      </c>
      <c r="R137" s="4" t="str">
        <f aca="false">IF(C137&lt;11,"Morning (7-10)",IF(C137&lt;14,"Lunch (11-13)",IF(C137&lt;18,"Afternoon (14-17)","Evening (18-20)")))</f>
        <v>Afternoon (14-17)</v>
      </c>
      <c r="S137" s="4" t="str">
        <f aca="false">IF(AND(O137&gt;=3,O137&lt;=5),"Hot Dry (Mar-May)",IF(AND(O137&gt;=6,O137&lt;=11),"Rainy (Jun-Nov)","Cool Dry (Dec-Feb)"))</f>
        <v>Cool Dry (Dec-Feb)</v>
      </c>
      <c r="T137" s="4" t="str">
        <f aca="false">CHOOSE(O137,"Jan","Feb","Mar","Apr","May","Jun","Jul","Aug","Sep","Oct","Nov","Dec")</f>
        <v>Jan</v>
      </c>
    </row>
    <row r="138" customFormat="false" ht="15" hidden="false" customHeight="false" outlineLevel="0" collapsed="false">
      <c r="A138" s="4" t="s">
        <v>279</v>
      </c>
      <c r="B138" s="17" t="n">
        <v>45688</v>
      </c>
      <c r="C138" s="4" t="n">
        <v>17</v>
      </c>
      <c r="D138" s="4" t="s">
        <v>73</v>
      </c>
      <c r="E138" s="4" t="s">
        <v>79</v>
      </c>
      <c r="F138" s="4" t="s">
        <v>135</v>
      </c>
      <c r="G138" s="4" t="n">
        <v>1</v>
      </c>
      <c r="H138" s="34" t="n">
        <v>130</v>
      </c>
      <c r="I138" s="18" t="n">
        <v>0.05</v>
      </c>
      <c r="J138" s="4" t="s">
        <v>76</v>
      </c>
      <c r="K138" s="4" t="s">
        <v>82</v>
      </c>
      <c r="L138" s="35" t="n">
        <f aca="false">G138*H138</f>
        <v>130</v>
      </c>
      <c r="M138" s="35" t="n">
        <f aca="false">L138*I138</f>
        <v>6.5</v>
      </c>
      <c r="N138" s="35" t="n">
        <f aca="false">L138-M138</f>
        <v>123.5</v>
      </c>
      <c r="O138" s="4" t="n">
        <f aca="false">MONTH(B138)</f>
        <v>1</v>
      </c>
      <c r="P138" s="4" t="str">
        <f aca="false">CHOOSE(WEEKDAY(B138,2),"Mon","Tue","Wed","Thu","Fri","Sat","Sun")</f>
        <v>Fri</v>
      </c>
      <c r="Q138" s="4" t="str">
        <f aca="false">IF(WEEKDAY(B138,2)&gt;5,"Weekend","Weekday")</f>
        <v>Weekday</v>
      </c>
      <c r="R138" s="4" t="str">
        <f aca="false">IF(C138&lt;11,"Morning (7-10)",IF(C138&lt;14,"Lunch (11-13)",IF(C138&lt;18,"Afternoon (14-17)","Evening (18-20)")))</f>
        <v>Afternoon (14-17)</v>
      </c>
      <c r="S138" s="4" t="str">
        <f aca="false">IF(AND(O138&gt;=3,O138&lt;=5),"Hot Dry (Mar-May)",IF(AND(O138&gt;=6,O138&lt;=11),"Rainy (Jun-Nov)","Cool Dry (Dec-Feb)"))</f>
        <v>Cool Dry (Dec-Feb)</v>
      </c>
      <c r="T138" s="4" t="str">
        <f aca="false">CHOOSE(O138,"Jan","Feb","Mar","Apr","May","Jun","Jul","Aug","Sep","Oct","Nov","Dec")</f>
        <v>Jan</v>
      </c>
    </row>
    <row r="139" customFormat="false" ht="15" hidden="false" customHeight="false" outlineLevel="0" collapsed="false">
      <c r="A139" s="4" t="s">
        <v>280</v>
      </c>
      <c r="B139" s="17" t="n">
        <v>45688</v>
      </c>
      <c r="C139" s="4" t="n">
        <v>20</v>
      </c>
      <c r="D139" s="4" t="s">
        <v>64</v>
      </c>
      <c r="E139" s="4" t="s">
        <v>99</v>
      </c>
      <c r="F139" s="4" t="s">
        <v>102</v>
      </c>
      <c r="G139" s="4" t="n">
        <v>1</v>
      </c>
      <c r="H139" s="34" t="n">
        <v>140</v>
      </c>
      <c r="I139" s="18" t="n">
        <v>0.1</v>
      </c>
      <c r="J139" s="4" t="s">
        <v>81</v>
      </c>
      <c r="K139" s="4" t="s">
        <v>2289</v>
      </c>
      <c r="L139" s="35" t="n">
        <f aca="false">G139*H139</f>
        <v>140</v>
      </c>
      <c r="M139" s="35" t="n">
        <f aca="false">L139*I139</f>
        <v>14</v>
      </c>
      <c r="N139" s="35" t="n">
        <f aca="false">L139-M139</f>
        <v>126</v>
      </c>
      <c r="O139" s="4" t="n">
        <f aca="false">MONTH(B139)</f>
        <v>1</v>
      </c>
      <c r="P139" s="4" t="str">
        <f aca="false">CHOOSE(WEEKDAY(B139,2),"Mon","Tue","Wed","Thu","Fri","Sat","Sun")</f>
        <v>Fri</v>
      </c>
      <c r="Q139" s="4" t="str">
        <f aca="false">IF(WEEKDAY(B139,2)&gt;5,"Weekend","Weekday")</f>
        <v>Weekday</v>
      </c>
      <c r="R139" s="4" t="str">
        <f aca="false">IF(C139&lt;11,"Morning (7-10)",IF(C139&lt;14,"Lunch (11-13)",IF(C139&lt;18,"Afternoon (14-17)","Evening (18-20)")))</f>
        <v>Evening (18-20)</v>
      </c>
      <c r="S139" s="4" t="str">
        <f aca="false">IF(AND(O139&gt;=3,O139&lt;=5),"Hot Dry (Mar-May)",IF(AND(O139&gt;=6,O139&lt;=11),"Rainy (Jun-Nov)","Cool Dry (Dec-Feb)"))</f>
        <v>Cool Dry (Dec-Feb)</v>
      </c>
      <c r="T139" s="4" t="str">
        <f aca="false">CHOOSE(O139,"Jan","Feb","Mar","Apr","May","Jun","Jul","Aug","Sep","Oct","Nov","Dec")</f>
        <v>Jan</v>
      </c>
    </row>
    <row r="140" customFormat="false" ht="15" hidden="false" customHeight="false" outlineLevel="0" collapsed="false">
      <c r="A140" s="4" t="s">
        <v>281</v>
      </c>
      <c r="B140" s="17" t="n">
        <v>45689</v>
      </c>
      <c r="C140" s="4" t="n">
        <v>13</v>
      </c>
      <c r="D140" s="4" t="s">
        <v>70</v>
      </c>
      <c r="E140" s="4" t="s">
        <v>99</v>
      </c>
      <c r="F140" s="4" t="s">
        <v>133</v>
      </c>
      <c r="G140" s="4" t="n">
        <v>1</v>
      </c>
      <c r="H140" s="34" t="n">
        <v>90</v>
      </c>
      <c r="I140" s="18" t="n">
        <v>0</v>
      </c>
      <c r="J140" s="4" t="s">
        <v>81</v>
      </c>
      <c r="K140" s="4" t="s">
        <v>68</v>
      </c>
      <c r="L140" s="35" t="n">
        <f aca="false">G140*H140</f>
        <v>90</v>
      </c>
      <c r="M140" s="35" t="n">
        <f aca="false">L140*I140</f>
        <v>0</v>
      </c>
      <c r="N140" s="35" t="n">
        <f aca="false">L140-M140</f>
        <v>90</v>
      </c>
      <c r="O140" s="4" t="n">
        <f aca="false">MONTH(B140)</f>
        <v>2</v>
      </c>
      <c r="P140" s="4" t="str">
        <f aca="false">CHOOSE(WEEKDAY(B140,2),"Mon","Tue","Wed","Thu","Fri","Sat","Sun")</f>
        <v>Sat</v>
      </c>
      <c r="Q140" s="4" t="str">
        <f aca="false">IF(WEEKDAY(B140,2)&gt;5,"Weekend","Weekday")</f>
        <v>Weekend</v>
      </c>
      <c r="R140" s="4" t="str">
        <f aca="false">IF(C140&lt;11,"Morning (7-10)",IF(C140&lt;14,"Lunch (11-13)",IF(C140&lt;18,"Afternoon (14-17)","Evening (18-20)")))</f>
        <v>Lunch (11-13)</v>
      </c>
      <c r="S140" s="4" t="str">
        <f aca="false">IF(AND(O140&gt;=3,O140&lt;=5),"Hot Dry (Mar-May)",IF(AND(O140&gt;=6,O140&lt;=11),"Rainy (Jun-Nov)","Cool Dry (Dec-Feb)"))</f>
        <v>Cool Dry (Dec-Feb)</v>
      </c>
      <c r="T140" s="4" t="str">
        <f aca="false">CHOOSE(O140,"Jan","Feb","Mar","Apr","May","Jun","Jul","Aug","Sep","Oct","Nov","Dec")</f>
        <v>Feb</v>
      </c>
    </row>
    <row r="141" customFormat="false" ht="15" hidden="false" customHeight="false" outlineLevel="0" collapsed="false">
      <c r="A141" s="4" t="s">
        <v>282</v>
      </c>
      <c r="B141" s="17" t="n">
        <v>45690</v>
      </c>
      <c r="C141" s="4" t="n">
        <v>16</v>
      </c>
      <c r="D141" s="4" t="s">
        <v>73</v>
      </c>
      <c r="E141" s="4" t="s">
        <v>65</v>
      </c>
      <c r="F141" s="4" t="s">
        <v>66</v>
      </c>
      <c r="G141" s="4" t="n">
        <v>2</v>
      </c>
      <c r="H141" s="34" t="n">
        <v>120</v>
      </c>
      <c r="I141" s="18" t="n">
        <v>0</v>
      </c>
      <c r="J141" s="4" t="s">
        <v>67</v>
      </c>
      <c r="K141" s="4" t="s">
        <v>68</v>
      </c>
      <c r="L141" s="35" t="n">
        <f aca="false">G141*H141</f>
        <v>240</v>
      </c>
      <c r="M141" s="35" t="n">
        <f aca="false">L141*I141</f>
        <v>0</v>
      </c>
      <c r="N141" s="35" t="n">
        <f aca="false">L141-M141</f>
        <v>240</v>
      </c>
      <c r="O141" s="4" t="n">
        <f aca="false">MONTH(B141)</f>
        <v>2</v>
      </c>
      <c r="P141" s="4" t="str">
        <f aca="false">CHOOSE(WEEKDAY(B141,2),"Mon","Tue","Wed","Thu","Fri","Sat","Sun")</f>
        <v>Sun</v>
      </c>
      <c r="Q141" s="4" t="str">
        <f aca="false">IF(WEEKDAY(B141,2)&gt;5,"Weekend","Weekday")</f>
        <v>Weekend</v>
      </c>
      <c r="R141" s="4" t="str">
        <f aca="false">IF(C141&lt;11,"Morning (7-10)",IF(C141&lt;14,"Lunch (11-13)",IF(C141&lt;18,"Afternoon (14-17)","Evening (18-20)")))</f>
        <v>Afternoon (14-17)</v>
      </c>
      <c r="S141" s="4" t="str">
        <f aca="false">IF(AND(O141&gt;=3,O141&lt;=5),"Hot Dry (Mar-May)",IF(AND(O141&gt;=6,O141&lt;=11),"Rainy (Jun-Nov)","Cool Dry (Dec-Feb)"))</f>
        <v>Cool Dry (Dec-Feb)</v>
      </c>
      <c r="T141" s="4" t="str">
        <f aca="false">CHOOSE(O141,"Jan","Feb","Mar","Apr","May","Jun","Jul","Aug","Sep","Oct","Nov","Dec")</f>
        <v>Feb</v>
      </c>
    </row>
    <row r="142" customFormat="false" ht="15" hidden="false" customHeight="false" outlineLevel="0" collapsed="false">
      <c r="A142" s="4" t="s">
        <v>284</v>
      </c>
      <c r="B142" s="17" t="n">
        <v>45691</v>
      </c>
      <c r="C142" s="4" t="n">
        <v>9</v>
      </c>
      <c r="D142" s="4" t="s">
        <v>70</v>
      </c>
      <c r="E142" s="4" t="s">
        <v>79</v>
      </c>
      <c r="F142" s="4" t="s">
        <v>148</v>
      </c>
      <c r="G142" s="4" t="n">
        <v>1</v>
      </c>
      <c r="H142" s="34" t="n">
        <v>120</v>
      </c>
      <c r="I142" s="18" t="n">
        <v>0.1</v>
      </c>
      <c r="J142" s="4" t="s">
        <v>112</v>
      </c>
      <c r="K142" s="4" t="s">
        <v>71</v>
      </c>
      <c r="L142" s="35" t="n">
        <f aca="false">G142*H142</f>
        <v>120</v>
      </c>
      <c r="M142" s="35" t="n">
        <f aca="false">L142*I142</f>
        <v>12</v>
      </c>
      <c r="N142" s="35" t="n">
        <f aca="false">L142-M142</f>
        <v>108</v>
      </c>
      <c r="O142" s="4" t="n">
        <f aca="false">MONTH(B142)</f>
        <v>2</v>
      </c>
      <c r="P142" s="4" t="str">
        <f aca="false">CHOOSE(WEEKDAY(B142,2),"Mon","Tue","Wed","Thu","Fri","Sat","Sun")</f>
        <v>Mon</v>
      </c>
      <c r="Q142" s="4" t="str">
        <f aca="false">IF(WEEKDAY(B142,2)&gt;5,"Weekend","Weekday")</f>
        <v>Weekday</v>
      </c>
      <c r="R142" s="4" t="str">
        <f aca="false">IF(C142&lt;11,"Morning (7-10)",IF(C142&lt;14,"Lunch (11-13)",IF(C142&lt;18,"Afternoon (14-17)","Evening (18-20)")))</f>
        <v>Morning (7-10)</v>
      </c>
      <c r="S142" s="4" t="str">
        <f aca="false">IF(AND(O142&gt;=3,O142&lt;=5),"Hot Dry (Mar-May)",IF(AND(O142&gt;=6,O142&lt;=11),"Rainy (Jun-Nov)","Cool Dry (Dec-Feb)"))</f>
        <v>Cool Dry (Dec-Feb)</v>
      </c>
      <c r="T142" s="4" t="str">
        <f aca="false">CHOOSE(O142,"Jan","Feb","Mar","Apr","May","Jun","Jul","Aug","Sep","Oct","Nov","Dec")</f>
        <v>Feb</v>
      </c>
    </row>
    <row r="143" customFormat="false" ht="15" hidden="false" customHeight="false" outlineLevel="0" collapsed="false">
      <c r="A143" s="4" t="s">
        <v>285</v>
      </c>
      <c r="B143" s="17" t="n">
        <v>45692</v>
      </c>
      <c r="C143" s="4" t="n">
        <v>9</v>
      </c>
      <c r="D143" s="4" t="s">
        <v>64</v>
      </c>
      <c r="E143" s="4" t="s">
        <v>79</v>
      </c>
      <c r="F143" s="4" t="s">
        <v>135</v>
      </c>
      <c r="G143" s="4" t="n">
        <v>1</v>
      </c>
      <c r="H143" s="34" t="n">
        <v>130</v>
      </c>
      <c r="I143" s="18" t="n">
        <v>0.05</v>
      </c>
      <c r="J143" s="4" t="s">
        <v>81</v>
      </c>
      <c r="K143" s="4" t="s">
        <v>82</v>
      </c>
      <c r="L143" s="35" t="n">
        <f aca="false">G143*H143</f>
        <v>130</v>
      </c>
      <c r="M143" s="35" t="n">
        <f aca="false">L143*I143</f>
        <v>6.5</v>
      </c>
      <c r="N143" s="35" t="n">
        <f aca="false">L143-M143</f>
        <v>123.5</v>
      </c>
      <c r="O143" s="4" t="n">
        <f aca="false">MONTH(B143)</f>
        <v>2</v>
      </c>
      <c r="P143" s="4" t="str">
        <f aca="false">CHOOSE(WEEKDAY(B143,2),"Mon","Tue","Wed","Thu","Fri","Sat","Sun")</f>
        <v>Tue</v>
      </c>
      <c r="Q143" s="4" t="str">
        <f aca="false">IF(WEEKDAY(B143,2)&gt;5,"Weekend","Weekday")</f>
        <v>Weekday</v>
      </c>
      <c r="R143" s="4" t="str">
        <f aca="false">IF(C143&lt;11,"Morning (7-10)",IF(C143&lt;14,"Lunch (11-13)",IF(C143&lt;18,"Afternoon (14-17)","Evening (18-20)")))</f>
        <v>Morning (7-10)</v>
      </c>
      <c r="S143" s="4" t="str">
        <f aca="false">IF(AND(O143&gt;=3,O143&lt;=5),"Hot Dry (Mar-May)",IF(AND(O143&gt;=6,O143&lt;=11),"Rainy (Jun-Nov)","Cool Dry (Dec-Feb)"))</f>
        <v>Cool Dry (Dec-Feb)</v>
      </c>
      <c r="T143" s="4" t="str">
        <f aca="false">CHOOSE(O143,"Jan","Feb","Mar","Apr","May","Jun","Jul","Aug","Sep","Oct","Nov","Dec")</f>
        <v>Feb</v>
      </c>
    </row>
    <row r="144" customFormat="false" ht="15" hidden="false" customHeight="false" outlineLevel="0" collapsed="false">
      <c r="A144" s="4" t="s">
        <v>286</v>
      </c>
      <c r="B144" s="17" t="n">
        <v>45692</v>
      </c>
      <c r="C144" s="4" t="n">
        <v>9</v>
      </c>
      <c r="D144" s="4" t="s">
        <v>70</v>
      </c>
      <c r="E144" s="4" t="s">
        <v>99</v>
      </c>
      <c r="F144" s="4" t="s">
        <v>102</v>
      </c>
      <c r="G144" s="4" t="n">
        <v>4</v>
      </c>
      <c r="H144" s="34" t="n">
        <v>140</v>
      </c>
      <c r="I144" s="18" t="n">
        <v>0</v>
      </c>
      <c r="J144" s="4" t="s">
        <v>76</v>
      </c>
      <c r="K144" s="4" t="s">
        <v>77</v>
      </c>
      <c r="L144" s="35" t="n">
        <f aca="false">G144*H144</f>
        <v>560</v>
      </c>
      <c r="M144" s="35" t="n">
        <f aca="false">L144*I144</f>
        <v>0</v>
      </c>
      <c r="N144" s="35" t="n">
        <f aca="false">L144-M144</f>
        <v>560</v>
      </c>
      <c r="O144" s="4" t="n">
        <f aca="false">MONTH(B144)</f>
        <v>2</v>
      </c>
      <c r="P144" s="4" t="str">
        <f aca="false">CHOOSE(WEEKDAY(B144,2),"Mon","Tue","Wed","Thu","Fri","Sat","Sun")</f>
        <v>Tue</v>
      </c>
      <c r="Q144" s="4" t="str">
        <f aca="false">IF(WEEKDAY(B144,2)&gt;5,"Weekend","Weekday")</f>
        <v>Weekday</v>
      </c>
      <c r="R144" s="4" t="str">
        <f aca="false">IF(C144&lt;11,"Morning (7-10)",IF(C144&lt;14,"Lunch (11-13)",IF(C144&lt;18,"Afternoon (14-17)","Evening (18-20)")))</f>
        <v>Morning (7-10)</v>
      </c>
      <c r="S144" s="4" t="str">
        <f aca="false">IF(AND(O144&gt;=3,O144&lt;=5),"Hot Dry (Mar-May)",IF(AND(O144&gt;=6,O144&lt;=11),"Rainy (Jun-Nov)","Cool Dry (Dec-Feb)"))</f>
        <v>Cool Dry (Dec-Feb)</v>
      </c>
      <c r="T144" s="4" t="str">
        <f aca="false">CHOOSE(O144,"Jan","Feb","Mar","Apr","May","Jun","Jul","Aug","Sep","Oct","Nov","Dec")</f>
        <v>Feb</v>
      </c>
    </row>
    <row r="145" customFormat="false" ht="15" hidden="false" customHeight="false" outlineLevel="0" collapsed="false">
      <c r="A145" s="4" t="s">
        <v>288</v>
      </c>
      <c r="B145" s="17" t="n">
        <v>45693</v>
      </c>
      <c r="C145" s="4" t="n">
        <v>8</v>
      </c>
      <c r="D145" s="4" t="s">
        <v>70</v>
      </c>
      <c r="E145" s="4" t="s">
        <v>65</v>
      </c>
      <c r="F145" s="4" t="s">
        <v>121</v>
      </c>
      <c r="G145" s="4" t="n">
        <v>2</v>
      </c>
      <c r="H145" s="34" t="n">
        <v>170</v>
      </c>
      <c r="I145" s="18" t="n">
        <v>0.1</v>
      </c>
      <c r="J145" s="4" t="s">
        <v>76</v>
      </c>
      <c r="K145" s="4" t="s">
        <v>71</v>
      </c>
      <c r="L145" s="35" t="n">
        <f aca="false">G145*H145</f>
        <v>340</v>
      </c>
      <c r="M145" s="35" t="n">
        <f aca="false">L145*I145</f>
        <v>34</v>
      </c>
      <c r="N145" s="35" t="n">
        <f aca="false">L145-M145</f>
        <v>306</v>
      </c>
      <c r="O145" s="4" t="n">
        <f aca="false">MONTH(B145)</f>
        <v>2</v>
      </c>
      <c r="P145" s="4" t="str">
        <f aca="false">CHOOSE(WEEKDAY(B145,2),"Mon","Tue","Wed","Thu","Fri","Sat","Sun")</f>
        <v>Wed</v>
      </c>
      <c r="Q145" s="4" t="str">
        <f aca="false">IF(WEEKDAY(B145,2)&gt;5,"Weekend","Weekday")</f>
        <v>Weekday</v>
      </c>
      <c r="R145" s="4" t="str">
        <f aca="false">IF(C145&lt;11,"Morning (7-10)",IF(C145&lt;14,"Lunch (11-13)",IF(C145&lt;18,"Afternoon (14-17)","Evening (18-20)")))</f>
        <v>Morning (7-10)</v>
      </c>
      <c r="S145" s="4" t="str">
        <f aca="false">IF(AND(O145&gt;=3,O145&lt;=5),"Hot Dry (Mar-May)",IF(AND(O145&gt;=6,O145&lt;=11),"Rainy (Jun-Nov)","Cool Dry (Dec-Feb)"))</f>
        <v>Cool Dry (Dec-Feb)</v>
      </c>
      <c r="T145" s="4" t="str">
        <f aca="false">CHOOSE(O145,"Jan","Feb","Mar","Apr","May","Jun","Jul","Aug","Sep","Oct","Nov","Dec")</f>
        <v>Feb</v>
      </c>
    </row>
    <row r="146" customFormat="false" ht="15" hidden="false" customHeight="false" outlineLevel="0" collapsed="false">
      <c r="A146" s="4" t="s">
        <v>289</v>
      </c>
      <c r="B146" s="17" t="n">
        <v>45693</v>
      </c>
      <c r="C146" s="4" t="n">
        <v>12</v>
      </c>
      <c r="D146" s="4" t="s">
        <v>98</v>
      </c>
      <c r="E146" s="4" t="s">
        <v>79</v>
      </c>
      <c r="F146" s="4" t="s">
        <v>148</v>
      </c>
      <c r="G146" s="4" t="n">
        <v>2</v>
      </c>
      <c r="H146" s="34" t="n">
        <v>120</v>
      </c>
      <c r="I146" s="18" t="n">
        <v>0</v>
      </c>
      <c r="J146" s="4" t="s">
        <v>67</v>
      </c>
      <c r="K146" s="4" t="s">
        <v>68</v>
      </c>
      <c r="L146" s="35" t="n">
        <f aca="false">G146*H146</f>
        <v>240</v>
      </c>
      <c r="M146" s="35" t="n">
        <f aca="false">L146*I146</f>
        <v>0</v>
      </c>
      <c r="N146" s="35" t="n">
        <f aca="false">L146-M146</f>
        <v>240</v>
      </c>
      <c r="O146" s="4" t="n">
        <f aca="false">MONTH(B146)</f>
        <v>2</v>
      </c>
      <c r="P146" s="4" t="str">
        <f aca="false">CHOOSE(WEEKDAY(B146,2),"Mon","Tue","Wed","Thu","Fri","Sat","Sun")</f>
        <v>Wed</v>
      </c>
      <c r="Q146" s="4" t="str">
        <f aca="false">IF(WEEKDAY(B146,2)&gt;5,"Weekend","Weekday")</f>
        <v>Weekday</v>
      </c>
      <c r="R146" s="4" t="str">
        <f aca="false">IF(C146&lt;11,"Morning (7-10)",IF(C146&lt;14,"Lunch (11-13)",IF(C146&lt;18,"Afternoon (14-17)","Evening (18-20)")))</f>
        <v>Lunch (11-13)</v>
      </c>
      <c r="S146" s="4" t="str">
        <f aca="false">IF(AND(O146&gt;=3,O146&lt;=5),"Hot Dry (Mar-May)",IF(AND(O146&gt;=6,O146&lt;=11),"Rainy (Jun-Nov)","Cool Dry (Dec-Feb)"))</f>
        <v>Cool Dry (Dec-Feb)</v>
      </c>
      <c r="T146" s="4" t="str">
        <f aca="false">CHOOSE(O146,"Jan","Feb","Mar","Apr","May","Jun","Jul","Aug","Sep","Oct","Nov","Dec")</f>
        <v>Feb</v>
      </c>
    </row>
    <row r="147" customFormat="false" ht="15" hidden="false" customHeight="false" outlineLevel="0" collapsed="false">
      <c r="A147" s="4" t="s">
        <v>291</v>
      </c>
      <c r="B147" s="17" t="n">
        <v>45693</v>
      </c>
      <c r="C147" s="4" t="n">
        <v>13</v>
      </c>
      <c r="D147" s="4" t="s">
        <v>98</v>
      </c>
      <c r="E147" s="4" t="s">
        <v>79</v>
      </c>
      <c r="F147" s="4" t="s">
        <v>148</v>
      </c>
      <c r="G147" s="4" t="n">
        <v>1</v>
      </c>
      <c r="H147" s="34" t="n">
        <v>120</v>
      </c>
      <c r="I147" s="18" t="n">
        <v>0.1</v>
      </c>
      <c r="J147" s="4" t="s">
        <v>76</v>
      </c>
      <c r="K147" s="4" t="s">
        <v>71</v>
      </c>
      <c r="L147" s="35" t="n">
        <f aca="false">G147*H147</f>
        <v>120</v>
      </c>
      <c r="M147" s="35" t="n">
        <f aca="false">L147*I147</f>
        <v>12</v>
      </c>
      <c r="N147" s="35" t="n">
        <f aca="false">L147-M147</f>
        <v>108</v>
      </c>
      <c r="O147" s="4" t="n">
        <f aca="false">MONTH(B147)</f>
        <v>2</v>
      </c>
      <c r="P147" s="4" t="str">
        <f aca="false">CHOOSE(WEEKDAY(B147,2),"Mon","Tue","Wed","Thu","Fri","Sat","Sun")</f>
        <v>Wed</v>
      </c>
      <c r="Q147" s="4" t="str">
        <f aca="false">IF(WEEKDAY(B147,2)&gt;5,"Weekend","Weekday")</f>
        <v>Weekday</v>
      </c>
      <c r="R147" s="4" t="str">
        <f aca="false">IF(C147&lt;11,"Morning (7-10)",IF(C147&lt;14,"Lunch (11-13)",IF(C147&lt;18,"Afternoon (14-17)","Evening (18-20)")))</f>
        <v>Lunch (11-13)</v>
      </c>
      <c r="S147" s="4" t="str">
        <f aca="false">IF(AND(O147&gt;=3,O147&lt;=5),"Hot Dry (Mar-May)",IF(AND(O147&gt;=6,O147&lt;=11),"Rainy (Jun-Nov)","Cool Dry (Dec-Feb)"))</f>
        <v>Cool Dry (Dec-Feb)</v>
      </c>
      <c r="T147" s="4" t="str">
        <f aca="false">CHOOSE(O147,"Jan","Feb","Mar","Apr","May","Jun","Jul","Aug","Sep","Oct","Nov","Dec")</f>
        <v>Feb</v>
      </c>
    </row>
    <row r="148" customFormat="false" ht="15" hidden="false" customHeight="false" outlineLevel="0" collapsed="false">
      <c r="A148" s="4" t="s">
        <v>292</v>
      </c>
      <c r="B148" s="17" t="n">
        <v>45693</v>
      </c>
      <c r="C148" s="4" t="n">
        <v>13</v>
      </c>
      <c r="D148" s="4" t="s">
        <v>73</v>
      </c>
      <c r="E148" s="4" t="s">
        <v>84</v>
      </c>
      <c r="F148" s="4" t="s">
        <v>106</v>
      </c>
      <c r="G148" s="4" t="n">
        <v>3</v>
      </c>
      <c r="H148" s="34" t="n">
        <v>60</v>
      </c>
      <c r="I148" s="18" t="n">
        <v>0.1</v>
      </c>
      <c r="J148" s="4" t="s">
        <v>81</v>
      </c>
      <c r="K148" s="4" t="s">
        <v>77</v>
      </c>
      <c r="L148" s="35" t="n">
        <f aca="false">G148*H148</f>
        <v>180</v>
      </c>
      <c r="M148" s="35" t="n">
        <f aca="false">L148*I148</f>
        <v>18</v>
      </c>
      <c r="N148" s="35" t="n">
        <f aca="false">L148-M148</f>
        <v>162</v>
      </c>
      <c r="O148" s="4" t="n">
        <f aca="false">MONTH(B148)</f>
        <v>2</v>
      </c>
      <c r="P148" s="4" t="str">
        <f aca="false">CHOOSE(WEEKDAY(B148,2),"Mon","Tue","Wed","Thu","Fri","Sat","Sun")</f>
        <v>Wed</v>
      </c>
      <c r="Q148" s="4" t="str">
        <f aca="false">IF(WEEKDAY(B148,2)&gt;5,"Weekend","Weekday")</f>
        <v>Weekday</v>
      </c>
      <c r="R148" s="4" t="str">
        <f aca="false">IF(C148&lt;11,"Morning (7-10)",IF(C148&lt;14,"Lunch (11-13)",IF(C148&lt;18,"Afternoon (14-17)","Evening (18-20)")))</f>
        <v>Lunch (11-13)</v>
      </c>
      <c r="S148" s="4" t="str">
        <f aca="false">IF(AND(O148&gt;=3,O148&lt;=5),"Hot Dry (Mar-May)",IF(AND(O148&gt;=6,O148&lt;=11),"Rainy (Jun-Nov)","Cool Dry (Dec-Feb)"))</f>
        <v>Cool Dry (Dec-Feb)</v>
      </c>
      <c r="T148" s="4" t="str">
        <f aca="false">CHOOSE(O148,"Jan","Feb","Mar","Apr","May","Jun","Jul","Aug","Sep","Oct","Nov","Dec")</f>
        <v>Feb</v>
      </c>
    </row>
    <row r="149" customFormat="false" ht="15" hidden="false" customHeight="false" outlineLevel="0" collapsed="false">
      <c r="A149" s="4" t="s">
        <v>293</v>
      </c>
      <c r="B149" s="17" t="n">
        <v>45693</v>
      </c>
      <c r="C149" s="4" t="n">
        <v>14</v>
      </c>
      <c r="D149" s="4" t="s">
        <v>64</v>
      </c>
      <c r="E149" s="4" t="s">
        <v>99</v>
      </c>
      <c r="F149" s="4" t="s">
        <v>102</v>
      </c>
      <c r="G149" s="4" t="n">
        <v>1</v>
      </c>
      <c r="H149" s="34" t="n">
        <v>140</v>
      </c>
      <c r="I149" s="18" t="n">
        <v>0</v>
      </c>
      <c r="J149" s="4" t="s">
        <v>81</v>
      </c>
      <c r="K149" s="4" t="s">
        <v>77</v>
      </c>
      <c r="L149" s="35" t="n">
        <f aca="false">G149*H149</f>
        <v>140</v>
      </c>
      <c r="M149" s="35" t="n">
        <f aca="false">L149*I149</f>
        <v>0</v>
      </c>
      <c r="N149" s="35" t="n">
        <f aca="false">L149-M149</f>
        <v>140</v>
      </c>
      <c r="O149" s="4" t="n">
        <f aca="false">MONTH(B149)</f>
        <v>2</v>
      </c>
      <c r="P149" s="4" t="str">
        <f aca="false">CHOOSE(WEEKDAY(B149,2),"Mon","Tue","Wed","Thu","Fri","Sat","Sun")</f>
        <v>Wed</v>
      </c>
      <c r="Q149" s="4" t="str">
        <f aca="false">IF(WEEKDAY(B149,2)&gt;5,"Weekend","Weekday")</f>
        <v>Weekday</v>
      </c>
      <c r="R149" s="4" t="str">
        <f aca="false">IF(C149&lt;11,"Morning (7-10)",IF(C149&lt;14,"Lunch (11-13)",IF(C149&lt;18,"Afternoon (14-17)","Evening (18-20)")))</f>
        <v>Afternoon (14-17)</v>
      </c>
      <c r="S149" s="4" t="str">
        <f aca="false">IF(AND(O149&gt;=3,O149&lt;=5),"Hot Dry (Mar-May)",IF(AND(O149&gt;=6,O149&lt;=11),"Rainy (Jun-Nov)","Cool Dry (Dec-Feb)"))</f>
        <v>Cool Dry (Dec-Feb)</v>
      </c>
      <c r="T149" s="4" t="str">
        <f aca="false">CHOOSE(O149,"Jan","Feb","Mar","Apr","May","Jun","Jul","Aug","Sep","Oct","Nov","Dec")</f>
        <v>Feb</v>
      </c>
    </row>
    <row r="150" customFormat="false" ht="15" hidden="false" customHeight="false" outlineLevel="0" collapsed="false">
      <c r="A150" s="4" t="s">
        <v>294</v>
      </c>
      <c r="B150" s="17" t="n">
        <v>45693</v>
      </c>
      <c r="C150" s="4" t="n">
        <v>18</v>
      </c>
      <c r="D150" s="4" t="s">
        <v>64</v>
      </c>
      <c r="E150" s="4" t="s">
        <v>99</v>
      </c>
      <c r="F150" s="4" t="s">
        <v>133</v>
      </c>
      <c r="G150" s="4" t="n">
        <v>1</v>
      </c>
      <c r="H150" s="34" t="n">
        <v>90</v>
      </c>
      <c r="I150" s="18" t="n">
        <v>0</v>
      </c>
      <c r="J150" s="4" t="s">
        <v>81</v>
      </c>
      <c r="K150" s="4" t="s">
        <v>68</v>
      </c>
      <c r="L150" s="35" t="n">
        <f aca="false">G150*H150</f>
        <v>90</v>
      </c>
      <c r="M150" s="35" t="n">
        <f aca="false">L150*I150</f>
        <v>0</v>
      </c>
      <c r="N150" s="35" t="n">
        <f aca="false">L150-M150</f>
        <v>90</v>
      </c>
      <c r="O150" s="4" t="n">
        <f aca="false">MONTH(B150)</f>
        <v>2</v>
      </c>
      <c r="P150" s="4" t="str">
        <f aca="false">CHOOSE(WEEKDAY(B150,2),"Mon","Tue","Wed","Thu","Fri","Sat","Sun")</f>
        <v>Wed</v>
      </c>
      <c r="Q150" s="4" t="str">
        <f aca="false">IF(WEEKDAY(B150,2)&gt;5,"Weekend","Weekday")</f>
        <v>Weekday</v>
      </c>
      <c r="R150" s="4" t="str">
        <f aca="false">IF(C150&lt;11,"Morning (7-10)",IF(C150&lt;14,"Lunch (11-13)",IF(C150&lt;18,"Afternoon (14-17)","Evening (18-20)")))</f>
        <v>Evening (18-20)</v>
      </c>
      <c r="S150" s="4" t="str">
        <f aca="false">IF(AND(O150&gt;=3,O150&lt;=5),"Hot Dry (Mar-May)",IF(AND(O150&gt;=6,O150&lt;=11),"Rainy (Jun-Nov)","Cool Dry (Dec-Feb)"))</f>
        <v>Cool Dry (Dec-Feb)</v>
      </c>
      <c r="T150" s="4" t="str">
        <f aca="false">CHOOSE(O150,"Jan","Feb","Mar","Apr","May","Jun","Jul","Aug","Sep","Oct","Nov","Dec")</f>
        <v>Feb</v>
      </c>
    </row>
    <row r="151" customFormat="false" ht="15" hidden="false" customHeight="false" outlineLevel="0" collapsed="false">
      <c r="A151" s="4" t="s">
        <v>295</v>
      </c>
      <c r="B151" s="17" t="n">
        <v>45694</v>
      </c>
      <c r="C151" s="4" t="n">
        <v>10</v>
      </c>
      <c r="D151" s="4" t="s">
        <v>73</v>
      </c>
      <c r="E151" s="4" t="s">
        <v>84</v>
      </c>
      <c r="F151" s="4" t="s">
        <v>114</v>
      </c>
      <c r="G151" s="4" t="n">
        <v>1</v>
      </c>
      <c r="H151" s="34" t="n">
        <v>85</v>
      </c>
      <c r="I151" s="18" t="n">
        <v>0.05</v>
      </c>
      <c r="J151" s="4" t="s">
        <v>76</v>
      </c>
      <c r="K151" s="4" t="s">
        <v>82</v>
      </c>
      <c r="L151" s="35" t="n">
        <f aca="false">G151*H151</f>
        <v>85</v>
      </c>
      <c r="M151" s="35" t="n">
        <f aca="false">L151*I151</f>
        <v>4.25</v>
      </c>
      <c r="N151" s="35" t="n">
        <f aca="false">L151-M151</f>
        <v>80.75</v>
      </c>
      <c r="O151" s="4" t="n">
        <f aca="false">MONTH(B151)</f>
        <v>2</v>
      </c>
      <c r="P151" s="4" t="str">
        <f aca="false">CHOOSE(WEEKDAY(B151,2),"Mon","Tue","Wed","Thu","Fri","Sat","Sun")</f>
        <v>Thu</v>
      </c>
      <c r="Q151" s="4" t="str">
        <f aca="false">IF(WEEKDAY(B151,2)&gt;5,"Weekend","Weekday")</f>
        <v>Weekday</v>
      </c>
      <c r="R151" s="4" t="str">
        <f aca="false">IF(C151&lt;11,"Morning (7-10)",IF(C151&lt;14,"Lunch (11-13)",IF(C151&lt;18,"Afternoon (14-17)","Evening (18-20)")))</f>
        <v>Morning (7-10)</v>
      </c>
      <c r="S151" s="4" t="str">
        <f aca="false">IF(AND(O151&gt;=3,O151&lt;=5),"Hot Dry (Mar-May)",IF(AND(O151&gt;=6,O151&lt;=11),"Rainy (Jun-Nov)","Cool Dry (Dec-Feb)"))</f>
        <v>Cool Dry (Dec-Feb)</v>
      </c>
      <c r="T151" s="4" t="str">
        <f aca="false">CHOOSE(O151,"Jan","Feb","Mar","Apr","May","Jun","Jul","Aug","Sep","Oct","Nov","Dec")</f>
        <v>Feb</v>
      </c>
    </row>
    <row r="152" customFormat="false" ht="15" hidden="false" customHeight="false" outlineLevel="0" collapsed="false">
      <c r="A152" s="4" t="s">
        <v>296</v>
      </c>
      <c r="B152" s="17" t="n">
        <v>45694</v>
      </c>
      <c r="C152" s="4" t="n">
        <v>15</v>
      </c>
      <c r="D152" s="4" t="s">
        <v>64</v>
      </c>
      <c r="E152" s="4" t="s">
        <v>99</v>
      </c>
      <c r="F152" s="4" t="s">
        <v>102</v>
      </c>
      <c r="G152" s="4" t="n">
        <v>2</v>
      </c>
      <c r="H152" s="34" t="n">
        <v>140</v>
      </c>
      <c r="I152" s="18" t="n">
        <v>0</v>
      </c>
      <c r="J152" s="4" t="s">
        <v>76</v>
      </c>
      <c r="K152" s="4" t="s">
        <v>68</v>
      </c>
      <c r="L152" s="35" t="n">
        <f aca="false">G152*H152</f>
        <v>280</v>
      </c>
      <c r="M152" s="35" t="n">
        <f aca="false">L152*I152</f>
        <v>0</v>
      </c>
      <c r="N152" s="35" t="n">
        <f aca="false">L152-M152</f>
        <v>280</v>
      </c>
      <c r="O152" s="4" t="n">
        <f aca="false">MONTH(B152)</f>
        <v>2</v>
      </c>
      <c r="P152" s="4" t="str">
        <f aca="false">CHOOSE(WEEKDAY(B152,2),"Mon","Tue","Wed","Thu","Fri","Sat","Sun")</f>
        <v>Thu</v>
      </c>
      <c r="Q152" s="4" t="str">
        <f aca="false">IF(WEEKDAY(B152,2)&gt;5,"Weekend","Weekday")</f>
        <v>Weekday</v>
      </c>
      <c r="R152" s="4" t="str">
        <f aca="false">IF(C152&lt;11,"Morning (7-10)",IF(C152&lt;14,"Lunch (11-13)",IF(C152&lt;18,"Afternoon (14-17)","Evening (18-20)")))</f>
        <v>Afternoon (14-17)</v>
      </c>
      <c r="S152" s="4" t="str">
        <f aca="false">IF(AND(O152&gt;=3,O152&lt;=5),"Hot Dry (Mar-May)",IF(AND(O152&gt;=6,O152&lt;=11),"Rainy (Jun-Nov)","Cool Dry (Dec-Feb)"))</f>
        <v>Cool Dry (Dec-Feb)</v>
      </c>
      <c r="T152" s="4" t="str">
        <f aca="false">CHOOSE(O152,"Jan","Feb","Mar","Apr","May","Jun","Jul","Aug","Sep","Oct","Nov","Dec")</f>
        <v>Feb</v>
      </c>
    </row>
    <row r="153" customFormat="false" ht="15" hidden="false" customHeight="false" outlineLevel="0" collapsed="false">
      <c r="A153" s="4" t="s">
        <v>297</v>
      </c>
      <c r="B153" s="17" t="n">
        <v>45694</v>
      </c>
      <c r="C153" s="4" t="n">
        <v>18</v>
      </c>
      <c r="D153" s="4" t="s">
        <v>64</v>
      </c>
      <c r="E153" s="4" t="s">
        <v>79</v>
      </c>
      <c r="F153" s="4" t="s">
        <v>80</v>
      </c>
      <c r="G153" s="4" t="n">
        <v>1</v>
      </c>
      <c r="H153" s="34" t="n">
        <v>160</v>
      </c>
      <c r="I153" s="18" t="n">
        <v>0.1</v>
      </c>
      <c r="J153" s="4" t="s">
        <v>81</v>
      </c>
      <c r="K153" s="4" t="s">
        <v>2289</v>
      </c>
      <c r="L153" s="35" t="n">
        <f aca="false">G153*H153</f>
        <v>160</v>
      </c>
      <c r="M153" s="35" t="n">
        <f aca="false">L153*I153</f>
        <v>16</v>
      </c>
      <c r="N153" s="35" t="n">
        <f aca="false">L153-M153</f>
        <v>144</v>
      </c>
      <c r="O153" s="4" t="n">
        <f aca="false">MONTH(B153)</f>
        <v>2</v>
      </c>
      <c r="P153" s="4" t="str">
        <f aca="false">CHOOSE(WEEKDAY(B153,2),"Mon","Tue","Wed","Thu","Fri","Sat","Sun")</f>
        <v>Thu</v>
      </c>
      <c r="Q153" s="4" t="str">
        <f aca="false">IF(WEEKDAY(B153,2)&gt;5,"Weekend","Weekday")</f>
        <v>Weekday</v>
      </c>
      <c r="R153" s="4" t="str">
        <f aca="false">IF(C153&lt;11,"Morning (7-10)",IF(C153&lt;14,"Lunch (11-13)",IF(C153&lt;18,"Afternoon (14-17)","Evening (18-20)")))</f>
        <v>Evening (18-20)</v>
      </c>
      <c r="S153" s="4" t="str">
        <f aca="false">IF(AND(O153&gt;=3,O153&lt;=5),"Hot Dry (Mar-May)",IF(AND(O153&gt;=6,O153&lt;=11),"Rainy (Jun-Nov)","Cool Dry (Dec-Feb)"))</f>
        <v>Cool Dry (Dec-Feb)</v>
      </c>
      <c r="T153" s="4" t="str">
        <f aca="false">CHOOSE(O153,"Jan","Feb","Mar","Apr","May","Jun","Jul","Aug","Sep","Oct","Nov","Dec")</f>
        <v>Feb</v>
      </c>
    </row>
    <row r="154" customFormat="false" ht="15" hidden="false" customHeight="false" outlineLevel="0" collapsed="false">
      <c r="A154" s="4" t="s">
        <v>298</v>
      </c>
      <c r="B154" s="17" t="n">
        <v>45695</v>
      </c>
      <c r="C154" s="4" t="n">
        <v>8</v>
      </c>
      <c r="D154" s="4" t="s">
        <v>70</v>
      </c>
      <c r="E154" s="4" t="s">
        <v>84</v>
      </c>
      <c r="F154" s="4" t="s">
        <v>85</v>
      </c>
      <c r="G154" s="4" t="n">
        <v>3</v>
      </c>
      <c r="H154" s="34" t="n">
        <v>150</v>
      </c>
      <c r="I154" s="18" t="n">
        <v>0.1</v>
      </c>
      <c r="J154" s="4" t="s">
        <v>67</v>
      </c>
      <c r="K154" s="4" t="s">
        <v>82</v>
      </c>
      <c r="L154" s="35" t="n">
        <f aca="false">G154*H154</f>
        <v>450</v>
      </c>
      <c r="M154" s="35" t="n">
        <f aca="false">L154*I154</f>
        <v>45</v>
      </c>
      <c r="N154" s="35" t="n">
        <f aca="false">L154-M154</f>
        <v>405</v>
      </c>
      <c r="O154" s="4" t="n">
        <f aca="false">MONTH(B154)</f>
        <v>2</v>
      </c>
      <c r="P154" s="4" t="str">
        <f aca="false">CHOOSE(WEEKDAY(B154,2),"Mon","Tue","Wed","Thu","Fri","Sat","Sun")</f>
        <v>Fri</v>
      </c>
      <c r="Q154" s="4" t="str">
        <f aca="false">IF(WEEKDAY(B154,2)&gt;5,"Weekend","Weekday")</f>
        <v>Weekday</v>
      </c>
      <c r="R154" s="4" t="str">
        <f aca="false">IF(C154&lt;11,"Morning (7-10)",IF(C154&lt;14,"Lunch (11-13)",IF(C154&lt;18,"Afternoon (14-17)","Evening (18-20)")))</f>
        <v>Morning (7-10)</v>
      </c>
      <c r="S154" s="4" t="str">
        <f aca="false">IF(AND(O154&gt;=3,O154&lt;=5),"Hot Dry (Mar-May)",IF(AND(O154&gt;=6,O154&lt;=11),"Rainy (Jun-Nov)","Cool Dry (Dec-Feb)"))</f>
        <v>Cool Dry (Dec-Feb)</v>
      </c>
      <c r="T154" s="4" t="str">
        <f aca="false">CHOOSE(O154,"Jan","Feb","Mar","Apr","May","Jun","Jul","Aug","Sep","Oct","Nov","Dec")</f>
        <v>Feb</v>
      </c>
    </row>
    <row r="155" customFormat="false" ht="15" hidden="false" customHeight="false" outlineLevel="0" collapsed="false">
      <c r="A155" s="4" t="s">
        <v>299</v>
      </c>
      <c r="B155" s="17" t="n">
        <v>45695</v>
      </c>
      <c r="C155" s="4" t="n">
        <v>14</v>
      </c>
      <c r="D155" s="4" t="s">
        <v>73</v>
      </c>
      <c r="E155" s="4" t="s">
        <v>99</v>
      </c>
      <c r="F155" s="4" t="s">
        <v>133</v>
      </c>
      <c r="G155" s="4" t="n">
        <v>2</v>
      </c>
      <c r="H155" s="34" t="n">
        <v>90</v>
      </c>
      <c r="I155" s="18" t="n">
        <v>0.1</v>
      </c>
      <c r="J155" s="4" t="s">
        <v>76</v>
      </c>
      <c r="K155" s="4" t="s">
        <v>71</v>
      </c>
      <c r="L155" s="35" t="n">
        <f aca="false">G155*H155</f>
        <v>180</v>
      </c>
      <c r="M155" s="35" t="n">
        <f aca="false">L155*I155</f>
        <v>18</v>
      </c>
      <c r="N155" s="35" t="n">
        <f aca="false">L155-M155</f>
        <v>162</v>
      </c>
      <c r="O155" s="4" t="n">
        <f aca="false">MONTH(B155)</f>
        <v>2</v>
      </c>
      <c r="P155" s="4" t="str">
        <f aca="false">CHOOSE(WEEKDAY(B155,2),"Mon","Tue","Wed","Thu","Fri","Sat","Sun")</f>
        <v>Fri</v>
      </c>
      <c r="Q155" s="4" t="str">
        <f aca="false">IF(WEEKDAY(B155,2)&gt;5,"Weekend","Weekday")</f>
        <v>Weekday</v>
      </c>
      <c r="R155" s="4" t="str">
        <f aca="false">IF(C155&lt;11,"Morning (7-10)",IF(C155&lt;14,"Lunch (11-13)",IF(C155&lt;18,"Afternoon (14-17)","Evening (18-20)")))</f>
        <v>Afternoon (14-17)</v>
      </c>
      <c r="S155" s="4" t="str">
        <f aca="false">IF(AND(O155&gt;=3,O155&lt;=5),"Hot Dry (Mar-May)",IF(AND(O155&gt;=6,O155&lt;=11),"Rainy (Jun-Nov)","Cool Dry (Dec-Feb)"))</f>
        <v>Cool Dry (Dec-Feb)</v>
      </c>
      <c r="T155" s="4" t="str">
        <f aca="false">CHOOSE(O155,"Jan","Feb","Mar","Apr","May","Jun","Jul","Aug","Sep","Oct","Nov","Dec")</f>
        <v>Feb</v>
      </c>
    </row>
    <row r="156" customFormat="false" ht="15" hidden="false" customHeight="false" outlineLevel="0" collapsed="false">
      <c r="A156" s="4" t="s">
        <v>303</v>
      </c>
      <c r="B156" s="17" t="n">
        <v>45695</v>
      </c>
      <c r="C156" s="4" t="n">
        <v>16</v>
      </c>
      <c r="D156" s="4" t="s">
        <v>73</v>
      </c>
      <c r="E156" s="4" t="s">
        <v>65</v>
      </c>
      <c r="F156" s="4" t="s">
        <v>66</v>
      </c>
      <c r="G156" s="4" t="n">
        <v>1</v>
      </c>
      <c r="H156" s="34" t="n">
        <v>120</v>
      </c>
      <c r="I156" s="18" t="n">
        <v>0</v>
      </c>
      <c r="J156" s="4" t="s">
        <v>81</v>
      </c>
      <c r="K156" s="4" t="s">
        <v>68</v>
      </c>
      <c r="L156" s="35" t="n">
        <f aca="false">G156*H156</f>
        <v>120</v>
      </c>
      <c r="M156" s="35" t="n">
        <f aca="false">L156*I156</f>
        <v>0</v>
      </c>
      <c r="N156" s="35" t="n">
        <f aca="false">L156-M156</f>
        <v>120</v>
      </c>
      <c r="O156" s="4" t="n">
        <f aca="false">MONTH(B156)</f>
        <v>2</v>
      </c>
      <c r="P156" s="4" t="str">
        <f aca="false">CHOOSE(WEEKDAY(B156,2),"Mon","Tue","Wed","Thu","Fri","Sat","Sun")</f>
        <v>Fri</v>
      </c>
      <c r="Q156" s="4" t="str">
        <f aca="false">IF(WEEKDAY(B156,2)&gt;5,"Weekend","Weekday")</f>
        <v>Weekday</v>
      </c>
      <c r="R156" s="4" t="str">
        <f aca="false">IF(C156&lt;11,"Morning (7-10)",IF(C156&lt;14,"Lunch (11-13)",IF(C156&lt;18,"Afternoon (14-17)","Evening (18-20)")))</f>
        <v>Afternoon (14-17)</v>
      </c>
      <c r="S156" s="4" t="str">
        <f aca="false">IF(AND(O156&gt;=3,O156&lt;=5),"Hot Dry (Mar-May)",IF(AND(O156&gt;=6,O156&lt;=11),"Rainy (Jun-Nov)","Cool Dry (Dec-Feb)"))</f>
        <v>Cool Dry (Dec-Feb)</v>
      </c>
      <c r="T156" s="4" t="str">
        <f aca="false">CHOOSE(O156,"Jan","Feb","Mar","Apr","May","Jun","Jul","Aug","Sep","Oct","Nov","Dec")</f>
        <v>Feb</v>
      </c>
    </row>
    <row r="157" customFormat="false" ht="15" hidden="false" customHeight="false" outlineLevel="0" collapsed="false">
      <c r="A157" s="4" t="s">
        <v>304</v>
      </c>
      <c r="B157" s="17" t="n">
        <v>45696</v>
      </c>
      <c r="C157" s="4" t="n">
        <v>12</v>
      </c>
      <c r="D157" s="4" t="s">
        <v>64</v>
      </c>
      <c r="E157" s="4" t="s">
        <v>99</v>
      </c>
      <c r="F157" s="4" t="s">
        <v>133</v>
      </c>
      <c r="G157" s="4" t="n">
        <v>1</v>
      </c>
      <c r="H157" s="34" t="n">
        <v>90</v>
      </c>
      <c r="I157" s="18" t="n">
        <v>0</v>
      </c>
      <c r="J157" s="4" t="s">
        <v>88</v>
      </c>
      <c r="K157" s="4" t="s">
        <v>68</v>
      </c>
      <c r="L157" s="35" t="n">
        <f aca="false">G157*H157</f>
        <v>90</v>
      </c>
      <c r="M157" s="35" t="n">
        <f aca="false">L157*I157</f>
        <v>0</v>
      </c>
      <c r="N157" s="35" t="n">
        <f aca="false">L157-M157</f>
        <v>90</v>
      </c>
      <c r="O157" s="4" t="n">
        <f aca="false">MONTH(B157)</f>
        <v>2</v>
      </c>
      <c r="P157" s="4" t="str">
        <f aca="false">CHOOSE(WEEKDAY(B157,2),"Mon","Tue","Wed","Thu","Fri","Sat","Sun")</f>
        <v>Sat</v>
      </c>
      <c r="Q157" s="4" t="str">
        <f aca="false">IF(WEEKDAY(B157,2)&gt;5,"Weekend","Weekday")</f>
        <v>Weekend</v>
      </c>
      <c r="R157" s="4" t="str">
        <f aca="false">IF(C157&lt;11,"Morning (7-10)",IF(C157&lt;14,"Lunch (11-13)",IF(C157&lt;18,"Afternoon (14-17)","Evening (18-20)")))</f>
        <v>Lunch (11-13)</v>
      </c>
      <c r="S157" s="4" t="str">
        <f aca="false">IF(AND(O157&gt;=3,O157&lt;=5),"Hot Dry (Mar-May)",IF(AND(O157&gt;=6,O157&lt;=11),"Rainy (Jun-Nov)","Cool Dry (Dec-Feb)"))</f>
        <v>Cool Dry (Dec-Feb)</v>
      </c>
      <c r="T157" s="4" t="str">
        <f aca="false">CHOOSE(O157,"Jan","Feb","Mar","Apr","May","Jun","Jul","Aug","Sep","Oct","Nov","Dec")</f>
        <v>Feb</v>
      </c>
    </row>
    <row r="158" customFormat="false" ht="15" hidden="false" customHeight="false" outlineLevel="0" collapsed="false">
      <c r="A158" s="4" t="s">
        <v>305</v>
      </c>
      <c r="B158" s="17" t="n">
        <v>45696</v>
      </c>
      <c r="C158" s="4" t="n">
        <v>15</v>
      </c>
      <c r="D158" s="4" t="s">
        <v>98</v>
      </c>
      <c r="E158" s="4" t="s">
        <v>84</v>
      </c>
      <c r="F158" s="4" t="s">
        <v>117</v>
      </c>
      <c r="G158" s="4" t="n">
        <v>2</v>
      </c>
      <c r="H158" s="34" t="n">
        <v>95</v>
      </c>
      <c r="I158" s="18" t="n">
        <v>0</v>
      </c>
      <c r="J158" s="4" t="s">
        <v>81</v>
      </c>
      <c r="K158" s="4" t="s">
        <v>68</v>
      </c>
      <c r="L158" s="35" t="n">
        <f aca="false">G158*H158</f>
        <v>190</v>
      </c>
      <c r="M158" s="35" t="n">
        <f aca="false">L158*I158</f>
        <v>0</v>
      </c>
      <c r="N158" s="35" t="n">
        <f aca="false">L158-M158</f>
        <v>190</v>
      </c>
      <c r="O158" s="4" t="n">
        <f aca="false">MONTH(B158)</f>
        <v>2</v>
      </c>
      <c r="P158" s="4" t="str">
        <f aca="false">CHOOSE(WEEKDAY(B158,2),"Mon","Tue","Wed","Thu","Fri","Sat","Sun")</f>
        <v>Sat</v>
      </c>
      <c r="Q158" s="4" t="str">
        <f aca="false">IF(WEEKDAY(B158,2)&gt;5,"Weekend","Weekday")</f>
        <v>Weekend</v>
      </c>
      <c r="R158" s="4" t="str">
        <f aca="false">IF(C158&lt;11,"Morning (7-10)",IF(C158&lt;14,"Lunch (11-13)",IF(C158&lt;18,"Afternoon (14-17)","Evening (18-20)")))</f>
        <v>Afternoon (14-17)</v>
      </c>
      <c r="S158" s="4" t="str">
        <f aca="false">IF(AND(O158&gt;=3,O158&lt;=5),"Hot Dry (Mar-May)",IF(AND(O158&gt;=6,O158&lt;=11),"Rainy (Jun-Nov)","Cool Dry (Dec-Feb)"))</f>
        <v>Cool Dry (Dec-Feb)</v>
      </c>
      <c r="T158" s="4" t="str">
        <f aca="false">CHOOSE(O158,"Jan","Feb","Mar","Apr","May","Jun","Jul","Aug","Sep","Oct","Nov","Dec")</f>
        <v>Feb</v>
      </c>
    </row>
    <row r="159" customFormat="false" ht="15" hidden="false" customHeight="false" outlineLevel="0" collapsed="false">
      <c r="A159" s="4" t="s">
        <v>306</v>
      </c>
      <c r="B159" s="17" t="n">
        <v>45696</v>
      </c>
      <c r="C159" s="4" t="n">
        <v>17</v>
      </c>
      <c r="D159" s="4" t="s">
        <v>70</v>
      </c>
      <c r="E159" s="4" t="s">
        <v>84</v>
      </c>
      <c r="F159" s="4" t="s">
        <v>85</v>
      </c>
      <c r="G159" s="4" t="n">
        <v>3</v>
      </c>
      <c r="H159" s="34" t="n">
        <v>150</v>
      </c>
      <c r="I159" s="18" t="n">
        <v>0</v>
      </c>
      <c r="J159" s="4" t="s">
        <v>67</v>
      </c>
      <c r="K159" s="4" t="s">
        <v>77</v>
      </c>
      <c r="L159" s="35" t="n">
        <f aca="false">G159*H159</f>
        <v>450</v>
      </c>
      <c r="M159" s="35" t="n">
        <f aca="false">L159*I159</f>
        <v>0</v>
      </c>
      <c r="N159" s="35" t="n">
        <f aca="false">L159-M159</f>
        <v>450</v>
      </c>
      <c r="O159" s="4" t="n">
        <f aca="false">MONTH(B159)</f>
        <v>2</v>
      </c>
      <c r="P159" s="4" t="str">
        <f aca="false">CHOOSE(WEEKDAY(B159,2),"Mon","Tue","Wed","Thu","Fri","Sat","Sun")</f>
        <v>Sat</v>
      </c>
      <c r="Q159" s="4" t="str">
        <f aca="false">IF(WEEKDAY(B159,2)&gt;5,"Weekend","Weekday")</f>
        <v>Weekend</v>
      </c>
      <c r="R159" s="4" t="str">
        <f aca="false">IF(C159&lt;11,"Morning (7-10)",IF(C159&lt;14,"Lunch (11-13)",IF(C159&lt;18,"Afternoon (14-17)","Evening (18-20)")))</f>
        <v>Afternoon (14-17)</v>
      </c>
      <c r="S159" s="4" t="str">
        <f aca="false">IF(AND(O159&gt;=3,O159&lt;=5),"Hot Dry (Mar-May)",IF(AND(O159&gt;=6,O159&lt;=11),"Rainy (Jun-Nov)","Cool Dry (Dec-Feb)"))</f>
        <v>Cool Dry (Dec-Feb)</v>
      </c>
      <c r="T159" s="4" t="str">
        <f aca="false">CHOOSE(O159,"Jan","Feb","Mar","Apr","May","Jun","Jul","Aug","Sep","Oct","Nov","Dec")</f>
        <v>Feb</v>
      </c>
    </row>
    <row r="160" customFormat="false" ht="15" hidden="false" customHeight="false" outlineLevel="0" collapsed="false">
      <c r="A160" s="4" t="s">
        <v>307</v>
      </c>
      <c r="B160" s="17" t="n">
        <v>45696</v>
      </c>
      <c r="C160" s="4" t="n">
        <v>18</v>
      </c>
      <c r="D160" s="4" t="s">
        <v>98</v>
      </c>
      <c r="E160" s="4" t="s">
        <v>99</v>
      </c>
      <c r="F160" s="4" t="s">
        <v>100</v>
      </c>
      <c r="G160" s="4" t="n">
        <v>2</v>
      </c>
      <c r="H160" s="34" t="n">
        <v>110</v>
      </c>
      <c r="I160" s="18" t="n">
        <v>0.1</v>
      </c>
      <c r="J160" s="4" t="s">
        <v>67</v>
      </c>
      <c r="K160" s="4" t="s">
        <v>71</v>
      </c>
      <c r="L160" s="35" t="n">
        <f aca="false">G160*H160</f>
        <v>220</v>
      </c>
      <c r="M160" s="35" t="n">
        <f aca="false">L160*I160</f>
        <v>22</v>
      </c>
      <c r="N160" s="35" t="n">
        <f aca="false">L160-M160</f>
        <v>198</v>
      </c>
      <c r="O160" s="4" t="n">
        <f aca="false">MONTH(B160)</f>
        <v>2</v>
      </c>
      <c r="P160" s="4" t="str">
        <f aca="false">CHOOSE(WEEKDAY(B160,2),"Mon","Tue","Wed","Thu","Fri","Sat","Sun")</f>
        <v>Sat</v>
      </c>
      <c r="Q160" s="4" t="str">
        <f aca="false">IF(WEEKDAY(B160,2)&gt;5,"Weekend","Weekday")</f>
        <v>Weekend</v>
      </c>
      <c r="R160" s="4" t="str">
        <f aca="false">IF(C160&lt;11,"Morning (7-10)",IF(C160&lt;14,"Lunch (11-13)",IF(C160&lt;18,"Afternoon (14-17)","Evening (18-20)")))</f>
        <v>Evening (18-20)</v>
      </c>
      <c r="S160" s="4" t="str">
        <f aca="false">IF(AND(O160&gt;=3,O160&lt;=5),"Hot Dry (Mar-May)",IF(AND(O160&gt;=6,O160&lt;=11),"Rainy (Jun-Nov)","Cool Dry (Dec-Feb)"))</f>
        <v>Cool Dry (Dec-Feb)</v>
      </c>
      <c r="T160" s="4" t="str">
        <f aca="false">CHOOSE(O160,"Jan","Feb","Mar","Apr","May","Jun","Jul","Aug","Sep","Oct","Nov","Dec")</f>
        <v>Feb</v>
      </c>
    </row>
    <row r="161" customFormat="false" ht="15" hidden="false" customHeight="false" outlineLevel="0" collapsed="false">
      <c r="A161" s="4" t="s">
        <v>308</v>
      </c>
      <c r="B161" s="17" t="n">
        <v>45696</v>
      </c>
      <c r="C161" s="4" t="n">
        <v>19</v>
      </c>
      <c r="D161" s="4" t="s">
        <v>98</v>
      </c>
      <c r="E161" s="4" t="s">
        <v>84</v>
      </c>
      <c r="F161" s="4" t="s">
        <v>85</v>
      </c>
      <c r="G161" s="4" t="n">
        <v>3</v>
      </c>
      <c r="H161" s="34" t="n">
        <v>150</v>
      </c>
      <c r="I161" s="18" t="n">
        <v>0</v>
      </c>
      <c r="J161" s="4" t="s">
        <v>112</v>
      </c>
      <c r="K161" s="4" t="s">
        <v>68</v>
      </c>
      <c r="L161" s="35" t="n">
        <f aca="false">G161*H161</f>
        <v>450</v>
      </c>
      <c r="M161" s="35" t="n">
        <f aca="false">L161*I161</f>
        <v>0</v>
      </c>
      <c r="N161" s="35" t="n">
        <f aca="false">L161-M161</f>
        <v>450</v>
      </c>
      <c r="O161" s="4" t="n">
        <f aca="false">MONTH(B161)</f>
        <v>2</v>
      </c>
      <c r="P161" s="4" t="str">
        <f aca="false">CHOOSE(WEEKDAY(B161,2),"Mon","Tue","Wed","Thu","Fri","Sat","Sun")</f>
        <v>Sat</v>
      </c>
      <c r="Q161" s="4" t="str">
        <f aca="false">IF(WEEKDAY(B161,2)&gt;5,"Weekend","Weekday")</f>
        <v>Weekend</v>
      </c>
      <c r="R161" s="4" t="str">
        <f aca="false">IF(C161&lt;11,"Morning (7-10)",IF(C161&lt;14,"Lunch (11-13)",IF(C161&lt;18,"Afternoon (14-17)","Evening (18-20)")))</f>
        <v>Evening (18-20)</v>
      </c>
      <c r="S161" s="4" t="str">
        <f aca="false">IF(AND(O161&gt;=3,O161&lt;=5),"Hot Dry (Mar-May)",IF(AND(O161&gt;=6,O161&lt;=11),"Rainy (Jun-Nov)","Cool Dry (Dec-Feb)"))</f>
        <v>Cool Dry (Dec-Feb)</v>
      </c>
      <c r="T161" s="4" t="str">
        <f aca="false">CHOOSE(O161,"Jan","Feb","Mar","Apr","May","Jun","Jul","Aug","Sep","Oct","Nov","Dec")</f>
        <v>Feb</v>
      </c>
    </row>
    <row r="162" customFormat="false" ht="15" hidden="false" customHeight="false" outlineLevel="0" collapsed="false">
      <c r="A162" s="4" t="s">
        <v>309</v>
      </c>
      <c r="B162" s="17" t="n">
        <v>45697</v>
      </c>
      <c r="C162" s="4" t="n">
        <v>12</v>
      </c>
      <c r="D162" s="4" t="s">
        <v>64</v>
      </c>
      <c r="E162" s="4" t="s">
        <v>65</v>
      </c>
      <c r="F162" s="4" t="s">
        <v>87</v>
      </c>
      <c r="G162" s="4" t="n">
        <v>2</v>
      </c>
      <c r="H162" s="34" t="n">
        <v>160</v>
      </c>
      <c r="I162" s="18" t="n">
        <v>0</v>
      </c>
      <c r="J162" s="4" t="s">
        <v>81</v>
      </c>
      <c r="K162" s="4" t="s">
        <v>68</v>
      </c>
      <c r="L162" s="35" t="n">
        <f aca="false">G162*H162</f>
        <v>320</v>
      </c>
      <c r="M162" s="35" t="n">
        <f aca="false">L162*I162</f>
        <v>0</v>
      </c>
      <c r="N162" s="35" t="n">
        <f aca="false">L162-M162</f>
        <v>320</v>
      </c>
      <c r="O162" s="4" t="n">
        <f aca="false">MONTH(B162)</f>
        <v>2</v>
      </c>
      <c r="P162" s="4" t="str">
        <f aca="false">CHOOSE(WEEKDAY(B162,2),"Mon","Tue","Wed","Thu","Fri","Sat","Sun")</f>
        <v>Sun</v>
      </c>
      <c r="Q162" s="4" t="str">
        <f aca="false">IF(WEEKDAY(B162,2)&gt;5,"Weekend","Weekday")</f>
        <v>Weekend</v>
      </c>
      <c r="R162" s="4" t="str">
        <f aca="false">IF(C162&lt;11,"Morning (7-10)",IF(C162&lt;14,"Lunch (11-13)",IF(C162&lt;18,"Afternoon (14-17)","Evening (18-20)")))</f>
        <v>Lunch (11-13)</v>
      </c>
      <c r="S162" s="4" t="str">
        <f aca="false">IF(AND(O162&gt;=3,O162&lt;=5),"Hot Dry (Mar-May)",IF(AND(O162&gt;=6,O162&lt;=11),"Rainy (Jun-Nov)","Cool Dry (Dec-Feb)"))</f>
        <v>Cool Dry (Dec-Feb)</v>
      </c>
      <c r="T162" s="4" t="str">
        <f aca="false">CHOOSE(O162,"Jan","Feb","Mar","Apr","May","Jun","Jul","Aug","Sep","Oct","Nov","Dec")</f>
        <v>Feb</v>
      </c>
    </row>
    <row r="163" customFormat="false" ht="15" hidden="false" customHeight="false" outlineLevel="0" collapsed="false">
      <c r="A163" s="4" t="s">
        <v>310</v>
      </c>
      <c r="B163" s="17" t="n">
        <v>45697</v>
      </c>
      <c r="C163" s="4" t="n">
        <v>15</v>
      </c>
      <c r="D163" s="4" t="s">
        <v>64</v>
      </c>
      <c r="E163" s="4" t="s">
        <v>99</v>
      </c>
      <c r="F163" s="4" t="s">
        <v>109</v>
      </c>
      <c r="G163" s="4" t="n">
        <v>1</v>
      </c>
      <c r="H163" s="34" t="n">
        <v>130</v>
      </c>
      <c r="I163" s="18" t="n">
        <v>0</v>
      </c>
      <c r="J163" s="4" t="s">
        <v>67</v>
      </c>
      <c r="K163" s="4" t="s">
        <v>77</v>
      </c>
      <c r="L163" s="35" t="n">
        <f aca="false">G163*H163</f>
        <v>130</v>
      </c>
      <c r="M163" s="35" t="n">
        <f aca="false">L163*I163</f>
        <v>0</v>
      </c>
      <c r="N163" s="35" t="n">
        <f aca="false">L163-M163</f>
        <v>130</v>
      </c>
      <c r="O163" s="4" t="n">
        <f aca="false">MONTH(B163)</f>
        <v>2</v>
      </c>
      <c r="P163" s="4" t="str">
        <f aca="false">CHOOSE(WEEKDAY(B163,2),"Mon","Tue","Wed","Thu","Fri","Sat","Sun")</f>
        <v>Sun</v>
      </c>
      <c r="Q163" s="4" t="str">
        <f aca="false">IF(WEEKDAY(B163,2)&gt;5,"Weekend","Weekday")</f>
        <v>Weekend</v>
      </c>
      <c r="R163" s="4" t="str">
        <f aca="false">IF(C163&lt;11,"Morning (7-10)",IF(C163&lt;14,"Lunch (11-13)",IF(C163&lt;18,"Afternoon (14-17)","Evening (18-20)")))</f>
        <v>Afternoon (14-17)</v>
      </c>
      <c r="S163" s="4" t="str">
        <f aca="false">IF(AND(O163&gt;=3,O163&lt;=5),"Hot Dry (Mar-May)",IF(AND(O163&gt;=6,O163&lt;=11),"Rainy (Jun-Nov)","Cool Dry (Dec-Feb)"))</f>
        <v>Cool Dry (Dec-Feb)</v>
      </c>
      <c r="T163" s="4" t="str">
        <f aca="false">CHOOSE(O163,"Jan","Feb","Mar","Apr","May","Jun","Jul","Aug","Sep","Oct","Nov","Dec")</f>
        <v>Feb</v>
      </c>
    </row>
    <row r="164" customFormat="false" ht="15" hidden="false" customHeight="false" outlineLevel="0" collapsed="false">
      <c r="A164" s="4" t="s">
        <v>311</v>
      </c>
      <c r="B164" s="17" t="n">
        <v>45697</v>
      </c>
      <c r="C164" s="4" t="n">
        <v>16</v>
      </c>
      <c r="D164" s="4" t="s">
        <v>73</v>
      </c>
      <c r="E164" s="4" t="s">
        <v>74</v>
      </c>
      <c r="F164" s="4" t="s">
        <v>91</v>
      </c>
      <c r="G164" s="4" t="n">
        <v>2</v>
      </c>
      <c r="H164" s="34" t="n">
        <v>200</v>
      </c>
      <c r="I164" s="18" t="n">
        <v>0</v>
      </c>
      <c r="J164" s="4" t="s">
        <v>76</v>
      </c>
      <c r="K164" s="4" t="s">
        <v>68</v>
      </c>
      <c r="L164" s="35" t="n">
        <f aca="false">G164*H164</f>
        <v>400</v>
      </c>
      <c r="M164" s="35" t="n">
        <f aca="false">L164*I164</f>
        <v>0</v>
      </c>
      <c r="N164" s="35" t="n">
        <f aca="false">L164-M164</f>
        <v>400</v>
      </c>
      <c r="O164" s="4" t="n">
        <f aca="false">MONTH(B164)</f>
        <v>2</v>
      </c>
      <c r="P164" s="4" t="str">
        <f aca="false">CHOOSE(WEEKDAY(B164,2),"Mon","Tue","Wed","Thu","Fri","Sat","Sun")</f>
        <v>Sun</v>
      </c>
      <c r="Q164" s="4" t="str">
        <f aca="false">IF(WEEKDAY(B164,2)&gt;5,"Weekend","Weekday")</f>
        <v>Weekend</v>
      </c>
      <c r="R164" s="4" t="str">
        <f aca="false">IF(C164&lt;11,"Morning (7-10)",IF(C164&lt;14,"Lunch (11-13)",IF(C164&lt;18,"Afternoon (14-17)","Evening (18-20)")))</f>
        <v>Afternoon (14-17)</v>
      </c>
      <c r="S164" s="4" t="str">
        <f aca="false">IF(AND(O164&gt;=3,O164&lt;=5),"Hot Dry (Mar-May)",IF(AND(O164&gt;=6,O164&lt;=11),"Rainy (Jun-Nov)","Cool Dry (Dec-Feb)"))</f>
        <v>Cool Dry (Dec-Feb)</v>
      </c>
      <c r="T164" s="4" t="str">
        <f aca="false">CHOOSE(O164,"Jan","Feb","Mar","Apr","May","Jun","Jul","Aug","Sep","Oct","Nov","Dec")</f>
        <v>Feb</v>
      </c>
    </row>
    <row r="165" customFormat="false" ht="15" hidden="false" customHeight="false" outlineLevel="0" collapsed="false">
      <c r="A165" s="4" t="s">
        <v>312</v>
      </c>
      <c r="B165" s="17" t="n">
        <v>45697</v>
      </c>
      <c r="C165" s="4" t="n">
        <v>18</v>
      </c>
      <c r="D165" s="4" t="s">
        <v>98</v>
      </c>
      <c r="E165" s="4" t="s">
        <v>74</v>
      </c>
      <c r="F165" s="4" t="s">
        <v>75</v>
      </c>
      <c r="G165" s="4" t="n">
        <v>2</v>
      </c>
      <c r="H165" s="34" t="n">
        <v>220</v>
      </c>
      <c r="I165" s="18" t="n">
        <v>0</v>
      </c>
      <c r="J165" s="4" t="s">
        <v>67</v>
      </c>
      <c r="K165" s="4" t="s">
        <v>77</v>
      </c>
      <c r="L165" s="35" t="n">
        <f aca="false">G165*H165</f>
        <v>440</v>
      </c>
      <c r="M165" s="35" t="n">
        <f aca="false">L165*I165</f>
        <v>0</v>
      </c>
      <c r="N165" s="35" t="n">
        <f aca="false">L165-M165</f>
        <v>440</v>
      </c>
      <c r="O165" s="4" t="n">
        <f aca="false">MONTH(B165)</f>
        <v>2</v>
      </c>
      <c r="P165" s="4" t="str">
        <f aca="false">CHOOSE(WEEKDAY(B165,2),"Mon","Tue","Wed","Thu","Fri","Sat","Sun")</f>
        <v>Sun</v>
      </c>
      <c r="Q165" s="4" t="str">
        <f aca="false">IF(WEEKDAY(B165,2)&gt;5,"Weekend","Weekday")</f>
        <v>Weekend</v>
      </c>
      <c r="R165" s="4" t="str">
        <f aca="false">IF(C165&lt;11,"Morning (7-10)",IF(C165&lt;14,"Lunch (11-13)",IF(C165&lt;18,"Afternoon (14-17)","Evening (18-20)")))</f>
        <v>Evening (18-20)</v>
      </c>
      <c r="S165" s="4" t="str">
        <f aca="false">IF(AND(O165&gt;=3,O165&lt;=5),"Hot Dry (Mar-May)",IF(AND(O165&gt;=6,O165&lt;=11),"Rainy (Jun-Nov)","Cool Dry (Dec-Feb)"))</f>
        <v>Cool Dry (Dec-Feb)</v>
      </c>
      <c r="T165" s="4" t="str">
        <f aca="false">CHOOSE(O165,"Jan","Feb","Mar","Apr","May","Jun","Jul","Aug","Sep","Oct","Nov","Dec")</f>
        <v>Feb</v>
      </c>
    </row>
    <row r="166" customFormat="false" ht="15" hidden="false" customHeight="false" outlineLevel="0" collapsed="false">
      <c r="A166" s="4" t="s">
        <v>313</v>
      </c>
      <c r="B166" s="17" t="n">
        <v>45698</v>
      </c>
      <c r="C166" s="4" t="n">
        <v>7</v>
      </c>
      <c r="D166" s="4" t="s">
        <v>64</v>
      </c>
      <c r="E166" s="4" t="s">
        <v>65</v>
      </c>
      <c r="F166" s="4" t="s">
        <v>121</v>
      </c>
      <c r="G166" s="4" t="n">
        <v>1</v>
      </c>
      <c r="H166" s="34" t="n">
        <v>170</v>
      </c>
      <c r="I166" s="18" t="n">
        <v>0</v>
      </c>
      <c r="J166" s="4" t="s">
        <v>81</v>
      </c>
      <c r="K166" s="4" t="s">
        <v>82</v>
      </c>
      <c r="L166" s="35" t="n">
        <f aca="false">G166*H166</f>
        <v>170</v>
      </c>
      <c r="M166" s="35" t="n">
        <f aca="false">L166*I166</f>
        <v>0</v>
      </c>
      <c r="N166" s="35" t="n">
        <f aca="false">L166-M166</f>
        <v>170</v>
      </c>
      <c r="O166" s="4" t="n">
        <f aca="false">MONTH(B166)</f>
        <v>2</v>
      </c>
      <c r="P166" s="4" t="str">
        <f aca="false">CHOOSE(WEEKDAY(B166,2),"Mon","Tue","Wed","Thu","Fri","Sat","Sun")</f>
        <v>Mon</v>
      </c>
      <c r="Q166" s="4" t="str">
        <f aca="false">IF(WEEKDAY(B166,2)&gt;5,"Weekend","Weekday")</f>
        <v>Weekday</v>
      </c>
      <c r="R166" s="4" t="str">
        <f aca="false">IF(C166&lt;11,"Morning (7-10)",IF(C166&lt;14,"Lunch (11-13)",IF(C166&lt;18,"Afternoon (14-17)","Evening (18-20)")))</f>
        <v>Morning (7-10)</v>
      </c>
      <c r="S166" s="4" t="str">
        <f aca="false">IF(AND(O166&gt;=3,O166&lt;=5),"Hot Dry (Mar-May)",IF(AND(O166&gt;=6,O166&lt;=11),"Rainy (Jun-Nov)","Cool Dry (Dec-Feb)"))</f>
        <v>Cool Dry (Dec-Feb)</v>
      </c>
      <c r="T166" s="4" t="str">
        <f aca="false">CHOOSE(O166,"Jan","Feb","Mar","Apr","May","Jun","Jul","Aug","Sep","Oct","Nov","Dec")</f>
        <v>Feb</v>
      </c>
    </row>
    <row r="167" customFormat="false" ht="15" hidden="false" customHeight="false" outlineLevel="0" collapsed="false">
      <c r="A167" s="4" t="s">
        <v>315</v>
      </c>
      <c r="B167" s="17" t="n">
        <v>45698</v>
      </c>
      <c r="C167" s="4" t="n">
        <v>13</v>
      </c>
      <c r="D167" s="4" t="s">
        <v>70</v>
      </c>
      <c r="E167" s="4" t="s">
        <v>84</v>
      </c>
      <c r="F167" s="4" t="s">
        <v>114</v>
      </c>
      <c r="G167" s="4" t="n">
        <v>2</v>
      </c>
      <c r="H167" s="34" t="n">
        <v>85</v>
      </c>
      <c r="I167" s="18" t="n">
        <v>0.05</v>
      </c>
      <c r="J167" s="4" t="s">
        <v>81</v>
      </c>
      <c r="K167" s="4" t="s">
        <v>82</v>
      </c>
      <c r="L167" s="35" t="n">
        <f aca="false">G167*H167</f>
        <v>170</v>
      </c>
      <c r="M167" s="35" t="n">
        <f aca="false">L167*I167</f>
        <v>8.5</v>
      </c>
      <c r="N167" s="35" t="n">
        <f aca="false">L167-M167</f>
        <v>161.5</v>
      </c>
      <c r="O167" s="4" t="n">
        <f aca="false">MONTH(B167)</f>
        <v>2</v>
      </c>
      <c r="P167" s="4" t="str">
        <f aca="false">CHOOSE(WEEKDAY(B167,2),"Mon","Tue","Wed","Thu","Fri","Sat","Sun")</f>
        <v>Mon</v>
      </c>
      <c r="Q167" s="4" t="str">
        <f aca="false">IF(WEEKDAY(B167,2)&gt;5,"Weekend","Weekday")</f>
        <v>Weekday</v>
      </c>
      <c r="R167" s="4" t="str">
        <f aca="false">IF(C167&lt;11,"Morning (7-10)",IF(C167&lt;14,"Lunch (11-13)",IF(C167&lt;18,"Afternoon (14-17)","Evening (18-20)")))</f>
        <v>Lunch (11-13)</v>
      </c>
      <c r="S167" s="4" t="str">
        <f aca="false">IF(AND(O167&gt;=3,O167&lt;=5),"Hot Dry (Mar-May)",IF(AND(O167&gt;=6,O167&lt;=11),"Rainy (Jun-Nov)","Cool Dry (Dec-Feb)"))</f>
        <v>Cool Dry (Dec-Feb)</v>
      </c>
      <c r="T167" s="4" t="str">
        <f aca="false">CHOOSE(O167,"Jan","Feb","Mar","Apr","May","Jun","Jul","Aug","Sep","Oct","Nov","Dec")</f>
        <v>Feb</v>
      </c>
    </row>
    <row r="168" customFormat="false" ht="15" hidden="false" customHeight="false" outlineLevel="0" collapsed="false">
      <c r="A168" s="4" t="s">
        <v>316</v>
      </c>
      <c r="B168" s="17" t="n">
        <v>45698</v>
      </c>
      <c r="C168" s="4" t="n">
        <v>16</v>
      </c>
      <c r="D168" s="4" t="s">
        <v>73</v>
      </c>
      <c r="E168" s="4" t="s">
        <v>99</v>
      </c>
      <c r="F168" s="4" t="s">
        <v>109</v>
      </c>
      <c r="G168" s="4" t="n">
        <v>1</v>
      </c>
      <c r="H168" s="34" t="n">
        <v>130</v>
      </c>
      <c r="I168" s="18" t="n">
        <v>0.05</v>
      </c>
      <c r="J168" s="4" t="s">
        <v>67</v>
      </c>
      <c r="K168" s="4" t="s">
        <v>82</v>
      </c>
      <c r="L168" s="35" t="n">
        <f aca="false">G168*H168</f>
        <v>130</v>
      </c>
      <c r="M168" s="35" t="n">
        <f aca="false">L168*I168</f>
        <v>6.5</v>
      </c>
      <c r="N168" s="35" t="n">
        <f aca="false">L168-M168</f>
        <v>123.5</v>
      </c>
      <c r="O168" s="4" t="n">
        <f aca="false">MONTH(B168)</f>
        <v>2</v>
      </c>
      <c r="P168" s="4" t="str">
        <f aca="false">CHOOSE(WEEKDAY(B168,2),"Mon","Tue","Wed","Thu","Fri","Sat","Sun")</f>
        <v>Mon</v>
      </c>
      <c r="Q168" s="4" t="str">
        <f aca="false">IF(WEEKDAY(B168,2)&gt;5,"Weekend","Weekday")</f>
        <v>Weekday</v>
      </c>
      <c r="R168" s="4" t="str">
        <f aca="false">IF(C168&lt;11,"Morning (7-10)",IF(C168&lt;14,"Lunch (11-13)",IF(C168&lt;18,"Afternoon (14-17)","Evening (18-20)")))</f>
        <v>Afternoon (14-17)</v>
      </c>
      <c r="S168" s="4" t="str">
        <f aca="false">IF(AND(O168&gt;=3,O168&lt;=5),"Hot Dry (Mar-May)",IF(AND(O168&gt;=6,O168&lt;=11),"Rainy (Jun-Nov)","Cool Dry (Dec-Feb)"))</f>
        <v>Cool Dry (Dec-Feb)</v>
      </c>
      <c r="T168" s="4" t="str">
        <f aca="false">CHOOSE(O168,"Jan","Feb","Mar","Apr","May","Jun","Jul","Aug","Sep","Oct","Nov","Dec")</f>
        <v>Feb</v>
      </c>
    </row>
    <row r="169" customFormat="false" ht="15" hidden="false" customHeight="false" outlineLevel="0" collapsed="false">
      <c r="A169" s="4" t="s">
        <v>317</v>
      </c>
      <c r="B169" s="17" t="n">
        <v>45699</v>
      </c>
      <c r="C169" s="4" t="n">
        <v>7</v>
      </c>
      <c r="D169" s="4" t="s">
        <v>98</v>
      </c>
      <c r="E169" s="4" t="s">
        <v>84</v>
      </c>
      <c r="F169" s="4" t="s">
        <v>106</v>
      </c>
      <c r="G169" s="4" t="n">
        <v>3</v>
      </c>
      <c r="H169" s="34" t="n">
        <v>60</v>
      </c>
      <c r="I169" s="18" t="n">
        <v>0.1</v>
      </c>
      <c r="J169" s="4" t="s">
        <v>67</v>
      </c>
      <c r="K169" s="4" t="s">
        <v>71</v>
      </c>
      <c r="L169" s="35" t="n">
        <f aca="false">G169*H169</f>
        <v>180</v>
      </c>
      <c r="M169" s="35" t="n">
        <f aca="false">L169*I169</f>
        <v>18</v>
      </c>
      <c r="N169" s="35" t="n">
        <f aca="false">L169-M169</f>
        <v>162</v>
      </c>
      <c r="O169" s="4" t="n">
        <f aca="false">MONTH(B169)</f>
        <v>2</v>
      </c>
      <c r="P169" s="4" t="str">
        <f aca="false">CHOOSE(WEEKDAY(B169,2),"Mon","Tue","Wed","Thu","Fri","Sat","Sun")</f>
        <v>Tue</v>
      </c>
      <c r="Q169" s="4" t="str">
        <f aca="false">IF(WEEKDAY(B169,2)&gt;5,"Weekend","Weekday")</f>
        <v>Weekday</v>
      </c>
      <c r="R169" s="4" t="str">
        <f aca="false">IF(C169&lt;11,"Morning (7-10)",IF(C169&lt;14,"Lunch (11-13)",IF(C169&lt;18,"Afternoon (14-17)","Evening (18-20)")))</f>
        <v>Morning (7-10)</v>
      </c>
      <c r="S169" s="4" t="str">
        <f aca="false">IF(AND(O169&gt;=3,O169&lt;=5),"Hot Dry (Mar-May)",IF(AND(O169&gt;=6,O169&lt;=11),"Rainy (Jun-Nov)","Cool Dry (Dec-Feb)"))</f>
        <v>Cool Dry (Dec-Feb)</v>
      </c>
      <c r="T169" s="4" t="str">
        <f aca="false">CHOOSE(O169,"Jan","Feb","Mar","Apr","May","Jun","Jul","Aug","Sep","Oct","Nov","Dec")</f>
        <v>Feb</v>
      </c>
    </row>
    <row r="170" customFormat="false" ht="15" hidden="false" customHeight="false" outlineLevel="0" collapsed="false">
      <c r="A170" s="4" t="s">
        <v>318</v>
      </c>
      <c r="B170" s="17" t="n">
        <v>45699</v>
      </c>
      <c r="C170" s="4" t="n">
        <v>8</v>
      </c>
      <c r="D170" s="4" t="s">
        <v>98</v>
      </c>
      <c r="E170" s="4" t="s">
        <v>79</v>
      </c>
      <c r="F170" s="4" t="s">
        <v>135</v>
      </c>
      <c r="G170" s="4" t="n">
        <v>1</v>
      </c>
      <c r="H170" s="34" t="n">
        <v>130</v>
      </c>
      <c r="I170" s="18" t="n">
        <v>0.1</v>
      </c>
      <c r="J170" s="4" t="s">
        <v>112</v>
      </c>
      <c r="K170" s="4" t="s">
        <v>71</v>
      </c>
      <c r="L170" s="35" t="n">
        <f aca="false">G170*H170</f>
        <v>130</v>
      </c>
      <c r="M170" s="35" t="n">
        <f aca="false">L170*I170</f>
        <v>13</v>
      </c>
      <c r="N170" s="35" t="n">
        <f aca="false">L170-M170</f>
        <v>117</v>
      </c>
      <c r="O170" s="4" t="n">
        <f aca="false">MONTH(B170)</f>
        <v>2</v>
      </c>
      <c r="P170" s="4" t="str">
        <f aca="false">CHOOSE(WEEKDAY(B170,2),"Mon","Tue","Wed","Thu","Fri","Sat","Sun")</f>
        <v>Tue</v>
      </c>
      <c r="Q170" s="4" t="str">
        <f aca="false">IF(WEEKDAY(B170,2)&gt;5,"Weekend","Weekday")</f>
        <v>Weekday</v>
      </c>
      <c r="R170" s="4" t="str">
        <f aca="false">IF(C170&lt;11,"Morning (7-10)",IF(C170&lt;14,"Lunch (11-13)",IF(C170&lt;18,"Afternoon (14-17)","Evening (18-20)")))</f>
        <v>Morning (7-10)</v>
      </c>
      <c r="S170" s="4" t="str">
        <f aca="false">IF(AND(O170&gt;=3,O170&lt;=5),"Hot Dry (Mar-May)",IF(AND(O170&gt;=6,O170&lt;=11),"Rainy (Jun-Nov)","Cool Dry (Dec-Feb)"))</f>
        <v>Cool Dry (Dec-Feb)</v>
      </c>
      <c r="T170" s="4" t="str">
        <f aca="false">CHOOSE(O170,"Jan","Feb","Mar","Apr","May","Jun","Jul","Aug","Sep","Oct","Nov","Dec")</f>
        <v>Feb</v>
      </c>
    </row>
    <row r="171" customFormat="false" ht="15" hidden="false" customHeight="false" outlineLevel="0" collapsed="false">
      <c r="A171" s="4" t="s">
        <v>319</v>
      </c>
      <c r="B171" s="17" t="n">
        <v>45699</v>
      </c>
      <c r="C171" s="4" t="n">
        <v>9</v>
      </c>
      <c r="D171" s="4" t="s">
        <v>73</v>
      </c>
      <c r="E171" s="4" t="s">
        <v>99</v>
      </c>
      <c r="F171" s="4" t="s">
        <v>100</v>
      </c>
      <c r="G171" s="4" t="n">
        <v>1</v>
      </c>
      <c r="H171" s="34" t="n">
        <v>110</v>
      </c>
      <c r="I171" s="18" t="n">
        <v>0</v>
      </c>
      <c r="J171" s="4" t="s">
        <v>88</v>
      </c>
      <c r="K171" s="4" t="s">
        <v>68</v>
      </c>
      <c r="L171" s="35" t="n">
        <f aca="false">G171*H171</f>
        <v>110</v>
      </c>
      <c r="M171" s="35" t="n">
        <f aca="false">L171*I171</f>
        <v>0</v>
      </c>
      <c r="N171" s="35" t="n">
        <f aca="false">L171-M171</f>
        <v>110</v>
      </c>
      <c r="O171" s="4" t="n">
        <f aca="false">MONTH(B171)</f>
        <v>2</v>
      </c>
      <c r="P171" s="4" t="str">
        <f aca="false">CHOOSE(WEEKDAY(B171,2),"Mon","Tue","Wed","Thu","Fri","Sat","Sun")</f>
        <v>Tue</v>
      </c>
      <c r="Q171" s="4" t="str">
        <f aca="false">IF(WEEKDAY(B171,2)&gt;5,"Weekend","Weekday")</f>
        <v>Weekday</v>
      </c>
      <c r="R171" s="4" t="str">
        <f aca="false">IF(C171&lt;11,"Morning (7-10)",IF(C171&lt;14,"Lunch (11-13)",IF(C171&lt;18,"Afternoon (14-17)","Evening (18-20)")))</f>
        <v>Morning (7-10)</v>
      </c>
      <c r="S171" s="4" t="str">
        <f aca="false">IF(AND(O171&gt;=3,O171&lt;=5),"Hot Dry (Mar-May)",IF(AND(O171&gt;=6,O171&lt;=11),"Rainy (Jun-Nov)","Cool Dry (Dec-Feb)"))</f>
        <v>Cool Dry (Dec-Feb)</v>
      </c>
      <c r="T171" s="4" t="str">
        <f aca="false">CHOOSE(O171,"Jan","Feb","Mar","Apr","May","Jun","Jul","Aug","Sep","Oct","Nov","Dec")</f>
        <v>Feb</v>
      </c>
    </row>
    <row r="172" customFormat="false" ht="15" hidden="false" customHeight="false" outlineLevel="0" collapsed="false">
      <c r="A172" s="4" t="s">
        <v>320</v>
      </c>
      <c r="B172" s="17" t="n">
        <v>45699</v>
      </c>
      <c r="C172" s="4" t="n">
        <v>10</v>
      </c>
      <c r="D172" s="4" t="s">
        <v>70</v>
      </c>
      <c r="E172" s="4" t="s">
        <v>79</v>
      </c>
      <c r="F172" s="4" t="s">
        <v>148</v>
      </c>
      <c r="G172" s="4" t="n">
        <v>1</v>
      </c>
      <c r="H172" s="34" t="n">
        <v>120</v>
      </c>
      <c r="I172" s="18" t="n">
        <v>0</v>
      </c>
      <c r="J172" s="4" t="s">
        <v>67</v>
      </c>
      <c r="K172" s="4" t="s">
        <v>68</v>
      </c>
      <c r="L172" s="35" t="n">
        <f aca="false">G172*H172</f>
        <v>120</v>
      </c>
      <c r="M172" s="35" t="n">
        <f aca="false">L172*I172</f>
        <v>0</v>
      </c>
      <c r="N172" s="35" t="n">
        <f aca="false">L172-M172</f>
        <v>120</v>
      </c>
      <c r="O172" s="4" t="n">
        <f aca="false">MONTH(B172)</f>
        <v>2</v>
      </c>
      <c r="P172" s="4" t="str">
        <f aca="false">CHOOSE(WEEKDAY(B172,2),"Mon","Tue","Wed","Thu","Fri","Sat","Sun")</f>
        <v>Tue</v>
      </c>
      <c r="Q172" s="4" t="str">
        <f aca="false">IF(WEEKDAY(B172,2)&gt;5,"Weekend","Weekday")</f>
        <v>Weekday</v>
      </c>
      <c r="R172" s="4" t="str">
        <f aca="false">IF(C172&lt;11,"Morning (7-10)",IF(C172&lt;14,"Lunch (11-13)",IF(C172&lt;18,"Afternoon (14-17)","Evening (18-20)")))</f>
        <v>Morning (7-10)</v>
      </c>
      <c r="S172" s="4" t="str">
        <f aca="false">IF(AND(O172&gt;=3,O172&lt;=5),"Hot Dry (Mar-May)",IF(AND(O172&gt;=6,O172&lt;=11),"Rainy (Jun-Nov)","Cool Dry (Dec-Feb)"))</f>
        <v>Cool Dry (Dec-Feb)</v>
      </c>
      <c r="T172" s="4" t="str">
        <f aca="false">CHOOSE(O172,"Jan","Feb","Mar","Apr","May","Jun","Jul","Aug","Sep","Oct","Nov","Dec")</f>
        <v>Feb</v>
      </c>
    </row>
    <row r="173" customFormat="false" ht="15" hidden="false" customHeight="false" outlineLevel="0" collapsed="false">
      <c r="A173" s="4" t="s">
        <v>321</v>
      </c>
      <c r="B173" s="17" t="n">
        <v>45699</v>
      </c>
      <c r="C173" s="4" t="n">
        <v>11</v>
      </c>
      <c r="D173" s="4" t="s">
        <v>64</v>
      </c>
      <c r="E173" s="4" t="s">
        <v>65</v>
      </c>
      <c r="F173" s="4" t="s">
        <v>121</v>
      </c>
      <c r="G173" s="4" t="n">
        <v>2</v>
      </c>
      <c r="H173" s="34" t="n">
        <v>170</v>
      </c>
      <c r="I173" s="18" t="n">
        <v>0</v>
      </c>
      <c r="J173" s="4" t="s">
        <v>112</v>
      </c>
      <c r="K173" s="4" t="s">
        <v>68</v>
      </c>
      <c r="L173" s="35" t="n">
        <f aca="false">G173*H173</f>
        <v>340</v>
      </c>
      <c r="M173" s="35" t="n">
        <f aca="false">L173*I173</f>
        <v>0</v>
      </c>
      <c r="N173" s="35" t="n">
        <f aca="false">L173-M173</f>
        <v>340</v>
      </c>
      <c r="O173" s="4" t="n">
        <f aca="false">MONTH(B173)</f>
        <v>2</v>
      </c>
      <c r="P173" s="4" t="str">
        <f aca="false">CHOOSE(WEEKDAY(B173,2),"Mon","Tue","Wed","Thu","Fri","Sat","Sun")</f>
        <v>Tue</v>
      </c>
      <c r="Q173" s="4" t="str">
        <f aca="false">IF(WEEKDAY(B173,2)&gt;5,"Weekend","Weekday")</f>
        <v>Weekday</v>
      </c>
      <c r="R173" s="4" t="str">
        <f aca="false">IF(C173&lt;11,"Morning (7-10)",IF(C173&lt;14,"Lunch (11-13)",IF(C173&lt;18,"Afternoon (14-17)","Evening (18-20)")))</f>
        <v>Lunch (11-13)</v>
      </c>
      <c r="S173" s="4" t="str">
        <f aca="false">IF(AND(O173&gt;=3,O173&lt;=5),"Hot Dry (Mar-May)",IF(AND(O173&gt;=6,O173&lt;=11),"Rainy (Jun-Nov)","Cool Dry (Dec-Feb)"))</f>
        <v>Cool Dry (Dec-Feb)</v>
      </c>
      <c r="T173" s="4" t="str">
        <f aca="false">CHOOSE(O173,"Jan","Feb","Mar","Apr","May","Jun","Jul","Aug","Sep","Oct","Nov","Dec")</f>
        <v>Feb</v>
      </c>
    </row>
    <row r="174" customFormat="false" ht="15" hidden="false" customHeight="false" outlineLevel="0" collapsed="false">
      <c r="A174" s="4" t="s">
        <v>322</v>
      </c>
      <c r="B174" s="17" t="n">
        <v>45699</v>
      </c>
      <c r="C174" s="4" t="n">
        <v>11</v>
      </c>
      <c r="D174" s="4" t="s">
        <v>64</v>
      </c>
      <c r="E174" s="4" t="s">
        <v>79</v>
      </c>
      <c r="F174" s="4" t="s">
        <v>80</v>
      </c>
      <c r="G174" s="4" t="n">
        <v>2</v>
      </c>
      <c r="H174" s="34" t="n">
        <v>160</v>
      </c>
      <c r="I174" s="18" t="n">
        <v>0.1</v>
      </c>
      <c r="J174" s="4" t="s">
        <v>76</v>
      </c>
      <c r="K174" s="4" t="s">
        <v>71</v>
      </c>
      <c r="L174" s="35" t="n">
        <f aca="false">G174*H174</f>
        <v>320</v>
      </c>
      <c r="M174" s="35" t="n">
        <f aca="false">L174*I174</f>
        <v>32</v>
      </c>
      <c r="N174" s="35" t="n">
        <f aca="false">L174-M174</f>
        <v>288</v>
      </c>
      <c r="O174" s="4" t="n">
        <f aca="false">MONTH(B174)</f>
        <v>2</v>
      </c>
      <c r="P174" s="4" t="str">
        <f aca="false">CHOOSE(WEEKDAY(B174,2),"Mon","Tue","Wed","Thu","Fri","Sat","Sun")</f>
        <v>Tue</v>
      </c>
      <c r="Q174" s="4" t="str">
        <f aca="false">IF(WEEKDAY(B174,2)&gt;5,"Weekend","Weekday")</f>
        <v>Weekday</v>
      </c>
      <c r="R174" s="4" t="str">
        <f aca="false">IF(C174&lt;11,"Morning (7-10)",IF(C174&lt;14,"Lunch (11-13)",IF(C174&lt;18,"Afternoon (14-17)","Evening (18-20)")))</f>
        <v>Lunch (11-13)</v>
      </c>
      <c r="S174" s="4" t="str">
        <f aca="false">IF(AND(O174&gt;=3,O174&lt;=5),"Hot Dry (Mar-May)",IF(AND(O174&gt;=6,O174&lt;=11),"Rainy (Jun-Nov)","Cool Dry (Dec-Feb)"))</f>
        <v>Cool Dry (Dec-Feb)</v>
      </c>
      <c r="T174" s="4" t="str">
        <f aca="false">CHOOSE(O174,"Jan","Feb","Mar","Apr","May","Jun","Jul","Aug","Sep","Oct","Nov","Dec")</f>
        <v>Feb</v>
      </c>
    </row>
    <row r="175" customFormat="false" ht="15" hidden="false" customHeight="false" outlineLevel="0" collapsed="false">
      <c r="A175" s="4" t="s">
        <v>323</v>
      </c>
      <c r="B175" s="17" t="n">
        <v>45699</v>
      </c>
      <c r="C175" s="4" t="n">
        <v>15</v>
      </c>
      <c r="D175" s="4" t="s">
        <v>70</v>
      </c>
      <c r="E175" s="4" t="s">
        <v>99</v>
      </c>
      <c r="F175" s="4" t="s">
        <v>109</v>
      </c>
      <c r="G175" s="4" t="n">
        <v>2</v>
      </c>
      <c r="H175" s="34" t="n">
        <v>130</v>
      </c>
      <c r="I175" s="18" t="n">
        <v>0</v>
      </c>
      <c r="J175" s="4" t="s">
        <v>67</v>
      </c>
      <c r="K175" s="4" t="s">
        <v>77</v>
      </c>
      <c r="L175" s="35" t="n">
        <f aca="false">G175*H175</f>
        <v>260</v>
      </c>
      <c r="M175" s="35" t="n">
        <f aca="false">L175*I175</f>
        <v>0</v>
      </c>
      <c r="N175" s="35" t="n">
        <f aca="false">L175-M175</f>
        <v>260</v>
      </c>
      <c r="O175" s="4" t="n">
        <f aca="false">MONTH(B175)</f>
        <v>2</v>
      </c>
      <c r="P175" s="4" t="str">
        <f aca="false">CHOOSE(WEEKDAY(B175,2),"Mon","Tue","Wed","Thu","Fri","Sat","Sun")</f>
        <v>Tue</v>
      </c>
      <c r="Q175" s="4" t="str">
        <f aca="false">IF(WEEKDAY(B175,2)&gt;5,"Weekend","Weekday")</f>
        <v>Weekday</v>
      </c>
      <c r="R175" s="4" t="str">
        <f aca="false">IF(C175&lt;11,"Morning (7-10)",IF(C175&lt;14,"Lunch (11-13)",IF(C175&lt;18,"Afternoon (14-17)","Evening (18-20)")))</f>
        <v>Afternoon (14-17)</v>
      </c>
      <c r="S175" s="4" t="str">
        <f aca="false">IF(AND(O175&gt;=3,O175&lt;=5),"Hot Dry (Mar-May)",IF(AND(O175&gt;=6,O175&lt;=11),"Rainy (Jun-Nov)","Cool Dry (Dec-Feb)"))</f>
        <v>Cool Dry (Dec-Feb)</v>
      </c>
      <c r="T175" s="4" t="str">
        <f aca="false">CHOOSE(O175,"Jan","Feb","Mar","Apr","May","Jun","Jul","Aug","Sep","Oct","Nov","Dec")</f>
        <v>Feb</v>
      </c>
    </row>
    <row r="176" customFormat="false" ht="15" hidden="false" customHeight="false" outlineLevel="0" collapsed="false">
      <c r="A176" s="4" t="s">
        <v>324</v>
      </c>
      <c r="B176" s="17" t="n">
        <v>45700</v>
      </c>
      <c r="C176" s="4" t="n">
        <v>8</v>
      </c>
      <c r="D176" s="4" t="s">
        <v>64</v>
      </c>
      <c r="E176" s="4" t="s">
        <v>79</v>
      </c>
      <c r="F176" s="4" t="s">
        <v>148</v>
      </c>
      <c r="G176" s="4" t="n">
        <v>1</v>
      </c>
      <c r="H176" s="34" t="n">
        <v>120</v>
      </c>
      <c r="I176" s="18" t="n">
        <v>0.1</v>
      </c>
      <c r="J176" s="4" t="s">
        <v>81</v>
      </c>
      <c r="K176" s="4" t="s">
        <v>71</v>
      </c>
      <c r="L176" s="35" t="n">
        <f aca="false">G176*H176</f>
        <v>120</v>
      </c>
      <c r="M176" s="35" t="n">
        <f aca="false">L176*I176</f>
        <v>12</v>
      </c>
      <c r="N176" s="35" t="n">
        <f aca="false">L176-M176</f>
        <v>108</v>
      </c>
      <c r="O176" s="4" t="n">
        <f aca="false">MONTH(B176)</f>
        <v>2</v>
      </c>
      <c r="P176" s="4" t="str">
        <f aca="false">CHOOSE(WEEKDAY(B176,2),"Mon","Tue","Wed","Thu","Fri","Sat","Sun")</f>
        <v>Wed</v>
      </c>
      <c r="Q176" s="4" t="str">
        <f aca="false">IF(WEEKDAY(B176,2)&gt;5,"Weekend","Weekday")</f>
        <v>Weekday</v>
      </c>
      <c r="R176" s="4" t="str">
        <f aca="false">IF(C176&lt;11,"Morning (7-10)",IF(C176&lt;14,"Lunch (11-13)",IF(C176&lt;18,"Afternoon (14-17)","Evening (18-20)")))</f>
        <v>Morning (7-10)</v>
      </c>
      <c r="S176" s="4" t="str">
        <f aca="false">IF(AND(O176&gt;=3,O176&lt;=5),"Hot Dry (Mar-May)",IF(AND(O176&gt;=6,O176&lt;=11),"Rainy (Jun-Nov)","Cool Dry (Dec-Feb)"))</f>
        <v>Cool Dry (Dec-Feb)</v>
      </c>
      <c r="T176" s="4" t="str">
        <f aca="false">CHOOSE(O176,"Jan","Feb","Mar","Apr","May","Jun","Jul","Aug","Sep","Oct","Nov","Dec")</f>
        <v>Feb</v>
      </c>
    </row>
    <row r="177" customFormat="false" ht="15" hidden="false" customHeight="false" outlineLevel="0" collapsed="false">
      <c r="A177" s="4" t="s">
        <v>325</v>
      </c>
      <c r="B177" s="17" t="n">
        <v>45700</v>
      </c>
      <c r="C177" s="4" t="n">
        <v>8</v>
      </c>
      <c r="D177" s="4" t="s">
        <v>70</v>
      </c>
      <c r="E177" s="4" t="s">
        <v>99</v>
      </c>
      <c r="F177" s="4" t="s">
        <v>100</v>
      </c>
      <c r="G177" s="4" t="n">
        <v>1</v>
      </c>
      <c r="H177" s="34" t="n">
        <v>110</v>
      </c>
      <c r="I177" s="18" t="n">
        <v>0</v>
      </c>
      <c r="J177" s="4" t="s">
        <v>67</v>
      </c>
      <c r="K177" s="4" t="s">
        <v>68</v>
      </c>
      <c r="L177" s="35" t="n">
        <f aca="false">G177*H177</f>
        <v>110</v>
      </c>
      <c r="M177" s="35" t="n">
        <f aca="false">L177*I177</f>
        <v>0</v>
      </c>
      <c r="N177" s="35" t="n">
        <f aca="false">L177-M177</f>
        <v>110</v>
      </c>
      <c r="O177" s="4" t="n">
        <f aca="false">MONTH(B177)</f>
        <v>2</v>
      </c>
      <c r="P177" s="4" t="str">
        <f aca="false">CHOOSE(WEEKDAY(B177,2),"Mon","Tue","Wed","Thu","Fri","Sat","Sun")</f>
        <v>Wed</v>
      </c>
      <c r="Q177" s="4" t="str">
        <f aca="false">IF(WEEKDAY(B177,2)&gt;5,"Weekend","Weekday")</f>
        <v>Weekday</v>
      </c>
      <c r="R177" s="4" t="str">
        <f aca="false">IF(C177&lt;11,"Morning (7-10)",IF(C177&lt;14,"Lunch (11-13)",IF(C177&lt;18,"Afternoon (14-17)","Evening (18-20)")))</f>
        <v>Morning (7-10)</v>
      </c>
      <c r="S177" s="4" t="str">
        <f aca="false">IF(AND(O177&gt;=3,O177&lt;=5),"Hot Dry (Mar-May)",IF(AND(O177&gt;=6,O177&lt;=11),"Rainy (Jun-Nov)","Cool Dry (Dec-Feb)"))</f>
        <v>Cool Dry (Dec-Feb)</v>
      </c>
      <c r="T177" s="4" t="str">
        <f aca="false">CHOOSE(O177,"Jan","Feb","Mar","Apr","May","Jun","Jul","Aug","Sep","Oct","Nov","Dec")</f>
        <v>Feb</v>
      </c>
    </row>
    <row r="178" customFormat="false" ht="15" hidden="false" customHeight="false" outlineLevel="0" collapsed="false">
      <c r="A178" s="4" t="s">
        <v>326</v>
      </c>
      <c r="B178" s="17" t="n">
        <v>45700</v>
      </c>
      <c r="C178" s="4" t="n">
        <v>12</v>
      </c>
      <c r="D178" s="4" t="s">
        <v>70</v>
      </c>
      <c r="E178" s="4" t="s">
        <v>74</v>
      </c>
      <c r="F178" s="4" t="s">
        <v>75</v>
      </c>
      <c r="G178" s="4" t="n">
        <v>1</v>
      </c>
      <c r="H178" s="34" t="n">
        <v>220</v>
      </c>
      <c r="I178" s="18" t="n">
        <v>0</v>
      </c>
      <c r="J178" s="4" t="s">
        <v>76</v>
      </c>
      <c r="K178" s="4" t="s">
        <v>68</v>
      </c>
      <c r="L178" s="35" t="n">
        <f aca="false">G178*H178</f>
        <v>220</v>
      </c>
      <c r="M178" s="35" t="n">
        <f aca="false">L178*I178</f>
        <v>0</v>
      </c>
      <c r="N178" s="35" t="n">
        <f aca="false">L178-M178</f>
        <v>220</v>
      </c>
      <c r="O178" s="4" t="n">
        <f aca="false">MONTH(B178)</f>
        <v>2</v>
      </c>
      <c r="P178" s="4" t="str">
        <f aca="false">CHOOSE(WEEKDAY(B178,2),"Mon","Tue","Wed","Thu","Fri","Sat","Sun")</f>
        <v>Wed</v>
      </c>
      <c r="Q178" s="4" t="str">
        <f aca="false">IF(WEEKDAY(B178,2)&gt;5,"Weekend","Weekday")</f>
        <v>Weekday</v>
      </c>
      <c r="R178" s="4" t="str">
        <f aca="false">IF(C178&lt;11,"Morning (7-10)",IF(C178&lt;14,"Lunch (11-13)",IF(C178&lt;18,"Afternoon (14-17)","Evening (18-20)")))</f>
        <v>Lunch (11-13)</v>
      </c>
      <c r="S178" s="4" t="str">
        <f aca="false">IF(AND(O178&gt;=3,O178&lt;=5),"Hot Dry (Mar-May)",IF(AND(O178&gt;=6,O178&lt;=11),"Rainy (Jun-Nov)","Cool Dry (Dec-Feb)"))</f>
        <v>Cool Dry (Dec-Feb)</v>
      </c>
      <c r="T178" s="4" t="str">
        <f aca="false">CHOOSE(O178,"Jan","Feb","Mar","Apr","May","Jun","Jul","Aug","Sep","Oct","Nov","Dec")</f>
        <v>Feb</v>
      </c>
    </row>
    <row r="179" customFormat="false" ht="15" hidden="false" customHeight="false" outlineLevel="0" collapsed="false">
      <c r="A179" s="4" t="s">
        <v>327</v>
      </c>
      <c r="B179" s="17" t="n">
        <v>45700</v>
      </c>
      <c r="C179" s="4" t="n">
        <v>14</v>
      </c>
      <c r="D179" s="4" t="s">
        <v>73</v>
      </c>
      <c r="E179" s="4" t="s">
        <v>74</v>
      </c>
      <c r="F179" s="4" t="s">
        <v>91</v>
      </c>
      <c r="G179" s="4" t="n">
        <v>1</v>
      </c>
      <c r="H179" s="34" t="n">
        <v>200</v>
      </c>
      <c r="I179" s="18" t="n">
        <v>0</v>
      </c>
      <c r="J179" s="4" t="s">
        <v>76</v>
      </c>
      <c r="K179" s="4" t="s">
        <v>68</v>
      </c>
      <c r="L179" s="35" t="n">
        <f aca="false">G179*H179</f>
        <v>200</v>
      </c>
      <c r="M179" s="35" t="n">
        <f aca="false">L179*I179</f>
        <v>0</v>
      </c>
      <c r="N179" s="35" t="n">
        <f aca="false">L179-M179</f>
        <v>200</v>
      </c>
      <c r="O179" s="4" t="n">
        <f aca="false">MONTH(B179)</f>
        <v>2</v>
      </c>
      <c r="P179" s="4" t="str">
        <f aca="false">CHOOSE(WEEKDAY(B179,2),"Mon","Tue","Wed","Thu","Fri","Sat","Sun")</f>
        <v>Wed</v>
      </c>
      <c r="Q179" s="4" t="str">
        <f aca="false">IF(WEEKDAY(B179,2)&gt;5,"Weekend","Weekday")</f>
        <v>Weekday</v>
      </c>
      <c r="R179" s="4" t="str">
        <f aca="false">IF(C179&lt;11,"Morning (7-10)",IF(C179&lt;14,"Lunch (11-13)",IF(C179&lt;18,"Afternoon (14-17)","Evening (18-20)")))</f>
        <v>Afternoon (14-17)</v>
      </c>
      <c r="S179" s="4" t="str">
        <f aca="false">IF(AND(O179&gt;=3,O179&lt;=5),"Hot Dry (Mar-May)",IF(AND(O179&gt;=6,O179&lt;=11),"Rainy (Jun-Nov)","Cool Dry (Dec-Feb)"))</f>
        <v>Cool Dry (Dec-Feb)</v>
      </c>
      <c r="T179" s="4" t="str">
        <f aca="false">CHOOSE(O179,"Jan","Feb","Mar","Apr","May","Jun","Jul","Aug","Sep","Oct","Nov","Dec")</f>
        <v>Feb</v>
      </c>
    </row>
    <row r="180" customFormat="false" ht="15" hidden="false" customHeight="false" outlineLevel="0" collapsed="false">
      <c r="A180" s="4" t="s">
        <v>328</v>
      </c>
      <c r="B180" s="17" t="n">
        <v>45700</v>
      </c>
      <c r="C180" s="4" t="n">
        <v>20</v>
      </c>
      <c r="D180" s="4" t="s">
        <v>64</v>
      </c>
      <c r="E180" s="4" t="s">
        <v>99</v>
      </c>
      <c r="F180" s="4" t="s">
        <v>102</v>
      </c>
      <c r="G180" s="4" t="n">
        <v>2</v>
      </c>
      <c r="H180" s="34" t="n">
        <v>140</v>
      </c>
      <c r="I180" s="18" t="n">
        <v>0</v>
      </c>
      <c r="J180" s="4" t="s">
        <v>76</v>
      </c>
      <c r="K180" s="4" t="s">
        <v>2289</v>
      </c>
      <c r="L180" s="35" t="n">
        <f aca="false">G180*H180</f>
        <v>280</v>
      </c>
      <c r="M180" s="35" t="n">
        <f aca="false">L180*I180</f>
        <v>0</v>
      </c>
      <c r="N180" s="35" t="n">
        <f aca="false">L180-M180</f>
        <v>280</v>
      </c>
      <c r="O180" s="4" t="n">
        <f aca="false">MONTH(B180)</f>
        <v>2</v>
      </c>
      <c r="P180" s="4" t="str">
        <f aca="false">CHOOSE(WEEKDAY(B180,2),"Mon","Tue","Wed","Thu","Fri","Sat","Sun")</f>
        <v>Wed</v>
      </c>
      <c r="Q180" s="4" t="str">
        <f aca="false">IF(WEEKDAY(B180,2)&gt;5,"Weekend","Weekday")</f>
        <v>Weekday</v>
      </c>
      <c r="R180" s="4" t="str">
        <f aca="false">IF(C180&lt;11,"Morning (7-10)",IF(C180&lt;14,"Lunch (11-13)",IF(C180&lt;18,"Afternoon (14-17)","Evening (18-20)")))</f>
        <v>Evening (18-20)</v>
      </c>
      <c r="S180" s="4" t="str">
        <f aca="false">IF(AND(O180&gt;=3,O180&lt;=5),"Hot Dry (Mar-May)",IF(AND(O180&gt;=6,O180&lt;=11),"Rainy (Jun-Nov)","Cool Dry (Dec-Feb)"))</f>
        <v>Cool Dry (Dec-Feb)</v>
      </c>
      <c r="T180" s="4" t="str">
        <f aca="false">CHOOSE(O180,"Jan","Feb","Mar","Apr","May","Jun","Jul","Aug","Sep","Oct","Nov","Dec")</f>
        <v>Feb</v>
      </c>
    </row>
    <row r="181" customFormat="false" ht="15" hidden="false" customHeight="false" outlineLevel="0" collapsed="false">
      <c r="A181" s="4" t="s">
        <v>329</v>
      </c>
      <c r="B181" s="17" t="n">
        <v>45701</v>
      </c>
      <c r="C181" s="4" t="n">
        <v>7</v>
      </c>
      <c r="D181" s="4" t="s">
        <v>70</v>
      </c>
      <c r="E181" s="4" t="s">
        <v>99</v>
      </c>
      <c r="F181" s="4" t="s">
        <v>109</v>
      </c>
      <c r="G181" s="4" t="n">
        <v>1</v>
      </c>
      <c r="H181" s="34" t="n">
        <v>130</v>
      </c>
      <c r="I181" s="18" t="n">
        <v>0</v>
      </c>
      <c r="J181" s="4" t="s">
        <v>88</v>
      </c>
      <c r="K181" s="4" t="s">
        <v>68</v>
      </c>
      <c r="L181" s="35" t="n">
        <f aca="false">G181*H181</f>
        <v>130</v>
      </c>
      <c r="M181" s="35" t="n">
        <f aca="false">L181*I181</f>
        <v>0</v>
      </c>
      <c r="N181" s="35" t="n">
        <f aca="false">L181-M181</f>
        <v>130</v>
      </c>
      <c r="O181" s="4" t="n">
        <f aca="false">MONTH(B181)</f>
        <v>2</v>
      </c>
      <c r="P181" s="4" t="str">
        <f aca="false">CHOOSE(WEEKDAY(B181,2),"Mon","Tue","Wed","Thu","Fri","Sat","Sun")</f>
        <v>Thu</v>
      </c>
      <c r="Q181" s="4" t="str">
        <f aca="false">IF(WEEKDAY(B181,2)&gt;5,"Weekend","Weekday")</f>
        <v>Weekday</v>
      </c>
      <c r="R181" s="4" t="str">
        <f aca="false">IF(C181&lt;11,"Morning (7-10)",IF(C181&lt;14,"Lunch (11-13)",IF(C181&lt;18,"Afternoon (14-17)","Evening (18-20)")))</f>
        <v>Morning (7-10)</v>
      </c>
      <c r="S181" s="4" t="str">
        <f aca="false">IF(AND(O181&gt;=3,O181&lt;=5),"Hot Dry (Mar-May)",IF(AND(O181&gt;=6,O181&lt;=11),"Rainy (Jun-Nov)","Cool Dry (Dec-Feb)"))</f>
        <v>Cool Dry (Dec-Feb)</v>
      </c>
      <c r="T181" s="4" t="str">
        <f aca="false">CHOOSE(O181,"Jan","Feb","Mar","Apr","May","Jun","Jul","Aug","Sep","Oct","Nov","Dec")</f>
        <v>Feb</v>
      </c>
    </row>
    <row r="182" customFormat="false" ht="15" hidden="false" customHeight="false" outlineLevel="0" collapsed="false">
      <c r="A182" s="4" t="s">
        <v>330</v>
      </c>
      <c r="B182" s="17" t="n">
        <v>45701</v>
      </c>
      <c r="C182" s="4" t="n">
        <v>9</v>
      </c>
      <c r="D182" s="4" t="s">
        <v>70</v>
      </c>
      <c r="E182" s="4" t="s">
        <v>79</v>
      </c>
      <c r="F182" s="4" t="s">
        <v>80</v>
      </c>
      <c r="G182" s="4" t="n">
        <v>2</v>
      </c>
      <c r="H182" s="34" t="n">
        <v>160</v>
      </c>
      <c r="I182" s="18" t="n">
        <v>0</v>
      </c>
      <c r="J182" s="4" t="s">
        <v>76</v>
      </c>
      <c r="K182" s="4" t="s">
        <v>68</v>
      </c>
      <c r="L182" s="35" t="n">
        <f aca="false">G182*H182</f>
        <v>320</v>
      </c>
      <c r="M182" s="35" t="n">
        <f aca="false">L182*I182</f>
        <v>0</v>
      </c>
      <c r="N182" s="35" t="n">
        <f aca="false">L182-M182</f>
        <v>320</v>
      </c>
      <c r="O182" s="4" t="n">
        <f aca="false">MONTH(B182)</f>
        <v>2</v>
      </c>
      <c r="P182" s="4" t="str">
        <f aca="false">CHOOSE(WEEKDAY(B182,2),"Mon","Tue","Wed","Thu","Fri","Sat","Sun")</f>
        <v>Thu</v>
      </c>
      <c r="Q182" s="4" t="str">
        <f aca="false">IF(WEEKDAY(B182,2)&gt;5,"Weekend","Weekday")</f>
        <v>Weekday</v>
      </c>
      <c r="R182" s="4" t="str">
        <f aca="false">IF(C182&lt;11,"Morning (7-10)",IF(C182&lt;14,"Lunch (11-13)",IF(C182&lt;18,"Afternoon (14-17)","Evening (18-20)")))</f>
        <v>Morning (7-10)</v>
      </c>
      <c r="S182" s="4" t="str">
        <f aca="false">IF(AND(O182&gt;=3,O182&lt;=5),"Hot Dry (Mar-May)",IF(AND(O182&gt;=6,O182&lt;=11),"Rainy (Jun-Nov)","Cool Dry (Dec-Feb)"))</f>
        <v>Cool Dry (Dec-Feb)</v>
      </c>
      <c r="T182" s="4" t="str">
        <f aca="false">CHOOSE(O182,"Jan","Feb","Mar","Apr","May","Jun","Jul","Aug","Sep","Oct","Nov","Dec")</f>
        <v>Feb</v>
      </c>
    </row>
    <row r="183" customFormat="false" ht="15" hidden="false" customHeight="false" outlineLevel="0" collapsed="false">
      <c r="A183" s="4" t="s">
        <v>332</v>
      </c>
      <c r="B183" s="17" t="n">
        <v>45701</v>
      </c>
      <c r="C183" s="4" t="n">
        <v>12</v>
      </c>
      <c r="D183" s="4" t="s">
        <v>64</v>
      </c>
      <c r="E183" s="4" t="s">
        <v>84</v>
      </c>
      <c r="F183" s="4" t="s">
        <v>106</v>
      </c>
      <c r="G183" s="4" t="n">
        <v>1</v>
      </c>
      <c r="H183" s="34" t="n">
        <v>60</v>
      </c>
      <c r="I183" s="18" t="n">
        <v>0.15</v>
      </c>
      <c r="J183" s="4" t="s">
        <v>76</v>
      </c>
      <c r="K183" s="4" t="s">
        <v>77</v>
      </c>
      <c r="L183" s="35" t="n">
        <f aca="false">G183*H183</f>
        <v>60</v>
      </c>
      <c r="M183" s="35" t="n">
        <f aca="false">L183*I183</f>
        <v>9</v>
      </c>
      <c r="N183" s="35" t="n">
        <f aca="false">L183-M183</f>
        <v>51</v>
      </c>
      <c r="O183" s="4" t="n">
        <f aca="false">MONTH(B183)</f>
        <v>2</v>
      </c>
      <c r="P183" s="4" t="str">
        <f aca="false">CHOOSE(WEEKDAY(B183,2),"Mon","Tue","Wed","Thu","Fri","Sat","Sun")</f>
        <v>Thu</v>
      </c>
      <c r="Q183" s="4" t="str">
        <f aca="false">IF(WEEKDAY(B183,2)&gt;5,"Weekend","Weekday")</f>
        <v>Weekday</v>
      </c>
      <c r="R183" s="4" t="str">
        <f aca="false">IF(C183&lt;11,"Morning (7-10)",IF(C183&lt;14,"Lunch (11-13)",IF(C183&lt;18,"Afternoon (14-17)","Evening (18-20)")))</f>
        <v>Lunch (11-13)</v>
      </c>
      <c r="S183" s="4" t="str">
        <f aca="false">IF(AND(O183&gt;=3,O183&lt;=5),"Hot Dry (Mar-May)",IF(AND(O183&gt;=6,O183&lt;=11),"Rainy (Jun-Nov)","Cool Dry (Dec-Feb)"))</f>
        <v>Cool Dry (Dec-Feb)</v>
      </c>
      <c r="T183" s="4" t="str">
        <f aca="false">CHOOSE(O183,"Jan","Feb","Mar","Apr","May","Jun","Jul","Aug","Sep","Oct","Nov","Dec")</f>
        <v>Feb</v>
      </c>
    </row>
    <row r="184" customFormat="false" ht="15" hidden="false" customHeight="false" outlineLevel="0" collapsed="false">
      <c r="A184" s="4" t="s">
        <v>333</v>
      </c>
      <c r="B184" s="17" t="n">
        <v>45701</v>
      </c>
      <c r="C184" s="4" t="n">
        <v>12</v>
      </c>
      <c r="D184" s="4" t="s">
        <v>73</v>
      </c>
      <c r="E184" s="4" t="s">
        <v>99</v>
      </c>
      <c r="F184" s="4" t="s">
        <v>102</v>
      </c>
      <c r="G184" s="4" t="n">
        <v>3</v>
      </c>
      <c r="H184" s="34" t="n">
        <v>140</v>
      </c>
      <c r="I184" s="18" t="n">
        <v>0</v>
      </c>
      <c r="J184" s="4" t="s">
        <v>67</v>
      </c>
      <c r="K184" s="4" t="s">
        <v>68</v>
      </c>
      <c r="L184" s="35" t="n">
        <f aca="false">G184*H184</f>
        <v>420</v>
      </c>
      <c r="M184" s="35" t="n">
        <f aca="false">L184*I184</f>
        <v>0</v>
      </c>
      <c r="N184" s="35" t="n">
        <f aca="false">L184-M184</f>
        <v>420</v>
      </c>
      <c r="O184" s="4" t="n">
        <f aca="false">MONTH(B184)</f>
        <v>2</v>
      </c>
      <c r="P184" s="4" t="str">
        <f aca="false">CHOOSE(WEEKDAY(B184,2),"Mon","Tue","Wed","Thu","Fri","Sat","Sun")</f>
        <v>Thu</v>
      </c>
      <c r="Q184" s="4" t="str">
        <f aca="false">IF(WEEKDAY(B184,2)&gt;5,"Weekend","Weekday")</f>
        <v>Weekday</v>
      </c>
      <c r="R184" s="4" t="str">
        <f aca="false">IF(C184&lt;11,"Morning (7-10)",IF(C184&lt;14,"Lunch (11-13)",IF(C184&lt;18,"Afternoon (14-17)","Evening (18-20)")))</f>
        <v>Lunch (11-13)</v>
      </c>
      <c r="S184" s="4" t="str">
        <f aca="false">IF(AND(O184&gt;=3,O184&lt;=5),"Hot Dry (Mar-May)",IF(AND(O184&gt;=6,O184&lt;=11),"Rainy (Jun-Nov)","Cool Dry (Dec-Feb)"))</f>
        <v>Cool Dry (Dec-Feb)</v>
      </c>
      <c r="T184" s="4" t="str">
        <f aca="false">CHOOSE(O184,"Jan","Feb","Mar","Apr","May","Jun","Jul","Aug","Sep","Oct","Nov","Dec")</f>
        <v>Feb</v>
      </c>
    </row>
    <row r="185" customFormat="false" ht="15" hidden="false" customHeight="false" outlineLevel="0" collapsed="false">
      <c r="A185" s="4" t="s">
        <v>334</v>
      </c>
      <c r="B185" s="17" t="n">
        <v>45701</v>
      </c>
      <c r="C185" s="4" t="n">
        <v>16</v>
      </c>
      <c r="D185" s="4" t="s">
        <v>98</v>
      </c>
      <c r="E185" s="4" t="s">
        <v>65</v>
      </c>
      <c r="F185" s="4" t="s">
        <v>87</v>
      </c>
      <c r="G185" s="4" t="n">
        <v>1</v>
      </c>
      <c r="H185" s="34" t="n">
        <v>160</v>
      </c>
      <c r="I185" s="18" t="n">
        <v>0.1</v>
      </c>
      <c r="J185" s="4" t="s">
        <v>76</v>
      </c>
      <c r="K185" s="4" t="s">
        <v>71</v>
      </c>
      <c r="L185" s="35" t="n">
        <f aca="false">G185*H185</f>
        <v>160</v>
      </c>
      <c r="M185" s="35" t="n">
        <f aca="false">L185*I185</f>
        <v>16</v>
      </c>
      <c r="N185" s="35" t="n">
        <f aca="false">L185-M185</f>
        <v>144</v>
      </c>
      <c r="O185" s="4" t="n">
        <f aca="false">MONTH(B185)</f>
        <v>2</v>
      </c>
      <c r="P185" s="4" t="str">
        <f aca="false">CHOOSE(WEEKDAY(B185,2),"Mon","Tue","Wed","Thu","Fri","Sat","Sun")</f>
        <v>Thu</v>
      </c>
      <c r="Q185" s="4" t="str">
        <f aca="false">IF(WEEKDAY(B185,2)&gt;5,"Weekend","Weekday")</f>
        <v>Weekday</v>
      </c>
      <c r="R185" s="4" t="str">
        <f aca="false">IF(C185&lt;11,"Morning (7-10)",IF(C185&lt;14,"Lunch (11-13)",IF(C185&lt;18,"Afternoon (14-17)","Evening (18-20)")))</f>
        <v>Afternoon (14-17)</v>
      </c>
      <c r="S185" s="4" t="str">
        <f aca="false">IF(AND(O185&gt;=3,O185&lt;=5),"Hot Dry (Mar-May)",IF(AND(O185&gt;=6,O185&lt;=11),"Rainy (Jun-Nov)","Cool Dry (Dec-Feb)"))</f>
        <v>Cool Dry (Dec-Feb)</v>
      </c>
      <c r="T185" s="4" t="str">
        <f aca="false">CHOOSE(O185,"Jan","Feb","Mar","Apr","May","Jun","Jul","Aug","Sep","Oct","Nov","Dec")</f>
        <v>Feb</v>
      </c>
    </row>
    <row r="186" customFormat="false" ht="15" hidden="false" customHeight="false" outlineLevel="0" collapsed="false">
      <c r="A186" s="4" t="s">
        <v>336</v>
      </c>
      <c r="B186" s="17" t="n">
        <v>45702</v>
      </c>
      <c r="C186" s="4" t="n">
        <v>8</v>
      </c>
      <c r="D186" s="4" t="s">
        <v>64</v>
      </c>
      <c r="E186" s="4" t="s">
        <v>99</v>
      </c>
      <c r="F186" s="4" t="s">
        <v>100</v>
      </c>
      <c r="G186" s="4" t="n">
        <v>4</v>
      </c>
      <c r="H186" s="34" t="n">
        <v>110</v>
      </c>
      <c r="I186" s="18" t="n">
        <v>0.05</v>
      </c>
      <c r="J186" s="4" t="s">
        <v>81</v>
      </c>
      <c r="K186" s="4" t="s">
        <v>82</v>
      </c>
      <c r="L186" s="35" t="n">
        <f aca="false">G186*H186</f>
        <v>440</v>
      </c>
      <c r="M186" s="35" t="n">
        <f aca="false">L186*I186</f>
        <v>22</v>
      </c>
      <c r="N186" s="35" t="n">
        <f aca="false">L186-M186</f>
        <v>418</v>
      </c>
      <c r="O186" s="4" t="n">
        <f aca="false">MONTH(B186)</f>
        <v>2</v>
      </c>
      <c r="P186" s="4" t="str">
        <f aca="false">CHOOSE(WEEKDAY(B186,2),"Mon","Tue","Wed","Thu","Fri","Sat","Sun")</f>
        <v>Fri</v>
      </c>
      <c r="Q186" s="4" t="str">
        <f aca="false">IF(WEEKDAY(B186,2)&gt;5,"Weekend","Weekday")</f>
        <v>Weekday</v>
      </c>
      <c r="R186" s="4" t="str">
        <f aca="false">IF(C186&lt;11,"Morning (7-10)",IF(C186&lt;14,"Lunch (11-13)",IF(C186&lt;18,"Afternoon (14-17)","Evening (18-20)")))</f>
        <v>Morning (7-10)</v>
      </c>
      <c r="S186" s="4" t="str">
        <f aca="false">IF(AND(O186&gt;=3,O186&lt;=5),"Hot Dry (Mar-May)",IF(AND(O186&gt;=6,O186&lt;=11),"Rainy (Jun-Nov)","Cool Dry (Dec-Feb)"))</f>
        <v>Cool Dry (Dec-Feb)</v>
      </c>
      <c r="T186" s="4" t="str">
        <f aca="false">CHOOSE(O186,"Jan","Feb","Mar","Apr","May","Jun","Jul","Aug","Sep","Oct","Nov","Dec")</f>
        <v>Feb</v>
      </c>
    </row>
    <row r="187" customFormat="false" ht="15" hidden="false" customHeight="false" outlineLevel="0" collapsed="false">
      <c r="A187" s="4" t="s">
        <v>337</v>
      </c>
      <c r="B187" s="17" t="n">
        <v>45702</v>
      </c>
      <c r="C187" s="4" t="n">
        <v>13</v>
      </c>
      <c r="D187" s="4" t="s">
        <v>73</v>
      </c>
      <c r="E187" s="4" t="s">
        <v>74</v>
      </c>
      <c r="F187" s="4" t="s">
        <v>75</v>
      </c>
      <c r="G187" s="4" t="n">
        <v>1</v>
      </c>
      <c r="H187" s="34" t="n">
        <v>220</v>
      </c>
      <c r="I187" s="18" t="n">
        <v>0</v>
      </c>
      <c r="J187" s="4" t="s">
        <v>88</v>
      </c>
      <c r="K187" s="4" t="s">
        <v>68</v>
      </c>
      <c r="L187" s="35" t="n">
        <f aca="false">G187*H187</f>
        <v>220</v>
      </c>
      <c r="M187" s="35" t="n">
        <f aca="false">L187*I187</f>
        <v>0</v>
      </c>
      <c r="N187" s="35" t="n">
        <f aca="false">L187-M187</f>
        <v>220</v>
      </c>
      <c r="O187" s="4" t="n">
        <f aca="false">MONTH(B187)</f>
        <v>2</v>
      </c>
      <c r="P187" s="4" t="str">
        <f aca="false">CHOOSE(WEEKDAY(B187,2),"Mon","Tue","Wed","Thu","Fri","Sat","Sun")</f>
        <v>Fri</v>
      </c>
      <c r="Q187" s="4" t="str">
        <f aca="false">IF(WEEKDAY(B187,2)&gt;5,"Weekend","Weekday")</f>
        <v>Weekday</v>
      </c>
      <c r="R187" s="4" t="str">
        <f aca="false">IF(C187&lt;11,"Morning (7-10)",IF(C187&lt;14,"Lunch (11-13)",IF(C187&lt;18,"Afternoon (14-17)","Evening (18-20)")))</f>
        <v>Lunch (11-13)</v>
      </c>
      <c r="S187" s="4" t="str">
        <f aca="false">IF(AND(O187&gt;=3,O187&lt;=5),"Hot Dry (Mar-May)",IF(AND(O187&gt;=6,O187&lt;=11),"Rainy (Jun-Nov)","Cool Dry (Dec-Feb)"))</f>
        <v>Cool Dry (Dec-Feb)</v>
      </c>
      <c r="T187" s="4" t="str">
        <f aca="false">CHOOSE(O187,"Jan","Feb","Mar","Apr","May","Jun","Jul","Aug","Sep","Oct","Nov","Dec")</f>
        <v>Feb</v>
      </c>
    </row>
    <row r="188" customFormat="false" ht="15" hidden="false" customHeight="false" outlineLevel="0" collapsed="false">
      <c r="A188" s="4" t="s">
        <v>338</v>
      </c>
      <c r="B188" s="17" t="n">
        <v>45702</v>
      </c>
      <c r="C188" s="4" t="n">
        <v>16</v>
      </c>
      <c r="D188" s="4" t="s">
        <v>70</v>
      </c>
      <c r="E188" s="4" t="s">
        <v>79</v>
      </c>
      <c r="F188" s="4" t="s">
        <v>148</v>
      </c>
      <c r="G188" s="4" t="n">
        <v>2</v>
      </c>
      <c r="H188" s="34" t="n">
        <v>120</v>
      </c>
      <c r="I188" s="18" t="n">
        <v>0.05</v>
      </c>
      <c r="J188" s="4" t="s">
        <v>81</v>
      </c>
      <c r="K188" s="4" t="s">
        <v>82</v>
      </c>
      <c r="L188" s="35" t="n">
        <f aca="false">G188*H188</f>
        <v>240</v>
      </c>
      <c r="M188" s="35" t="n">
        <f aca="false">L188*I188</f>
        <v>12</v>
      </c>
      <c r="N188" s="35" t="n">
        <f aca="false">L188-M188</f>
        <v>228</v>
      </c>
      <c r="O188" s="4" t="n">
        <f aca="false">MONTH(B188)</f>
        <v>2</v>
      </c>
      <c r="P188" s="4" t="str">
        <f aca="false">CHOOSE(WEEKDAY(B188,2),"Mon","Tue","Wed","Thu","Fri","Sat","Sun")</f>
        <v>Fri</v>
      </c>
      <c r="Q188" s="4" t="str">
        <f aca="false">IF(WEEKDAY(B188,2)&gt;5,"Weekend","Weekday")</f>
        <v>Weekday</v>
      </c>
      <c r="R188" s="4" t="str">
        <f aca="false">IF(C188&lt;11,"Morning (7-10)",IF(C188&lt;14,"Lunch (11-13)",IF(C188&lt;18,"Afternoon (14-17)","Evening (18-20)")))</f>
        <v>Afternoon (14-17)</v>
      </c>
      <c r="S188" s="4" t="str">
        <f aca="false">IF(AND(O188&gt;=3,O188&lt;=5),"Hot Dry (Mar-May)",IF(AND(O188&gt;=6,O188&lt;=11),"Rainy (Jun-Nov)","Cool Dry (Dec-Feb)"))</f>
        <v>Cool Dry (Dec-Feb)</v>
      </c>
      <c r="T188" s="4" t="str">
        <f aca="false">CHOOSE(O188,"Jan","Feb","Mar","Apr","May","Jun","Jul","Aug","Sep","Oct","Nov","Dec")</f>
        <v>Feb</v>
      </c>
    </row>
    <row r="189" customFormat="false" ht="15" hidden="false" customHeight="false" outlineLevel="0" collapsed="false">
      <c r="A189" s="4" t="s">
        <v>340</v>
      </c>
      <c r="B189" s="17" t="n">
        <v>45702</v>
      </c>
      <c r="C189" s="4" t="n">
        <v>18</v>
      </c>
      <c r="D189" s="4" t="s">
        <v>64</v>
      </c>
      <c r="E189" s="4" t="s">
        <v>84</v>
      </c>
      <c r="F189" s="4" t="s">
        <v>114</v>
      </c>
      <c r="G189" s="4" t="n">
        <v>3</v>
      </c>
      <c r="H189" s="34" t="n">
        <v>85</v>
      </c>
      <c r="I189" s="18" t="n">
        <v>0</v>
      </c>
      <c r="J189" s="4" t="s">
        <v>81</v>
      </c>
      <c r="K189" s="4" t="s">
        <v>77</v>
      </c>
      <c r="L189" s="35" t="n">
        <f aca="false">G189*H189</f>
        <v>255</v>
      </c>
      <c r="M189" s="35" t="n">
        <f aca="false">L189*I189</f>
        <v>0</v>
      </c>
      <c r="N189" s="35" t="n">
        <f aca="false">L189-M189</f>
        <v>255</v>
      </c>
      <c r="O189" s="4" t="n">
        <f aca="false">MONTH(B189)</f>
        <v>2</v>
      </c>
      <c r="P189" s="4" t="str">
        <f aca="false">CHOOSE(WEEKDAY(B189,2),"Mon","Tue","Wed","Thu","Fri","Sat","Sun")</f>
        <v>Fri</v>
      </c>
      <c r="Q189" s="4" t="str">
        <f aca="false">IF(WEEKDAY(B189,2)&gt;5,"Weekend","Weekday")</f>
        <v>Weekday</v>
      </c>
      <c r="R189" s="4" t="str">
        <f aca="false">IF(C189&lt;11,"Morning (7-10)",IF(C189&lt;14,"Lunch (11-13)",IF(C189&lt;18,"Afternoon (14-17)","Evening (18-20)")))</f>
        <v>Evening (18-20)</v>
      </c>
      <c r="S189" s="4" t="str">
        <f aca="false">IF(AND(O189&gt;=3,O189&lt;=5),"Hot Dry (Mar-May)",IF(AND(O189&gt;=6,O189&lt;=11),"Rainy (Jun-Nov)","Cool Dry (Dec-Feb)"))</f>
        <v>Cool Dry (Dec-Feb)</v>
      </c>
      <c r="T189" s="4" t="str">
        <f aca="false">CHOOSE(O189,"Jan","Feb","Mar","Apr","May","Jun","Jul","Aug","Sep","Oct","Nov","Dec")</f>
        <v>Feb</v>
      </c>
    </row>
    <row r="190" customFormat="false" ht="15" hidden="false" customHeight="false" outlineLevel="0" collapsed="false">
      <c r="A190" s="4" t="s">
        <v>342</v>
      </c>
      <c r="B190" s="17" t="n">
        <v>45703</v>
      </c>
      <c r="C190" s="4" t="n">
        <v>9</v>
      </c>
      <c r="D190" s="4" t="s">
        <v>64</v>
      </c>
      <c r="E190" s="4" t="s">
        <v>99</v>
      </c>
      <c r="F190" s="4" t="s">
        <v>100</v>
      </c>
      <c r="G190" s="4" t="n">
        <v>1</v>
      </c>
      <c r="H190" s="34" t="n">
        <v>110</v>
      </c>
      <c r="I190" s="18" t="n">
        <v>0</v>
      </c>
      <c r="J190" s="4" t="s">
        <v>112</v>
      </c>
      <c r="K190" s="4" t="s">
        <v>68</v>
      </c>
      <c r="L190" s="35" t="n">
        <f aca="false">G190*H190</f>
        <v>110</v>
      </c>
      <c r="M190" s="35" t="n">
        <f aca="false">L190*I190</f>
        <v>0</v>
      </c>
      <c r="N190" s="35" t="n">
        <f aca="false">L190-M190</f>
        <v>110</v>
      </c>
      <c r="O190" s="4" t="n">
        <f aca="false">MONTH(B190)</f>
        <v>2</v>
      </c>
      <c r="P190" s="4" t="str">
        <f aca="false">CHOOSE(WEEKDAY(B190,2),"Mon","Tue","Wed","Thu","Fri","Sat","Sun")</f>
        <v>Sat</v>
      </c>
      <c r="Q190" s="4" t="str">
        <f aca="false">IF(WEEKDAY(B190,2)&gt;5,"Weekend","Weekday")</f>
        <v>Weekend</v>
      </c>
      <c r="R190" s="4" t="str">
        <f aca="false">IF(C190&lt;11,"Morning (7-10)",IF(C190&lt;14,"Lunch (11-13)",IF(C190&lt;18,"Afternoon (14-17)","Evening (18-20)")))</f>
        <v>Morning (7-10)</v>
      </c>
      <c r="S190" s="4" t="str">
        <f aca="false">IF(AND(O190&gt;=3,O190&lt;=5),"Hot Dry (Mar-May)",IF(AND(O190&gt;=6,O190&lt;=11),"Rainy (Jun-Nov)","Cool Dry (Dec-Feb)"))</f>
        <v>Cool Dry (Dec-Feb)</v>
      </c>
      <c r="T190" s="4" t="str">
        <f aca="false">CHOOSE(O190,"Jan","Feb","Mar","Apr","May","Jun","Jul","Aug","Sep","Oct","Nov","Dec")</f>
        <v>Feb</v>
      </c>
    </row>
    <row r="191" customFormat="false" ht="15" hidden="false" customHeight="false" outlineLevel="0" collapsed="false">
      <c r="A191" s="4" t="s">
        <v>343</v>
      </c>
      <c r="B191" s="17" t="n">
        <v>45703</v>
      </c>
      <c r="C191" s="4" t="n">
        <v>9</v>
      </c>
      <c r="D191" s="4" t="s">
        <v>98</v>
      </c>
      <c r="E191" s="4" t="s">
        <v>99</v>
      </c>
      <c r="F191" s="4" t="s">
        <v>102</v>
      </c>
      <c r="G191" s="4" t="n">
        <v>2</v>
      </c>
      <c r="H191" s="34" t="n">
        <v>140</v>
      </c>
      <c r="I191" s="18" t="n">
        <v>0.1</v>
      </c>
      <c r="J191" s="4" t="s">
        <v>81</v>
      </c>
      <c r="K191" s="4" t="s">
        <v>2289</v>
      </c>
      <c r="L191" s="35" t="n">
        <f aca="false">G191*H191</f>
        <v>280</v>
      </c>
      <c r="M191" s="35" t="n">
        <f aca="false">L191*I191</f>
        <v>28</v>
      </c>
      <c r="N191" s="35" t="n">
        <f aca="false">L191-M191</f>
        <v>252</v>
      </c>
      <c r="O191" s="4" t="n">
        <f aca="false">MONTH(B191)</f>
        <v>2</v>
      </c>
      <c r="P191" s="4" t="str">
        <f aca="false">CHOOSE(WEEKDAY(B191,2),"Mon","Tue","Wed","Thu","Fri","Sat","Sun")</f>
        <v>Sat</v>
      </c>
      <c r="Q191" s="4" t="str">
        <f aca="false">IF(WEEKDAY(B191,2)&gt;5,"Weekend","Weekday")</f>
        <v>Weekend</v>
      </c>
      <c r="R191" s="4" t="str">
        <f aca="false">IF(C191&lt;11,"Morning (7-10)",IF(C191&lt;14,"Lunch (11-13)",IF(C191&lt;18,"Afternoon (14-17)","Evening (18-20)")))</f>
        <v>Morning (7-10)</v>
      </c>
      <c r="S191" s="4" t="str">
        <f aca="false">IF(AND(O191&gt;=3,O191&lt;=5),"Hot Dry (Mar-May)",IF(AND(O191&gt;=6,O191&lt;=11),"Rainy (Jun-Nov)","Cool Dry (Dec-Feb)"))</f>
        <v>Cool Dry (Dec-Feb)</v>
      </c>
      <c r="T191" s="4" t="str">
        <f aca="false">CHOOSE(O191,"Jan","Feb","Mar","Apr","May","Jun","Jul","Aug","Sep","Oct","Nov","Dec")</f>
        <v>Feb</v>
      </c>
    </row>
    <row r="192" customFormat="false" ht="15" hidden="false" customHeight="false" outlineLevel="0" collapsed="false">
      <c r="A192" s="4" t="s">
        <v>344</v>
      </c>
      <c r="B192" s="17" t="n">
        <v>45703</v>
      </c>
      <c r="C192" s="4" t="n">
        <v>19</v>
      </c>
      <c r="D192" s="4" t="s">
        <v>98</v>
      </c>
      <c r="E192" s="4" t="s">
        <v>99</v>
      </c>
      <c r="F192" s="4" t="s">
        <v>100</v>
      </c>
      <c r="G192" s="4" t="n">
        <v>1</v>
      </c>
      <c r="H192" s="34" t="n">
        <v>110</v>
      </c>
      <c r="I192" s="18" t="n">
        <v>0.05</v>
      </c>
      <c r="J192" s="4" t="s">
        <v>67</v>
      </c>
      <c r="K192" s="4" t="s">
        <v>82</v>
      </c>
      <c r="L192" s="35" t="n">
        <f aca="false">G192*H192</f>
        <v>110</v>
      </c>
      <c r="M192" s="35" t="n">
        <f aca="false">L192*I192</f>
        <v>5.5</v>
      </c>
      <c r="N192" s="35" t="n">
        <f aca="false">L192-M192</f>
        <v>104.5</v>
      </c>
      <c r="O192" s="4" t="n">
        <f aca="false">MONTH(B192)</f>
        <v>2</v>
      </c>
      <c r="P192" s="4" t="str">
        <f aca="false">CHOOSE(WEEKDAY(B192,2),"Mon","Tue","Wed","Thu","Fri","Sat","Sun")</f>
        <v>Sat</v>
      </c>
      <c r="Q192" s="4" t="str">
        <f aca="false">IF(WEEKDAY(B192,2)&gt;5,"Weekend","Weekday")</f>
        <v>Weekend</v>
      </c>
      <c r="R192" s="4" t="str">
        <f aca="false">IF(C192&lt;11,"Morning (7-10)",IF(C192&lt;14,"Lunch (11-13)",IF(C192&lt;18,"Afternoon (14-17)","Evening (18-20)")))</f>
        <v>Evening (18-20)</v>
      </c>
      <c r="S192" s="4" t="str">
        <f aca="false">IF(AND(O192&gt;=3,O192&lt;=5),"Hot Dry (Mar-May)",IF(AND(O192&gt;=6,O192&lt;=11),"Rainy (Jun-Nov)","Cool Dry (Dec-Feb)"))</f>
        <v>Cool Dry (Dec-Feb)</v>
      </c>
      <c r="T192" s="4" t="str">
        <f aca="false">CHOOSE(O192,"Jan","Feb","Mar","Apr","May","Jun","Jul","Aug","Sep","Oct","Nov","Dec")</f>
        <v>Feb</v>
      </c>
    </row>
    <row r="193" customFormat="false" ht="15" hidden="false" customHeight="false" outlineLevel="0" collapsed="false">
      <c r="A193" s="4" t="s">
        <v>345</v>
      </c>
      <c r="B193" s="17" t="n">
        <v>45704</v>
      </c>
      <c r="C193" s="4" t="n">
        <v>8</v>
      </c>
      <c r="D193" s="4" t="s">
        <v>64</v>
      </c>
      <c r="E193" s="4" t="s">
        <v>65</v>
      </c>
      <c r="F193" s="4" t="s">
        <v>66</v>
      </c>
      <c r="G193" s="4" t="n">
        <v>1</v>
      </c>
      <c r="H193" s="34" t="n">
        <v>120</v>
      </c>
      <c r="I193" s="18" t="n">
        <v>0</v>
      </c>
      <c r="J193" s="4" t="s">
        <v>81</v>
      </c>
      <c r="K193" s="4" t="s">
        <v>68</v>
      </c>
      <c r="L193" s="35" t="n">
        <f aca="false">G193*H193</f>
        <v>120</v>
      </c>
      <c r="M193" s="35" t="n">
        <f aca="false">L193*I193</f>
        <v>0</v>
      </c>
      <c r="N193" s="35" t="n">
        <f aca="false">L193-M193</f>
        <v>120</v>
      </c>
      <c r="O193" s="4" t="n">
        <f aca="false">MONTH(B193)</f>
        <v>2</v>
      </c>
      <c r="P193" s="4" t="str">
        <f aca="false">CHOOSE(WEEKDAY(B193,2),"Mon","Tue","Wed","Thu","Fri","Sat","Sun")</f>
        <v>Sun</v>
      </c>
      <c r="Q193" s="4" t="str">
        <f aca="false">IF(WEEKDAY(B193,2)&gt;5,"Weekend","Weekday")</f>
        <v>Weekend</v>
      </c>
      <c r="R193" s="4" t="str">
        <f aca="false">IF(C193&lt;11,"Morning (7-10)",IF(C193&lt;14,"Lunch (11-13)",IF(C193&lt;18,"Afternoon (14-17)","Evening (18-20)")))</f>
        <v>Morning (7-10)</v>
      </c>
      <c r="S193" s="4" t="str">
        <f aca="false">IF(AND(O193&gt;=3,O193&lt;=5),"Hot Dry (Mar-May)",IF(AND(O193&gt;=6,O193&lt;=11),"Rainy (Jun-Nov)","Cool Dry (Dec-Feb)"))</f>
        <v>Cool Dry (Dec-Feb)</v>
      </c>
      <c r="T193" s="4" t="str">
        <f aca="false">CHOOSE(O193,"Jan","Feb","Mar","Apr","May","Jun","Jul","Aug","Sep","Oct","Nov","Dec")</f>
        <v>Feb</v>
      </c>
    </row>
    <row r="194" customFormat="false" ht="15" hidden="false" customHeight="false" outlineLevel="0" collapsed="false">
      <c r="A194" s="4" t="s">
        <v>346</v>
      </c>
      <c r="B194" s="17" t="n">
        <v>45704</v>
      </c>
      <c r="C194" s="4" t="n">
        <v>9</v>
      </c>
      <c r="D194" s="4" t="s">
        <v>70</v>
      </c>
      <c r="E194" s="4" t="s">
        <v>65</v>
      </c>
      <c r="F194" s="4" t="s">
        <v>94</v>
      </c>
      <c r="G194" s="4" t="n">
        <v>3</v>
      </c>
      <c r="H194" s="34" t="n">
        <v>150</v>
      </c>
      <c r="I194" s="18" t="n">
        <v>0.1</v>
      </c>
      <c r="J194" s="4" t="s">
        <v>81</v>
      </c>
      <c r="K194" s="4" t="s">
        <v>71</v>
      </c>
      <c r="L194" s="35" t="n">
        <f aca="false">G194*H194</f>
        <v>450</v>
      </c>
      <c r="M194" s="35" t="n">
        <f aca="false">L194*I194</f>
        <v>45</v>
      </c>
      <c r="N194" s="35" t="n">
        <f aca="false">L194-M194</f>
        <v>405</v>
      </c>
      <c r="O194" s="4" t="n">
        <f aca="false">MONTH(B194)</f>
        <v>2</v>
      </c>
      <c r="P194" s="4" t="str">
        <f aca="false">CHOOSE(WEEKDAY(B194,2),"Mon","Tue","Wed","Thu","Fri","Sat","Sun")</f>
        <v>Sun</v>
      </c>
      <c r="Q194" s="4" t="str">
        <f aca="false">IF(WEEKDAY(B194,2)&gt;5,"Weekend","Weekday")</f>
        <v>Weekend</v>
      </c>
      <c r="R194" s="4" t="str">
        <f aca="false">IF(C194&lt;11,"Morning (7-10)",IF(C194&lt;14,"Lunch (11-13)",IF(C194&lt;18,"Afternoon (14-17)","Evening (18-20)")))</f>
        <v>Morning (7-10)</v>
      </c>
      <c r="S194" s="4" t="str">
        <f aca="false">IF(AND(O194&gt;=3,O194&lt;=5),"Hot Dry (Mar-May)",IF(AND(O194&gt;=6,O194&lt;=11),"Rainy (Jun-Nov)","Cool Dry (Dec-Feb)"))</f>
        <v>Cool Dry (Dec-Feb)</v>
      </c>
      <c r="T194" s="4" t="str">
        <f aca="false">CHOOSE(O194,"Jan","Feb","Mar","Apr","May","Jun","Jul","Aug","Sep","Oct","Nov","Dec")</f>
        <v>Feb</v>
      </c>
    </row>
    <row r="195" customFormat="false" ht="15" hidden="false" customHeight="false" outlineLevel="0" collapsed="false">
      <c r="A195" s="4" t="s">
        <v>347</v>
      </c>
      <c r="B195" s="17" t="n">
        <v>45704</v>
      </c>
      <c r="C195" s="4" t="n">
        <v>11</v>
      </c>
      <c r="D195" s="4" t="s">
        <v>70</v>
      </c>
      <c r="E195" s="4" t="s">
        <v>99</v>
      </c>
      <c r="F195" s="4" t="s">
        <v>102</v>
      </c>
      <c r="G195" s="4" t="n">
        <v>2</v>
      </c>
      <c r="H195" s="34" t="n">
        <v>140</v>
      </c>
      <c r="I195" s="18" t="n">
        <v>0.15</v>
      </c>
      <c r="J195" s="4" t="s">
        <v>67</v>
      </c>
      <c r="K195" s="4" t="s">
        <v>82</v>
      </c>
      <c r="L195" s="35" t="n">
        <f aca="false">G195*H195</f>
        <v>280</v>
      </c>
      <c r="M195" s="35" t="n">
        <f aca="false">L195*I195</f>
        <v>42</v>
      </c>
      <c r="N195" s="35" t="n">
        <f aca="false">L195-M195</f>
        <v>238</v>
      </c>
      <c r="O195" s="4" t="n">
        <f aca="false">MONTH(B195)</f>
        <v>2</v>
      </c>
      <c r="P195" s="4" t="str">
        <f aca="false">CHOOSE(WEEKDAY(B195,2),"Mon","Tue","Wed","Thu","Fri","Sat","Sun")</f>
        <v>Sun</v>
      </c>
      <c r="Q195" s="4" t="str">
        <f aca="false">IF(WEEKDAY(B195,2)&gt;5,"Weekend","Weekday")</f>
        <v>Weekend</v>
      </c>
      <c r="R195" s="4" t="str">
        <f aca="false">IF(C195&lt;11,"Morning (7-10)",IF(C195&lt;14,"Lunch (11-13)",IF(C195&lt;18,"Afternoon (14-17)","Evening (18-20)")))</f>
        <v>Lunch (11-13)</v>
      </c>
      <c r="S195" s="4" t="str">
        <f aca="false">IF(AND(O195&gt;=3,O195&lt;=5),"Hot Dry (Mar-May)",IF(AND(O195&gt;=6,O195&lt;=11),"Rainy (Jun-Nov)","Cool Dry (Dec-Feb)"))</f>
        <v>Cool Dry (Dec-Feb)</v>
      </c>
      <c r="T195" s="4" t="str">
        <f aca="false">CHOOSE(O195,"Jan","Feb","Mar","Apr","May","Jun","Jul","Aug","Sep","Oct","Nov","Dec")</f>
        <v>Feb</v>
      </c>
    </row>
    <row r="196" customFormat="false" ht="15" hidden="false" customHeight="false" outlineLevel="0" collapsed="false">
      <c r="A196" s="4" t="s">
        <v>348</v>
      </c>
      <c r="B196" s="17" t="n">
        <v>45704</v>
      </c>
      <c r="C196" s="4" t="n">
        <v>13</v>
      </c>
      <c r="D196" s="4" t="s">
        <v>70</v>
      </c>
      <c r="E196" s="4" t="s">
        <v>65</v>
      </c>
      <c r="F196" s="4" t="s">
        <v>94</v>
      </c>
      <c r="G196" s="4" t="n">
        <v>1</v>
      </c>
      <c r="H196" s="34" t="n">
        <v>150</v>
      </c>
      <c r="I196" s="18" t="n">
        <v>0.05</v>
      </c>
      <c r="J196" s="4" t="s">
        <v>81</v>
      </c>
      <c r="K196" s="4" t="s">
        <v>82</v>
      </c>
      <c r="L196" s="35" t="n">
        <f aca="false">G196*H196</f>
        <v>150</v>
      </c>
      <c r="M196" s="35" t="n">
        <f aca="false">L196*I196</f>
        <v>7.5</v>
      </c>
      <c r="N196" s="35" t="n">
        <f aca="false">L196-M196</f>
        <v>142.5</v>
      </c>
      <c r="O196" s="4" t="n">
        <f aca="false">MONTH(B196)</f>
        <v>2</v>
      </c>
      <c r="P196" s="4" t="str">
        <f aca="false">CHOOSE(WEEKDAY(B196,2),"Mon","Tue","Wed","Thu","Fri","Sat","Sun")</f>
        <v>Sun</v>
      </c>
      <c r="Q196" s="4" t="str">
        <f aca="false">IF(WEEKDAY(B196,2)&gt;5,"Weekend","Weekday")</f>
        <v>Weekend</v>
      </c>
      <c r="R196" s="4" t="str">
        <f aca="false">IF(C196&lt;11,"Morning (7-10)",IF(C196&lt;14,"Lunch (11-13)",IF(C196&lt;18,"Afternoon (14-17)","Evening (18-20)")))</f>
        <v>Lunch (11-13)</v>
      </c>
      <c r="S196" s="4" t="str">
        <f aca="false">IF(AND(O196&gt;=3,O196&lt;=5),"Hot Dry (Mar-May)",IF(AND(O196&gt;=6,O196&lt;=11),"Rainy (Jun-Nov)","Cool Dry (Dec-Feb)"))</f>
        <v>Cool Dry (Dec-Feb)</v>
      </c>
      <c r="T196" s="4" t="str">
        <f aca="false">CHOOSE(O196,"Jan","Feb","Mar","Apr","May","Jun","Jul","Aug","Sep","Oct","Nov","Dec")</f>
        <v>Feb</v>
      </c>
    </row>
    <row r="197" customFormat="false" ht="15" hidden="false" customHeight="false" outlineLevel="0" collapsed="false">
      <c r="A197" s="4" t="s">
        <v>349</v>
      </c>
      <c r="B197" s="17" t="n">
        <v>45704</v>
      </c>
      <c r="C197" s="4" t="n">
        <v>15</v>
      </c>
      <c r="D197" s="4" t="s">
        <v>70</v>
      </c>
      <c r="E197" s="4" t="s">
        <v>74</v>
      </c>
      <c r="F197" s="4" t="s">
        <v>75</v>
      </c>
      <c r="G197" s="4" t="n">
        <v>1</v>
      </c>
      <c r="H197" s="34" t="n">
        <v>220</v>
      </c>
      <c r="I197" s="18" t="n">
        <v>0</v>
      </c>
      <c r="J197" s="4" t="s">
        <v>67</v>
      </c>
      <c r="K197" s="4" t="s">
        <v>68</v>
      </c>
      <c r="L197" s="35" t="n">
        <f aca="false">G197*H197</f>
        <v>220</v>
      </c>
      <c r="M197" s="35" t="n">
        <f aca="false">L197*I197</f>
        <v>0</v>
      </c>
      <c r="N197" s="35" t="n">
        <f aca="false">L197-M197</f>
        <v>220</v>
      </c>
      <c r="O197" s="4" t="n">
        <f aca="false">MONTH(B197)</f>
        <v>2</v>
      </c>
      <c r="P197" s="4" t="str">
        <f aca="false">CHOOSE(WEEKDAY(B197,2),"Mon","Tue","Wed","Thu","Fri","Sat","Sun")</f>
        <v>Sun</v>
      </c>
      <c r="Q197" s="4" t="str">
        <f aca="false">IF(WEEKDAY(B197,2)&gt;5,"Weekend","Weekday")</f>
        <v>Weekend</v>
      </c>
      <c r="R197" s="4" t="str">
        <f aca="false">IF(C197&lt;11,"Morning (7-10)",IF(C197&lt;14,"Lunch (11-13)",IF(C197&lt;18,"Afternoon (14-17)","Evening (18-20)")))</f>
        <v>Afternoon (14-17)</v>
      </c>
      <c r="S197" s="4" t="str">
        <f aca="false">IF(AND(O197&gt;=3,O197&lt;=5),"Hot Dry (Mar-May)",IF(AND(O197&gt;=6,O197&lt;=11),"Rainy (Jun-Nov)","Cool Dry (Dec-Feb)"))</f>
        <v>Cool Dry (Dec-Feb)</v>
      </c>
      <c r="T197" s="4" t="str">
        <f aca="false">CHOOSE(O197,"Jan","Feb","Mar","Apr","May","Jun","Jul","Aug","Sep","Oct","Nov","Dec")</f>
        <v>Feb</v>
      </c>
    </row>
    <row r="198" customFormat="false" ht="15" hidden="false" customHeight="false" outlineLevel="0" collapsed="false">
      <c r="A198" s="4" t="s">
        <v>351</v>
      </c>
      <c r="B198" s="17" t="n">
        <v>45704</v>
      </c>
      <c r="C198" s="4" t="n">
        <v>15</v>
      </c>
      <c r="D198" s="4" t="s">
        <v>64</v>
      </c>
      <c r="E198" s="4" t="s">
        <v>99</v>
      </c>
      <c r="F198" s="4" t="s">
        <v>133</v>
      </c>
      <c r="G198" s="4" t="n">
        <v>1</v>
      </c>
      <c r="H198" s="34" t="n">
        <v>90</v>
      </c>
      <c r="I198" s="18" t="n">
        <v>0</v>
      </c>
      <c r="J198" s="4" t="s">
        <v>67</v>
      </c>
      <c r="K198" s="4" t="s">
        <v>77</v>
      </c>
      <c r="L198" s="35" t="n">
        <f aca="false">G198*H198</f>
        <v>90</v>
      </c>
      <c r="M198" s="35" t="n">
        <f aca="false">L198*I198</f>
        <v>0</v>
      </c>
      <c r="N198" s="35" t="n">
        <f aca="false">L198-M198</f>
        <v>90</v>
      </c>
      <c r="O198" s="4" t="n">
        <f aca="false">MONTH(B198)</f>
        <v>2</v>
      </c>
      <c r="P198" s="4" t="str">
        <f aca="false">CHOOSE(WEEKDAY(B198,2),"Mon","Tue","Wed","Thu","Fri","Sat","Sun")</f>
        <v>Sun</v>
      </c>
      <c r="Q198" s="4" t="str">
        <f aca="false">IF(WEEKDAY(B198,2)&gt;5,"Weekend","Weekday")</f>
        <v>Weekend</v>
      </c>
      <c r="R198" s="4" t="str">
        <f aca="false">IF(C198&lt;11,"Morning (7-10)",IF(C198&lt;14,"Lunch (11-13)",IF(C198&lt;18,"Afternoon (14-17)","Evening (18-20)")))</f>
        <v>Afternoon (14-17)</v>
      </c>
      <c r="S198" s="4" t="str">
        <f aca="false">IF(AND(O198&gt;=3,O198&lt;=5),"Hot Dry (Mar-May)",IF(AND(O198&gt;=6,O198&lt;=11),"Rainy (Jun-Nov)","Cool Dry (Dec-Feb)"))</f>
        <v>Cool Dry (Dec-Feb)</v>
      </c>
      <c r="T198" s="4" t="str">
        <f aca="false">CHOOSE(O198,"Jan","Feb","Mar","Apr","May","Jun","Jul","Aug","Sep","Oct","Nov","Dec")</f>
        <v>Feb</v>
      </c>
    </row>
    <row r="199" customFormat="false" ht="15" hidden="false" customHeight="false" outlineLevel="0" collapsed="false">
      <c r="A199" s="4" t="s">
        <v>352</v>
      </c>
      <c r="B199" s="17" t="n">
        <v>45705</v>
      </c>
      <c r="C199" s="4" t="n">
        <v>7</v>
      </c>
      <c r="D199" s="4" t="s">
        <v>73</v>
      </c>
      <c r="E199" s="4" t="s">
        <v>79</v>
      </c>
      <c r="F199" s="4" t="s">
        <v>135</v>
      </c>
      <c r="G199" s="4" t="n">
        <v>1</v>
      </c>
      <c r="H199" s="34" t="n">
        <v>130</v>
      </c>
      <c r="I199" s="18" t="n">
        <v>0</v>
      </c>
      <c r="J199" s="4" t="s">
        <v>67</v>
      </c>
      <c r="K199" s="4" t="s">
        <v>68</v>
      </c>
      <c r="L199" s="35" t="n">
        <f aca="false">G199*H199</f>
        <v>130</v>
      </c>
      <c r="M199" s="35" t="n">
        <f aca="false">L199*I199</f>
        <v>0</v>
      </c>
      <c r="N199" s="35" t="n">
        <f aca="false">L199-M199</f>
        <v>130</v>
      </c>
      <c r="O199" s="4" t="n">
        <f aca="false">MONTH(B199)</f>
        <v>2</v>
      </c>
      <c r="P199" s="4" t="str">
        <f aca="false">CHOOSE(WEEKDAY(B199,2),"Mon","Tue","Wed","Thu","Fri","Sat","Sun")</f>
        <v>Mon</v>
      </c>
      <c r="Q199" s="4" t="str">
        <f aca="false">IF(WEEKDAY(B199,2)&gt;5,"Weekend","Weekday")</f>
        <v>Weekday</v>
      </c>
      <c r="R199" s="4" t="str">
        <f aca="false">IF(C199&lt;11,"Morning (7-10)",IF(C199&lt;14,"Lunch (11-13)",IF(C199&lt;18,"Afternoon (14-17)","Evening (18-20)")))</f>
        <v>Morning (7-10)</v>
      </c>
      <c r="S199" s="4" t="str">
        <f aca="false">IF(AND(O199&gt;=3,O199&lt;=5),"Hot Dry (Mar-May)",IF(AND(O199&gt;=6,O199&lt;=11),"Rainy (Jun-Nov)","Cool Dry (Dec-Feb)"))</f>
        <v>Cool Dry (Dec-Feb)</v>
      </c>
      <c r="T199" s="4" t="str">
        <f aca="false">CHOOSE(O199,"Jan","Feb","Mar","Apr","May","Jun","Jul","Aug","Sep","Oct","Nov","Dec")</f>
        <v>Feb</v>
      </c>
    </row>
    <row r="200" customFormat="false" ht="15" hidden="false" customHeight="false" outlineLevel="0" collapsed="false">
      <c r="A200" s="4" t="s">
        <v>353</v>
      </c>
      <c r="B200" s="17" t="n">
        <v>45705</v>
      </c>
      <c r="C200" s="4" t="n">
        <v>8</v>
      </c>
      <c r="D200" s="4" t="s">
        <v>98</v>
      </c>
      <c r="E200" s="4" t="s">
        <v>99</v>
      </c>
      <c r="F200" s="4" t="s">
        <v>102</v>
      </c>
      <c r="G200" s="4" t="n">
        <v>1</v>
      </c>
      <c r="H200" s="34" t="n">
        <v>140</v>
      </c>
      <c r="I200" s="18" t="n">
        <v>0.1</v>
      </c>
      <c r="J200" s="4" t="s">
        <v>81</v>
      </c>
      <c r="K200" s="4" t="s">
        <v>71</v>
      </c>
      <c r="L200" s="35" t="n">
        <f aca="false">G200*H200</f>
        <v>140</v>
      </c>
      <c r="M200" s="35" t="n">
        <f aca="false">L200*I200</f>
        <v>14</v>
      </c>
      <c r="N200" s="35" t="n">
        <f aca="false">L200-M200</f>
        <v>126</v>
      </c>
      <c r="O200" s="4" t="n">
        <f aca="false">MONTH(B200)</f>
        <v>2</v>
      </c>
      <c r="P200" s="4" t="str">
        <f aca="false">CHOOSE(WEEKDAY(B200,2),"Mon","Tue","Wed","Thu","Fri","Sat","Sun")</f>
        <v>Mon</v>
      </c>
      <c r="Q200" s="4" t="str">
        <f aca="false">IF(WEEKDAY(B200,2)&gt;5,"Weekend","Weekday")</f>
        <v>Weekday</v>
      </c>
      <c r="R200" s="4" t="str">
        <f aca="false">IF(C200&lt;11,"Morning (7-10)",IF(C200&lt;14,"Lunch (11-13)",IF(C200&lt;18,"Afternoon (14-17)","Evening (18-20)")))</f>
        <v>Morning (7-10)</v>
      </c>
      <c r="S200" s="4" t="str">
        <f aca="false">IF(AND(O200&gt;=3,O200&lt;=5),"Hot Dry (Mar-May)",IF(AND(O200&gt;=6,O200&lt;=11),"Rainy (Jun-Nov)","Cool Dry (Dec-Feb)"))</f>
        <v>Cool Dry (Dec-Feb)</v>
      </c>
      <c r="T200" s="4" t="str">
        <f aca="false">CHOOSE(O200,"Jan","Feb","Mar","Apr","May","Jun","Jul","Aug","Sep","Oct","Nov","Dec")</f>
        <v>Feb</v>
      </c>
    </row>
    <row r="201" customFormat="false" ht="15" hidden="false" customHeight="false" outlineLevel="0" collapsed="false">
      <c r="A201" s="4" t="s">
        <v>354</v>
      </c>
      <c r="B201" s="17" t="n">
        <v>45705</v>
      </c>
      <c r="C201" s="4" t="n">
        <v>13</v>
      </c>
      <c r="D201" s="4" t="s">
        <v>70</v>
      </c>
      <c r="E201" s="4" t="s">
        <v>74</v>
      </c>
      <c r="F201" s="4" t="s">
        <v>91</v>
      </c>
      <c r="G201" s="4" t="n">
        <v>1</v>
      </c>
      <c r="H201" s="34" t="n">
        <v>200</v>
      </c>
      <c r="I201" s="18" t="n">
        <v>0</v>
      </c>
      <c r="J201" s="4" t="s">
        <v>67</v>
      </c>
      <c r="K201" s="4" t="s">
        <v>68</v>
      </c>
      <c r="L201" s="35" t="n">
        <f aca="false">G201*H201</f>
        <v>200</v>
      </c>
      <c r="M201" s="35" t="n">
        <f aca="false">L201*I201</f>
        <v>0</v>
      </c>
      <c r="N201" s="35" t="n">
        <f aca="false">L201-M201</f>
        <v>200</v>
      </c>
      <c r="O201" s="4" t="n">
        <f aca="false">MONTH(B201)</f>
        <v>2</v>
      </c>
      <c r="P201" s="4" t="str">
        <f aca="false">CHOOSE(WEEKDAY(B201,2),"Mon","Tue","Wed","Thu","Fri","Sat","Sun")</f>
        <v>Mon</v>
      </c>
      <c r="Q201" s="4" t="str">
        <f aca="false">IF(WEEKDAY(B201,2)&gt;5,"Weekend","Weekday")</f>
        <v>Weekday</v>
      </c>
      <c r="R201" s="4" t="str">
        <f aca="false">IF(C201&lt;11,"Morning (7-10)",IF(C201&lt;14,"Lunch (11-13)",IF(C201&lt;18,"Afternoon (14-17)","Evening (18-20)")))</f>
        <v>Lunch (11-13)</v>
      </c>
      <c r="S201" s="4" t="str">
        <f aca="false">IF(AND(O201&gt;=3,O201&lt;=5),"Hot Dry (Mar-May)",IF(AND(O201&gt;=6,O201&lt;=11),"Rainy (Jun-Nov)","Cool Dry (Dec-Feb)"))</f>
        <v>Cool Dry (Dec-Feb)</v>
      </c>
      <c r="T201" s="4" t="str">
        <f aca="false">CHOOSE(O201,"Jan","Feb","Mar","Apr","May","Jun","Jul","Aug","Sep","Oct","Nov","Dec")</f>
        <v>Feb</v>
      </c>
    </row>
    <row r="202" customFormat="false" ht="15" hidden="false" customHeight="false" outlineLevel="0" collapsed="false">
      <c r="A202" s="4" t="s">
        <v>355</v>
      </c>
      <c r="B202" s="17" t="n">
        <v>45705</v>
      </c>
      <c r="C202" s="4" t="n">
        <v>13</v>
      </c>
      <c r="D202" s="4" t="s">
        <v>64</v>
      </c>
      <c r="E202" s="4" t="s">
        <v>74</v>
      </c>
      <c r="F202" s="4" t="s">
        <v>75</v>
      </c>
      <c r="G202" s="4" t="n">
        <v>1</v>
      </c>
      <c r="H202" s="34" t="n">
        <v>220</v>
      </c>
      <c r="I202" s="18" t="n">
        <v>0.05</v>
      </c>
      <c r="J202" s="4" t="s">
        <v>2289</v>
      </c>
      <c r="K202" s="4" t="s">
        <v>82</v>
      </c>
      <c r="L202" s="35" t="n">
        <f aca="false">G202*H202</f>
        <v>220</v>
      </c>
      <c r="M202" s="35" t="n">
        <f aca="false">L202*I202</f>
        <v>11</v>
      </c>
      <c r="N202" s="35" t="n">
        <f aca="false">L202-M202</f>
        <v>209</v>
      </c>
      <c r="O202" s="4" t="n">
        <f aca="false">MONTH(B202)</f>
        <v>2</v>
      </c>
      <c r="P202" s="4" t="str">
        <f aca="false">CHOOSE(WEEKDAY(B202,2),"Mon","Tue","Wed","Thu","Fri","Sat","Sun")</f>
        <v>Mon</v>
      </c>
      <c r="Q202" s="4" t="str">
        <f aca="false">IF(WEEKDAY(B202,2)&gt;5,"Weekend","Weekday")</f>
        <v>Weekday</v>
      </c>
      <c r="R202" s="4" t="str">
        <f aca="false">IF(C202&lt;11,"Morning (7-10)",IF(C202&lt;14,"Lunch (11-13)",IF(C202&lt;18,"Afternoon (14-17)","Evening (18-20)")))</f>
        <v>Lunch (11-13)</v>
      </c>
      <c r="S202" s="4" t="str">
        <f aca="false">IF(AND(O202&gt;=3,O202&lt;=5),"Hot Dry (Mar-May)",IF(AND(O202&gt;=6,O202&lt;=11),"Rainy (Jun-Nov)","Cool Dry (Dec-Feb)"))</f>
        <v>Cool Dry (Dec-Feb)</v>
      </c>
      <c r="T202" s="4" t="str">
        <f aca="false">CHOOSE(O202,"Jan","Feb","Mar","Apr","May","Jun","Jul","Aug","Sep","Oct","Nov","Dec")</f>
        <v>Feb</v>
      </c>
    </row>
    <row r="203" customFormat="false" ht="15" hidden="false" customHeight="false" outlineLevel="0" collapsed="false">
      <c r="A203" s="4" t="s">
        <v>356</v>
      </c>
      <c r="B203" s="17" t="n">
        <v>45705</v>
      </c>
      <c r="C203" s="4" t="n">
        <v>15</v>
      </c>
      <c r="D203" s="4" t="s">
        <v>70</v>
      </c>
      <c r="E203" s="4" t="s">
        <v>84</v>
      </c>
      <c r="F203" s="4" t="s">
        <v>117</v>
      </c>
      <c r="G203" s="4" t="n">
        <v>1</v>
      </c>
      <c r="H203" s="34" t="n">
        <v>95</v>
      </c>
      <c r="I203" s="18" t="n">
        <v>0.15</v>
      </c>
      <c r="J203" s="4" t="s">
        <v>76</v>
      </c>
      <c r="K203" s="4" t="s">
        <v>68</v>
      </c>
      <c r="L203" s="35" t="n">
        <f aca="false">G203*H203</f>
        <v>95</v>
      </c>
      <c r="M203" s="35" t="n">
        <f aca="false">L203*I203</f>
        <v>14.25</v>
      </c>
      <c r="N203" s="35" t="n">
        <f aca="false">L203-M203</f>
        <v>80.75</v>
      </c>
      <c r="O203" s="4" t="n">
        <f aca="false">MONTH(B203)</f>
        <v>2</v>
      </c>
      <c r="P203" s="4" t="str">
        <f aca="false">CHOOSE(WEEKDAY(B203,2),"Mon","Tue","Wed","Thu","Fri","Sat","Sun")</f>
        <v>Mon</v>
      </c>
      <c r="Q203" s="4" t="str">
        <f aca="false">IF(WEEKDAY(B203,2)&gt;5,"Weekend","Weekday")</f>
        <v>Weekday</v>
      </c>
      <c r="R203" s="4" t="str">
        <f aca="false">IF(C203&lt;11,"Morning (7-10)",IF(C203&lt;14,"Lunch (11-13)",IF(C203&lt;18,"Afternoon (14-17)","Evening (18-20)")))</f>
        <v>Afternoon (14-17)</v>
      </c>
      <c r="S203" s="4" t="str">
        <f aca="false">IF(AND(O203&gt;=3,O203&lt;=5),"Hot Dry (Mar-May)",IF(AND(O203&gt;=6,O203&lt;=11),"Rainy (Jun-Nov)","Cool Dry (Dec-Feb)"))</f>
        <v>Cool Dry (Dec-Feb)</v>
      </c>
      <c r="T203" s="4" t="str">
        <f aca="false">CHOOSE(O203,"Jan","Feb","Mar","Apr","May","Jun","Jul","Aug","Sep","Oct","Nov","Dec")</f>
        <v>Feb</v>
      </c>
    </row>
    <row r="204" customFormat="false" ht="15" hidden="false" customHeight="false" outlineLevel="0" collapsed="false">
      <c r="A204" s="4" t="s">
        <v>357</v>
      </c>
      <c r="B204" s="17" t="n">
        <v>45705</v>
      </c>
      <c r="C204" s="4" t="n">
        <v>20</v>
      </c>
      <c r="D204" s="4" t="s">
        <v>73</v>
      </c>
      <c r="E204" s="4" t="s">
        <v>99</v>
      </c>
      <c r="F204" s="4" t="s">
        <v>102</v>
      </c>
      <c r="G204" s="4" t="n">
        <v>4</v>
      </c>
      <c r="H204" s="34" t="n">
        <v>140</v>
      </c>
      <c r="I204" s="18" t="n">
        <v>0.05</v>
      </c>
      <c r="J204" s="4" t="s">
        <v>76</v>
      </c>
      <c r="K204" s="4" t="s">
        <v>82</v>
      </c>
      <c r="L204" s="35" t="n">
        <f aca="false">G204*H204</f>
        <v>560</v>
      </c>
      <c r="M204" s="35" t="n">
        <f aca="false">L204*I204</f>
        <v>28</v>
      </c>
      <c r="N204" s="35" t="n">
        <f aca="false">L204-M204</f>
        <v>532</v>
      </c>
      <c r="O204" s="4" t="n">
        <f aca="false">MONTH(B204)</f>
        <v>2</v>
      </c>
      <c r="P204" s="4" t="str">
        <f aca="false">CHOOSE(WEEKDAY(B204,2),"Mon","Tue","Wed","Thu","Fri","Sat","Sun")</f>
        <v>Mon</v>
      </c>
      <c r="Q204" s="4" t="str">
        <f aca="false">IF(WEEKDAY(B204,2)&gt;5,"Weekend","Weekday")</f>
        <v>Weekday</v>
      </c>
      <c r="R204" s="4" t="str">
        <f aca="false">IF(C204&lt;11,"Morning (7-10)",IF(C204&lt;14,"Lunch (11-13)",IF(C204&lt;18,"Afternoon (14-17)","Evening (18-20)")))</f>
        <v>Evening (18-20)</v>
      </c>
      <c r="S204" s="4" t="str">
        <f aca="false">IF(AND(O204&gt;=3,O204&lt;=5),"Hot Dry (Mar-May)",IF(AND(O204&gt;=6,O204&lt;=11),"Rainy (Jun-Nov)","Cool Dry (Dec-Feb)"))</f>
        <v>Cool Dry (Dec-Feb)</v>
      </c>
      <c r="T204" s="4" t="str">
        <f aca="false">CHOOSE(O204,"Jan","Feb","Mar","Apr","May","Jun","Jul","Aug","Sep","Oct","Nov","Dec")</f>
        <v>Feb</v>
      </c>
    </row>
    <row r="205" customFormat="false" ht="15" hidden="false" customHeight="false" outlineLevel="0" collapsed="false">
      <c r="A205" s="4" t="s">
        <v>359</v>
      </c>
      <c r="B205" s="17" t="n">
        <v>45706</v>
      </c>
      <c r="C205" s="4" t="n">
        <v>8</v>
      </c>
      <c r="D205" s="4" t="s">
        <v>64</v>
      </c>
      <c r="E205" s="4" t="s">
        <v>74</v>
      </c>
      <c r="F205" s="4" t="s">
        <v>75</v>
      </c>
      <c r="G205" s="4" t="n">
        <v>1</v>
      </c>
      <c r="H205" s="34" t="n">
        <v>220</v>
      </c>
      <c r="I205" s="18" t="n">
        <v>0</v>
      </c>
      <c r="J205" s="4" t="s">
        <v>67</v>
      </c>
      <c r="K205" s="4" t="s">
        <v>77</v>
      </c>
      <c r="L205" s="35" t="n">
        <f aca="false">G205*H205</f>
        <v>220</v>
      </c>
      <c r="M205" s="35" t="n">
        <f aca="false">L205*I205</f>
        <v>0</v>
      </c>
      <c r="N205" s="35" t="n">
        <f aca="false">L205-M205</f>
        <v>220</v>
      </c>
      <c r="O205" s="4" t="n">
        <f aca="false">MONTH(B205)</f>
        <v>2</v>
      </c>
      <c r="P205" s="4" t="str">
        <f aca="false">CHOOSE(WEEKDAY(B205,2),"Mon","Tue","Wed","Thu","Fri","Sat","Sun")</f>
        <v>Tue</v>
      </c>
      <c r="Q205" s="4" t="str">
        <f aca="false">IF(WEEKDAY(B205,2)&gt;5,"Weekend","Weekday")</f>
        <v>Weekday</v>
      </c>
      <c r="R205" s="4" t="str">
        <f aca="false">IF(C205&lt;11,"Morning (7-10)",IF(C205&lt;14,"Lunch (11-13)",IF(C205&lt;18,"Afternoon (14-17)","Evening (18-20)")))</f>
        <v>Morning (7-10)</v>
      </c>
      <c r="S205" s="4" t="str">
        <f aca="false">IF(AND(O205&gt;=3,O205&lt;=5),"Hot Dry (Mar-May)",IF(AND(O205&gt;=6,O205&lt;=11),"Rainy (Jun-Nov)","Cool Dry (Dec-Feb)"))</f>
        <v>Cool Dry (Dec-Feb)</v>
      </c>
      <c r="T205" s="4" t="str">
        <f aca="false">CHOOSE(O205,"Jan","Feb","Mar","Apr","May","Jun","Jul","Aug","Sep","Oct","Nov","Dec")</f>
        <v>Feb</v>
      </c>
    </row>
    <row r="206" customFormat="false" ht="15" hidden="false" customHeight="false" outlineLevel="0" collapsed="false">
      <c r="A206" s="4" t="s">
        <v>360</v>
      </c>
      <c r="B206" s="17" t="n">
        <v>45706</v>
      </c>
      <c r="C206" s="4" t="n">
        <v>10</v>
      </c>
      <c r="D206" s="4" t="s">
        <v>70</v>
      </c>
      <c r="E206" s="4" t="s">
        <v>65</v>
      </c>
      <c r="F206" s="4" t="s">
        <v>87</v>
      </c>
      <c r="G206" s="4" t="n">
        <v>1</v>
      </c>
      <c r="H206" s="34" t="n">
        <v>160</v>
      </c>
      <c r="I206" s="18" t="n">
        <v>0</v>
      </c>
      <c r="J206" s="4" t="s">
        <v>76</v>
      </c>
      <c r="K206" s="4" t="s">
        <v>77</v>
      </c>
      <c r="L206" s="35" t="n">
        <f aca="false">G206*H206</f>
        <v>160</v>
      </c>
      <c r="M206" s="35" t="n">
        <f aca="false">L206*I206</f>
        <v>0</v>
      </c>
      <c r="N206" s="35" t="n">
        <f aca="false">L206-M206</f>
        <v>160</v>
      </c>
      <c r="O206" s="4" t="n">
        <f aca="false">MONTH(B206)</f>
        <v>2</v>
      </c>
      <c r="P206" s="4" t="str">
        <f aca="false">CHOOSE(WEEKDAY(B206,2),"Mon","Tue","Wed","Thu","Fri","Sat","Sun")</f>
        <v>Tue</v>
      </c>
      <c r="Q206" s="4" t="str">
        <f aca="false">IF(WEEKDAY(B206,2)&gt;5,"Weekend","Weekday")</f>
        <v>Weekday</v>
      </c>
      <c r="R206" s="4" t="str">
        <f aca="false">IF(C206&lt;11,"Morning (7-10)",IF(C206&lt;14,"Lunch (11-13)",IF(C206&lt;18,"Afternoon (14-17)","Evening (18-20)")))</f>
        <v>Morning (7-10)</v>
      </c>
      <c r="S206" s="4" t="str">
        <f aca="false">IF(AND(O206&gt;=3,O206&lt;=5),"Hot Dry (Mar-May)",IF(AND(O206&gt;=6,O206&lt;=11),"Rainy (Jun-Nov)","Cool Dry (Dec-Feb)"))</f>
        <v>Cool Dry (Dec-Feb)</v>
      </c>
      <c r="T206" s="4" t="str">
        <f aca="false">CHOOSE(O206,"Jan","Feb","Mar","Apr","May","Jun","Jul","Aug","Sep","Oct","Nov","Dec")</f>
        <v>Feb</v>
      </c>
    </row>
    <row r="207" customFormat="false" ht="15" hidden="false" customHeight="false" outlineLevel="0" collapsed="false">
      <c r="A207" s="4" t="s">
        <v>361</v>
      </c>
      <c r="B207" s="17" t="n">
        <v>45706</v>
      </c>
      <c r="C207" s="4" t="n">
        <v>13</v>
      </c>
      <c r="D207" s="4" t="s">
        <v>70</v>
      </c>
      <c r="E207" s="4" t="s">
        <v>79</v>
      </c>
      <c r="F207" s="4" t="s">
        <v>80</v>
      </c>
      <c r="G207" s="4" t="n">
        <v>1</v>
      </c>
      <c r="H207" s="34" t="n">
        <v>160</v>
      </c>
      <c r="I207" s="18" t="n">
        <v>0.1</v>
      </c>
      <c r="J207" s="4" t="s">
        <v>67</v>
      </c>
      <c r="K207" s="4" t="s">
        <v>71</v>
      </c>
      <c r="L207" s="35" t="n">
        <f aca="false">G207*H207</f>
        <v>160</v>
      </c>
      <c r="M207" s="35" t="n">
        <f aca="false">L207*I207</f>
        <v>16</v>
      </c>
      <c r="N207" s="35" t="n">
        <f aca="false">L207-M207</f>
        <v>144</v>
      </c>
      <c r="O207" s="4" t="n">
        <f aca="false">MONTH(B207)</f>
        <v>2</v>
      </c>
      <c r="P207" s="4" t="str">
        <f aca="false">CHOOSE(WEEKDAY(B207,2),"Mon","Tue","Wed","Thu","Fri","Sat","Sun")</f>
        <v>Tue</v>
      </c>
      <c r="Q207" s="4" t="str">
        <f aca="false">IF(WEEKDAY(B207,2)&gt;5,"Weekend","Weekday")</f>
        <v>Weekday</v>
      </c>
      <c r="R207" s="4" t="str">
        <f aca="false">IF(C207&lt;11,"Morning (7-10)",IF(C207&lt;14,"Lunch (11-13)",IF(C207&lt;18,"Afternoon (14-17)","Evening (18-20)")))</f>
        <v>Lunch (11-13)</v>
      </c>
      <c r="S207" s="4" t="str">
        <f aca="false">IF(AND(O207&gt;=3,O207&lt;=5),"Hot Dry (Mar-May)",IF(AND(O207&gt;=6,O207&lt;=11),"Rainy (Jun-Nov)","Cool Dry (Dec-Feb)"))</f>
        <v>Cool Dry (Dec-Feb)</v>
      </c>
      <c r="T207" s="4" t="str">
        <f aca="false">CHOOSE(O207,"Jan","Feb","Mar","Apr","May","Jun","Jul","Aug","Sep","Oct","Nov","Dec")</f>
        <v>Feb</v>
      </c>
    </row>
    <row r="208" customFormat="false" ht="15" hidden="false" customHeight="false" outlineLevel="0" collapsed="false">
      <c r="A208" s="4" t="s">
        <v>363</v>
      </c>
      <c r="B208" s="17" t="n">
        <v>45706</v>
      </c>
      <c r="C208" s="4" t="n">
        <v>15</v>
      </c>
      <c r="D208" s="4" t="s">
        <v>70</v>
      </c>
      <c r="E208" s="4" t="s">
        <v>84</v>
      </c>
      <c r="F208" s="4" t="s">
        <v>117</v>
      </c>
      <c r="G208" s="4" t="n">
        <v>2</v>
      </c>
      <c r="H208" s="34" t="n">
        <v>95</v>
      </c>
      <c r="I208" s="18" t="n">
        <v>0</v>
      </c>
      <c r="J208" s="4" t="s">
        <v>81</v>
      </c>
      <c r="K208" s="4" t="s">
        <v>77</v>
      </c>
      <c r="L208" s="35" t="n">
        <f aca="false">G208*H208</f>
        <v>190</v>
      </c>
      <c r="M208" s="35" t="n">
        <f aca="false">L208*I208</f>
        <v>0</v>
      </c>
      <c r="N208" s="35" t="n">
        <f aca="false">L208-M208</f>
        <v>190</v>
      </c>
      <c r="O208" s="4" t="n">
        <f aca="false">MONTH(B208)</f>
        <v>2</v>
      </c>
      <c r="P208" s="4" t="str">
        <f aca="false">CHOOSE(WEEKDAY(B208,2),"Mon","Tue","Wed","Thu","Fri","Sat","Sun")</f>
        <v>Tue</v>
      </c>
      <c r="Q208" s="4" t="str">
        <f aca="false">IF(WEEKDAY(B208,2)&gt;5,"Weekend","Weekday")</f>
        <v>Weekday</v>
      </c>
      <c r="R208" s="4" t="str">
        <f aca="false">IF(C208&lt;11,"Morning (7-10)",IF(C208&lt;14,"Lunch (11-13)",IF(C208&lt;18,"Afternoon (14-17)","Evening (18-20)")))</f>
        <v>Afternoon (14-17)</v>
      </c>
      <c r="S208" s="4" t="str">
        <f aca="false">IF(AND(O208&gt;=3,O208&lt;=5),"Hot Dry (Mar-May)",IF(AND(O208&gt;=6,O208&lt;=11),"Rainy (Jun-Nov)","Cool Dry (Dec-Feb)"))</f>
        <v>Cool Dry (Dec-Feb)</v>
      </c>
      <c r="T208" s="4" t="str">
        <f aca="false">CHOOSE(O208,"Jan","Feb","Mar","Apr","May","Jun","Jul","Aug","Sep","Oct","Nov","Dec")</f>
        <v>Feb</v>
      </c>
    </row>
    <row r="209" customFormat="false" ht="15" hidden="false" customHeight="false" outlineLevel="0" collapsed="false">
      <c r="A209" s="4" t="s">
        <v>365</v>
      </c>
      <c r="B209" s="17" t="n">
        <v>45706</v>
      </c>
      <c r="C209" s="4" t="n">
        <v>15</v>
      </c>
      <c r="D209" s="4" t="s">
        <v>64</v>
      </c>
      <c r="E209" s="4" t="s">
        <v>65</v>
      </c>
      <c r="F209" s="4" t="s">
        <v>121</v>
      </c>
      <c r="G209" s="4" t="n">
        <v>2</v>
      </c>
      <c r="H209" s="34" t="n">
        <v>170</v>
      </c>
      <c r="I209" s="18" t="n">
        <v>0.05</v>
      </c>
      <c r="J209" s="4" t="s">
        <v>67</v>
      </c>
      <c r="K209" s="4" t="s">
        <v>82</v>
      </c>
      <c r="L209" s="35" t="n">
        <f aca="false">G209*H209</f>
        <v>340</v>
      </c>
      <c r="M209" s="35" t="n">
        <f aca="false">L209*I209</f>
        <v>17</v>
      </c>
      <c r="N209" s="35" t="n">
        <f aca="false">L209-M209</f>
        <v>323</v>
      </c>
      <c r="O209" s="4" t="n">
        <f aca="false">MONTH(B209)</f>
        <v>2</v>
      </c>
      <c r="P209" s="4" t="str">
        <f aca="false">CHOOSE(WEEKDAY(B209,2),"Mon","Tue","Wed","Thu","Fri","Sat","Sun")</f>
        <v>Tue</v>
      </c>
      <c r="Q209" s="4" t="str">
        <f aca="false">IF(WEEKDAY(B209,2)&gt;5,"Weekend","Weekday")</f>
        <v>Weekday</v>
      </c>
      <c r="R209" s="4" t="str">
        <f aca="false">IF(C209&lt;11,"Morning (7-10)",IF(C209&lt;14,"Lunch (11-13)",IF(C209&lt;18,"Afternoon (14-17)","Evening (18-20)")))</f>
        <v>Afternoon (14-17)</v>
      </c>
      <c r="S209" s="4" t="str">
        <f aca="false">IF(AND(O209&gt;=3,O209&lt;=5),"Hot Dry (Mar-May)",IF(AND(O209&gt;=6,O209&lt;=11),"Rainy (Jun-Nov)","Cool Dry (Dec-Feb)"))</f>
        <v>Cool Dry (Dec-Feb)</v>
      </c>
      <c r="T209" s="4" t="str">
        <f aca="false">CHOOSE(O209,"Jan","Feb","Mar","Apr","May","Jun","Jul","Aug","Sep","Oct","Nov","Dec")</f>
        <v>Feb</v>
      </c>
    </row>
    <row r="210" customFormat="false" ht="15" hidden="false" customHeight="false" outlineLevel="0" collapsed="false">
      <c r="A210" s="4" t="s">
        <v>366</v>
      </c>
      <c r="B210" s="17" t="n">
        <v>45706</v>
      </c>
      <c r="C210" s="4" t="n">
        <v>17</v>
      </c>
      <c r="D210" s="4" t="s">
        <v>73</v>
      </c>
      <c r="E210" s="4" t="s">
        <v>99</v>
      </c>
      <c r="F210" s="4" t="s">
        <v>102</v>
      </c>
      <c r="G210" s="4" t="n">
        <v>4</v>
      </c>
      <c r="H210" s="34" t="n">
        <v>140</v>
      </c>
      <c r="I210" s="18" t="n">
        <v>0.05</v>
      </c>
      <c r="J210" s="4" t="s">
        <v>81</v>
      </c>
      <c r="K210" s="4" t="s">
        <v>82</v>
      </c>
      <c r="L210" s="35" t="n">
        <f aca="false">G210*H210</f>
        <v>560</v>
      </c>
      <c r="M210" s="35" t="n">
        <f aca="false">L210*I210</f>
        <v>28</v>
      </c>
      <c r="N210" s="35" t="n">
        <f aca="false">L210-M210</f>
        <v>532</v>
      </c>
      <c r="O210" s="4" t="n">
        <f aca="false">MONTH(B210)</f>
        <v>2</v>
      </c>
      <c r="P210" s="4" t="str">
        <f aca="false">CHOOSE(WEEKDAY(B210,2),"Mon","Tue","Wed","Thu","Fri","Sat","Sun")</f>
        <v>Tue</v>
      </c>
      <c r="Q210" s="4" t="str">
        <f aca="false">IF(WEEKDAY(B210,2)&gt;5,"Weekend","Weekday")</f>
        <v>Weekday</v>
      </c>
      <c r="R210" s="4" t="str">
        <f aca="false">IF(C210&lt;11,"Morning (7-10)",IF(C210&lt;14,"Lunch (11-13)",IF(C210&lt;18,"Afternoon (14-17)","Evening (18-20)")))</f>
        <v>Afternoon (14-17)</v>
      </c>
      <c r="S210" s="4" t="str">
        <f aca="false">IF(AND(O210&gt;=3,O210&lt;=5),"Hot Dry (Mar-May)",IF(AND(O210&gt;=6,O210&lt;=11),"Rainy (Jun-Nov)","Cool Dry (Dec-Feb)"))</f>
        <v>Cool Dry (Dec-Feb)</v>
      </c>
      <c r="T210" s="4" t="str">
        <f aca="false">CHOOSE(O210,"Jan","Feb","Mar","Apr","May","Jun","Jul","Aug","Sep","Oct","Nov","Dec")</f>
        <v>Feb</v>
      </c>
    </row>
    <row r="211" customFormat="false" ht="15" hidden="false" customHeight="false" outlineLevel="0" collapsed="false">
      <c r="A211" s="4" t="s">
        <v>367</v>
      </c>
      <c r="B211" s="17" t="n">
        <v>45707</v>
      </c>
      <c r="C211" s="4" t="n">
        <v>16</v>
      </c>
      <c r="D211" s="4" t="s">
        <v>64</v>
      </c>
      <c r="E211" s="4" t="s">
        <v>79</v>
      </c>
      <c r="F211" s="4" t="s">
        <v>80</v>
      </c>
      <c r="G211" s="4" t="n">
        <v>1</v>
      </c>
      <c r="H211" s="34" t="n">
        <v>160</v>
      </c>
      <c r="I211" s="18" t="n">
        <v>0</v>
      </c>
      <c r="J211" s="4" t="s">
        <v>76</v>
      </c>
      <c r="K211" s="4" t="s">
        <v>68</v>
      </c>
      <c r="L211" s="35" t="n">
        <f aca="false">G211*H211</f>
        <v>160</v>
      </c>
      <c r="M211" s="35" t="n">
        <f aca="false">L211*I211</f>
        <v>0</v>
      </c>
      <c r="N211" s="35" t="n">
        <f aca="false">L211-M211</f>
        <v>160</v>
      </c>
      <c r="O211" s="4" t="n">
        <f aca="false">MONTH(B211)</f>
        <v>2</v>
      </c>
      <c r="P211" s="4" t="str">
        <f aca="false">CHOOSE(WEEKDAY(B211,2),"Mon","Tue","Wed","Thu","Fri","Sat","Sun")</f>
        <v>Wed</v>
      </c>
      <c r="Q211" s="4" t="str">
        <f aca="false">IF(WEEKDAY(B211,2)&gt;5,"Weekend","Weekday")</f>
        <v>Weekday</v>
      </c>
      <c r="R211" s="4" t="str">
        <f aca="false">IF(C211&lt;11,"Morning (7-10)",IF(C211&lt;14,"Lunch (11-13)",IF(C211&lt;18,"Afternoon (14-17)","Evening (18-20)")))</f>
        <v>Afternoon (14-17)</v>
      </c>
      <c r="S211" s="4" t="str">
        <f aca="false">IF(AND(O211&gt;=3,O211&lt;=5),"Hot Dry (Mar-May)",IF(AND(O211&gt;=6,O211&lt;=11),"Rainy (Jun-Nov)","Cool Dry (Dec-Feb)"))</f>
        <v>Cool Dry (Dec-Feb)</v>
      </c>
      <c r="T211" s="4" t="str">
        <f aca="false">CHOOSE(O211,"Jan","Feb","Mar","Apr","May","Jun","Jul","Aug","Sep","Oct","Nov","Dec")</f>
        <v>Feb</v>
      </c>
    </row>
    <row r="212" customFormat="false" ht="15" hidden="false" customHeight="false" outlineLevel="0" collapsed="false">
      <c r="A212" s="4" t="s">
        <v>368</v>
      </c>
      <c r="B212" s="17" t="n">
        <v>45708</v>
      </c>
      <c r="C212" s="4" t="n">
        <v>8</v>
      </c>
      <c r="D212" s="4" t="s">
        <v>70</v>
      </c>
      <c r="E212" s="4" t="s">
        <v>99</v>
      </c>
      <c r="F212" s="4" t="s">
        <v>102</v>
      </c>
      <c r="G212" s="4" t="n">
        <v>3</v>
      </c>
      <c r="H212" s="34" t="n">
        <v>140</v>
      </c>
      <c r="I212" s="18" t="n">
        <v>0.05</v>
      </c>
      <c r="J212" s="4" t="s">
        <v>81</v>
      </c>
      <c r="K212" s="4" t="s">
        <v>82</v>
      </c>
      <c r="L212" s="35" t="n">
        <f aca="false">G212*H212</f>
        <v>420</v>
      </c>
      <c r="M212" s="35" t="n">
        <f aca="false">L212*I212</f>
        <v>21</v>
      </c>
      <c r="N212" s="35" t="n">
        <f aca="false">L212-M212</f>
        <v>399</v>
      </c>
      <c r="O212" s="4" t="n">
        <f aca="false">MONTH(B212)</f>
        <v>2</v>
      </c>
      <c r="P212" s="4" t="str">
        <f aca="false">CHOOSE(WEEKDAY(B212,2),"Mon","Tue","Wed","Thu","Fri","Sat","Sun")</f>
        <v>Thu</v>
      </c>
      <c r="Q212" s="4" t="str">
        <f aca="false">IF(WEEKDAY(B212,2)&gt;5,"Weekend","Weekday")</f>
        <v>Weekday</v>
      </c>
      <c r="R212" s="4" t="str">
        <f aca="false">IF(C212&lt;11,"Morning (7-10)",IF(C212&lt;14,"Lunch (11-13)",IF(C212&lt;18,"Afternoon (14-17)","Evening (18-20)")))</f>
        <v>Morning (7-10)</v>
      </c>
      <c r="S212" s="4" t="str">
        <f aca="false">IF(AND(O212&gt;=3,O212&lt;=5),"Hot Dry (Mar-May)",IF(AND(O212&gt;=6,O212&lt;=11),"Rainy (Jun-Nov)","Cool Dry (Dec-Feb)"))</f>
        <v>Cool Dry (Dec-Feb)</v>
      </c>
      <c r="T212" s="4" t="str">
        <f aca="false">CHOOSE(O212,"Jan","Feb","Mar","Apr","May","Jun","Jul","Aug","Sep","Oct","Nov","Dec")</f>
        <v>Feb</v>
      </c>
    </row>
    <row r="213" customFormat="false" ht="15" hidden="false" customHeight="false" outlineLevel="0" collapsed="false">
      <c r="A213" s="4" t="s">
        <v>369</v>
      </c>
      <c r="B213" s="17" t="n">
        <v>45708</v>
      </c>
      <c r="C213" s="4" t="n">
        <v>8</v>
      </c>
      <c r="D213" s="4" t="s">
        <v>70</v>
      </c>
      <c r="E213" s="4" t="s">
        <v>65</v>
      </c>
      <c r="F213" s="4" t="s">
        <v>87</v>
      </c>
      <c r="G213" s="4" t="n">
        <v>2</v>
      </c>
      <c r="H213" s="34" t="n">
        <v>160</v>
      </c>
      <c r="I213" s="18" t="n">
        <v>0.1</v>
      </c>
      <c r="J213" s="4" t="s">
        <v>88</v>
      </c>
      <c r="K213" s="4" t="s">
        <v>71</v>
      </c>
      <c r="L213" s="35" t="n">
        <f aca="false">G213*H213</f>
        <v>320</v>
      </c>
      <c r="M213" s="35" t="n">
        <f aca="false">L213*I213</f>
        <v>32</v>
      </c>
      <c r="N213" s="35" t="n">
        <f aca="false">L213-M213</f>
        <v>288</v>
      </c>
      <c r="O213" s="4" t="n">
        <f aca="false">MONTH(B213)</f>
        <v>2</v>
      </c>
      <c r="P213" s="4" t="str">
        <f aca="false">CHOOSE(WEEKDAY(B213,2),"Mon","Tue","Wed","Thu","Fri","Sat","Sun")</f>
        <v>Thu</v>
      </c>
      <c r="Q213" s="4" t="str">
        <f aca="false">IF(WEEKDAY(B213,2)&gt;5,"Weekend","Weekday")</f>
        <v>Weekday</v>
      </c>
      <c r="R213" s="4" t="str">
        <f aca="false">IF(C213&lt;11,"Morning (7-10)",IF(C213&lt;14,"Lunch (11-13)",IF(C213&lt;18,"Afternoon (14-17)","Evening (18-20)")))</f>
        <v>Morning (7-10)</v>
      </c>
      <c r="S213" s="4" t="str">
        <f aca="false">IF(AND(O213&gt;=3,O213&lt;=5),"Hot Dry (Mar-May)",IF(AND(O213&gt;=6,O213&lt;=11),"Rainy (Jun-Nov)","Cool Dry (Dec-Feb)"))</f>
        <v>Cool Dry (Dec-Feb)</v>
      </c>
      <c r="T213" s="4" t="str">
        <f aca="false">CHOOSE(O213,"Jan","Feb","Mar","Apr","May","Jun","Jul","Aug","Sep","Oct","Nov","Dec")</f>
        <v>Feb</v>
      </c>
    </row>
    <row r="214" customFormat="false" ht="15" hidden="false" customHeight="false" outlineLevel="0" collapsed="false">
      <c r="A214" s="4" t="s">
        <v>370</v>
      </c>
      <c r="B214" s="17" t="n">
        <v>45708</v>
      </c>
      <c r="C214" s="4" t="n">
        <v>15</v>
      </c>
      <c r="D214" s="4" t="s">
        <v>70</v>
      </c>
      <c r="E214" s="4" t="s">
        <v>99</v>
      </c>
      <c r="F214" s="4" t="s">
        <v>109</v>
      </c>
      <c r="G214" s="4" t="n">
        <v>1</v>
      </c>
      <c r="H214" s="34" t="n">
        <v>130</v>
      </c>
      <c r="I214" s="18" t="n">
        <v>0</v>
      </c>
      <c r="J214" s="4" t="s">
        <v>88</v>
      </c>
      <c r="K214" s="4" t="s">
        <v>68</v>
      </c>
      <c r="L214" s="35" t="n">
        <f aca="false">G214*H214</f>
        <v>130</v>
      </c>
      <c r="M214" s="35" t="n">
        <f aca="false">L214*I214</f>
        <v>0</v>
      </c>
      <c r="N214" s="35" t="n">
        <f aca="false">L214-M214</f>
        <v>130</v>
      </c>
      <c r="O214" s="4" t="n">
        <f aca="false">MONTH(B214)</f>
        <v>2</v>
      </c>
      <c r="P214" s="4" t="str">
        <f aca="false">CHOOSE(WEEKDAY(B214,2),"Mon","Tue","Wed","Thu","Fri","Sat","Sun")</f>
        <v>Thu</v>
      </c>
      <c r="Q214" s="4" t="str">
        <f aca="false">IF(WEEKDAY(B214,2)&gt;5,"Weekend","Weekday")</f>
        <v>Weekday</v>
      </c>
      <c r="R214" s="4" t="str">
        <f aca="false">IF(C214&lt;11,"Morning (7-10)",IF(C214&lt;14,"Lunch (11-13)",IF(C214&lt;18,"Afternoon (14-17)","Evening (18-20)")))</f>
        <v>Afternoon (14-17)</v>
      </c>
      <c r="S214" s="4" t="str">
        <f aca="false">IF(AND(O214&gt;=3,O214&lt;=5),"Hot Dry (Mar-May)",IF(AND(O214&gt;=6,O214&lt;=11),"Rainy (Jun-Nov)","Cool Dry (Dec-Feb)"))</f>
        <v>Cool Dry (Dec-Feb)</v>
      </c>
      <c r="T214" s="4" t="str">
        <f aca="false">CHOOSE(O214,"Jan","Feb","Mar","Apr","May","Jun","Jul","Aug","Sep","Oct","Nov","Dec")</f>
        <v>Feb</v>
      </c>
    </row>
    <row r="215" customFormat="false" ht="15" hidden="false" customHeight="false" outlineLevel="0" collapsed="false">
      <c r="A215" s="4" t="s">
        <v>372</v>
      </c>
      <c r="B215" s="17" t="n">
        <v>45708</v>
      </c>
      <c r="C215" s="4" t="n">
        <v>17</v>
      </c>
      <c r="D215" s="4" t="s">
        <v>64</v>
      </c>
      <c r="E215" s="4" t="s">
        <v>99</v>
      </c>
      <c r="F215" s="4" t="s">
        <v>109</v>
      </c>
      <c r="G215" s="4" t="n">
        <v>1</v>
      </c>
      <c r="H215" s="34" t="n">
        <v>130</v>
      </c>
      <c r="I215" s="18" t="n">
        <v>0</v>
      </c>
      <c r="J215" s="4" t="s">
        <v>81</v>
      </c>
      <c r="K215" s="4" t="s">
        <v>77</v>
      </c>
      <c r="L215" s="35" t="n">
        <f aca="false">G215*H215</f>
        <v>130</v>
      </c>
      <c r="M215" s="35" t="n">
        <f aca="false">L215*I215</f>
        <v>0</v>
      </c>
      <c r="N215" s="35" t="n">
        <f aca="false">L215-M215</f>
        <v>130</v>
      </c>
      <c r="O215" s="4" t="n">
        <f aca="false">MONTH(B215)</f>
        <v>2</v>
      </c>
      <c r="P215" s="4" t="str">
        <f aca="false">CHOOSE(WEEKDAY(B215,2),"Mon","Tue","Wed","Thu","Fri","Sat","Sun")</f>
        <v>Thu</v>
      </c>
      <c r="Q215" s="4" t="str">
        <f aca="false">IF(WEEKDAY(B215,2)&gt;5,"Weekend","Weekday")</f>
        <v>Weekday</v>
      </c>
      <c r="R215" s="4" t="str">
        <f aca="false">IF(C215&lt;11,"Morning (7-10)",IF(C215&lt;14,"Lunch (11-13)",IF(C215&lt;18,"Afternoon (14-17)","Evening (18-20)")))</f>
        <v>Afternoon (14-17)</v>
      </c>
      <c r="S215" s="4" t="str">
        <f aca="false">IF(AND(O215&gt;=3,O215&lt;=5),"Hot Dry (Mar-May)",IF(AND(O215&gt;=6,O215&lt;=11),"Rainy (Jun-Nov)","Cool Dry (Dec-Feb)"))</f>
        <v>Cool Dry (Dec-Feb)</v>
      </c>
      <c r="T215" s="4" t="str">
        <f aca="false">CHOOSE(O215,"Jan","Feb","Mar","Apr","May","Jun","Jul","Aug","Sep","Oct","Nov","Dec")</f>
        <v>Feb</v>
      </c>
    </row>
    <row r="216" customFormat="false" ht="15" hidden="false" customHeight="false" outlineLevel="0" collapsed="false">
      <c r="A216" s="4" t="s">
        <v>374</v>
      </c>
      <c r="B216" s="17" t="n">
        <v>45709</v>
      </c>
      <c r="C216" s="4" t="n">
        <v>7</v>
      </c>
      <c r="D216" s="4" t="s">
        <v>70</v>
      </c>
      <c r="E216" s="4" t="s">
        <v>74</v>
      </c>
      <c r="F216" s="4" t="s">
        <v>75</v>
      </c>
      <c r="G216" s="4" t="n">
        <v>1</v>
      </c>
      <c r="H216" s="34" t="n">
        <v>220</v>
      </c>
      <c r="I216" s="18" t="n">
        <v>0</v>
      </c>
      <c r="J216" s="4" t="s">
        <v>88</v>
      </c>
      <c r="K216" s="4" t="s">
        <v>68</v>
      </c>
      <c r="L216" s="35" t="n">
        <f aca="false">G216*H216</f>
        <v>220</v>
      </c>
      <c r="M216" s="35" t="n">
        <f aca="false">L216*I216</f>
        <v>0</v>
      </c>
      <c r="N216" s="35" t="n">
        <f aca="false">L216-M216</f>
        <v>220</v>
      </c>
      <c r="O216" s="4" t="n">
        <f aca="false">MONTH(B216)</f>
        <v>2</v>
      </c>
      <c r="P216" s="4" t="str">
        <f aca="false">CHOOSE(WEEKDAY(B216,2),"Mon","Tue","Wed","Thu","Fri","Sat","Sun")</f>
        <v>Fri</v>
      </c>
      <c r="Q216" s="4" t="str">
        <f aca="false">IF(WEEKDAY(B216,2)&gt;5,"Weekend","Weekday")</f>
        <v>Weekday</v>
      </c>
      <c r="R216" s="4" t="str">
        <f aca="false">IF(C216&lt;11,"Morning (7-10)",IF(C216&lt;14,"Lunch (11-13)",IF(C216&lt;18,"Afternoon (14-17)","Evening (18-20)")))</f>
        <v>Morning (7-10)</v>
      </c>
      <c r="S216" s="4" t="str">
        <f aca="false">IF(AND(O216&gt;=3,O216&lt;=5),"Hot Dry (Mar-May)",IF(AND(O216&gt;=6,O216&lt;=11),"Rainy (Jun-Nov)","Cool Dry (Dec-Feb)"))</f>
        <v>Cool Dry (Dec-Feb)</v>
      </c>
      <c r="T216" s="4" t="str">
        <f aca="false">CHOOSE(O216,"Jan","Feb","Mar","Apr","May","Jun","Jul","Aug","Sep","Oct","Nov","Dec")</f>
        <v>Feb</v>
      </c>
    </row>
    <row r="217" customFormat="false" ht="15" hidden="false" customHeight="false" outlineLevel="0" collapsed="false">
      <c r="A217" s="4" t="s">
        <v>375</v>
      </c>
      <c r="B217" s="17" t="n">
        <v>45709</v>
      </c>
      <c r="C217" s="4" t="n">
        <v>8</v>
      </c>
      <c r="D217" s="4" t="s">
        <v>70</v>
      </c>
      <c r="E217" s="4" t="s">
        <v>99</v>
      </c>
      <c r="F217" s="4" t="s">
        <v>133</v>
      </c>
      <c r="G217" s="4" t="n">
        <v>1</v>
      </c>
      <c r="H217" s="34" t="n">
        <v>90</v>
      </c>
      <c r="I217" s="18" t="n">
        <v>0.2</v>
      </c>
      <c r="J217" s="4" t="s">
        <v>81</v>
      </c>
      <c r="K217" s="4" t="s">
        <v>68</v>
      </c>
      <c r="L217" s="35" t="n">
        <f aca="false">G217*H217</f>
        <v>90</v>
      </c>
      <c r="M217" s="35" t="n">
        <f aca="false">L217*I217</f>
        <v>18</v>
      </c>
      <c r="N217" s="35" t="n">
        <f aca="false">L217-M217</f>
        <v>72</v>
      </c>
      <c r="O217" s="4" t="n">
        <f aca="false">MONTH(B217)</f>
        <v>2</v>
      </c>
      <c r="P217" s="4" t="str">
        <f aca="false">CHOOSE(WEEKDAY(B217,2),"Mon","Tue","Wed","Thu","Fri","Sat","Sun")</f>
        <v>Fri</v>
      </c>
      <c r="Q217" s="4" t="str">
        <f aca="false">IF(WEEKDAY(B217,2)&gt;5,"Weekend","Weekday")</f>
        <v>Weekday</v>
      </c>
      <c r="R217" s="4" t="str">
        <f aca="false">IF(C217&lt;11,"Morning (7-10)",IF(C217&lt;14,"Lunch (11-13)",IF(C217&lt;18,"Afternoon (14-17)","Evening (18-20)")))</f>
        <v>Morning (7-10)</v>
      </c>
      <c r="S217" s="4" t="str">
        <f aca="false">IF(AND(O217&gt;=3,O217&lt;=5),"Hot Dry (Mar-May)",IF(AND(O217&gt;=6,O217&lt;=11),"Rainy (Jun-Nov)","Cool Dry (Dec-Feb)"))</f>
        <v>Cool Dry (Dec-Feb)</v>
      </c>
      <c r="T217" s="4" t="str">
        <f aca="false">CHOOSE(O217,"Jan","Feb","Mar","Apr","May","Jun","Jul","Aug","Sep","Oct","Nov","Dec")</f>
        <v>Feb</v>
      </c>
    </row>
    <row r="218" customFormat="false" ht="15" hidden="false" customHeight="false" outlineLevel="0" collapsed="false">
      <c r="A218" s="4" t="s">
        <v>376</v>
      </c>
      <c r="B218" s="17" t="n">
        <v>45709</v>
      </c>
      <c r="C218" s="4" t="n">
        <v>9</v>
      </c>
      <c r="D218" s="4" t="s">
        <v>70</v>
      </c>
      <c r="E218" s="4" t="s">
        <v>79</v>
      </c>
      <c r="F218" s="4" t="s">
        <v>80</v>
      </c>
      <c r="G218" s="4" t="n">
        <v>1</v>
      </c>
      <c r="H218" s="34" t="n">
        <v>160</v>
      </c>
      <c r="I218" s="18" t="n">
        <v>0</v>
      </c>
      <c r="J218" s="4" t="s">
        <v>67</v>
      </c>
      <c r="K218" s="4" t="s">
        <v>68</v>
      </c>
      <c r="L218" s="35" t="n">
        <f aca="false">G218*H218</f>
        <v>160</v>
      </c>
      <c r="M218" s="35" t="n">
        <f aca="false">L218*I218</f>
        <v>0</v>
      </c>
      <c r="N218" s="35" t="n">
        <f aca="false">L218-M218</f>
        <v>160</v>
      </c>
      <c r="O218" s="4" t="n">
        <f aca="false">MONTH(B218)</f>
        <v>2</v>
      </c>
      <c r="P218" s="4" t="str">
        <f aca="false">CHOOSE(WEEKDAY(B218,2),"Mon","Tue","Wed","Thu","Fri","Sat","Sun")</f>
        <v>Fri</v>
      </c>
      <c r="Q218" s="4" t="str">
        <f aca="false">IF(WEEKDAY(B218,2)&gt;5,"Weekend","Weekday")</f>
        <v>Weekday</v>
      </c>
      <c r="R218" s="4" t="str">
        <f aca="false">IF(C218&lt;11,"Morning (7-10)",IF(C218&lt;14,"Lunch (11-13)",IF(C218&lt;18,"Afternoon (14-17)","Evening (18-20)")))</f>
        <v>Morning (7-10)</v>
      </c>
      <c r="S218" s="4" t="str">
        <f aca="false">IF(AND(O218&gt;=3,O218&lt;=5),"Hot Dry (Mar-May)",IF(AND(O218&gt;=6,O218&lt;=11),"Rainy (Jun-Nov)","Cool Dry (Dec-Feb)"))</f>
        <v>Cool Dry (Dec-Feb)</v>
      </c>
      <c r="T218" s="4" t="str">
        <f aca="false">CHOOSE(O218,"Jan","Feb","Mar","Apr","May","Jun","Jul","Aug","Sep","Oct","Nov","Dec")</f>
        <v>Feb</v>
      </c>
    </row>
    <row r="219" customFormat="false" ht="15" hidden="false" customHeight="false" outlineLevel="0" collapsed="false">
      <c r="A219" s="4" t="s">
        <v>377</v>
      </c>
      <c r="B219" s="17" t="n">
        <v>45709</v>
      </c>
      <c r="C219" s="4" t="n">
        <v>11</v>
      </c>
      <c r="D219" s="4" t="s">
        <v>64</v>
      </c>
      <c r="E219" s="4" t="s">
        <v>65</v>
      </c>
      <c r="F219" s="4" t="s">
        <v>94</v>
      </c>
      <c r="G219" s="4" t="n">
        <v>4</v>
      </c>
      <c r="H219" s="34" t="n">
        <v>150</v>
      </c>
      <c r="I219" s="18" t="n">
        <v>0</v>
      </c>
      <c r="J219" s="4" t="s">
        <v>81</v>
      </c>
      <c r="K219" s="4" t="s">
        <v>68</v>
      </c>
      <c r="L219" s="35" t="n">
        <f aca="false">G219*H219</f>
        <v>600</v>
      </c>
      <c r="M219" s="35" t="n">
        <f aca="false">L219*I219</f>
        <v>0</v>
      </c>
      <c r="N219" s="35" t="n">
        <f aca="false">L219-M219</f>
        <v>600</v>
      </c>
      <c r="O219" s="4" t="n">
        <f aca="false">MONTH(B219)</f>
        <v>2</v>
      </c>
      <c r="P219" s="4" t="str">
        <f aca="false">CHOOSE(WEEKDAY(B219,2),"Mon","Tue","Wed","Thu","Fri","Sat","Sun")</f>
        <v>Fri</v>
      </c>
      <c r="Q219" s="4" t="str">
        <f aca="false">IF(WEEKDAY(B219,2)&gt;5,"Weekend","Weekday")</f>
        <v>Weekday</v>
      </c>
      <c r="R219" s="4" t="str">
        <f aca="false">IF(C219&lt;11,"Morning (7-10)",IF(C219&lt;14,"Lunch (11-13)",IF(C219&lt;18,"Afternoon (14-17)","Evening (18-20)")))</f>
        <v>Lunch (11-13)</v>
      </c>
      <c r="S219" s="4" t="str">
        <f aca="false">IF(AND(O219&gt;=3,O219&lt;=5),"Hot Dry (Mar-May)",IF(AND(O219&gt;=6,O219&lt;=11),"Rainy (Jun-Nov)","Cool Dry (Dec-Feb)"))</f>
        <v>Cool Dry (Dec-Feb)</v>
      </c>
      <c r="T219" s="4" t="str">
        <f aca="false">CHOOSE(O219,"Jan","Feb","Mar","Apr","May","Jun","Jul","Aug","Sep","Oct","Nov","Dec")</f>
        <v>Feb</v>
      </c>
    </row>
    <row r="220" customFormat="false" ht="15" hidden="false" customHeight="false" outlineLevel="0" collapsed="false">
      <c r="A220" s="4" t="s">
        <v>378</v>
      </c>
      <c r="B220" s="17" t="n">
        <v>45710</v>
      </c>
      <c r="C220" s="4" t="n">
        <v>8</v>
      </c>
      <c r="D220" s="4" t="s">
        <v>98</v>
      </c>
      <c r="E220" s="4" t="s">
        <v>79</v>
      </c>
      <c r="F220" s="4" t="s">
        <v>80</v>
      </c>
      <c r="G220" s="4" t="n">
        <v>1</v>
      </c>
      <c r="H220" s="34" t="n">
        <v>160</v>
      </c>
      <c r="I220" s="18" t="n">
        <v>0.1</v>
      </c>
      <c r="J220" s="4" t="s">
        <v>112</v>
      </c>
      <c r="K220" s="4" t="s">
        <v>71</v>
      </c>
      <c r="L220" s="35" t="n">
        <f aca="false">G220*H220</f>
        <v>160</v>
      </c>
      <c r="M220" s="35" t="n">
        <f aca="false">L220*I220</f>
        <v>16</v>
      </c>
      <c r="N220" s="35" t="n">
        <f aca="false">L220-M220</f>
        <v>144</v>
      </c>
      <c r="O220" s="4" t="n">
        <f aca="false">MONTH(B220)</f>
        <v>2</v>
      </c>
      <c r="P220" s="4" t="str">
        <f aca="false">CHOOSE(WEEKDAY(B220,2),"Mon","Tue","Wed","Thu","Fri","Sat","Sun")</f>
        <v>Sat</v>
      </c>
      <c r="Q220" s="4" t="str">
        <f aca="false">IF(WEEKDAY(B220,2)&gt;5,"Weekend","Weekday")</f>
        <v>Weekend</v>
      </c>
      <c r="R220" s="4" t="str">
        <f aca="false">IF(C220&lt;11,"Morning (7-10)",IF(C220&lt;14,"Lunch (11-13)",IF(C220&lt;18,"Afternoon (14-17)","Evening (18-20)")))</f>
        <v>Morning (7-10)</v>
      </c>
      <c r="S220" s="4" t="str">
        <f aca="false">IF(AND(O220&gt;=3,O220&lt;=5),"Hot Dry (Mar-May)",IF(AND(O220&gt;=6,O220&lt;=11),"Rainy (Jun-Nov)","Cool Dry (Dec-Feb)"))</f>
        <v>Cool Dry (Dec-Feb)</v>
      </c>
      <c r="T220" s="4" t="str">
        <f aca="false">CHOOSE(O220,"Jan","Feb","Mar","Apr","May","Jun","Jul","Aug","Sep","Oct","Nov","Dec")</f>
        <v>Feb</v>
      </c>
    </row>
    <row r="221" customFormat="false" ht="15" hidden="false" customHeight="false" outlineLevel="0" collapsed="false">
      <c r="A221" s="4" t="s">
        <v>379</v>
      </c>
      <c r="B221" s="17" t="n">
        <v>45710</v>
      </c>
      <c r="C221" s="4" t="n">
        <v>12</v>
      </c>
      <c r="D221" s="4" t="s">
        <v>70</v>
      </c>
      <c r="E221" s="4" t="s">
        <v>74</v>
      </c>
      <c r="F221" s="4" t="s">
        <v>91</v>
      </c>
      <c r="G221" s="4" t="n">
        <v>1</v>
      </c>
      <c r="H221" s="34" t="n">
        <v>200</v>
      </c>
      <c r="I221" s="18" t="n">
        <v>0</v>
      </c>
      <c r="J221" s="4" t="s">
        <v>67</v>
      </c>
      <c r="K221" s="4" t="s">
        <v>68</v>
      </c>
      <c r="L221" s="35" t="n">
        <f aca="false">G221*H221</f>
        <v>200</v>
      </c>
      <c r="M221" s="35" t="n">
        <f aca="false">L221*I221</f>
        <v>0</v>
      </c>
      <c r="N221" s="35" t="n">
        <f aca="false">L221-M221</f>
        <v>200</v>
      </c>
      <c r="O221" s="4" t="n">
        <f aca="false">MONTH(B221)</f>
        <v>2</v>
      </c>
      <c r="P221" s="4" t="str">
        <f aca="false">CHOOSE(WEEKDAY(B221,2),"Mon","Tue","Wed","Thu","Fri","Sat","Sun")</f>
        <v>Sat</v>
      </c>
      <c r="Q221" s="4" t="str">
        <f aca="false">IF(WEEKDAY(B221,2)&gt;5,"Weekend","Weekday")</f>
        <v>Weekend</v>
      </c>
      <c r="R221" s="4" t="str">
        <f aca="false">IF(C221&lt;11,"Morning (7-10)",IF(C221&lt;14,"Lunch (11-13)",IF(C221&lt;18,"Afternoon (14-17)","Evening (18-20)")))</f>
        <v>Lunch (11-13)</v>
      </c>
      <c r="S221" s="4" t="str">
        <f aca="false">IF(AND(O221&gt;=3,O221&lt;=5),"Hot Dry (Mar-May)",IF(AND(O221&gt;=6,O221&lt;=11),"Rainy (Jun-Nov)","Cool Dry (Dec-Feb)"))</f>
        <v>Cool Dry (Dec-Feb)</v>
      </c>
      <c r="T221" s="4" t="str">
        <f aca="false">CHOOSE(O221,"Jan","Feb","Mar","Apr","May","Jun","Jul","Aug","Sep","Oct","Nov","Dec")</f>
        <v>Feb</v>
      </c>
    </row>
    <row r="222" customFormat="false" ht="15" hidden="false" customHeight="false" outlineLevel="0" collapsed="false">
      <c r="A222" s="4" t="s">
        <v>380</v>
      </c>
      <c r="B222" s="17" t="n">
        <v>45710</v>
      </c>
      <c r="C222" s="4" t="n">
        <v>12</v>
      </c>
      <c r="D222" s="4" t="s">
        <v>98</v>
      </c>
      <c r="E222" s="4" t="s">
        <v>79</v>
      </c>
      <c r="F222" s="4" t="s">
        <v>148</v>
      </c>
      <c r="G222" s="4" t="n">
        <v>1</v>
      </c>
      <c r="H222" s="34" t="n">
        <v>120</v>
      </c>
      <c r="I222" s="18" t="n">
        <v>0</v>
      </c>
      <c r="J222" s="4" t="s">
        <v>81</v>
      </c>
      <c r="K222" s="4" t="s">
        <v>68</v>
      </c>
      <c r="L222" s="35" t="n">
        <f aca="false">G222*H222</f>
        <v>120</v>
      </c>
      <c r="M222" s="35" t="n">
        <f aca="false">L222*I222</f>
        <v>0</v>
      </c>
      <c r="N222" s="35" t="n">
        <f aca="false">L222-M222</f>
        <v>120</v>
      </c>
      <c r="O222" s="4" t="n">
        <f aca="false">MONTH(B222)</f>
        <v>2</v>
      </c>
      <c r="P222" s="4" t="str">
        <f aca="false">CHOOSE(WEEKDAY(B222,2),"Mon","Tue","Wed","Thu","Fri","Sat","Sun")</f>
        <v>Sat</v>
      </c>
      <c r="Q222" s="4" t="str">
        <f aca="false">IF(WEEKDAY(B222,2)&gt;5,"Weekend","Weekday")</f>
        <v>Weekend</v>
      </c>
      <c r="R222" s="4" t="str">
        <f aca="false">IF(C222&lt;11,"Morning (7-10)",IF(C222&lt;14,"Lunch (11-13)",IF(C222&lt;18,"Afternoon (14-17)","Evening (18-20)")))</f>
        <v>Lunch (11-13)</v>
      </c>
      <c r="S222" s="4" t="str">
        <f aca="false">IF(AND(O222&gt;=3,O222&lt;=5),"Hot Dry (Mar-May)",IF(AND(O222&gt;=6,O222&lt;=11),"Rainy (Jun-Nov)","Cool Dry (Dec-Feb)"))</f>
        <v>Cool Dry (Dec-Feb)</v>
      </c>
      <c r="T222" s="4" t="str">
        <f aca="false">CHOOSE(O222,"Jan","Feb","Mar","Apr","May","Jun","Jul","Aug","Sep","Oct","Nov","Dec")</f>
        <v>Feb</v>
      </c>
    </row>
    <row r="223" customFormat="false" ht="15" hidden="false" customHeight="false" outlineLevel="0" collapsed="false">
      <c r="A223" s="4" t="s">
        <v>381</v>
      </c>
      <c r="B223" s="17" t="n">
        <v>45710</v>
      </c>
      <c r="C223" s="4" t="n">
        <v>13</v>
      </c>
      <c r="D223" s="4" t="s">
        <v>73</v>
      </c>
      <c r="E223" s="4" t="s">
        <v>74</v>
      </c>
      <c r="F223" s="4" t="s">
        <v>139</v>
      </c>
      <c r="G223" s="4" t="n">
        <v>2</v>
      </c>
      <c r="H223" s="34" t="n">
        <v>260</v>
      </c>
      <c r="I223" s="18" t="n">
        <v>0</v>
      </c>
      <c r="J223" s="4" t="s">
        <v>81</v>
      </c>
      <c r="K223" s="4" t="s">
        <v>77</v>
      </c>
      <c r="L223" s="35" t="n">
        <f aca="false">G223*H223</f>
        <v>520</v>
      </c>
      <c r="M223" s="35" t="n">
        <f aca="false">L223*I223</f>
        <v>0</v>
      </c>
      <c r="N223" s="35" t="n">
        <f aca="false">L223-M223</f>
        <v>520</v>
      </c>
      <c r="O223" s="4" t="n">
        <f aca="false">MONTH(B223)</f>
        <v>2</v>
      </c>
      <c r="P223" s="4" t="str">
        <f aca="false">CHOOSE(WEEKDAY(B223,2),"Mon","Tue","Wed","Thu","Fri","Sat","Sun")</f>
        <v>Sat</v>
      </c>
      <c r="Q223" s="4" t="str">
        <f aca="false">IF(WEEKDAY(B223,2)&gt;5,"Weekend","Weekday")</f>
        <v>Weekend</v>
      </c>
      <c r="R223" s="4" t="str">
        <f aca="false">IF(C223&lt;11,"Morning (7-10)",IF(C223&lt;14,"Lunch (11-13)",IF(C223&lt;18,"Afternoon (14-17)","Evening (18-20)")))</f>
        <v>Lunch (11-13)</v>
      </c>
      <c r="S223" s="4" t="str">
        <f aca="false">IF(AND(O223&gt;=3,O223&lt;=5),"Hot Dry (Mar-May)",IF(AND(O223&gt;=6,O223&lt;=11),"Rainy (Jun-Nov)","Cool Dry (Dec-Feb)"))</f>
        <v>Cool Dry (Dec-Feb)</v>
      </c>
      <c r="T223" s="4" t="str">
        <f aca="false">CHOOSE(O223,"Jan","Feb","Mar","Apr","May","Jun","Jul","Aug","Sep","Oct","Nov","Dec")</f>
        <v>Feb</v>
      </c>
    </row>
    <row r="224" customFormat="false" ht="15" hidden="false" customHeight="false" outlineLevel="0" collapsed="false">
      <c r="A224" s="4" t="s">
        <v>382</v>
      </c>
      <c r="B224" s="17" t="n">
        <v>45710</v>
      </c>
      <c r="C224" s="4" t="n">
        <v>13</v>
      </c>
      <c r="D224" s="4" t="s">
        <v>73</v>
      </c>
      <c r="E224" s="4" t="s">
        <v>74</v>
      </c>
      <c r="F224" s="4" t="s">
        <v>139</v>
      </c>
      <c r="G224" s="4" t="n">
        <v>1</v>
      </c>
      <c r="H224" s="34" t="n">
        <v>260</v>
      </c>
      <c r="I224" s="18" t="n">
        <v>0.05</v>
      </c>
      <c r="J224" s="4" t="s">
        <v>67</v>
      </c>
      <c r="K224" s="4" t="s">
        <v>82</v>
      </c>
      <c r="L224" s="35" t="n">
        <f aca="false">G224*H224</f>
        <v>260</v>
      </c>
      <c r="M224" s="35" t="n">
        <f aca="false">L224*I224</f>
        <v>13</v>
      </c>
      <c r="N224" s="35" t="n">
        <f aca="false">L224-M224</f>
        <v>247</v>
      </c>
      <c r="O224" s="4" t="n">
        <f aca="false">MONTH(B224)</f>
        <v>2</v>
      </c>
      <c r="P224" s="4" t="str">
        <f aca="false">CHOOSE(WEEKDAY(B224,2),"Mon","Tue","Wed","Thu","Fri","Sat","Sun")</f>
        <v>Sat</v>
      </c>
      <c r="Q224" s="4" t="str">
        <f aca="false">IF(WEEKDAY(B224,2)&gt;5,"Weekend","Weekday")</f>
        <v>Weekend</v>
      </c>
      <c r="R224" s="4" t="str">
        <f aca="false">IF(C224&lt;11,"Morning (7-10)",IF(C224&lt;14,"Lunch (11-13)",IF(C224&lt;18,"Afternoon (14-17)","Evening (18-20)")))</f>
        <v>Lunch (11-13)</v>
      </c>
      <c r="S224" s="4" t="str">
        <f aca="false">IF(AND(O224&gt;=3,O224&lt;=5),"Hot Dry (Mar-May)",IF(AND(O224&gt;=6,O224&lt;=11),"Rainy (Jun-Nov)","Cool Dry (Dec-Feb)"))</f>
        <v>Cool Dry (Dec-Feb)</v>
      </c>
      <c r="T224" s="4" t="str">
        <f aca="false">CHOOSE(O224,"Jan","Feb","Mar","Apr","May","Jun","Jul","Aug","Sep","Oct","Nov","Dec")</f>
        <v>Feb</v>
      </c>
    </row>
    <row r="225" customFormat="false" ht="15" hidden="false" customHeight="false" outlineLevel="0" collapsed="false">
      <c r="A225" s="4" t="s">
        <v>383</v>
      </c>
      <c r="B225" s="17" t="n">
        <v>45711</v>
      </c>
      <c r="C225" s="4" t="n">
        <v>15</v>
      </c>
      <c r="D225" s="4" t="s">
        <v>70</v>
      </c>
      <c r="E225" s="4" t="s">
        <v>99</v>
      </c>
      <c r="F225" s="4" t="s">
        <v>109</v>
      </c>
      <c r="G225" s="4" t="n">
        <v>2</v>
      </c>
      <c r="H225" s="34" t="n">
        <v>130</v>
      </c>
      <c r="I225" s="18" t="n">
        <v>0.05</v>
      </c>
      <c r="J225" s="4" t="s">
        <v>67</v>
      </c>
      <c r="K225" s="4" t="s">
        <v>82</v>
      </c>
      <c r="L225" s="35" t="n">
        <f aca="false">G225*H225</f>
        <v>260</v>
      </c>
      <c r="M225" s="35" t="n">
        <f aca="false">L225*I225</f>
        <v>13</v>
      </c>
      <c r="N225" s="35" t="n">
        <f aca="false">L225-M225</f>
        <v>247</v>
      </c>
      <c r="O225" s="4" t="n">
        <f aca="false">MONTH(B225)</f>
        <v>2</v>
      </c>
      <c r="P225" s="4" t="str">
        <f aca="false">CHOOSE(WEEKDAY(B225,2),"Mon","Tue","Wed","Thu","Fri","Sat","Sun")</f>
        <v>Sun</v>
      </c>
      <c r="Q225" s="4" t="str">
        <f aca="false">IF(WEEKDAY(B225,2)&gt;5,"Weekend","Weekday")</f>
        <v>Weekend</v>
      </c>
      <c r="R225" s="4" t="str">
        <f aca="false">IF(C225&lt;11,"Morning (7-10)",IF(C225&lt;14,"Lunch (11-13)",IF(C225&lt;18,"Afternoon (14-17)","Evening (18-20)")))</f>
        <v>Afternoon (14-17)</v>
      </c>
      <c r="S225" s="4" t="str">
        <f aca="false">IF(AND(O225&gt;=3,O225&lt;=5),"Hot Dry (Mar-May)",IF(AND(O225&gt;=6,O225&lt;=11),"Rainy (Jun-Nov)","Cool Dry (Dec-Feb)"))</f>
        <v>Cool Dry (Dec-Feb)</v>
      </c>
      <c r="T225" s="4" t="str">
        <f aca="false">CHOOSE(O225,"Jan","Feb","Mar","Apr","May","Jun","Jul","Aug","Sep","Oct","Nov","Dec")</f>
        <v>Feb</v>
      </c>
    </row>
    <row r="226" customFormat="false" ht="15" hidden="false" customHeight="false" outlineLevel="0" collapsed="false">
      <c r="A226" s="4" t="s">
        <v>384</v>
      </c>
      <c r="B226" s="17" t="n">
        <v>45711</v>
      </c>
      <c r="C226" s="4" t="n">
        <v>15</v>
      </c>
      <c r="D226" s="4" t="s">
        <v>70</v>
      </c>
      <c r="E226" s="4" t="s">
        <v>84</v>
      </c>
      <c r="F226" s="4" t="s">
        <v>117</v>
      </c>
      <c r="G226" s="4" t="n">
        <v>1</v>
      </c>
      <c r="H226" s="34" t="n">
        <v>95</v>
      </c>
      <c r="I226" s="18" t="n">
        <v>0.2</v>
      </c>
      <c r="J226" s="4" t="s">
        <v>67</v>
      </c>
      <c r="K226" s="4" t="s">
        <v>77</v>
      </c>
      <c r="L226" s="35" t="n">
        <f aca="false">G226*H226</f>
        <v>95</v>
      </c>
      <c r="M226" s="35" t="n">
        <f aca="false">L226*I226</f>
        <v>19</v>
      </c>
      <c r="N226" s="35" t="n">
        <f aca="false">L226-M226</f>
        <v>76</v>
      </c>
      <c r="O226" s="4" t="n">
        <f aca="false">MONTH(B226)</f>
        <v>2</v>
      </c>
      <c r="P226" s="4" t="str">
        <f aca="false">CHOOSE(WEEKDAY(B226,2),"Mon","Tue","Wed","Thu","Fri","Sat","Sun")</f>
        <v>Sun</v>
      </c>
      <c r="Q226" s="4" t="str">
        <f aca="false">IF(WEEKDAY(B226,2)&gt;5,"Weekend","Weekday")</f>
        <v>Weekend</v>
      </c>
      <c r="R226" s="4" t="str">
        <f aca="false">IF(C226&lt;11,"Morning (7-10)",IF(C226&lt;14,"Lunch (11-13)",IF(C226&lt;18,"Afternoon (14-17)","Evening (18-20)")))</f>
        <v>Afternoon (14-17)</v>
      </c>
      <c r="S226" s="4" t="str">
        <f aca="false">IF(AND(O226&gt;=3,O226&lt;=5),"Hot Dry (Mar-May)",IF(AND(O226&gt;=6,O226&lt;=11),"Rainy (Jun-Nov)","Cool Dry (Dec-Feb)"))</f>
        <v>Cool Dry (Dec-Feb)</v>
      </c>
      <c r="T226" s="4" t="str">
        <f aca="false">CHOOSE(O226,"Jan","Feb","Mar","Apr","May","Jun","Jul","Aug","Sep","Oct","Nov","Dec")</f>
        <v>Feb</v>
      </c>
    </row>
    <row r="227" customFormat="false" ht="15" hidden="false" customHeight="false" outlineLevel="0" collapsed="false">
      <c r="A227" s="4" t="s">
        <v>385</v>
      </c>
      <c r="B227" s="17" t="n">
        <v>45711</v>
      </c>
      <c r="C227" s="4" t="n">
        <v>18</v>
      </c>
      <c r="D227" s="4" t="s">
        <v>64</v>
      </c>
      <c r="E227" s="4" t="s">
        <v>99</v>
      </c>
      <c r="F227" s="4" t="s">
        <v>102</v>
      </c>
      <c r="G227" s="4" t="n">
        <v>1</v>
      </c>
      <c r="H227" s="34" t="n">
        <v>140</v>
      </c>
      <c r="I227" s="18" t="n">
        <v>0</v>
      </c>
      <c r="J227" s="4" t="s">
        <v>112</v>
      </c>
      <c r="K227" s="4" t="s">
        <v>77</v>
      </c>
      <c r="L227" s="35" t="n">
        <f aca="false">G227*H227</f>
        <v>140</v>
      </c>
      <c r="M227" s="35" t="n">
        <f aca="false">L227*I227</f>
        <v>0</v>
      </c>
      <c r="N227" s="35" t="n">
        <f aca="false">L227-M227</f>
        <v>140</v>
      </c>
      <c r="O227" s="4" t="n">
        <f aca="false">MONTH(B227)</f>
        <v>2</v>
      </c>
      <c r="P227" s="4" t="str">
        <f aca="false">CHOOSE(WEEKDAY(B227,2),"Mon","Tue","Wed","Thu","Fri","Sat","Sun")</f>
        <v>Sun</v>
      </c>
      <c r="Q227" s="4" t="str">
        <f aca="false">IF(WEEKDAY(B227,2)&gt;5,"Weekend","Weekday")</f>
        <v>Weekend</v>
      </c>
      <c r="R227" s="4" t="str">
        <f aca="false">IF(C227&lt;11,"Morning (7-10)",IF(C227&lt;14,"Lunch (11-13)",IF(C227&lt;18,"Afternoon (14-17)","Evening (18-20)")))</f>
        <v>Evening (18-20)</v>
      </c>
      <c r="S227" s="4" t="str">
        <f aca="false">IF(AND(O227&gt;=3,O227&lt;=5),"Hot Dry (Mar-May)",IF(AND(O227&gt;=6,O227&lt;=11),"Rainy (Jun-Nov)","Cool Dry (Dec-Feb)"))</f>
        <v>Cool Dry (Dec-Feb)</v>
      </c>
      <c r="T227" s="4" t="str">
        <f aca="false">CHOOSE(O227,"Jan","Feb","Mar","Apr","May","Jun","Jul","Aug","Sep","Oct","Nov","Dec")</f>
        <v>Feb</v>
      </c>
    </row>
    <row r="228" customFormat="false" ht="15" hidden="false" customHeight="false" outlineLevel="0" collapsed="false">
      <c r="A228" s="4" t="s">
        <v>386</v>
      </c>
      <c r="B228" s="17" t="n">
        <v>45712</v>
      </c>
      <c r="C228" s="4" t="n">
        <v>8</v>
      </c>
      <c r="D228" s="4" t="s">
        <v>64</v>
      </c>
      <c r="E228" s="4" t="s">
        <v>65</v>
      </c>
      <c r="F228" s="4" t="s">
        <v>66</v>
      </c>
      <c r="G228" s="4" t="n">
        <v>1</v>
      </c>
      <c r="H228" s="34" t="n">
        <v>120</v>
      </c>
      <c r="I228" s="18" t="n">
        <v>0.05</v>
      </c>
      <c r="J228" s="4" t="s">
        <v>81</v>
      </c>
      <c r="K228" s="4" t="s">
        <v>82</v>
      </c>
      <c r="L228" s="35" t="n">
        <f aca="false">G228*H228</f>
        <v>120</v>
      </c>
      <c r="M228" s="35" t="n">
        <f aca="false">L228*I228</f>
        <v>6</v>
      </c>
      <c r="N228" s="35" t="n">
        <f aca="false">L228-M228</f>
        <v>114</v>
      </c>
      <c r="O228" s="4" t="n">
        <f aca="false">MONTH(B228)</f>
        <v>2</v>
      </c>
      <c r="P228" s="4" t="str">
        <f aca="false">CHOOSE(WEEKDAY(B228,2),"Mon","Tue","Wed","Thu","Fri","Sat","Sun")</f>
        <v>Mon</v>
      </c>
      <c r="Q228" s="4" t="str">
        <f aca="false">IF(WEEKDAY(B228,2)&gt;5,"Weekend","Weekday")</f>
        <v>Weekday</v>
      </c>
      <c r="R228" s="4" t="str">
        <f aca="false">IF(C228&lt;11,"Morning (7-10)",IF(C228&lt;14,"Lunch (11-13)",IF(C228&lt;18,"Afternoon (14-17)","Evening (18-20)")))</f>
        <v>Morning (7-10)</v>
      </c>
      <c r="S228" s="4" t="str">
        <f aca="false">IF(AND(O228&gt;=3,O228&lt;=5),"Hot Dry (Mar-May)",IF(AND(O228&gt;=6,O228&lt;=11),"Rainy (Jun-Nov)","Cool Dry (Dec-Feb)"))</f>
        <v>Cool Dry (Dec-Feb)</v>
      </c>
      <c r="T228" s="4" t="str">
        <f aca="false">CHOOSE(O228,"Jan","Feb","Mar","Apr","May","Jun","Jul","Aug","Sep","Oct","Nov","Dec")</f>
        <v>Feb</v>
      </c>
    </row>
    <row r="229" customFormat="false" ht="15" hidden="false" customHeight="false" outlineLevel="0" collapsed="false">
      <c r="A229" s="4" t="s">
        <v>387</v>
      </c>
      <c r="B229" s="17" t="n">
        <v>45712</v>
      </c>
      <c r="C229" s="4" t="n">
        <v>9</v>
      </c>
      <c r="D229" s="4" t="s">
        <v>64</v>
      </c>
      <c r="E229" s="4" t="s">
        <v>99</v>
      </c>
      <c r="F229" s="4" t="s">
        <v>100</v>
      </c>
      <c r="G229" s="4" t="n">
        <v>3</v>
      </c>
      <c r="H229" s="34" t="n">
        <v>110</v>
      </c>
      <c r="I229" s="18" t="n">
        <v>0</v>
      </c>
      <c r="J229" s="4" t="s">
        <v>81</v>
      </c>
      <c r="K229" s="4" t="s">
        <v>77</v>
      </c>
      <c r="L229" s="35" t="n">
        <f aca="false">G229*H229</f>
        <v>330</v>
      </c>
      <c r="M229" s="35" t="n">
        <f aca="false">L229*I229</f>
        <v>0</v>
      </c>
      <c r="N229" s="35" t="n">
        <f aca="false">L229-M229</f>
        <v>330</v>
      </c>
      <c r="O229" s="4" t="n">
        <f aca="false">MONTH(B229)</f>
        <v>2</v>
      </c>
      <c r="P229" s="4" t="str">
        <f aca="false">CHOOSE(WEEKDAY(B229,2),"Mon","Tue","Wed","Thu","Fri","Sat","Sun")</f>
        <v>Mon</v>
      </c>
      <c r="Q229" s="4" t="str">
        <f aca="false">IF(WEEKDAY(B229,2)&gt;5,"Weekend","Weekday")</f>
        <v>Weekday</v>
      </c>
      <c r="R229" s="4" t="str">
        <f aca="false">IF(C229&lt;11,"Morning (7-10)",IF(C229&lt;14,"Lunch (11-13)",IF(C229&lt;18,"Afternoon (14-17)","Evening (18-20)")))</f>
        <v>Morning (7-10)</v>
      </c>
      <c r="S229" s="4" t="str">
        <f aca="false">IF(AND(O229&gt;=3,O229&lt;=5),"Hot Dry (Mar-May)",IF(AND(O229&gt;=6,O229&lt;=11),"Rainy (Jun-Nov)","Cool Dry (Dec-Feb)"))</f>
        <v>Cool Dry (Dec-Feb)</v>
      </c>
      <c r="T229" s="4" t="str">
        <f aca="false">CHOOSE(O229,"Jan","Feb","Mar","Apr","May","Jun","Jul","Aug","Sep","Oct","Nov","Dec")</f>
        <v>Feb</v>
      </c>
    </row>
    <row r="230" customFormat="false" ht="15" hidden="false" customHeight="false" outlineLevel="0" collapsed="false">
      <c r="A230" s="4" t="s">
        <v>388</v>
      </c>
      <c r="B230" s="17" t="n">
        <v>45712</v>
      </c>
      <c r="C230" s="4" t="n">
        <v>10</v>
      </c>
      <c r="D230" s="4" t="s">
        <v>98</v>
      </c>
      <c r="E230" s="4" t="s">
        <v>99</v>
      </c>
      <c r="F230" s="4" t="s">
        <v>102</v>
      </c>
      <c r="G230" s="4" t="n">
        <v>1</v>
      </c>
      <c r="H230" s="34" t="n">
        <v>140</v>
      </c>
      <c r="I230" s="18" t="n">
        <v>0</v>
      </c>
      <c r="J230" s="4" t="s">
        <v>112</v>
      </c>
      <c r="K230" s="4" t="s">
        <v>68</v>
      </c>
      <c r="L230" s="35" t="n">
        <f aca="false">G230*H230</f>
        <v>140</v>
      </c>
      <c r="M230" s="35" t="n">
        <f aca="false">L230*I230</f>
        <v>0</v>
      </c>
      <c r="N230" s="35" t="n">
        <f aca="false">L230-M230</f>
        <v>140</v>
      </c>
      <c r="O230" s="4" t="n">
        <f aca="false">MONTH(B230)</f>
        <v>2</v>
      </c>
      <c r="P230" s="4" t="str">
        <f aca="false">CHOOSE(WEEKDAY(B230,2),"Mon","Tue","Wed","Thu","Fri","Sat","Sun")</f>
        <v>Mon</v>
      </c>
      <c r="Q230" s="4" t="str">
        <f aca="false">IF(WEEKDAY(B230,2)&gt;5,"Weekend","Weekday")</f>
        <v>Weekday</v>
      </c>
      <c r="R230" s="4" t="str">
        <f aca="false">IF(C230&lt;11,"Morning (7-10)",IF(C230&lt;14,"Lunch (11-13)",IF(C230&lt;18,"Afternoon (14-17)","Evening (18-20)")))</f>
        <v>Morning (7-10)</v>
      </c>
      <c r="S230" s="4" t="str">
        <f aca="false">IF(AND(O230&gt;=3,O230&lt;=5),"Hot Dry (Mar-May)",IF(AND(O230&gt;=6,O230&lt;=11),"Rainy (Jun-Nov)","Cool Dry (Dec-Feb)"))</f>
        <v>Cool Dry (Dec-Feb)</v>
      </c>
      <c r="T230" s="4" t="str">
        <f aca="false">CHOOSE(O230,"Jan","Feb","Mar","Apr","May","Jun","Jul","Aug","Sep","Oct","Nov","Dec")</f>
        <v>Feb</v>
      </c>
    </row>
    <row r="231" customFormat="false" ht="15" hidden="false" customHeight="false" outlineLevel="0" collapsed="false">
      <c r="A231" s="4" t="s">
        <v>389</v>
      </c>
      <c r="B231" s="17" t="n">
        <v>45712</v>
      </c>
      <c r="C231" s="4" t="n">
        <v>15</v>
      </c>
      <c r="D231" s="4" t="s">
        <v>70</v>
      </c>
      <c r="E231" s="4" t="s">
        <v>74</v>
      </c>
      <c r="F231" s="4" t="s">
        <v>91</v>
      </c>
      <c r="G231" s="4" t="n">
        <v>1</v>
      </c>
      <c r="H231" s="34" t="n">
        <v>200</v>
      </c>
      <c r="I231" s="18" t="n">
        <v>0.05</v>
      </c>
      <c r="J231" s="4" t="s">
        <v>76</v>
      </c>
      <c r="K231" s="4" t="s">
        <v>82</v>
      </c>
      <c r="L231" s="35" t="n">
        <f aca="false">G231*H231</f>
        <v>200</v>
      </c>
      <c r="M231" s="35" t="n">
        <f aca="false">L231*I231</f>
        <v>10</v>
      </c>
      <c r="N231" s="35" t="n">
        <f aca="false">L231-M231</f>
        <v>190</v>
      </c>
      <c r="O231" s="4" t="n">
        <f aca="false">MONTH(B231)</f>
        <v>2</v>
      </c>
      <c r="P231" s="4" t="str">
        <f aca="false">CHOOSE(WEEKDAY(B231,2),"Mon","Tue","Wed","Thu","Fri","Sat","Sun")</f>
        <v>Mon</v>
      </c>
      <c r="Q231" s="4" t="str">
        <f aca="false">IF(WEEKDAY(B231,2)&gt;5,"Weekend","Weekday")</f>
        <v>Weekday</v>
      </c>
      <c r="R231" s="4" t="str">
        <f aca="false">IF(C231&lt;11,"Morning (7-10)",IF(C231&lt;14,"Lunch (11-13)",IF(C231&lt;18,"Afternoon (14-17)","Evening (18-20)")))</f>
        <v>Afternoon (14-17)</v>
      </c>
      <c r="S231" s="4" t="str">
        <f aca="false">IF(AND(O231&gt;=3,O231&lt;=5),"Hot Dry (Mar-May)",IF(AND(O231&gt;=6,O231&lt;=11),"Rainy (Jun-Nov)","Cool Dry (Dec-Feb)"))</f>
        <v>Cool Dry (Dec-Feb)</v>
      </c>
      <c r="T231" s="4" t="str">
        <f aca="false">CHOOSE(O231,"Jan","Feb","Mar","Apr","May","Jun","Jul","Aug","Sep","Oct","Nov","Dec")</f>
        <v>Feb</v>
      </c>
    </row>
    <row r="232" customFormat="false" ht="15" hidden="false" customHeight="false" outlineLevel="0" collapsed="false">
      <c r="A232" s="4" t="s">
        <v>390</v>
      </c>
      <c r="B232" s="17" t="n">
        <v>45712</v>
      </c>
      <c r="C232" s="4" t="n">
        <v>16</v>
      </c>
      <c r="D232" s="4" t="s">
        <v>64</v>
      </c>
      <c r="E232" s="4" t="s">
        <v>99</v>
      </c>
      <c r="F232" s="4" t="s">
        <v>102</v>
      </c>
      <c r="G232" s="4" t="n">
        <v>3</v>
      </c>
      <c r="H232" s="34" t="n">
        <v>140</v>
      </c>
      <c r="I232" s="18" t="n">
        <v>0</v>
      </c>
      <c r="J232" s="4" t="s">
        <v>112</v>
      </c>
      <c r="K232" s="4" t="s">
        <v>68</v>
      </c>
      <c r="L232" s="35" t="n">
        <f aca="false">G232*H232</f>
        <v>420</v>
      </c>
      <c r="M232" s="35" t="n">
        <f aca="false">L232*I232</f>
        <v>0</v>
      </c>
      <c r="N232" s="35" t="n">
        <f aca="false">L232-M232</f>
        <v>420</v>
      </c>
      <c r="O232" s="4" t="n">
        <f aca="false">MONTH(B232)</f>
        <v>2</v>
      </c>
      <c r="P232" s="4" t="str">
        <f aca="false">CHOOSE(WEEKDAY(B232,2),"Mon","Tue","Wed","Thu","Fri","Sat","Sun")</f>
        <v>Mon</v>
      </c>
      <c r="Q232" s="4" t="str">
        <f aca="false">IF(WEEKDAY(B232,2)&gt;5,"Weekend","Weekday")</f>
        <v>Weekday</v>
      </c>
      <c r="R232" s="4" t="str">
        <f aca="false">IF(C232&lt;11,"Morning (7-10)",IF(C232&lt;14,"Lunch (11-13)",IF(C232&lt;18,"Afternoon (14-17)","Evening (18-20)")))</f>
        <v>Afternoon (14-17)</v>
      </c>
      <c r="S232" s="4" t="str">
        <f aca="false">IF(AND(O232&gt;=3,O232&lt;=5),"Hot Dry (Mar-May)",IF(AND(O232&gt;=6,O232&lt;=11),"Rainy (Jun-Nov)","Cool Dry (Dec-Feb)"))</f>
        <v>Cool Dry (Dec-Feb)</v>
      </c>
      <c r="T232" s="4" t="str">
        <f aca="false">CHOOSE(O232,"Jan","Feb","Mar","Apr","May","Jun","Jul","Aug","Sep","Oct","Nov","Dec")</f>
        <v>Feb</v>
      </c>
    </row>
    <row r="233" customFormat="false" ht="15" hidden="false" customHeight="false" outlineLevel="0" collapsed="false">
      <c r="A233" s="4" t="s">
        <v>391</v>
      </c>
      <c r="B233" s="17" t="n">
        <v>45712</v>
      </c>
      <c r="C233" s="4" t="n">
        <v>17</v>
      </c>
      <c r="D233" s="4" t="s">
        <v>73</v>
      </c>
      <c r="E233" s="4" t="s">
        <v>84</v>
      </c>
      <c r="F233" s="4" t="s">
        <v>117</v>
      </c>
      <c r="G233" s="4" t="n">
        <v>4</v>
      </c>
      <c r="H233" s="34" t="n">
        <v>95</v>
      </c>
      <c r="I233" s="18" t="n">
        <v>0.1</v>
      </c>
      <c r="J233" s="4" t="s">
        <v>112</v>
      </c>
      <c r="K233" s="4" t="s">
        <v>71</v>
      </c>
      <c r="L233" s="35" t="n">
        <f aca="false">G233*H233</f>
        <v>380</v>
      </c>
      <c r="M233" s="35" t="n">
        <f aca="false">L233*I233</f>
        <v>38</v>
      </c>
      <c r="N233" s="35" t="n">
        <f aca="false">L233-M233</f>
        <v>342</v>
      </c>
      <c r="O233" s="4" t="n">
        <f aca="false">MONTH(B233)</f>
        <v>2</v>
      </c>
      <c r="P233" s="4" t="str">
        <f aca="false">CHOOSE(WEEKDAY(B233,2),"Mon","Tue","Wed","Thu","Fri","Sat","Sun")</f>
        <v>Mon</v>
      </c>
      <c r="Q233" s="4" t="str">
        <f aca="false">IF(WEEKDAY(B233,2)&gt;5,"Weekend","Weekday")</f>
        <v>Weekday</v>
      </c>
      <c r="R233" s="4" t="str">
        <f aca="false">IF(C233&lt;11,"Morning (7-10)",IF(C233&lt;14,"Lunch (11-13)",IF(C233&lt;18,"Afternoon (14-17)","Evening (18-20)")))</f>
        <v>Afternoon (14-17)</v>
      </c>
      <c r="S233" s="4" t="str">
        <f aca="false">IF(AND(O233&gt;=3,O233&lt;=5),"Hot Dry (Mar-May)",IF(AND(O233&gt;=6,O233&lt;=11),"Rainy (Jun-Nov)","Cool Dry (Dec-Feb)"))</f>
        <v>Cool Dry (Dec-Feb)</v>
      </c>
      <c r="T233" s="4" t="str">
        <f aca="false">CHOOSE(O233,"Jan","Feb","Mar","Apr","May","Jun","Jul","Aug","Sep","Oct","Nov","Dec")</f>
        <v>Feb</v>
      </c>
    </row>
    <row r="234" customFormat="false" ht="15" hidden="false" customHeight="false" outlineLevel="0" collapsed="false">
      <c r="A234" s="4" t="s">
        <v>392</v>
      </c>
      <c r="B234" s="17" t="n">
        <v>45712</v>
      </c>
      <c r="C234" s="4" t="n">
        <v>18</v>
      </c>
      <c r="D234" s="4" t="s">
        <v>64</v>
      </c>
      <c r="E234" s="4" t="s">
        <v>65</v>
      </c>
      <c r="F234" s="4" t="s">
        <v>94</v>
      </c>
      <c r="G234" s="4" t="n">
        <v>1</v>
      </c>
      <c r="H234" s="34" t="n">
        <v>150</v>
      </c>
      <c r="I234" s="18" t="n">
        <v>0.05</v>
      </c>
      <c r="J234" s="4" t="s">
        <v>81</v>
      </c>
      <c r="K234" s="4" t="s">
        <v>82</v>
      </c>
      <c r="L234" s="35" t="n">
        <f aca="false">G234*H234</f>
        <v>150</v>
      </c>
      <c r="M234" s="35" t="n">
        <f aca="false">L234*I234</f>
        <v>7.5</v>
      </c>
      <c r="N234" s="35" t="n">
        <f aca="false">L234-M234</f>
        <v>142.5</v>
      </c>
      <c r="O234" s="4" t="n">
        <f aca="false">MONTH(B234)</f>
        <v>2</v>
      </c>
      <c r="P234" s="4" t="str">
        <f aca="false">CHOOSE(WEEKDAY(B234,2),"Mon","Tue","Wed","Thu","Fri","Sat","Sun")</f>
        <v>Mon</v>
      </c>
      <c r="Q234" s="4" t="str">
        <f aca="false">IF(WEEKDAY(B234,2)&gt;5,"Weekend","Weekday")</f>
        <v>Weekday</v>
      </c>
      <c r="R234" s="4" t="str">
        <f aca="false">IF(C234&lt;11,"Morning (7-10)",IF(C234&lt;14,"Lunch (11-13)",IF(C234&lt;18,"Afternoon (14-17)","Evening (18-20)")))</f>
        <v>Evening (18-20)</v>
      </c>
      <c r="S234" s="4" t="str">
        <f aca="false">IF(AND(O234&gt;=3,O234&lt;=5),"Hot Dry (Mar-May)",IF(AND(O234&gt;=6,O234&lt;=11),"Rainy (Jun-Nov)","Cool Dry (Dec-Feb)"))</f>
        <v>Cool Dry (Dec-Feb)</v>
      </c>
      <c r="T234" s="4" t="str">
        <f aca="false">CHOOSE(O234,"Jan","Feb","Mar","Apr","May","Jun","Jul","Aug","Sep","Oct","Nov","Dec")</f>
        <v>Feb</v>
      </c>
    </row>
    <row r="235" customFormat="false" ht="15" hidden="false" customHeight="false" outlineLevel="0" collapsed="false">
      <c r="A235" s="4" t="s">
        <v>393</v>
      </c>
      <c r="B235" s="17" t="n">
        <v>45713</v>
      </c>
      <c r="C235" s="4" t="n">
        <v>14</v>
      </c>
      <c r="D235" s="4" t="s">
        <v>70</v>
      </c>
      <c r="E235" s="4" t="s">
        <v>74</v>
      </c>
      <c r="F235" s="4" t="s">
        <v>139</v>
      </c>
      <c r="G235" s="4" t="n">
        <v>2</v>
      </c>
      <c r="H235" s="34" t="n">
        <v>260</v>
      </c>
      <c r="I235" s="18" t="n">
        <v>0.1</v>
      </c>
      <c r="J235" s="4" t="s">
        <v>76</v>
      </c>
      <c r="K235" s="4" t="s">
        <v>71</v>
      </c>
      <c r="L235" s="35" t="n">
        <f aca="false">G235*H235</f>
        <v>520</v>
      </c>
      <c r="M235" s="35" t="n">
        <f aca="false">L235*I235</f>
        <v>52</v>
      </c>
      <c r="N235" s="35" t="n">
        <f aca="false">L235-M235</f>
        <v>468</v>
      </c>
      <c r="O235" s="4" t="n">
        <f aca="false">MONTH(B235)</f>
        <v>2</v>
      </c>
      <c r="P235" s="4" t="str">
        <f aca="false">CHOOSE(WEEKDAY(B235,2),"Mon","Tue","Wed","Thu","Fri","Sat","Sun")</f>
        <v>Tue</v>
      </c>
      <c r="Q235" s="4" t="str">
        <f aca="false">IF(WEEKDAY(B235,2)&gt;5,"Weekend","Weekday")</f>
        <v>Weekday</v>
      </c>
      <c r="R235" s="4" t="str">
        <f aca="false">IF(C235&lt;11,"Morning (7-10)",IF(C235&lt;14,"Lunch (11-13)",IF(C235&lt;18,"Afternoon (14-17)","Evening (18-20)")))</f>
        <v>Afternoon (14-17)</v>
      </c>
      <c r="S235" s="4" t="str">
        <f aca="false">IF(AND(O235&gt;=3,O235&lt;=5),"Hot Dry (Mar-May)",IF(AND(O235&gt;=6,O235&lt;=11),"Rainy (Jun-Nov)","Cool Dry (Dec-Feb)"))</f>
        <v>Cool Dry (Dec-Feb)</v>
      </c>
      <c r="T235" s="4" t="str">
        <f aca="false">CHOOSE(O235,"Jan","Feb","Mar","Apr","May","Jun","Jul","Aug","Sep","Oct","Nov","Dec")</f>
        <v>Feb</v>
      </c>
    </row>
    <row r="236" customFormat="false" ht="15" hidden="false" customHeight="false" outlineLevel="0" collapsed="false">
      <c r="A236" s="4" t="s">
        <v>394</v>
      </c>
      <c r="B236" s="17" t="n">
        <v>45714</v>
      </c>
      <c r="C236" s="4" t="n">
        <v>7</v>
      </c>
      <c r="D236" s="4" t="s">
        <v>64</v>
      </c>
      <c r="E236" s="4" t="s">
        <v>99</v>
      </c>
      <c r="F236" s="4" t="s">
        <v>100</v>
      </c>
      <c r="G236" s="4" t="n">
        <v>4</v>
      </c>
      <c r="H236" s="34" t="n">
        <v>110</v>
      </c>
      <c r="I236" s="18" t="n">
        <v>0.15</v>
      </c>
      <c r="J236" s="4" t="s">
        <v>76</v>
      </c>
      <c r="K236" s="4" t="s">
        <v>68</v>
      </c>
      <c r="L236" s="35" t="n">
        <f aca="false">G236*H236</f>
        <v>440</v>
      </c>
      <c r="M236" s="35" t="n">
        <f aca="false">L236*I236</f>
        <v>66</v>
      </c>
      <c r="N236" s="35" t="n">
        <f aca="false">L236-M236</f>
        <v>374</v>
      </c>
      <c r="O236" s="4" t="n">
        <f aca="false">MONTH(B236)</f>
        <v>2</v>
      </c>
      <c r="P236" s="4" t="str">
        <f aca="false">CHOOSE(WEEKDAY(B236,2),"Mon","Tue","Wed","Thu","Fri","Sat","Sun")</f>
        <v>Wed</v>
      </c>
      <c r="Q236" s="4" t="str">
        <f aca="false">IF(WEEKDAY(B236,2)&gt;5,"Weekend","Weekday")</f>
        <v>Weekday</v>
      </c>
      <c r="R236" s="4" t="str">
        <f aca="false">IF(C236&lt;11,"Morning (7-10)",IF(C236&lt;14,"Lunch (11-13)",IF(C236&lt;18,"Afternoon (14-17)","Evening (18-20)")))</f>
        <v>Morning (7-10)</v>
      </c>
      <c r="S236" s="4" t="str">
        <f aca="false">IF(AND(O236&gt;=3,O236&lt;=5),"Hot Dry (Mar-May)",IF(AND(O236&gt;=6,O236&lt;=11),"Rainy (Jun-Nov)","Cool Dry (Dec-Feb)"))</f>
        <v>Cool Dry (Dec-Feb)</v>
      </c>
      <c r="T236" s="4" t="str">
        <f aca="false">CHOOSE(O236,"Jan","Feb","Mar","Apr","May","Jun","Jul","Aug","Sep","Oct","Nov","Dec")</f>
        <v>Feb</v>
      </c>
    </row>
    <row r="237" customFormat="false" ht="15" hidden="false" customHeight="false" outlineLevel="0" collapsed="false">
      <c r="A237" s="4" t="s">
        <v>396</v>
      </c>
      <c r="B237" s="17" t="n">
        <v>45714</v>
      </c>
      <c r="C237" s="4" t="n">
        <v>9</v>
      </c>
      <c r="D237" s="4" t="s">
        <v>70</v>
      </c>
      <c r="E237" s="4" t="s">
        <v>65</v>
      </c>
      <c r="F237" s="4" t="s">
        <v>66</v>
      </c>
      <c r="G237" s="4" t="n">
        <v>2</v>
      </c>
      <c r="H237" s="34" t="n">
        <v>120</v>
      </c>
      <c r="I237" s="18" t="n">
        <v>0.2</v>
      </c>
      <c r="J237" s="4" t="s">
        <v>2289</v>
      </c>
      <c r="K237" s="4" t="s">
        <v>77</v>
      </c>
      <c r="L237" s="35" t="n">
        <f aca="false">G237*H237</f>
        <v>240</v>
      </c>
      <c r="M237" s="35" t="n">
        <f aca="false">L237*I237</f>
        <v>48</v>
      </c>
      <c r="N237" s="35" t="n">
        <f aca="false">L237-M237</f>
        <v>192</v>
      </c>
      <c r="O237" s="4" t="n">
        <f aca="false">MONTH(B237)</f>
        <v>2</v>
      </c>
      <c r="P237" s="4" t="str">
        <f aca="false">CHOOSE(WEEKDAY(B237,2),"Mon","Tue","Wed","Thu","Fri","Sat","Sun")</f>
        <v>Wed</v>
      </c>
      <c r="Q237" s="4" t="str">
        <f aca="false">IF(WEEKDAY(B237,2)&gt;5,"Weekend","Weekday")</f>
        <v>Weekday</v>
      </c>
      <c r="R237" s="4" t="str">
        <f aca="false">IF(C237&lt;11,"Morning (7-10)",IF(C237&lt;14,"Lunch (11-13)",IF(C237&lt;18,"Afternoon (14-17)","Evening (18-20)")))</f>
        <v>Morning (7-10)</v>
      </c>
      <c r="S237" s="4" t="str">
        <f aca="false">IF(AND(O237&gt;=3,O237&lt;=5),"Hot Dry (Mar-May)",IF(AND(O237&gt;=6,O237&lt;=11),"Rainy (Jun-Nov)","Cool Dry (Dec-Feb)"))</f>
        <v>Cool Dry (Dec-Feb)</v>
      </c>
      <c r="T237" s="4" t="str">
        <f aca="false">CHOOSE(O237,"Jan","Feb","Mar","Apr","May","Jun","Jul","Aug","Sep","Oct","Nov","Dec")</f>
        <v>Feb</v>
      </c>
    </row>
    <row r="238" customFormat="false" ht="15" hidden="false" customHeight="false" outlineLevel="0" collapsed="false">
      <c r="A238" s="4" t="s">
        <v>397</v>
      </c>
      <c r="B238" s="17" t="n">
        <v>45714</v>
      </c>
      <c r="C238" s="4" t="n">
        <v>13</v>
      </c>
      <c r="D238" s="4" t="s">
        <v>98</v>
      </c>
      <c r="E238" s="4" t="s">
        <v>84</v>
      </c>
      <c r="F238" s="4" t="s">
        <v>117</v>
      </c>
      <c r="G238" s="4" t="n">
        <v>1</v>
      </c>
      <c r="H238" s="34" t="n">
        <v>95</v>
      </c>
      <c r="I238" s="18" t="n">
        <v>0.05</v>
      </c>
      <c r="J238" s="4" t="s">
        <v>67</v>
      </c>
      <c r="K238" s="4" t="s">
        <v>82</v>
      </c>
      <c r="L238" s="35" t="n">
        <f aca="false">G238*H238</f>
        <v>95</v>
      </c>
      <c r="M238" s="35" t="n">
        <f aca="false">L238*I238</f>
        <v>4.75</v>
      </c>
      <c r="N238" s="35" t="n">
        <f aca="false">L238-M238</f>
        <v>90.25</v>
      </c>
      <c r="O238" s="4" t="n">
        <f aca="false">MONTH(B238)</f>
        <v>2</v>
      </c>
      <c r="P238" s="4" t="str">
        <f aca="false">CHOOSE(WEEKDAY(B238,2),"Mon","Tue","Wed","Thu","Fri","Sat","Sun")</f>
        <v>Wed</v>
      </c>
      <c r="Q238" s="4" t="str">
        <f aca="false">IF(WEEKDAY(B238,2)&gt;5,"Weekend","Weekday")</f>
        <v>Weekday</v>
      </c>
      <c r="R238" s="4" t="str">
        <f aca="false">IF(C238&lt;11,"Morning (7-10)",IF(C238&lt;14,"Lunch (11-13)",IF(C238&lt;18,"Afternoon (14-17)","Evening (18-20)")))</f>
        <v>Lunch (11-13)</v>
      </c>
      <c r="S238" s="4" t="str">
        <f aca="false">IF(AND(O238&gt;=3,O238&lt;=5),"Hot Dry (Mar-May)",IF(AND(O238&gt;=6,O238&lt;=11),"Rainy (Jun-Nov)","Cool Dry (Dec-Feb)"))</f>
        <v>Cool Dry (Dec-Feb)</v>
      </c>
      <c r="T238" s="4" t="str">
        <f aca="false">CHOOSE(O238,"Jan","Feb","Mar","Apr","May","Jun","Jul","Aug","Sep","Oct","Nov","Dec")</f>
        <v>Feb</v>
      </c>
    </row>
    <row r="239" customFormat="false" ht="15" hidden="false" customHeight="false" outlineLevel="0" collapsed="false">
      <c r="A239" s="4" t="s">
        <v>398</v>
      </c>
      <c r="B239" s="17" t="n">
        <v>45714</v>
      </c>
      <c r="C239" s="4" t="n">
        <v>17</v>
      </c>
      <c r="D239" s="4" t="s">
        <v>70</v>
      </c>
      <c r="E239" s="4" t="s">
        <v>84</v>
      </c>
      <c r="F239" s="4" t="s">
        <v>117</v>
      </c>
      <c r="G239" s="4" t="n">
        <v>1</v>
      </c>
      <c r="H239" s="34" t="n">
        <v>95</v>
      </c>
      <c r="I239" s="18" t="n">
        <v>0.1</v>
      </c>
      <c r="J239" s="4" t="s">
        <v>76</v>
      </c>
      <c r="K239" s="4" t="s">
        <v>68</v>
      </c>
      <c r="L239" s="35" t="n">
        <f aca="false">G239*H239</f>
        <v>95</v>
      </c>
      <c r="M239" s="35" t="n">
        <f aca="false">L239*I239</f>
        <v>9.5</v>
      </c>
      <c r="N239" s="35" t="n">
        <f aca="false">L239-M239</f>
        <v>85.5</v>
      </c>
      <c r="O239" s="4" t="n">
        <f aca="false">MONTH(B239)</f>
        <v>2</v>
      </c>
      <c r="P239" s="4" t="str">
        <f aca="false">CHOOSE(WEEKDAY(B239,2),"Mon","Tue","Wed","Thu","Fri","Sat","Sun")</f>
        <v>Wed</v>
      </c>
      <c r="Q239" s="4" t="str">
        <f aca="false">IF(WEEKDAY(B239,2)&gt;5,"Weekend","Weekday")</f>
        <v>Weekday</v>
      </c>
      <c r="R239" s="4" t="str">
        <f aca="false">IF(C239&lt;11,"Morning (7-10)",IF(C239&lt;14,"Lunch (11-13)",IF(C239&lt;18,"Afternoon (14-17)","Evening (18-20)")))</f>
        <v>Afternoon (14-17)</v>
      </c>
      <c r="S239" s="4" t="str">
        <f aca="false">IF(AND(O239&gt;=3,O239&lt;=5),"Hot Dry (Mar-May)",IF(AND(O239&gt;=6,O239&lt;=11),"Rainy (Jun-Nov)","Cool Dry (Dec-Feb)"))</f>
        <v>Cool Dry (Dec-Feb)</v>
      </c>
      <c r="T239" s="4" t="str">
        <f aca="false">CHOOSE(O239,"Jan","Feb","Mar","Apr","May","Jun","Jul","Aug","Sep","Oct","Nov","Dec")</f>
        <v>Feb</v>
      </c>
    </row>
    <row r="240" customFormat="false" ht="15" hidden="false" customHeight="false" outlineLevel="0" collapsed="false">
      <c r="A240" s="4" t="s">
        <v>399</v>
      </c>
      <c r="B240" s="17" t="n">
        <v>45714</v>
      </c>
      <c r="C240" s="4" t="n">
        <v>18</v>
      </c>
      <c r="D240" s="4" t="s">
        <v>98</v>
      </c>
      <c r="E240" s="4" t="s">
        <v>74</v>
      </c>
      <c r="F240" s="4" t="s">
        <v>139</v>
      </c>
      <c r="G240" s="4" t="n">
        <v>1</v>
      </c>
      <c r="H240" s="34" t="n">
        <v>260</v>
      </c>
      <c r="I240" s="18" t="n">
        <v>0.1</v>
      </c>
      <c r="J240" s="4" t="s">
        <v>67</v>
      </c>
      <c r="K240" s="4" t="s">
        <v>71</v>
      </c>
      <c r="L240" s="35" t="n">
        <f aca="false">G240*H240</f>
        <v>260</v>
      </c>
      <c r="M240" s="35" t="n">
        <f aca="false">L240*I240</f>
        <v>26</v>
      </c>
      <c r="N240" s="35" t="n">
        <f aca="false">L240-M240</f>
        <v>234</v>
      </c>
      <c r="O240" s="4" t="n">
        <f aca="false">MONTH(B240)</f>
        <v>2</v>
      </c>
      <c r="P240" s="4" t="str">
        <f aca="false">CHOOSE(WEEKDAY(B240,2),"Mon","Tue","Wed","Thu","Fri","Sat","Sun")</f>
        <v>Wed</v>
      </c>
      <c r="Q240" s="4" t="str">
        <f aca="false">IF(WEEKDAY(B240,2)&gt;5,"Weekend","Weekday")</f>
        <v>Weekday</v>
      </c>
      <c r="R240" s="4" t="str">
        <f aca="false">IF(C240&lt;11,"Morning (7-10)",IF(C240&lt;14,"Lunch (11-13)",IF(C240&lt;18,"Afternoon (14-17)","Evening (18-20)")))</f>
        <v>Evening (18-20)</v>
      </c>
      <c r="S240" s="4" t="str">
        <f aca="false">IF(AND(O240&gt;=3,O240&lt;=5),"Hot Dry (Mar-May)",IF(AND(O240&gt;=6,O240&lt;=11),"Rainy (Jun-Nov)","Cool Dry (Dec-Feb)"))</f>
        <v>Cool Dry (Dec-Feb)</v>
      </c>
      <c r="T240" s="4" t="str">
        <f aca="false">CHOOSE(O240,"Jan","Feb","Mar","Apr","May","Jun","Jul","Aug","Sep","Oct","Nov","Dec")</f>
        <v>Feb</v>
      </c>
    </row>
    <row r="241" customFormat="false" ht="15" hidden="false" customHeight="false" outlineLevel="0" collapsed="false">
      <c r="A241" s="4" t="s">
        <v>400</v>
      </c>
      <c r="B241" s="17" t="n">
        <v>45715</v>
      </c>
      <c r="C241" s="4" t="n">
        <v>8</v>
      </c>
      <c r="D241" s="4" t="s">
        <v>73</v>
      </c>
      <c r="E241" s="4" t="s">
        <v>79</v>
      </c>
      <c r="F241" s="4" t="s">
        <v>135</v>
      </c>
      <c r="G241" s="4" t="n">
        <v>2</v>
      </c>
      <c r="H241" s="34" t="n">
        <v>130</v>
      </c>
      <c r="I241" s="18" t="n">
        <v>0.1</v>
      </c>
      <c r="J241" s="4" t="s">
        <v>81</v>
      </c>
      <c r="K241" s="4" t="s">
        <v>68</v>
      </c>
      <c r="L241" s="35" t="n">
        <f aca="false">G241*H241</f>
        <v>260</v>
      </c>
      <c r="M241" s="35" t="n">
        <f aca="false">L241*I241</f>
        <v>26</v>
      </c>
      <c r="N241" s="35" t="n">
        <f aca="false">L241-M241</f>
        <v>234</v>
      </c>
      <c r="O241" s="4" t="n">
        <f aca="false">MONTH(B241)</f>
        <v>2</v>
      </c>
      <c r="P241" s="4" t="str">
        <f aca="false">CHOOSE(WEEKDAY(B241,2),"Mon","Tue","Wed","Thu","Fri","Sat","Sun")</f>
        <v>Thu</v>
      </c>
      <c r="Q241" s="4" t="str">
        <f aca="false">IF(WEEKDAY(B241,2)&gt;5,"Weekend","Weekday")</f>
        <v>Weekday</v>
      </c>
      <c r="R241" s="4" t="str">
        <f aca="false">IF(C241&lt;11,"Morning (7-10)",IF(C241&lt;14,"Lunch (11-13)",IF(C241&lt;18,"Afternoon (14-17)","Evening (18-20)")))</f>
        <v>Morning (7-10)</v>
      </c>
      <c r="S241" s="4" t="str">
        <f aca="false">IF(AND(O241&gt;=3,O241&lt;=5),"Hot Dry (Mar-May)",IF(AND(O241&gt;=6,O241&lt;=11),"Rainy (Jun-Nov)","Cool Dry (Dec-Feb)"))</f>
        <v>Cool Dry (Dec-Feb)</v>
      </c>
      <c r="T241" s="4" t="str">
        <f aca="false">CHOOSE(O241,"Jan","Feb","Mar","Apr","May","Jun","Jul","Aug","Sep","Oct","Nov","Dec")</f>
        <v>Feb</v>
      </c>
    </row>
    <row r="242" customFormat="false" ht="15" hidden="false" customHeight="false" outlineLevel="0" collapsed="false">
      <c r="A242" s="4" t="s">
        <v>402</v>
      </c>
      <c r="B242" s="17" t="n">
        <v>45715</v>
      </c>
      <c r="C242" s="4" t="n">
        <v>12</v>
      </c>
      <c r="D242" s="4" t="s">
        <v>70</v>
      </c>
      <c r="E242" s="4" t="s">
        <v>99</v>
      </c>
      <c r="F242" s="4" t="s">
        <v>133</v>
      </c>
      <c r="G242" s="4" t="n">
        <v>1</v>
      </c>
      <c r="H242" s="34" t="n">
        <v>90</v>
      </c>
      <c r="I242" s="18" t="n">
        <v>0</v>
      </c>
      <c r="J242" s="4" t="s">
        <v>67</v>
      </c>
      <c r="K242" s="4" t="s">
        <v>68</v>
      </c>
      <c r="L242" s="35" t="n">
        <f aca="false">G242*H242</f>
        <v>90</v>
      </c>
      <c r="M242" s="35" t="n">
        <f aca="false">L242*I242</f>
        <v>0</v>
      </c>
      <c r="N242" s="35" t="n">
        <f aca="false">L242-M242</f>
        <v>90</v>
      </c>
      <c r="O242" s="4" t="n">
        <f aca="false">MONTH(B242)</f>
        <v>2</v>
      </c>
      <c r="P242" s="4" t="str">
        <f aca="false">CHOOSE(WEEKDAY(B242,2),"Mon","Tue","Wed","Thu","Fri","Sat","Sun")</f>
        <v>Thu</v>
      </c>
      <c r="Q242" s="4" t="str">
        <f aca="false">IF(WEEKDAY(B242,2)&gt;5,"Weekend","Weekday")</f>
        <v>Weekday</v>
      </c>
      <c r="R242" s="4" t="str">
        <f aca="false">IF(C242&lt;11,"Morning (7-10)",IF(C242&lt;14,"Lunch (11-13)",IF(C242&lt;18,"Afternoon (14-17)","Evening (18-20)")))</f>
        <v>Lunch (11-13)</v>
      </c>
      <c r="S242" s="4" t="str">
        <f aca="false">IF(AND(O242&gt;=3,O242&lt;=5),"Hot Dry (Mar-May)",IF(AND(O242&gt;=6,O242&lt;=11),"Rainy (Jun-Nov)","Cool Dry (Dec-Feb)"))</f>
        <v>Cool Dry (Dec-Feb)</v>
      </c>
      <c r="T242" s="4" t="str">
        <f aca="false">CHOOSE(O242,"Jan","Feb","Mar","Apr","May","Jun","Jul","Aug","Sep","Oct","Nov","Dec")</f>
        <v>Feb</v>
      </c>
    </row>
    <row r="243" customFormat="false" ht="15" hidden="false" customHeight="false" outlineLevel="0" collapsed="false">
      <c r="A243" s="4" t="s">
        <v>404</v>
      </c>
      <c r="B243" s="17" t="n">
        <v>45715</v>
      </c>
      <c r="C243" s="4" t="n">
        <v>13</v>
      </c>
      <c r="D243" s="4" t="s">
        <v>70</v>
      </c>
      <c r="E243" s="4" t="s">
        <v>79</v>
      </c>
      <c r="F243" s="4" t="s">
        <v>135</v>
      </c>
      <c r="G243" s="4" t="n">
        <v>1</v>
      </c>
      <c r="H243" s="34" t="n">
        <v>130</v>
      </c>
      <c r="I243" s="18" t="n">
        <v>0.05</v>
      </c>
      <c r="J243" s="4" t="s">
        <v>67</v>
      </c>
      <c r="K243" s="4" t="s">
        <v>82</v>
      </c>
      <c r="L243" s="35" t="n">
        <f aca="false">G243*H243</f>
        <v>130</v>
      </c>
      <c r="M243" s="35" t="n">
        <f aca="false">L243*I243</f>
        <v>6.5</v>
      </c>
      <c r="N243" s="35" t="n">
        <f aca="false">L243-M243</f>
        <v>123.5</v>
      </c>
      <c r="O243" s="4" t="n">
        <f aca="false">MONTH(B243)</f>
        <v>2</v>
      </c>
      <c r="P243" s="4" t="str">
        <f aca="false">CHOOSE(WEEKDAY(B243,2),"Mon","Tue","Wed","Thu","Fri","Sat","Sun")</f>
        <v>Thu</v>
      </c>
      <c r="Q243" s="4" t="str">
        <f aca="false">IF(WEEKDAY(B243,2)&gt;5,"Weekend","Weekday")</f>
        <v>Weekday</v>
      </c>
      <c r="R243" s="4" t="str">
        <f aca="false">IF(C243&lt;11,"Morning (7-10)",IF(C243&lt;14,"Lunch (11-13)",IF(C243&lt;18,"Afternoon (14-17)","Evening (18-20)")))</f>
        <v>Lunch (11-13)</v>
      </c>
      <c r="S243" s="4" t="str">
        <f aca="false">IF(AND(O243&gt;=3,O243&lt;=5),"Hot Dry (Mar-May)",IF(AND(O243&gt;=6,O243&lt;=11),"Rainy (Jun-Nov)","Cool Dry (Dec-Feb)"))</f>
        <v>Cool Dry (Dec-Feb)</v>
      </c>
      <c r="T243" s="4" t="str">
        <f aca="false">CHOOSE(O243,"Jan","Feb","Mar","Apr","May","Jun","Jul","Aug","Sep","Oct","Nov","Dec")</f>
        <v>Feb</v>
      </c>
    </row>
    <row r="244" customFormat="false" ht="15" hidden="false" customHeight="false" outlineLevel="0" collapsed="false">
      <c r="A244" s="4" t="s">
        <v>405</v>
      </c>
      <c r="B244" s="17" t="n">
        <v>45715</v>
      </c>
      <c r="C244" s="4" t="n">
        <v>13</v>
      </c>
      <c r="D244" s="4" t="s">
        <v>64</v>
      </c>
      <c r="E244" s="4" t="s">
        <v>99</v>
      </c>
      <c r="F244" s="4" t="s">
        <v>102</v>
      </c>
      <c r="G244" s="4" t="n">
        <v>1</v>
      </c>
      <c r="H244" s="34" t="n">
        <v>140</v>
      </c>
      <c r="I244" s="18" t="n">
        <v>0</v>
      </c>
      <c r="J244" s="4" t="s">
        <v>81</v>
      </c>
      <c r="K244" s="4" t="s">
        <v>2289</v>
      </c>
      <c r="L244" s="35" t="n">
        <f aca="false">G244*H244</f>
        <v>140</v>
      </c>
      <c r="M244" s="35" t="n">
        <f aca="false">L244*I244</f>
        <v>0</v>
      </c>
      <c r="N244" s="35" t="n">
        <f aca="false">L244-M244</f>
        <v>140</v>
      </c>
      <c r="O244" s="4" t="n">
        <f aca="false">MONTH(B244)</f>
        <v>2</v>
      </c>
      <c r="P244" s="4" t="str">
        <f aca="false">CHOOSE(WEEKDAY(B244,2),"Mon","Tue","Wed","Thu","Fri","Sat","Sun")</f>
        <v>Thu</v>
      </c>
      <c r="Q244" s="4" t="str">
        <f aca="false">IF(WEEKDAY(B244,2)&gt;5,"Weekend","Weekday")</f>
        <v>Weekday</v>
      </c>
      <c r="R244" s="4" t="str">
        <f aca="false">IF(C244&lt;11,"Morning (7-10)",IF(C244&lt;14,"Lunch (11-13)",IF(C244&lt;18,"Afternoon (14-17)","Evening (18-20)")))</f>
        <v>Lunch (11-13)</v>
      </c>
      <c r="S244" s="4" t="str">
        <f aca="false">IF(AND(O244&gt;=3,O244&lt;=5),"Hot Dry (Mar-May)",IF(AND(O244&gt;=6,O244&lt;=11),"Rainy (Jun-Nov)","Cool Dry (Dec-Feb)"))</f>
        <v>Cool Dry (Dec-Feb)</v>
      </c>
      <c r="T244" s="4" t="str">
        <f aca="false">CHOOSE(O244,"Jan","Feb","Mar","Apr","May","Jun","Jul","Aug","Sep","Oct","Nov","Dec")</f>
        <v>Feb</v>
      </c>
    </row>
    <row r="245" customFormat="false" ht="15" hidden="false" customHeight="false" outlineLevel="0" collapsed="false">
      <c r="A245" s="4" t="s">
        <v>406</v>
      </c>
      <c r="B245" s="17" t="n">
        <v>45715</v>
      </c>
      <c r="C245" s="4" t="n">
        <v>17</v>
      </c>
      <c r="D245" s="4" t="s">
        <v>70</v>
      </c>
      <c r="E245" s="4" t="s">
        <v>99</v>
      </c>
      <c r="F245" s="4" t="s">
        <v>102</v>
      </c>
      <c r="G245" s="4" t="n">
        <v>2</v>
      </c>
      <c r="H245" s="34" t="n">
        <v>140</v>
      </c>
      <c r="I245" s="18" t="n">
        <v>0</v>
      </c>
      <c r="J245" s="4" t="s">
        <v>76</v>
      </c>
      <c r="K245" s="4" t="s">
        <v>68</v>
      </c>
      <c r="L245" s="35" t="n">
        <f aca="false">G245*H245</f>
        <v>280</v>
      </c>
      <c r="M245" s="35" t="n">
        <f aca="false">L245*I245</f>
        <v>0</v>
      </c>
      <c r="N245" s="35" t="n">
        <f aca="false">L245-M245</f>
        <v>280</v>
      </c>
      <c r="O245" s="4" t="n">
        <f aca="false">MONTH(B245)</f>
        <v>2</v>
      </c>
      <c r="P245" s="4" t="str">
        <f aca="false">CHOOSE(WEEKDAY(B245,2),"Mon","Tue","Wed","Thu","Fri","Sat","Sun")</f>
        <v>Thu</v>
      </c>
      <c r="Q245" s="4" t="str">
        <f aca="false">IF(WEEKDAY(B245,2)&gt;5,"Weekend","Weekday")</f>
        <v>Weekday</v>
      </c>
      <c r="R245" s="4" t="str">
        <f aca="false">IF(C245&lt;11,"Morning (7-10)",IF(C245&lt;14,"Lunch (11-13)",IF(C245&lt;18,"Afternoon (14-17)","Evening (18-20)")))</f>
        <v>Afternoon (14-17)</v>
      </c>
      <c r="S245" s="4" t="str">
        <f aca="false">IF(AND(O245&gt;=3,O245&lt;=5),"Hot Dry (Mar-May)",IF(AND(O245&gt;=6,O245&lt;=11),"Rainy (Jun-Nov)","Cool Dry (Dec-Feb)"))</f>
        <v>Cool Dry (Dec-Feb)</v>
      </c>
      <c r="T245" s="4" t="str">
        <f aca="false">CHOOSE(O245,"Jan","Feb","Mar","Apr","May","Jun","Jul","Aug","Sep","Oct","Nov","Dec")</f>
        <v>Feb</v>
      </c>
    </row>
    <row r="246" customFormat="false" ht="15" hidden="false" customHeight="false" outlineLevel="0" collapsed="false">
      <c r="A246" s="4" t="s">
        <v>407</v>
      </c>
      <c r="B246" s="17" t="n">
        <v>45716</v>
      </c>
      <c r="C246" s="4" t="n">
        <v>7</v>
      </c>
      <c r="D246" s="4" t="s">
        <v>73</v>
      </c>
      <c r="E246" s="4" t="s">
        <v>99</v>
      </c>
      <c r="F246" s="4" t="s">
        <v>100</v>
      </c>
      <c r="G246" s="4" t="n">
        <v>1</v>
      </c>
      <c r="H246" s="34" t="n">
        <v>110</v>
      </c>
      <c r="I246" s="18" t="n">
        <v>0</v>
      </c>
      <c r="J246" s="4" t="s">
        <v>81</v>
      </c>
      <c r="K246" s="4" t="s">
        <v>77</v>
      </c>
      <c r="L246" s="35" t="n">
        <f aca="false">G246*H246</f>
        <v>110</v>
      </c>
      <c r="M246" s="35" t="n">
        <f aca="false">L246*I246</f>
        <v>0</v>
      </c>
      <c r="N246" s="35" t="n">
        <f aca="false">L246-M246</f>
        <v>110</v>
      </c>
      <c r="O246" s="4" t="n">
        <f aca="false">MONTH(B246)</f>
        <v>2</v>
      </c>
      <c r="P246" s="4" t="str">
        <f aca="false">CHOOSE(WEEKDAY(B246,2),"Mon","Tue","Wed","Thu","Fri","Sat","Sun")</f>
        <v>Fri</v>
      </c>
      <c r="Q246" s="4" t="str">
        <f aca="false">IF(WEEKDAY(B246,2)&gt;5,"Weekend","Weekday")</f>
        <v>Weekday</v>
      </c>
      <c r="R246" s="4" t="str">
        <f aca="false">IF(C246&lt;11,"Morning (7-10)",IF(C246&lt;14,"Lunch (11-13)",IF(C246&lt;18,"Afternoon (14-17)","Evening (18-20)")))</f>
        <v>Morning (7-10)</v>
      </c>
      <c r="S246" s="4" t="str">
        <f aca="false">IF(AND(O246&gt;=3,O246&lt;=5),"Hot Dry (Mar-May)",IF(AND(O246&gt;=6,O246&lt;=11),"Rainy (Jun-Nov)","Cool Dry (Dec-Feb)"))</f>
        <v>Cool Dry (Dec-Feb)</v>
      </c>
      <c r="T246" s="4" t="str">
        <f aca="false">CHOOSE(O246,"Jan","Feb","Mar","Apr","May","Jun","Jul","Aug","Sep","Oct","Nov","Dec")</f>
        <v>Feb</v>
      </c>
    </row>
    <row r="247" customFormat="false" ht="15" hidden="false" customHeight="false" outlineLevel="0" collapsed="false">
      <c r="A247" s="4" t="s">
        <v>408</v>
      </c>
      <c r="B247" s="17" t="n">
        <v>45716</v>
      </c>
      <c r="C247" s="4" t="n">
        <v>8</v>
      </c>
      <c r="D247" s="4" t="s">
        <v>73</v>
      </c>
      <c r="E247" s="4" t="s">
        <v>99</v>
      </c>
      <c r="F247" s="4" t="s">
        <v>100</v>
      </c>
      <c r="G247" s="4" t="n">
        <v>2</v>
      </c>
      <c r="H247" s="34" t="n">
        <v>110</v>
      </c>
      <c r="I247" s="18" t="n">
        <v>0.05</v>
      </c>
      <c r="J247" s="4" t="s">
        <v>67</v>
      </c>
      <c r="K247" s="4" t="s">
        <v>82</v>
      </c>
      <c r="L247" s="35" t="n">
        <f aca="false">G247*H247</f>
        <v>220</v>
      </c>
      <c r="M247" s="35" t="n">
        <f aca="false">L247*I247</f>
        <v>11</v>
      </c>
      <c r="N247" s="35" t="n">
        <f aca="false">L247-M247</f>
        <v>209</v>
      </c>
      <c r="O247" s="4" t="n">
        <f aca="false">MONTH(B247)</f>
        <v>2</v>
      </c>
      <c r="P247" s="4" t="str">
        <f aca="false">CHOOSE(WEEKDAY(B247,2),"Mon","Tue","Wed","Thu","Fri","Sat","Sun")</f>
        <v>Fri</v>
      </c>
      <c r="Q247" s="4" t="str">
        <f aca="false">IF(WEEKDAY(B247,2)&gt;5,"Weekend","Weekday")</f>
        <v>Weekday</v>
      </c>
      <c r="R247" s="4" t="str">
        <f aca="false">IF(C247&lt;11,"Morning (7-10)",IF(C247&lt;14,"Lunch (11-13)",IF(C247&lt;18,"Afternoon (14-17)","Evening (18-20)")))</f>
        <v>Morning (7-10)</v>
      </c>
      <c r="S247" s="4" t="str">
        <f aca="false">IF(AND(O247&gt;=3,O247&lt;=5),"Hot Dry (Mar-May)",IF(AND(O247&gt;=6,O247&lt;=11),"Rainy (Jun-Nov)","Cool Dry (Dec-Feb)"))</f>
        <v>Cool Dry (Dec-Feb)</v>
      </c>
      <c r="T247" s="4" t="str">
        <f aca="false">CHOOSE(O247,"Jan","Feb","Mar","Apr","May","Jun","Jul","Aug","Sep","Oct","Nov","Dec")</f>
        <v>Feb</v>
      </c>
    </row>
    <row r="248" customFormat="false" ht="15" hidden="false" customHeight="false" outlineLevel="0" collapsed="false">
      <c r="A248" s="4" t="s">
        <v>410</v>
      </c>
      <c r="B248" s="17" t="n">
        <v>45716</v>
      </c>
      <c r="C248" s="4" t="n">
        <v>11</v>
      </c>
      <c r="D248" s="4" t="s">
        <v>64</v>
      </c>
      <c r="E248" s="4" t="s">
        <v>74</v>
      </c>
      <c r="F248" s="4" t="s">
        <v>139</v>
      </c>
      <c r="G248" s="4" t="n">
        <v>1</v>
      </c>
      <c r="H248" s="34" t="n">
        <v>260</v>
      </c>
      <c r="I248" s="18" t="n">
        <v>0</v>
      </c>
      <c r="J248" s="4" t="s">
        <v>81</v>
      </c>
      <c r="K248" s="4" t="s">
        <v>68</v>
      </c>
      <c r="L248" s="35" t="n">
        <f aca="false">G248*H248</f>
        <v>260</v>
      </c>
      <c r="M248" s="35" t="n">
        <f aca="false">L248*I248</f>
        <v>0</v>
      </c>
      <c r="N248" s="35" t="n">
        <f aca="false">L248-M248</f>
        <v>260</v>
      </c>
      <c r="O248" s="4" t="n">
        <f aca="false">MONTH(B248)</f>
        <v>2</v>
      </c>
      <c r="P248" s="4" t="str">
        <f aca="false">CHOOSE(WEEKDAY(B248,2),"Mon","Tue","Wed","Thu","Fri","Sat","Sun")</f>
        <v>Fri</v>
      </c>
      <c r="Q248" s="4" t="str">
        <f aca="false">IF(WEEKDAY(B248,2)&gt;5,"Weekend","Weekday")</f>
        <v>Weekday</v>
      </c>
      <c r="R248" s="4" t="str">
        <f aca="false">IF(C248&lt;11,"Morning (7-10)",IF(C248&lt;14,"Lunch (11-13)",IF(C248&lt;18,"Afternoon (14-17)","Evening (18-20)")))</f>
        <v>Lunch (11-13)</v>
      </c>
      <c r="S248" s="4" t="str">
        <f aca="false">IF(AND(O248&gt;=3,O248&lt;=5),"Hot Dry (Mar-May)",IF(AND(O248&gt;=6,O248&lt;=11),"Rainy (Jun-Nov)","Cool Dry (Dec-Feb)"))</f>
        <v>Cool Dry (Dec-Feb)</v>
      </c>
      <c r="T248" s="4" t="str">
        <f aca="false">CHOOSE(O248,"Jan","Feb","Mar","Apr","May","Jun","Jul","Aug","Sep","Oct","Nov","Dec")</f>
        <v>Feb</v>
      </c>
    </row>
    <row r="249" customFormat="false" ht="15" hidden="false" customHeight="false" outlineLevel="0" collapsed="false">
      <c r="A249" s="4" t="s">
        <v>412</v>
      </c>
      <c r="B249" s="17" t="n">
        <v>45716</v>
      </c>
      <c r="C249" s="4" t="n">
        <v>12</v>
      </c>
      <c r="D249" s="4" t="s">
        <v>64</v>
      </c>
      <c r="E249" s="4" t="s">
        <v>79</v>
      </c>
      <c r="F249" s="4" t="s">
        <v>80</v>
      </c>
      <c r="G249" s="4" t="n">
        <v>1</v>
      </c>
      <c r="H249" s="34" t="n">
        <v>160</v>
      </c>
      <c r="I249" s="18" t="n">
        <v>0</v>
      </c>
      <c r="J249" s="4" t="s">
        <v>67</v>
      </c>
      <c r="K249" s="4" t="s">
        <v>68</v>
      </c>
      <c r="L249" s="35" t="n">
        <f aca="false">G249*H249</f>
        <v>160</v>
      </c>
      <c r="M249" s="35" t="n">
        <f aca="false">L249*I249</f>
        <v>0</v>
      </c>
      <c r="N249" s="35" t="n">
        <f aca="false">L249-M249</f>
        <v>160</v>
      </c>
      <c r="O249" s="4" t="n">
        <f aca="false">MONTH(B249)</f>
        <v>2</v>
      </c>
      <c r="P249" s="4" t="str">
        <f aca="false">CHOOSE(WEEKDAY(B249,2),"Mon","Tue","Wed","Thu","Fri","Sat","Sun")</f>
        <v>Fri</v>
      </c>
      <c r="Q249" s="4" t="str">
        <f aca="false">IF(WEEKDAY(B249,2)&gt;5,"Weekend","Weekday")</f>
        <v>Weekday</v>
      </c>
      <c r="R249" s="4" t="str">
        <f aca="false">IF(C249&lt;11,"Morning (7-10)",IF(C249&lt;14,"Lunch (11-13)",IF(C249&lt;18,"Afternoon (14-17)","Evening (18-20)")))</f>
        <v>Lunch (11-13)</v>
      </c>
      <c r="S249" s="4" t="str">
        <f aca="false">IF(AND(O249&gt;=3,O249&lt;=5),"Hot Dry (Mar-May)",IF(AND(O249&gt;=6,O249&lt;=11),"Rainy (Jun-Nov)","Cool Dry (Dec-Feb)"))</f>
        <v>Cool Dry (Dec-Feb)</v>
      </c>
      <c r="T249" s="4" t="str">
        <f aca="false">CHOOSE(O249,"Jan","Feb","Mar","Apr","May","Jun","Jul","Aug","Sep","Oct","Nov","Dec")</f>
        <v>Feb</v>
      </c>
    </row>
    <row r="250" customFormat="false" ht="15" hidden="false" customHeight="false" outlineLevel="0" collapsed="false">
      <c r="A250" s="4" t="s">
        <v>413</v>
      </c>
      <c r="B250" s="17" t="n">
        <v>45716</v>
      </c>
      <c r="C250" s="4" t="n">
        <v>13</v>
      </c>
      <c r="D250" s="4" t="s">
        <v>70</v>
      </c>
      <c r="E250" s="4" t="s">
        <v>65</v>
      </c>
      <c r="F250" s="4" t="s">
        <v>121</v>
      </c>
      <c r="G250" s="4" t="n">
        <v>1</v>
      </c>
      <c r="H250" s="34" t="n">
        <v>170</v>
      </c>
      <c r="I250" s="18" t="n">
        <v>0.05</v>
      </c>
      <c r="J250" s="4" t="s">
        <v>67</v>
      </c>
      <c r="K250" s="4" t="s">
        <v>82</v>
      </c>
      <c r="L250" s="35" t="n">
        <f aca="false">G250*H250</f>
        <v>170</v>
      </c>
      <c r="M250" s="35" t="n">
        <f aca="false">L250*I250</f>
        <v>8.5</v>
      </c>
      <c r="N250" s="35" t="n">
        <f aca="false">L250-M250</f>
        <v>161.5</v>
      </c>
      <c r="O250" s="4" t="n">
        <f aca="false">MONTH(B250)</f>
        <v>2</v>
      </c>
      <c r="P250" s="4" t="str">
        <f aca="false">CHOOSE(WEEKDAY(B250,2),"Mon","Tue","Wed","Thu","Fri","Sat","Sun")</f>
        <v>Fri</v>
      </c>
      <c r="Q250" s="4" t="str">
        <f aca="false">IF(WEEKDAY(B250,2)&gt;5,"Weekend","Weekday")</f>
        <v>Weekday</v>
      </c>
      <c r="R250" s="4" t="str">
        <f aca="false">IF(C250&lt;11,"Morning (7-10)",IF(C250&lt;14,"Lunch (11-13)",IF(C250&lt;18,"Afternoon (14-17)","Evening (18-20)")))</f>
        <v>Lunch (11-13)</v>
      </c>
      <c r="S250" s="4" t="str">
        <f aca="false">IF(AND(O250&gt;=3,O250&lt;=5),"Hot Dry (Mar-May)",IF(AND(O250&gt;=6,O250&lt;=11),"Rainy (Jun-Nov)","Cool Dry (Dec-Feb)"))</f>
        <v>Cool Dry (Dec-Feb)</v>
      </c>
      <c r="T250" s="4" t="str">
        <f aca="false">CHOOSE(O250,"Jan","Feb","Mar","Apr","May","Jun","Jul","Aug","Sep","Oct","Nov","Dec")</f>
        <v>Feb</v>
      </c>
    </row>
    <row r="251" customFormat="false" ht="15" hidden="false" customHeight="false" outlineLevel="0" collapsed="false">
      <c r="A251" s="4" t="s">
        <v>414</v>
      </c>
      <c r="B251" s="17" t="n">
        <v>45716</v>
      </c>
      <c r="C251" s="4" t="n">
        <v>13</v>
      </c>
      <c r="D251" s="4" t="s">
        <v>73</v>
      </c>
      <c r="E251" s="4" t="s">
        <v>99</v>
      </c>
      <c r="F251" s="4" t="s">
        <v>109</v>
      </c>
      <c r="G251" s="4" t="n">
        <v>1</v>
      </c>
      <c r="H251" s="34" t="n">
        <v>130</v>
      </c>
      <c r="I251" s="18" t="n">
        <v>0.05</v>
      </c>
      <c r="J251" s="4" t="s">
        <v>76</v>
      </c>
      <c r="K251" s="4" t="s">
        <v>82</v>
      </c>
      <c r="L251" s="35" t="n">
        <f aca="false">G251*H251</f>
        <v>130</v>
      </c>
      <c r="M251" s="35" t="n">
        <f aca="false">L251*I251</f>
        <v>6.5</v>
      </c>
      <c r="N251" s="35" t="n">
        <f aca="false">L251-M251</f>
        <v>123.5</v>
      </c>
      <c r="O251" s="4" t="n">
        <f aca="false">MONTH(B251)</f>
        <v>2</v>
      </c>
      <c r="P251" s="4" t="str">
        <f aca="false">CHOOSE(WEEKDAY(B251,2),"Mon","Tue","Wed","Thu","Fri","Sat","Sun")</f>
        <v>Fri</v>
      </c>
      <c r="Q251" s="4" t="str">
        <f aca="false">IF(WEEKDAY(B251,2)&gt;5,"Weekend","Weekday")</f>
        <v>Weekday</v>
      </c>
      <c r="R251" s="4" t="str">
        <f aca="false">IF(C251&lt;11,"Morning (7-10)",IF(C251&lt;14,"Lunch (11-13)",IF(C251&lt;18,"Afternoon (14-17)","Evening (18-20)")))</f>
        <v>Lunch (11-13)</v>
      </c>
      <c r="S251" s="4" t="str">
        <f aca="false">IF(AND(O251&gt;=3,O251&lt;=5),"Hot Dry (Mar-May)",IF(AND(O251&gt;=6,O251&lt;=11),"Rainy (Jun-Nov)","Cool Dry (Dec-Feb)"))</f>
        <v>Cool Dry (Dec-Feb)</v>
      </c>
      <c r="T251" s="4" t="str">
        <f aca="false">CHOOSE(O251,"Jan","Feb","Mar","Apr","May","Jun","Jul","Aug","Sep","Oct","Nov","Dec")</f>
        <v>Feb</v>
      </c>
    </row>
    <row r="252" customFormat="false" ht="15" hidden="false" customHeight="false" outlineLevel="0" collapsed="false">
      <c r="A252" s="4" t="s">
        <v>415</v>
      </c>
      <c r="B252" s="17" t="n">
        <v>45716</v>
      </c>
      <c r="C252" s="4" t="n">
        <v>14</v>
      </c>
      <c r="D252" s="4" t="s">
        <v>73</v>
      </c>
      <c r="E252" s="4" t="s">
        <v>99</v>
      </c>
      <c r="F252" s="4" t="s">
        <v>109</v>
      </c>
      <c r="G252" s="4" t="n">
        <v>2</v>
      </c>
      <c r="H252" s="34" t="n">
        <v>130</v>
      </c>
      <c r="I252" s="18" t="n">
        <v>0.05</v>
      </c>
      <c r="J252" s="4" t="s">
        <v>67</v>
      </c>
      <c r="K252" s="4" t="s">
        <v>82</v>
      </c>
      <c r="L252" s="35" t="n">
        <f aca="false">G252*H252</f>
        <v>260</v>
      </c>
      <c r="M252" s="35" t="n">
        <f aca="false">L252*I252</f>
        <v>13</v>
      </c>
      <c r="N252" s="35" t="n">
        <f aca="false">L252-M252</f>
        <v>247</v>
      </c>
      <c r="O252" s="4" t="n">
        <f aca="false">MONTH(B252)</f>
        <v>2</v>
      </c>
      <c r="P252" s="4" t="str">
        <f aca="false">CHOOSE(WEEKDAY(B252,2),"Mon","Tue","Wed","Thu","Fri","Sat","Sun")</f>
        <v>Fri</v>
      </c>
      <c r="Q252" s="4" t="str">
        <f aca="false">IF(WEEKDAY(B252,2)&gt;5,"Weekend","Weekday")</f>
        <v>Weekday</v>
      </c>
      <c r="R252" s="4" t="str">
        <f aca="false">IF(C252&lt;11,"Morning (7-10)",IF(C252&lt;14,"Lunch (11-13)",IF(C252&lt;18,"Afternoon (14-17)","Evening (18-20)")))</f>
        <v>Afternoon (14-17)</v>
      </c>
      <c r="S252" s="4" t="str">
        <f aca="false">IF(AND(O252&gt;=3,O252&lt;=5),"Hot Dry (Mar-May)",IF(AND(O252&gt;=6,O252&lt;=11),"Rainy (Jun-Nov)","Cool Dry (Dec-Feb)"))</f>
        <v>Cool Dry (Dec-Feb)</v>
      </c>
      <c r="T252" s="4" t="str">
        <f aca="false">CHOOSE(O252,"Jan","Feb","Mar","Apr","May","Jun","Jul","Aug","Sep","Oct","Nov","Dec")</f>
        <v>Feb</v>
      </c>
    </row>
    <row r="253" customFormat="false" ht="15" hidden="false" customHeight="false" outlineLevel="0" collapsed="false">
      <c r="A253" s="4" t="s">
        <v>416</v>
      </c>
      <c r="B253" s="17" t="n">
        <v>45716</v>
      </c>
      <c r="C253" s="4" t="n">
        <v>16</v>
      </c>
      <c r="D253" s="4" t="s">
        <v>98</v>
      </c>
      <c r="E253" s="4" t="s">
        <v>74</v>
      </c>
      <c r="F253" s="4" t="s">
        <v>91</v>
      </c>
      <c r="G253" s="4" t="n">
        <v>1</v>
      </c>
      <c r="H253" s="34" t="n">
        <v>200</v>
      </c>
      <c r="I253" s="18" t="n">
        <v>0</v>
      </c>
      <c r="J253" s="4" t="s">
        <v>76</v>
      </c>
      <c r="K253" s="4" t="s">
        <v>68</v>
      </c>
      <c r="L253" s="35" t="n">
        <f aca="false">G253*H253</f>
        <v>200</v>
      </c>
      <c r="M253" s="35" t="n">
        <f aca="false">L253*I253</f>
        <v>0</v>
      </c>
      <c r="N253" s="35" t="n">
        <f aca="false">L253-M253</f>
        <v>200</v>
      </c>
      <c r="O253" s="4" t="n">
        <f aca="false">MONTH(B253)</f>
        <v>2</v>
      </c>
      <c r="P253" s="4" t="str">
        <f aca="false">CHOOSE(WEEKDAY(B253,2),"Mon","Tue","Wed","Thu","Fri","Sat","Sun")</f>
        <v>Fri</v>
      </c>
      <c r="Q253" s="4" t="str">
        <f aca="false">IF(WEEKDAY(B253,2)&gt;5,"Weekend","Weekday")</f>
        <v>Weekday</v>
      </c>
      <c r="R253" s="4" t="str">
        <f aca="false">IF(C253&lt;11,"Morning (7-10)",IF(C253&lt;14,"Lunch (11-13)",IF(C253&lt;18,"Afternoon (14-17)","Evening (18-20)")))</f>
        <v>Afternoon (14-17)</v>
      </c>
      <c r="S253" s="4" t="str">
        <f aca="false">IF(AND(O253&gt;=3,O253&lt;=5),"Hot Dry (Mar-May)",IF(AND(O253&gt;=6,O253&lt;=11),"Rainy (Jun-Nov)","Cool Dry (Dec-Feb)"))</f>
        <v>Cool Dry (Dec-Feb)</v>
      </c>
      <c r="T253" s="4" t="str">
        <f aca="false">CHOOSE(O253,"Jan","Feb","Mar","Apr","May","Jun","Jul","Aug","Sep","Oct","Nov","Dec")</f>
        <v>Feb</v>
      </c>
    </row>
    <row r="254" customFormat="false" ht="15" hidden="false" customHeight="false" outlineLevel="0" collapsed="false">
      <c r="A254" s="4" t="s">
        <v>417</v>
      </c>
      <c r="B254" s="17" t="n">
        <v>45717</v>
      </c>
      <c r="C254" s="4" t="n">
        <v>16</v>
      </c>
      <c r="D254" s="4" t="s">
        <v>98</v>
      </c>
      <c r="E254" s="4" t="s">
        <v>79</v>
      </c>
      <c r="F254" s="4" t="s">
        <v>135</v>
      </c>
      <c r="G254" s="4" t="n">
        <v>1</v>
      </c>
      <c r="H254" s="34" t="n">
        <v>130</v>
      </c>
      <c r="I254" s="18" t="n">
        <v>0</v>
      </c>
      <c r="J254" s="4" t="s">
        <v>112</v>
      </c>
      <c r="K254" s="4" t="s">
        <v>77</v>
      </c>
      <c r="L254" s="35" t="n">
        <f aca="false">G254*H254</f>
        <v>130</v>
      </c>
      <c r="M254" s="35" t="n">
        <f aca="false">L254*I254</f>
        <v>0</v>
      </c>
      <c r="N254" s="35" t="n">
        <f aca="false">L254-M254</f>
        <v>130</v>
      </c>
      <c r="O254" s="4" t="n">
        <f aca="false">MONTH(B254)</f>
        <v>3</v>
      </c>
      <c r="P254" s="4" t="str">
        <f aca="false">CHOOSE(WEEKDAY(B254,2),"Mon","Tue","Wed","Thu","Fri","Sat","Sun")</f>
        <v>Sat</v>
      </c>
      <c r="Q254" s="4" t="str">
        <f aca="false">IF(WEEKDAY(B254,2)&gt;5,"Weekend","Weekday")</f>
        <v>Weekend</v>
      </c>
      <c r="R254" s="4" t="str">
        <f aca="false">IF(C254&lt;11,"Morning (7-10)",IF(C254&lt;14,"Lunch (11-13)",IF(C254&lt;18,"Afternoon (14-17)","Evening (18-20)")))</f>
        <v>Afternoon (14-17)</v>
      </c>
      <c r="S254" s="4" t="str">
        <f aca="false">IF(AND(O254&gt;=3,O254&lt;=5),"Hot Dry (Mar-May)",IF(AND(O254&gt;=6,O254&lt;=11),"Rainy (Jun-Nov)","Cool Dry (Dec-Feb)"))</f>
        <v>Hot Dry (Mar-May)</v>
      </c>
      <c r="T254" s="4" t="str">
        <f aca="false">CHOOSE(O254,"Jan","Feb","Mar","Apr","May","Jun","Jul","Aug","Sep","Oct","Nov","Dec")</f>
        <v>Mar</v>
      </c>
    </row>
    <row r="255" customFormat="false" ht="15" hidden="false" customHeight="false" outlineLevel="0" collapsed="false">
      <c r="A255" s="4" t="s">
        <v>418</v>
      </c>
      <c r="B255" s="17" t="n">
        <v>45718</v>
      </c>
      <c r="C255" s="4" t="n">
        <v>7</v>
      </c>
      <c r="D255" s="4" t="s">
        <v>73</v>
      </c>
      <c r="E255" s="4" t="s">
        <v>65</v>
      </c>
      <c r="F255" s="4" t="s">
        <v>66</v>
      </c>
      <c r="G255" s="4" t="n">
        <v>1</v>
      </c>
      <c r="H255" s="34" t="n">
        <v>120</v>
      </c>
      <c r="I255" s="18" t="n">
        <v>0</v>
      </c>
      <c r="J255" s="4" t="s">
        <v>81</v>
      </c>
      <c r="K255" s="4" t="s">
        <v>77</v>
      </c>
      <c r="L255" s="35" t="n">
        <f aca="false">G255*H255</f>
        <v>120</v>
      </c>
      <c r="M255" s="35" t="n">
        <f aca="false">L255*I255</f>
        <v>0</v>
      </c>
      <c r="N255" s="35" t="n">
        <f aca="false">L255-M255</f>
        <v>120</v>
      </c>
      <c r="O255" s="4" t="n">
        <f aca="false">MONTH(B255)</f>
        <v>3</v>
      </c>
      <c r="P255" s="4" t="str">
        <f aca="false">CHOOSE(WEEKDAY(B255,2),"Mon","Tue","Wed","Thu","Fri","Sat","Sun")</f>
        <v>Sun</v>
      </c>
      <c r="Q255" s="4" t="str">
        <f aca="false">IF(WEEKDAY(B255,2)&gt;5,"Weekend","Weekday")</f>
        <v>Weekend</v>
      </c>
      <c r="R255" s="4" t="str">
        <f aca="false">IF(C255&lt;11,"Morning (7-10)",IF(C255&lt;14,"Lunch (11-13)",IF(C255&lt;18,"Afternoon (14-17)","Evening (18-20)")))</f>
        <v>Morning (7-10)</v>
      </c>
      <c r="S255" s="4" t="str">
        <f aca="false">IF(AND(O255&gt;=3,O255&lt;=5),"Hot Dry (Mar-May)",IF(AND(O255&gt;=6,O255&lt;=11),"Rainy (Jun-Nov)","Cool Dry (Dec-Feb)"))</f>
        <v>Hot Dry (Mar-May)</v>
      </c>
      <c r="T255" s="4" t="str">
        <f aca="false">CHOOSE(O255,"Jan","Feb","Mar","Apr","May","Jun","Jul","Aug","Sep","Oct","Nov","Dec")</f>
        <v>Mar</v>
      </c>
    </row>
    <row r="256" customFormat="false" ht="15" hidden="false" customHeight="false" outlineLevel="0" collapsed="false">
      <c r="A256" s="4" t="s">
        <v>420</v>
      </c>
      <c r="B256" s="17" t="n">
        <v>45718</v>
      </c>
      <c r="C256" s="4" t="n">
        <v>8</v>
      </c>
      <c r="D256" s="4" t="s">
        <v>98</v>
      </c>
      <c r="E256" s="4" t="s">
        <v>99</v>
      </c>
      <c r="F256" s="4" t="s">
        <v>102</v>
      </c>
      <c r="G256" s="4" t="n">
        <v>2</v>
      </c>
      <c r="H256" s="34" t="n">
        <v>140</v>
      </c>
      <c r="I256" s="18" t="n">
        <v>0.1</v>
      </c>
      <c r="J256" s="4" t="s">
        <v>76</v>
      </c>
      <c r="K256" s="4" t="s">
        <v>71</v>
      </c>
      <c r="L256" s="35" t="n">
        <f aca="false">G256*H256</f>
        <v>280</v>
      </c>
      <c r="M256" s="35" t="n">
        <f aca="false">L256*I256</f>
        <v>28</v>
      </c>
      <c r="N256" s="35" t="n">
        <f aca="false">L256-M256</f>
        <v>252</v>
      </c>
      <c r="O256" s="4" t="n">
        <f aca="false">MONTH(B256)</f>
        <v>3</v>
      </c>
      <c r="P256" s="4" t="str">
        <f aca="false">CHOOSE(WEEKDAY(B256,2),"Mon","Tue","Wed","Thu","Fri","Sat","Sun")</f>
        <v>Sun</v>
      </c>
      <c r="Q256" s="4" t="str">
        <f aca="false">IF(WEEKDAY(B256,2)&gt;5,"Weekend","Weekday")</f>
        <v>Weekend</v>
      </c>
      <c r="R256" s="4" t="str">
        <f aca="false">IF(C256&lt;11,"Morning (7-10)",IF(C256&lt;14,"Lunch (11-13)",IF(C256&lt;18,"Afternoon (14-17)","Evening (18-20)")))</f>
        <v>Morning (7-10)</v>
      </c>
      <c r="S256" s="4" t="str">
        <f aca="false">IF(AND(O256&gt;=3,O256&lt;=5),"Hot Dry (Mar-May)",IF(AND(O256&gt;=6,O256&lt;=11),"Rainy (Jun-Nov)","Cool Dry (Dec-Feb)"))</f>
        <v>Hot Dry (Mar-May)</v>
      </c>
      <c r="T256" s="4" t="str">
        <f aca="false">CHOOSE(O256,"Jan","Feb","Mar","Apr","May","Jun","Jul","Aug","Sep","Oct","Nov","Dec")</f>
        <v>Mar</v>
      </c>
    </row>
    <row r="257" customFormat="false" ht="15" hidden="false" customHeight="false" outlineLevel="0" collapsed="false">
      <c r="A257" s="4" t="s">
        <v>421</v>
      </c>
      <c r="B257" s="17" t="n">
        <v>45718</v>
      </c>
      <c r="C257" s="4" t="n">
        <v>12</v>
      </c>
      <c r="D257" s="4" t="s">
        <v>70</v>
      </c>
      <c r="E257" s="4" t="s">
        <v>65</v>
      </c>
      <c r="F257" s="4" t="s">
        <v>121</v>
      </c>
      <c r="G257" s="4" t="n">
        <v>1</v>
      </c>
      <c r="H257" s="34" t="n">
        <v>170</v>
      </c>
      <c r="I257" s="18" t="n">
        <v>0</v>
      </c>
      <c r="J257" s="4" t="s">
        <v>67</v>
      </c>
      <c r="K257" s="4" t="s">
        <v>77</v>
      </c>
      <c r="L257" s="35" t="n">
        <f aca="false">G257*H257</f>
        <v>170</v>
      </c>
      <c r="M257" s="35" t="n">
        <f aca="false">L257*I257</f>
        <v>0</v>
      </c>
      <c r="N257" s="35" t="n">
        <f aca="false">L257-M257</f>
        <v>170</v>
      </c>
      <c r="O257" s="4" t="n">
        <f aca="false">MONTH(B257)</f>
        <v>3</v>
      </c>
      <c r="P257" s="4" t="str">
        <f aca="false">CHOOSE(WEEKDAY(B257,2),"Mon","Tue","Wed","Thu","Fri","Sat","Sun")</f>
        <v>Sun</v>
      </c>
      <c r="Q257" s="4" t="str">
        <f aca="false">IF(WEEKDAY(B257,2)&gt;5,"Weekend","Weekday")</f>
        <v>Weekend</v>
      </c>
      <c r="R257" s="4" t="str">
        <f aca="false">IF(C257&lt;11,"Morning (7-10)",IF(C257&lt;14,"Lunch (11-13)",IF(C257&lt;18,"Afternoon (14-17)","Evening (18-20)")))</f>
        <v>Lunch (11-13)</v>
      </c>
      <c r="S257" s="4" t="str">
        <f aca="false">IF(AND(O257&gt;=3,O257&lt;=5),"Hot Dry (Mar-May)",IF(AND(O257&gt;=6,O257&lt;=11),"Rainy (Jun-Nov)","Cool Dry (Dec-Feb)"))</f>
        <v>Hot Dry (Mar-May)</v>
      </c>
      <c r="T257" s="4" t="str">
        <f aca="false">CHOOSE(O257,"Jan","Feb","Mar","Apr","May","Jun","Jul","Aug","Sep","Oct","Nov","Dec")</f>
        <v>Mar</v>
      </c>
    </row>
    <row r="258" customFormat="false" ht="15" hidden="false" customHeight="false" outlineLevel="0" collapsed="false">
      <c r="A258" s="4" t="s">
        <v>422</v>
      </c>
      <c r="B258" s="17" t="n">
        <v>45718</v>
      </c>
      <c r="C258" s="4" t="n">
        <v>12</v>
      </c>
      <c r="D258" s="4" t="s">
        <v>70</v>
      </c>
      <c r="E258" s="4" t="s">
        <v>79</v>
      </c>
      <c r="F258" s="4" t="s">
        <v>148</v>
      </c>
      <c r="G258" s="4" t="n">
        <v>1</v>
      </c>
      <c r="H258" s="34" t="n">
        <v>120</v>
      </c>
      <c r="I258" s="18" t="n">
        <v>0.05</v>
      </c>
      <c r="J258" s="4" t="s">
        <v>81</v>
      </c>
      <c r="K258" s="4" t="s">
        <v>82</v>
      </c>
      <c r="L258" s="35" t="n">
        <f aca="false">G258*H258</f>
        <v>120</v>
      </c>
      <c r="M258" s="35" t="n">
        <f aca="false">L258*I258</f>
        <v>6</v>
      </c>
      <c r="N258" s="35" t="n">
        <f aca="false">L258-M258</f>
        <v>114</v>
      </c>
      <c r="O258" s="4" t="n">
        <f aca="false">MONTH(B258)</f>
        <v>3</v>
      </c>
      <c r="P258" s="4" t="str">
        <f aca="false">CHOOSE(WEEKDAY(B258,2),"Mon","Tue","Wed","Thu","Fri","Sat","Sun")</f>
        <v>Sun</v>
      </c>
      <c r="Q258" s="4" t="str">
        <f aca="false">IF(WEEKDAY(B258,2)&gt;5,"Weekend","Weekday")</f>
        <v>Weekend</v>
      </c>
      <c r="R258" s="4" t="str">
        <f aca="false">IF(C258&lt;11,"Morning (7-10)",IF(C258&lt;14,"Lunch (11-13)",IF(C258&lt;18,"Afternoon (14-17)","Evening (18-20)")))</f>
        <v>Lunch (11-13)</v>
      </c>
      <c r="S258" s="4" t="str">
        <f aca="false">IF(AND(O258&gt;=3,O258&lt;=5),"Hot Dry (Mar-May)",IF(AND(O258&gt;=6,O258&lt;=11),"Rainy (Jun-Nov)","Cool Dry (Dec-Feb)"))</f>
        <v>Hot Dry (Mar-May)</v>
      </c>
      <c r="T258" s="4" t="str">
        <f aca="false">CHOOSE(O258,"Jan","Feb","Mar","Apr","May","Jun","Jul","Aug","Sep","Oct","Nov","Dec")</f>
        <v>Mar</v>
      </c>
    </row>
    <row r="259" customFormat="false" ht="15" hidden="false" customHeight="false" outlineLevel="0" collapsed="false">
      <c r="A259" s="4" t="s">
        <v>423</v>
      </c>
      <c r="B259" s="17" t="n">
        <v>45718</v>
      </c>
      <c r="C259" s="4" t="n">
        <v>14</v>
      </c>
      <c r="D259" s="4" t="s">
        <v>73</v>
      </c>
      <c r="E259" s="4" t="s">
        <v>84</v>
      </c>
      <c r="F259" s="4" t="s">
        <v>117</v>
      </c>
      <c r="G259" s="4" t="n">
        <v>3</v>
      </c>
      <c r="H259" s="34" t="n">
        <v>95</v>
      </c>
      <c r="I259" s="18" t="n">
        <v>0.05</v>
      </c>
      <c r="J259" s="4" t="s">
        <v>81</v>
      </c>
      <c r="K259" s="4" t="s">
        <v>82</v>
      </c>
      <c r="L259" s="35" t="n">
        <f aca="false">G259*H259</f>
        <v>285</v>
      </c>
      <c r="M259" s="35" t="n">
        <f aca="false">L259*I259</f>
        <v>14.25</v>
      </c>
      <c r="N259" s="35" t="n">
        <f aca="false">L259-M259</f>
        <v>270.75</v>
      </c>
      <c r="O259" s="4" t="n">
        <f aca="false">MONTH(B259)</f>
        <v>3</v>
      </c>
      <c r="P259" s="4" t="str">
        <f aca="false">CHOOSE(WEEKDAY(B259,2),"Mon","Tue","Wed","Thu","Fri","Sat","Sun")</f>
        <v>Sun</v>
      </c>
      <c r="Q259" s="4" t="str">
        <f aca="false">IF(WEEKDAY(B259,2)&gt;5,"Weekend","Weekday")</f>
        <v>Weekend</v>
      </c>
      <c r="R259" s="4" t="str">
        <f aca="false">IF(C259&lt;11,"Morning (7-10)",IF(C259&lt;14,"Lunch (11-13)",IF(C259&lt;18,"Afternoon (14-17)","Evening (18-20)")))</f>
        <v>Afternoon (14-17)</v>
      </c>
      <c r="S259" s="4" t="str">
        <f aca="false">IF(AND(O259&gt;=3,O259&lt;=5),"Hot Dry (Mar-May)",IF(AND(O259&gt;=6,O259&lt;=11),"Rainy (Jun-Nov)","Cool Dry (Dec-Feb)"))</f>
        <v>Hot Dry (Mar-May)</v>
      </c>
      <c r="T259" s="4" t="str">
        <f aca="false">CHOOSE(O259,"Jan","Feb","Mar","Apr","May","Jun","Jul","Aug","Sep","Oct","Nov","Dec")</f>
        <v>Mar</v>
      </c>
    </row>
    <row r="260" customFormat="false" ht="15" hidden="false" customHeight="false" outlineLevel="0" collapsed="false">
      <c r="A260" s="4" t="s">
        <v>425</v>
      </c>
      <c r="B260" s="17" t="n">
        <v>45718</v>
      </c>
      <c r="C260" s="4" t="n">
        <v>15</v>
      </c>
      <c r="D260" s="4" t="s">
        <v>64</v>
      </c>
      <c r="E260" s="4" t="s">
        <v>65</v>
      </c>
      <c r="F260" s="4" t="s">
        <v>121</v>
      </c>
      <c r="G260" s="4" t="n">
        <v>1</v>
      </c>
      <c r="H260" s="34" t="n">
        <v>170</v>
      </c>
      <c r="I260" s="18" t="n">
        <v>0.15</v>
      </c>
      <c r="J260" s="4" t="s">
        <v>67</v>
      </c>
      <c r="K260" s="4" t="s">
        <v>82</v>
      </c>
      <c r="L260" s="35" t="n">
        <f aca="false">G260*H260</f>
        <v>170</v>
      </c>
      <c r="M260" s="35" t="n">
        <f aca="false">L260*I260</f>
        <v>25.5</v>
      </c>
      <c r="N260" s="35" t="n">
        <f aca="false">L260-M260</f>
        <v>144.5</v>
      </c>
      <c r="O260" s="4" t="n">
        <f aca="false">MONTH(B260)</f>
        <v>3</v>
      </c>
      <c r="P260" s="4" t="str">
        <f aca="false">CHOOSE(WEEKDAY(B260,2),"Mon","Tue","Wed","Thu","Fri","Sat","Sun")</f>
        <v>Sun</v>
      </c>
      <c r="Q260" s="4" t="str">
        <f aca="false">IF(WEEKDAY(B260,2)&gt;5,"Weekend","Weekday")</f>
        <v>Weekend</v>
      </c>
      <c r="R260" s="4" t="str">
        <f aca="false">IF(C260&lt;11,"Morning (7-10)",IF(C260&lt;14,"Lunch (11-13)",IF(C260&lt;18,"Afternoon (14-17)","Evening (18-20)")))</f>
        <v>Afternoon (14-17)</v>
      </c>
      <c r="S260" s="4" t="str">
        <f aca="false">IF(AND(O260&gt;=3,O260&lt;=5),"Hot Dry (Mar-May)",IF(AND(O260&gt;=6,O260&lt;=11),"Rainy (Jun-Nov)","Cool Dry (Dec-Feb)"))</f>
        <v>Hot Dry (Mar-May)</v>
      </c>
      <c r="T260" s="4" t="str">
        <f aca="false">CHOOSE(O260,"Jan","Feb","Mar","Apr","May","Jun","Jul","Aug","Sep","Oct","Nov","Dec")</f>
        <v>Mar</v>
      </c>
    </row>
    <row r="261" customFormat="false" ht="15" hidden="false" customHeight="false" outlineLevel="0" collapsed="false">
      <c r="A261" s="4" t="s">
        <v>426</v>
      </c>
      <c r="B261" s="17" t="n">
        <v>45718</v>
      </c>
      <c r="C261" s="4" t="n">
        <v>19</v>
      </c>
      <c r="D261" s="4" t="s">
        <v>98</v>
      </c>
      <c r="E261" s="4" t="s">
        <v>79</v>
      </c>
      <c r="F261" s="4" t="s">
        <v>135</v>
      </c>
      <c r="G261" s="4" t="n">
        <v>3</v>
      </c>
      <c r="H261" s="34" t="n">
        <v>130</v>
      </c>
      <c r="I261" s="18" t="n">
        <v>0.1</v>
      </c>
      <c r="J261" s="4" t="s">
        <v>81</v>
      </c>
      <c r="K261" s="4" t="s">
        <v>71</v>
      </c>
      <c r="L261" s="35" t="n">
        <f aca="false">G261*H261</f>
        <v>390</v>
      </c>
      <c r="M261" s="35" t="n">
        <f aca="false">L261*I261</f>
        <v>39</v>
      </c>
      <c r="N261" s="35" t="n">
        <f aca="false">L261-M261</f>
        <v>351</v>
      </c>
      <c r="O261" s="4" t="n">
        <f aca="false">MONTH(B261)</f>
        <v>3</v>
      </c>
      <c r="P261" s="4" t="str">
        <f aca="false">CHOOSE(WEEKDAY(B261,2),"Mon","Tue","Wed","Thu","Fri","Sat","Sun")</f>
        <v>Sun</v>
      </c>
      <c r="Q261" s="4" t="str">
        <f aca="false">IF(WEEKDAY(B261,2)&gt;5,"Weekend","Weekday")</f>
        <v>Weekend</v>
      </c>
      <c r="R261" s="4" t="str">
        <f aca="false">IF(C261&lt;11,"Morning (7-10)",IF(C261&lt;14,"Lunch (11-13)",IF(C261&lt;18,"Afternoon (14-17)","Evening (18-20)")))</f>
        <v>Evening (18-20)</v>
      </c>
      <c r="S261" s="4" t="str">
        <f aca="false">IF(AND(O261&gt;=3,O261&lt;=5),"Hot Dry (Mar-May)",IF(AND(O261&gt;=6,O261&lt;=11),"Rainy (Jun-Nov)","Cool Dry (Dec-Feb)"))</f>
        <v>Hot Dry (Mar-May)</v>
      </c>
      <c r="T261" s="4" t="str">
        <f aca="false">CHOOSE(O261,"Jan","Feb","Mar","Apr","May","Jun","Jul","Aug","Sep","Oct","Nov","Dec")</f>
        <v>Mar</v>
      </c>
    </row>
    <row r="262" customFormat="false" ht="15" hidden="false" customHeight="false" outlineLevel="0" collapsed="false">
      <c r="A262" s="4" t="s">
        <v>428</v>
      </c>
      <c r="B262" s="17" t="n">
        <v>45719</v>
      </c>
      <c r="C262" s="4" t="n">
        <v>7</v>
      </c>
      <c r="D262" s="4" t="s">
        <v>98</v>
      </c>
      <c r="E262" s="4" t="s">
        <v>99</v>
      </c>
      <c r="F262" s="4" t="s">
        <v>102</v>
      </c>
      <c r="G262" s="4" t="n">
        <v>1</v>
      </c>
      <c r="H262" s="34" t="n">
        <v>140</v>
      </c>
      <c r="I262" s="18" t="n">
        <v>0.1</v>
      </c>
      <c r="J262" s="4" t="s">
        <v>67</v>
      </c>
      <c r="K262" s="4" t="s">
        <v>71</v>
      </c>
      <c r="L262" s="35" t="n">
        <f aca="false">G262*H262</f>
        <v>140</v>
      </c>
      <c r="M262" s="35" t="n">
        <f aca="false">L262*I262</f>
        <v>14</v>
      </c>
      <c r="N262" s="35" t="n">
        <f aca="false">L262-M262</f>
        <v>126</v>
      </c>
      <c r="O262" s="4" t="n">
        <f aca="false">MONTH(B262)</f>
        <v>3</v>
      </c>
      <c r="P262" s="4" t="str">
        <f aca="false">CHOOSE(WEEKDAY(B262,2),"Mon","Tue","Wed","Thu","Fri","Sat","Sun")</f>
        <v>Mon</v>
      </c>
      <c r="Q262" s="4" t="str">
        <f aca="false">IF(WEEKDAY(B262,2)&gt;5,"Weekend","Weekday")</f>
        <v>Weekday</v>
      </c>
      <c r="R262" s="4" t="str">
        <f aca="false">IF(C262&lt;11,"Morning (7-10)",IF(C262&lt;14,"Lunch (11-13)",IF(C262&lt;18,"Afternoon (14-17)","Evening (18-20)")))</f>
        <v>Morning (7-10)</v>
      </c>
      <c r="S262" s="4" t="str">
        <f aca="false">IF(AND(O262&gt;=3,O262&lt;=5),"Hot Dry (Mar-May)",IF(AND(O262&gt;=6,O262&lt;=11),"Rainy (Jun-Nov)","Cool Dry (Dec-Feb)"))</f>
        <v>Hot Dry (Mar-May)</v>
      </c>
      <c r="T262" s="4" t="str">
        <f aca="false">CHOOSE(O262,"Jan","Feb","Mar","Apr","May","Jun","Jul","Aug","Sep","Oct","Nov","Dec")</f>
        <v>Mar</v>
      </c>
    </row>
    <row r="263" customFormat="false" ht="15" hidden="false" customHeight="false" outlineLevel="0" collapsed="false">
      <c r="A263" s="4" t="s">
        <v>429</v>
      </c>
      <c r="B263" s="17" t="n">
        <v>45719</v>
      </c>
      <c r="C263" s="4" t="n">
        <v>8</v>
      </c>
      <c r="D263" s="4" t="s">
        <v>64</v>
      </c>
      <c r="E263" s="4" t="s">
        <v>65</v>
      </c>
      <c r="F263" s="4" t="s">
        <v>87</v>
      </c>
      <c r="G263" s="4" t="n">
        <v>1</v>
      </c>
      <c r="H263" s="34" t="n">
        <v>160</v>
      </c>
      <c r="I263" s="18" t="n">
        <v>0.05</v>
      </c>
      <c r="J263" s="4" t="s">
        <v>81</v>
      </c>
      <c r="K263" s="4" t="s">
        <v>82</v>
      </c>
      <c r="L263" s="35" t="n">
        <f aca="false">G263*H263</f>
        <v>160</v>
      </c>
      <c r="M263" s="35" t="n">
        <f aca="false">L263*I263</f>
        <v>8</v>
      </c>
      <c r="N263" s="35" t="n">
        <f aca="false">L263-M263</f>
        <v>152</v>
      </c>
      <c r="O263" s="4" t="n">
        <f aca="false">MONTH(B263)</f>
        <v>3</v>
      </c>
      <c r="P263" s="4" t="str">
        <f aca="false">CHOOSE(WEEKDAY(B263,2),"Mon","Tue","Wed","Thu","Fri","Sat","Sun")</f>
        <v>Mon</v>
      </c>
      <c r="Q263" s="4" t="str">
        <f aca="false">IF(WEEKDAY(B263,2)&gt;5,"Weekend","Weekday")</f>
        <v>Weekday</v>
      </c>
      <c r="R263" s="4" t="str">
        <f aca="false">IF(C263&lt;11,"Morning (7-10)",IF(C263&lt;14,"Lunch (11-13)",IF(C263&lt;18,"Afternoon (14-17)","Evening (18-20)")))</f>
        <v>Morning (7-10)</v>
      </c>
      <c r="S263" s="4" t="str">
        <f aca="false">IF(AND(O263&gt;=3,O263&lt;=5),"Hot Dry (Mar-May)",IF(AND(O263&gt;=6,O263&lt;=11),"Rainy (Jun-Nov)","Cool Dry (Dec-Feb)"))</f>
        <v>Hot Dry (Mar-May)</v>
      </c>
      <c r="T263" s="4" t="str">
        <f aca="false">CHOOSE(O263,"Jan","Feb","Mar","Apr","May","Jun","Jul","Aug","Sep","Oct","Nov","Dec")</f>
        <v>Mar</v>
      </c>
    </row>
    <row r="264" customFormat="false" ht="15" hidden="false" customHeight="false" outlineLevel="0" collapsed="false">
      <c r="A264" s="4" t="s">
        <v>431</v>
      </c>
      <c r="B264" s="17" t="n">
        <v>45719</v>
      </c>
      <c r="C264" s="4" t="n">
        <v>8</v>
      </c>
      <c r="D264" s="4" t="s">
        <v>70</v>
      </c>
      <c r="E264" s="4" t="s">
        <v>65</v>
      </c>
      <c r="F264" s="4" t="s">
        <v>94</v>
      </c>
      <c r="G264" s="4" t="n">
        <v>4</v>
      </c>
      <c r="H264" s="34" t="n">
        <v>150</v>
      </c>
      <c r="I264" s="18" t="n">
        <v>0</v>
      </c>
      <c r="J264" s="4" t="s">
        <v>88</v>
      </c>
      <c r="K264" s="4" t="s">
        <v>77</v>
      </c>
      <c r="L264" s="35" t="n">
        <f aca="false">G264*H264</f>
        <v>600</v>
      </c>
      <c r="M264" s="35" t="n">
        <f aca="false">L264*I264</f>
        <v>0</v>
      </c>
      <c r="N264" s="35" t="n">
        <f aca="false">L264-M264</f>
        <v>600</v>
      </c>
      <c r="O264" s="4" t="n">
        <f aca="false">MONTH(B264)</f>
        <v>3</v>
      </c>
      <c r="P264" s="4" t="str">
        <f aca="false">CHOOSE(WEEKDAY(B264,2),"Mon","Tue","Wed","Thu","Fri","Sat","Sun")</f>
        <v>Mon</v>
      </c>
      <c r="Q264" s="4" t="str">
        <f aca="false">IF(WEEKDAY(B264,2)&gt;5,"Weekend","Weekday")</f>
        <v>Weekday</v>
      </c>
      <c r="R264" s="4" t="str">
        <f aca="false">IF(C264&lt;11,"Morning (7-10)",IF(C264&lt;14,"Lunch (11-13)",IF(C264&lt;18,"Afternoon (14-17)","Evening (18-20)")))</f>
        <v>Morning (7-10)</v>
      </c>
      <c r="S264" s="4" t="str">
        <f aca="false">IF(AND(O264&gt;=3,O264&lt;=5),"Hot Dry (Mar-May)",IF(AND(O264&gt;=6,O264&lt;=11),"Rainy (Jun-Nov)","Cool Dry (Dec-Feb)"))</f>
        <v>Hot Dry (Mar-May)</v>
      </c>
      <c r="T264" s="4" t="str">
        <f aca="false">CHOOSE(O264,"Jan","Feb","Mar","Apr","May","Jun","Jul","Aug","Sep","Oct","Nov","Dec")</f>
        <v>Mar</v>
      </c>
    </row>
    <row r="265" customFormat="false" ht="15" hidden="false" customHeight="false" outlineLevel="0" collapsed="false">
      <c r="A265" s="4" t="s">
        <v>432</v>
      </c>
      <c r="B265" s="17" t="n">
        <v>45719</v>
      </c>
      <c r="C265" s="4" t="n">
        <v>8</v>
      </c>
      <c r="D265" s="4" t="s">
        <v>64</v>
      </c>
      <c r="E265" s="4" t="s">
        <v>65</v>
      </c>
      <c r="F265" s="4" t="s">
        <v>94</v>
      </c>
      <c r="G265" s="4" t="n">
        <v>1</v>
      </c>
      <c r="H265" s="34" t="n">
        <v>150</v>
      </c>
      <c r="I265" s="18" t="n">
        <v>0</v>
      </c>
      <c r="J265" s="4" t="s">
        <v>67</v>
      </c>
      <c r="K265" s="4" t="s">
        <v>77</v>
      </c>
      <c r="L265" s="35" t="n">
        <f aca="false">G265*H265</f>
        <v>150</v>
      </c>
      <c r="M265" s="35" t="n">
        <f aca="false">L265*I265</f>
        <v>0</v>
      </c>
      <c r="N265" s="35" t="n">
        <f aca="false">L265-M265</f>
        <v>150</v>
      </c>
      <c r="O265" s="4" t="n">
        <f aca="false">MONTH(B265)</f>
        <v>3</v>
      </c>
      <c r="P265" s="4" t="str">
        <f aca="false">CHOOSE(WEEKDAY(B265,2),"Mon","Tue","Wed","Thu","Fri","Sat","Sun")</f>
        <v>Mon</v>
      </c>
      <c r="Q265" s="4" t="str">
        <f aca="false">IF(WEEKDAY(B265,2)&gt;5,"Weekend","Weekday")</f>
        <v>Weekday</v>
      </c>
      <c r="R265" s="4" t="str">
        <f aca="false">IF(C265&lt;11,"Morning (7-10)",IF(C265&lt;14,"Lunch (11-13)",IF(C265&lt;18,"Afternoon (14-17)","Evening (18-20)")))</f>
        <v>Morning (7-10)</v>
      </c>
      <c r="S265" s="4" t="str">
        <f aca="false">IF(AND(O265&gt;=3,O265&lt;=5),"Hot Dry (Mar-May)",IF(AND(O265&gt;=6,O265&lt;=11),"Rainy (Jun-Nov)","Cool Dry (Dec-Feb)"))</f>
        <v>Hot Dry (Mar-May)</v>
      </c>
      <c r="T265" s="4" t="str">
        <f aca="false">CHOOSE(O265,"Jan","Feb","Mar","Apr","May","Jun","Jul","Aug","Sep","Oct","Nov","Dec")</f>
        <v>Mar</v>
      </c>
    </row>
    <row r="266" customFormat="false" ht="15" hidden="false" customHeight="false" outlineLevel="0" collapsed="false">
      <c r="A266" s="4" t="s">
        <v>433</v>
      </c>
      <c r="B266" s="17" t="n">
        <v>45720</v>
      </c>
      <c r="C266" s="4" t="n">
        <v>12</v>
      </c>
      <c r="D266" s="4" t="s">
        <v>70</v>
      </c>
      <c r="E266" s="4" t="s">
        <v>84</v>
      </c>
      <c r="F266" s="4" t="s">
        <v>106</v>
      </c>
      <c r="G266" s="4" t="n">
        <v>2</v>
      </c>
      <c r="H266" s="34" t="n">
        <v>60</v>
      </c>
      <c r="I266" s="18" t="n">
        <v>0.05</v>
      </c>
      <c r="J266" s="4" t="s">
        <v>67</v>
      </c>
      <c r="K266" s="4" t="s">
        <v>82</v>
      </c>
      <c r="L266" s="35" t="n">
        <f aca="false">G266*H266</f>
        <v>120</v>
      </c>
      <c r="M266" s="35" t="n">
        <f aca="false">L266*I266</f>
        <v>6</v>
      </c>
      <c r="N266" s="35" t="n">
        <f aca="false">L266-M266</f>
        <v>114</v>
      </c>
      <c r="O266" s="4" t="n">
        <f aca="false">MONTH(B266)</f>
        <v>3</v>
      </c>
      <c r="P266" s="4" t="str">
        <f aca="false">CHOOSE(WEEKDAY(B266,2),"Mon","Tue","Wed","Thu","Fri","Sat","Sun")</f>
        <v>Tue</v>
      </c>
      <c r="Q266" s="4" t="str">
        <f aca="false">IF(WEEKDAY(B266,2)&gt;5,"Weekend","Weekday")</f>
        <v>Weekday</v>
      </c>
      <c r="R266" s="4" t="str">
        <f aca="false">IF(C266&lt;11,"Morning (7-10)",IF(C266&lt;14,"Lunch (11-13)",IF(C266&lt;18,"Afternoon (14-17)","Evening (18-20)")))</f>
        <v>Lunch (11-13)</v>
      </c>
      <c r="S266" s="4" t="str">
        <f aca="false">IF(AND(O266&gt;=3,O266&lt;=5),"Hot Dry (Mar-May)",IF(AND(O266&gt;=6,O266&lt;=11),"Rainy (Jun-Nov)","Cool Dry (Dec-Feb)"))</f>
        <v>Hot Dry (Mar-May)</v>
      </c>
      <c r="T266" s="4" t="str">
        <f aca="false">CHOOSE(O266,"Jan","Feb","Mar","Apr","May","Jun","Jul","Aug","Sep","Oct","Nov","Dec")</f>
        <v>Mar</v>
      </c>
    </row>
    <row r="267" customFormat="false" ht="15" hidden="false" customHeight="false" outlineLevel="0" collapsed="false">
      <c r="A267" s="4" t="s">
        <v>434</v>
      </c>
      <c r="B267" s="17" t="n">
        <v>45720</v>
      </c>
      <c r="C267" s="4" t="n">
        <v>14</v>
      </c>
      <c r="D267" s="4" t="s">
        <v>70</v>
      </c>
      <c r="E267" s="4" t="s">
        <v>65</v>
      </c>
      <c r="F267" s="4" t="s">
        <v>121</v>
      </c>
      <c r="G267" s="4" t="n">
        <v>4</v>
      </c>
      <c r="H267" s="34" t="n">
        <v>170</v>
      </c>
      <c r="I267" s="18" t="n">
        <v>0.05</v>
      </c>
      <c r="J267" s="4" t="s">
        <v>67</v>
      </c>
      <c r="K267" s="4" t="s">
        <v>82</v>
      </c>
      <c r="L267" s="35" t="n">
        <f aca="false">G267*H267</f>
        <v>680</v>
      </c>
      <c r="M267" s="35" t="n">
        <f aca="false">L267*I267</f>
        <v>34</v>
      </c>
      <c r="N267" s="35" t="n">
        <f aca="false">L267-M267</f>
        <v>646</v>
      </c>
      <c r="O267" s="4" t="n">
        <f aca="false">MONTH(B267)</f>
        <v>3</v>
      </c>
      <c r="P267" s="4" t="str">
        <f aca="false">CHOOSE(WEEKDAY(B267,2),"Mon","Tue","Wed","Thu","Fri","Sat","Sun")</f>
        <v>Tue</v>
      </c>
      <c r="Q267" s="4" t="str">
        <f aca="false">IF(WEEKDAY(B267,2)&gt;5,"Weekend","Weekday")</f>
        <v>Weekday</v>
      </c>
      <c r="R267" s="4" t="str">
        <f aca="false">IF(C267&lt;11,"Morning (7-10)",IF(C267&lt;14,"Lunch (11-13)",IF(C267&lt;18,"Afternoon (14-17)","Evening (18-20)")))</f>
        <v>Afternoon (14-17)</v>
      </c>
      <c r="S267" s="4" t="str">
        <f aca="false">IF(AND(O267&gt;=3,O267&lt;=5),"Hot Dry (Mar-May)",IF(AND(O267&gt;=6,O267&lt;=11),"Rainy (Jun-Nov)","Cool Dry (Dec-Feb)"))</f>
        <v>Hot Dry (Mar-May)</v>
      </c>
      <c r="T267" s="4" t="str">
        <f aca="false">CHOOSE(O267,"Jan","Feb","Mar","Apr","May","Jun","Jul","Aug","Sep","Oct","Nov","Dec")</f>
        <v>Mar</v>
      </c>
    </row>
    <row r="268" customFormat="false" ht="15" hidden="false" customHeight="false" outlineLevel="0" collapsed="false">
      <c r="A268" s="4" t="s">
        <v>435</v>
      </c>
      <c r="B268" s="17" t="n">
        <v>45720</v>
      </c>
      <c r="C268" s="4" t="n">
        <v>16</v>
      </c>
      <c r="D268" s="4" t="s">
        <v>73</v>
      </c>
      <c r="E268" s="4" t="s">
        <v>74</v>
      </c>
      <c r="F268" s="4" t="s">
        <v>91</v>
      </c>
      <c r="G268" s="4" t="n">
        <v>1</v>
      </c>
      <c r="H268" s="34" t="n">
        <v>200</v>
      </c>
      <c r="I268" s="18" t="n">
        <v>0</v>
      </c>
      <c r="J268" s="4" t="s">
        <v>112</v>
      </c>
      <c r="K268" s="4" t="s">
        <v>68</v>
      </c>
      <c r="L268" s="35" t="n">
        <f aca="false">G268*H268</f>
        <v>200</v>
      </c>
      <c r="M268" s="35" t="n">
        <f aca="false">L268*I268</f>
        <v>0</v>
      </c>
      <c r="N268" s="35" t="n">
        <f aca="false">L268-M268</f>
        <v>200</v>
      </c>
      <c r="O268" s="4" t="n">
        <f aca="false">MONTH(B268)</f>
        <v>3</v>
      </c>
      <c r="P268" s="4" t="str">
        <f aca="false">CHOOSE(WEEKDAY(B268,2),"Mon","Tue","Wed","Thu","Fri","Sat","Sun")</f>
        <v>Tue</v>
      </c>
      <c r="Q268" s="4" t="str">
        <f aca="false">IF(WEEKDAY(B268,2)&gt;5,"Weekend","Weekday")</f>
        <v>Weekday</v>
      </c>
      <c r="R268" s="4" t="str">
        <f aca="false">IF(C268&lt;11,"Morning (7-10)",IF(C268&lt;14,"Lunch (11-13)",IF(C268&lt;18,"Afternoon (14-17)","Evening (18-20)")))</f>
        <v>Afternoon (14-17)</v>
      </c>
      <c r="S268" s="4" t="str">
        <f aca="false">IF(AND(O268&gt;=3,O268&lt;=5),"Hot Dry (Mar-May)",IF(AND(O268&gt;=6,O268&lt;=11),"Rainy (Jun-Nov)","Cool Dry (Dec-Feb)"))</f>
        <v>Hot Dry (Mar-May)</v>
      </c>
      <c r="T268" s="4" t="str">
        <f aca="false">CHOOSE(O268,"Jan","Feb","Mar","Apr","May","Jun","Jul","Aug","Sep","Oct","Nov","Dec")</f>
        <v>Mar</v>
      </c>
    </row>
    <row r="269" customFormat="false" ht="15" hidden="false" customHeight="false" outlineLevel="0" collapsed="false">
      <c r="A269" s="4" t="s">
        <v>436</v>
      </c>
      <c r="B269" s="17" t="n">
        <v>45720</v>
      </c>
      <c r="C269" s="4" t="n">
        <v>16</v>
      </c>
      <c r="D269" s="4" t="s">
        <v>98</v>
      </c>
      <c r="E269" s="4" t="s">
        <v>84</v>
      </c>
      <c r="F269" s="4" t="s">
        <v>85</v>
      </c>
      <c r="G269" s="4" t="n">
        <v>3</v>
      </c>
      <c r="H269" s="34" t="n">
        <v>150</v>
      </c>
      <c r="I269" s="18" t="n">
        <v>0</v>
      </c>
      <c r="J269" s="4" t="s">
        <v>67</v>
      </c>
      <c r="K269" s="4" t="s">
        <v>68</v>
      </c>
      <c r="L269" s="35" t="n">
        <f aca="false">G269*H269</f>
        <v>450</v>
      </c>
      <c r="M269" s="35" t="n">
        <f aca="false">L269*I269</f>
        <v>0</v>
      </c>
      <c r="N269" s="35" t="n">
        <f aca="false">L269-M269</f>
        <v>450</v>
      </c>
      <c r="O269" s="4" t="n">
        <f aca="false">MONTH(B269)</f>
        <v>3</v>
      </c>
      <c r="P269" s="4" t="str">
        <f aca="false">CHOOSE(WEEKDAY(B269,2),"Mon","Tue","Wed","Thu","Fri","Sat","Sun")</f>
        <v>Tue</v>
      </c>
      <c r="Q269" s="4" t="str">
        <f aca="false">IF(WEEKDAY(B269,2)&gt;5,"Weekend","Weekday")</f>
        <v>Weekday</v>
      </c>
      <c r="R269" s="4" t="str">
        <f aca="false">IF(C269&lt;11,"Morning (7-10)",IF(C269&lt;14,"Lunch (11-13)",IF(C269&lt;18,"Afternoon (14-17)","Evening (18-20)")))</f>
        <v>Afternoon (14-17)</v>
      </c>
      <c r="S269" s="4" t="str">
        <f aca="false">IF(AND(O269&gt;=3,O269&lt;=5),"Hot Dry (Mar-May)",IF(AND(O269&gt;=6,O269&lt;=11),"Rainy (Jun-Nov)","Cool Dry (Dec-Feb)"))</f>
        <v>Hot Dry (Mar-May)</v>
      </c>
      <c r="T269" s="4" t="str">
        <f aca="false">CHOOSE(O269,"Jan","Feb","Mar","Apr","May","Jun","Jul","Aug","Sep","Oct","Nov","Dec")</f>
        <v>Mar</v>
      </c>
    </row>
    <row r="270" customFormat="false" ht="15" hidden="false" customHeight="false" outlineLevel="0" collapsed="false">
      <c r="A270" s="4" t="s">
        <v>438</v>
      </c>
      <c r="B270" s="17" t="n">
        <v>45721</v>
      </c>
      <c r="C270" s="4" t="n">
        <v>9</v>
      </c>
      <c r="D270" s="4" t="s">
        <v>64</v>
      </c>
      <c r="E270" s="4" t="s">
        <v>79</v>
      </c>
      <c r="F270" s="4" t="s">
        <v>80</v>
      </c>
      <c r="G270" s="4" t="n">
        <v>4</v>
      </c>
      <c r="H270" s="34" t="n">
        <v>160</v>
      </c>
      <c r="I270" s="18" t="n">
        <v>0</v>
      </c>
      <c r="J270" s="4" t="s">
        <v>67</v>
      </c>
      <c r="K270" s="4" t="s">
        <v>68</v>
      </c>
      <c r="L270" s="35" t="n">
        <f aca="false">G270*H270</f>
        <v>640</v>
      </c>
      <c r="M270" s="35" t="n">
        <f aca="false">L270*I270</f>
        <v>0</v>
      </c>
      <c r="N270" s="35" t="n">
        <f aca="false">L270-M270</f>
        <v>640</v>
      </c>
      <c r="O270" s="4" t="n">
        <f aca="false">MONTH(B270)</f>
        <v>3</v>
      </c>
      <c r="P270" s="4" t="str">
        <f aca="false">CHOOSE(WEEKDAY(B270,2),"Mon","Tue","Wed","Thu","Fri","Sat","Sun")</f>
        <v>Wed</v>
      </c>
      <c r="Q270" s="4" t="str">
        <f aca="false">IF(WEEKDAY(B270,2)&gt;5,"Weekend","Weekday")</f>
        <v>Weekday</v>
      </c>
      <c r="R270" s="4" t="str">
        <f aca="false">IF(C270&lt;11,"Morning (7-10)",IF(C270&lt;14,"Lunch (11-13)",IF(C270&lt;18,"Afternoon (14-17)","Evening (18-20)")))</f>
        <v>Morning (7-10)</v>
      </c>
      <c r="S270" s="4" t="str">
        <f aca="false">IF(AND(O270&gt;=3,O270&lt;=5),"Hot Dry (Mar-May)",IF(AND(O270&gt;=6,O270&lt;=11),"Rainy (Jun-Nov)","Cool Dry (Dec-Feb)"))</f>
        <v>Hot Dry (Mar-May)</v>
      </c>
      <c r="T270" s="4" t="str">
        <f aca="false">CHOOSE(O270,"Jan","Feb","Mar","Apr","May","Jun","Jul","Aug","Sep","Oct","Nov","Dec")</f>
        <v>Mar</v>
      </c>
    </row>
    <row r="271" customFormat="false" ht="15" hidden="false" customHeight="false" outlineLevel="0" collapsed="false">
      <c r="A271" s="4" t="s">
        <v>440</v>
      </c>
      <c r="B271" s="17" t="n">
        <v>45721</v>
      </c>
      <c r="C271" s="4" t="n">
        <v>12</v>
      </c>
      <c r="D271" s="4" t="s">
        <v>73</v>
      </c>
      <c r="E271" s="4" t="s">
        <v>74</v>
      </c>
      <c r="F271" s="4" t="s">
        <v>91</v>
      </c>
      <c r="G271" s="4" t="n">
        <v>2</v>
      </c>
      <c r="H271" s="34" t="n">
        <v>200</v>
      </c>
      <c r="I271" s="18" t="n">
        <v>0.15</v>
      </c>
      <c r="J271" s="4" t="s">
        <v>88</v>
      </c>
      <c r="K271" s="4" t="s">
        <v>68</v>
      </c>
      <c r="L271" s="35" t="n">
        <f aca="false">G271*H271</f>
        <v>400</v>
      </c>
      <c r="M271" s="35" t="n">
        <f aca="false">L271*I271</f>
        <v>60</v>
      </c>
      <c r="N271" s="35" t="n">
        <f aca="false">L271-M271</f>
        <v>340</v>
      </c>
      <c r="O271" s="4" t="n">
        <f aca="false">MONTH(B271)</f>
        <v>3</v>
      </c>
      <c r="P271" s="4" t="str">
        <f aca="false">CHOOSE(WEEKDAY(B271,2),"Mon","Tue","Wed","Thu","Fri","Sat","Sun")</f>
        <v>Wed</v>
      </c>
      <c r="Q271" s="4" t="str">
        <f aca="false">IF(WEEKDAY(B271,2)&gt;5,"Weekend","Weekday")</f>
        <v>Weekday</v>
      </c>
      <c r="R271" s="4" t="str">
        <f aca="false">IF(C271&lt;11,"Morning (7-10)",IF(C271&lt;14,"Lunch (11-13)",IF(C271&lt;18,"Afternoon (14-17)","Evening (18-20)")))</f>
        <v>Lunch (11-13)</v>
      </c>
      <c r="S271" s="4" t="str">
        <f aca="false">IF(AND(O271&gt;=3,O271&lt;=5),"Hot Dry (Mar-May)",IF(AND(O271&gt;=6,O271&lt;=11),"Rainy (Jun-Nov)","Cool Dry (Dec-Feb)"))</f>
        <v>Hot Dry (Mar-May)</v>
      </c>
      <c r="T271" s="4" t="str">
        <f aca="false">CHOOSE(O271,"Jan","Feb","Mar","Apr","May","Jun","Jul","Aug","Sep","Oct","Nov","Dec")</f>
        <v>Mar</v>
      </c>
    </row>
    <row r="272" customFormat="false" ht="15" hidden="false" customHeight="false" outlineLevel="0" collapsed="false">
      <c r="A272" s="4" t="s">
        <v>441</v>
      </c>
      <c r="B272" s="17" t="n">
        <v>45721</v>
      </c>
      <c r="C272" s="4" t="n">
        <v>12</v>
      </c>
      <c r="D272" s="4" t="s">
        <v>70</v>
      </c>
      <c r="E272" s="4" t="s">
        <v>74</v>
      </c>
      <c r="F272" s="4" t="s">
        <v>75</v>
      </c>
      <c r="G272" s="4" t="n">
        <v>1</v>
      </c>
      <c r="H272" s="34" t="n">
        <v>220</v>
      </c>
      <c r="I272" s="18" t="n">
        <v>0.05</v>
      </c>
      <c r="J272" s="4" t="s">
        <v>81</v>
      </c>
      <c r="K272" s="4" t="s">
        <v>82</v>
      </c>
      <c r="L272" s="35" t="n">
        <f aca="false">G272*H272</f>
        <v>220</v>
      </c>
      <c r="M272" s="35" t="n">
        <f aca="false">L272*I272</f>
        <v>11</v>
      </c>
      <c r="N272" s="35" t="n">
        <f aca="false">L272-M272</f>
        <v>209</v>
      </c>
      <c r="O272" s="4" t="n">
        <f aca="false">MONTH(B272)</f>
        <v>3</v>
      </c>
      <c r="P272" s="4" t="str">
        <f aca="false">CHOOSE(WEEKDAY(B272,2),"Mon","Tue","Wed","Thu","Fri","Sat","Sun")</f>
        <v>Wed</v>
      </c>
      <c r="Q272" s="4" t="str">
        <f aca="false">IF(WEEKDAY(B272,2)&gt;5,"Weekend","Weekday")</f>
        <v>Weekday</v>
      </c>
      <c r="R272" s="4" t="str">
        <f aca="false">IF(C272&lt;11,"Morning (7-10)",IF(C272&lt;14,"Lunch (11-13)",IF(C272&lt;18,"Afternoon (14-17)","Evening (18-20)")))</f>
        <v>Lunch (11-13)</v>
      </c>
      <c r="S272" s="4" t="str">
        <f aca="false">IF(AND(O272&gt;=3,O272&lt;=5),"Hot Dry (Mar-May)",IF(AND(O272&gt;=6,O272&lt;=11),"Rainy (Jun-Nov)","Cool Dry (Dec-Feb)"))</f>
        <v>Hot Dry (Mar-May)</v>
      </c>
      <c r="T272" s="4" t="str">
        <f aca="false">CHOOSE(O272,"Jan","Feb","Mar","Apr","May","Jun","Jul","Aug","Sep","Oct","Nov","Dec")</f>
        <v>Mar</v>
      </c>
    </row>
    <row r="273" customFormat="false" ht="15" hidden="false" customHeight="false" outlineLevel="0" collapsed="false">
      <c r="A273" s="4" t="s">
        <v>442</v>
      </c>
      <c r="B273" s="17" t="n">
        <v>45721</v>
      </c>
      <c r="C273" s="4" t="n">
        <v>12</v>
      </c>
      <c r="D273" s="4" t="s">
        <v>70</v>
      </c>
      <c r="E273" s="4" t="s">
        <v>74</v>
      </c>
      <c r="F273" s="4" t="s">
        <v>91</v>
      </c>
      <c r="G273" s="4" t="n">
        <v>2</v>
      </c>
      <c r="H273" s="34" t="n">
        <v>200</v>
      </c>
      <c r="I273" s="18" t="n">
        <v>0</v>
      </c>
      <c r="J273" s="4" t="s">
        <v>76</v>
      </c>
      <c r="K273" s="4" t="s">
        <v>68</v>
      </c>
      <c r="L273" s="35" t="n">
        <f aca="false">G273*H273</f>
        <v>400</v>
      </c>
      <c r="M273" s="35" t="n">
        <f aca="false">L273*I273</f>
        <v>0</v>
      </c>
      <c r="N273" s="35" t="n">
        <f aca="false">L273-M273</f>
        <v>400</v>
      </c>
      <c r="O273" s="4" t="n">
        <f aca="false">MONTH(B273)</f>
        <v>3</v>
      </c>
      <c r="P273" s="4" t="str">
        <f aca="false">CHOOSE(WEEKDAY(B273,2),"Mon","Tue","Wed","Thu","Fri","Sat","Sun")</f>
        <v>Wed</v>
      </c>
      <c r="Q273" s="4" t="str">
        <f aca="false">IF(WEEKDAY(B273,2)&gt;5,"Weekend","Weekday")</f>
        <v>Weekday</v>
      </c>
      <c r="R273" s="4" t="str">
        <f aca="false">IF(C273&lt;11,"Morning (7-10)",IF(C273&lt;14,"Lunch (11-13)",IF(C273&lt;18,"Afternoon (14-17)","Evening (18-20)")))</f>
        <v>Lunch (11-13)</v>
      </c>
      <c r="S273" s="4" t="str">
        <f aca="false">IF(AND(O273&gt;=3,O273&lt;=5),"Hot Dry (Mar-May)",IF(AND(O273&gt;=6,O273&lt;=11),"Rainy (Jun-Nov)","Cool Dry (Dec-Feb)"))</f>
        <v>Hot Dry (Mar-May)</v>
      </c>
      <c r="T273" s="4" t="str">
        <f aca="false">CHOOSE(O273,"Jan","Feb","Mar","Apr","May","Jun","Jul","Aug","Sep","Oct","Nov","Dec")</f>
        <v>Mar</v>
      </c>
    </row>
    <row r="274" customFormat="false" ht="15" hidden="false" customHeight="false" outlineLevel="0" collapsed="false">
      <c r="A274" s="4" t="s">
        <v>444</v>
      </c>
      <c r="B274" s="17" t="n">
        <v>45721</v>
      </c>
      <c r="C274" s="4" t="n">
        <v>14</v>
      </c>
      <c r="D274" s="4" t="s">
        <v>70</v>
      </c>
      <c r="E274" s="4" t="s">
        <v>79</v>
      </c>
      <c r="F274" s="4" t="s">
        <v>80</v>
      </c>
      <c r="G274" s="4" t="n">
        <v>1</v>
      </c>
      <c r="H274" s="34" t="n">
        <v>160</v>
      </c>
      <c r="I274" s="18" t="n">
        <v>0.05</v>
      </c>
      <c r="J274" s="4" t="s">
        <v>67</v>
      </c>
      <c r="K274" s="4" t="s">
        <v>82</v>
      </c>
      <c r="L274" s="35" t="n">
        <f aca="false">G274*H274</f>
        <v>160</v>
      </c>
      <c r="M274" s="35" t="n">
        <f aca="false">L274*I274</f>
        <v>8</v>
      </c>
      <c r="N274" s="35" t="n">
        <f aca="false">L274-M274</f>
        <v>152</v>
      </c>
      <c r="O274" s="4" t="n">
        <f aca="false">MONTH(B274)</f>
        <v>3</v>
      </c>
      <c r="P274" s="4" t="str">
        <f aca="false">CHOOSE(WEEKDAY(B274,2),"Mon","Tue","Wed","Thu","Fri","Sat","Sun")</f>
        <v>Wed</v>
      </c>
      <c r="Q274" s="4" t="str">
        <f aca="false">IF(WEEKDAY(B274,2)&gt;5,"Weekend","Weekday")</f>
        <v>Weekday</v>
      </c>
      <c r="R274" s="4" t="str">
        <f aca="false">IF(C274&lt;11,"Morning (7-10)",IF(C274&lt;14,"Lunch (11-13)",IF(C274&lt;18,"Afternoon (14-17)","Evening (18-20)")))</f>
        <v>Afternoon (14-17)</v>
      </c>
      <c r="S274" s="4" t="str">
        <f aca="false">IF(AND(O274&gt;=3,O274&lt;=5),"Hot Dry (Mar-May)",IF(AND(O274&gt;=6,O274&lt;=11),"Rainy (Jun-Nov)","Cool Dry (Dec-Feb)"))</f>
        <v>Hot Dry (Mar-May)</v>
      </c>
      <c r="T274" s="4" t="str">
        <f aca="false">CHOOSE(O274,"Jan","Feb","Mar","Apr","May","Jun","Jul","Aug","Sep","Oct","Nov","Dec")</f>
        <v>Mar</v>
      </c>
    </row>
    <row r="275" customFormat="false" ht="15" hidden="false" customHeight="false" outlineLevel="0" collapsed="false">
      <c r="A275" s="4" t="s">
        <v>445</v>
      </c>
      <c r="B275" s="17" t="n">
        <v>45722</v>
      </c>
      <c r="C275" s="4" t="n">
        <v>7</v>
      </c>
      <c r="D275" s="4" t="s">
        <v>70</v>
      </c>
      <c r="E275" s="4" t="s">
        <v>65</v>
      </c>
      <c r="F275" s="4" t="s">
        <v>94</v>
      </c>
      <c r="G275" s="4" t="n">
        <v>1</v>
      </c>
      <c r="H275" s="34" t="n">
        <v>150</v>
      </c>
      <c r="I275" s="18" t="n">
        <v>0</v>
      </c>
      <c r="J275" s="4" t="s">
        <v>81</v>
      </c>
      <c r="K275" s="4" t="s">
        <v>68</v>
      </c>
      <c r="L275" s="35" t="n">
        <f aca="false">G275*H275</f>
        <v>150</v>
      </c>
      <c r="M275" s="35" t="n">
        <f aca="false">L275*I275</f>
        <v>0</v>
      </c>
      <c r="N275" s="35" t="n">
        <f aca="false">L275-M275</f>
        <v>150</v>
      </c>
      <c r="O275" s="4" t="n">
        <f aca="false">MONTH(B275)</f>
        <v>3</v>
      </c>
      <c r="P275" s="4" t="str">
        <f aca="false">CHOOSE(WEEKDAY(B275,2),"Mon","Tue","Wed","Thu","Fri","Sat","Sun")</f>
        <v>Thu</v>
      </c>
      <c r="Q275" s="4" t="str">
        <f aca="false">IF(WEEKDAY(B275,2)&gt;5,"Weekend","Weekday")</f>
        <v>Weekday</v>
      </c>
      <c r="R275" s="4" t="str">
        <f aca="false">IF(C275&lt;11,"Morning (7-10)",IF(C275&lt;14,"Lunch (11-13)",IF(C275&lt;18,"Afternoon (14-17)","Evening (18-20)")))</f>
        <v>Morning (7-10)</v>
      </c>
      <c r="S275" s="4" t="str">
        <f aca="false">IF(AND(O275&gt;=3,O275&lt;=5),"Hot Dry (Mar-May)",IF(AND(O275&gt;=6,O275&lt;=11),"Rainy (Jun-Nov)","Cool Dry (Dec-Feb)"))</f>
        <v>Hot Dry (Mar-May)</v>
      </c>
      <c r="T275" s="4" t="str">
        <f aca="false">CHOOSE(O275,"Jan","Feb","Mar","Apr","May","Jun","Jul","Aug","Sep","Oct","Nov","Dec")</f>
        <v>Mar</v>
      </c>
    </row>
    <row r="276" customFormat="false" ht="15" hidden="false" customHeight="false" outlineLevel="0" collapsed="false">
      <c r="A276" s="4" t="s">
        <v>446</v>
      </c>
      <c r="B276" s="17" t="n">
        <v>45722</v>
      </c>
      <c r="C276" s="4" t="n">
        <v>15</v>
      </c>
      <c r="D276" s="4" t="s">
        <v>73</v>
      </c>
      <c r="E276" s="4" t="s">
        <v>65</v>
      </c>
      <c r="F276" s="4" t="s">
        <v>66</v>
      </c>
      <c r="G276" s="4" t="n">
        <v>3</v>
      </c>
      <c r="H276" s="34" t="n">
        <v>120</v>
      </c>
      <c r="I276" s="18" t="n">
        <v>0.15</v>
      </c>
      <c r="J276" s="4" t="s">
        <v>67</v>
      </c>
      <c r="K276" s="4" t="s">
        <v>82</v>
      </c>
      <c r="L276" s="35" t="n">
        <f aca="false">G276*H276</f>
        <v>360</v>
      </c>
      <c r="M276" s="35" t="n">
        <f aca="false">L276*I276</f>
        <v>54</v>
      </c>
      <c r="N276" s="35" t="n">
        <f aca="false">L276-M276</f>
        <v>306</v>
      </c>
      <c r="O276" s="4" t="n">
        <f aca="false">MONTH(B276)</f>
        <v>3</v>
      </c>
      <c r="P276" s="4" t="str">
        <f aca="false">CHOOSE(WEEKDAY(B276,2),"Mon","Tue","Wed","Thu","Fri","Sat","Sun")</f>
        <v>Thu</v>
      </c>
      <c r="Q276" s="4" t="str">
        <f aca="false">IF(WEEKDAY(B276,2)&gt;5,"Weekend","Weekday")</f>
        <v>Weekday</v>
      </c>
      <c r="R276" s="4" t="str">
        <f aca="false">IF(C276&lt;11,"Morning (7-10)",IF(C276&lt;14,"Lunch (11-13)",IF(C276&lt;18,"Afternoon (14-17)","Evening (18-20)")))</f>
        <v>Afternoon (14-17)</v>
      </c>
      <c r="S276" s="4" t="str">
        <f aca="false">IF(AND(O276&gt;=3,O276&lt;=5),"Hot Dry (Mar-May)",IF(AND(O276&gt;=6,O276&lt;=11),"Rainy (Jun-Nov)","Cool Dry (Dec-Feb)"))</f>
        <v>Hot Dry (Mar-May)</v>
      </c>
      <c r="T276" s="4" t="str">
        <f aca="false">CHOOSE(O276,"Jan","Feb","Mar","Apr","May","Jun","Jul","Aug","Sep","Oct","Nov","Dec")</f>
        <v>Mar</v>
      </c>
    </row>
    <row r="277" customFormat="false" ht="15" hidden="false" customHeight="false" outlineLevel="0" collapsed="false">
      <c r="A277" s="4" t="s">
        <v>448</v>
      </c>
      <c r="B277" s="17" t="n">
        <v>45722</v>
      </c>
      <c r="C277" s="4" t="n">
        <v>17</v>
      </c>
      <c r="D277" s="4" t="s">
        <v>73</v>
      </c>
      <c r="E277" s="4" t="s">
        <v>84</v>
      </c>
      <c r="F277" s="4" t="s">
        <v>106</v>
      </c>
      <c r="G277" s="4" t="n">
        <v>1</v>
      </c>
      <c r="H277" s="34" t="n">
        <v>60</v>
      </c>
      <c r="I277" s="18" t="n">
        <v>0</v>
      </c>
      <c r="J277" s="4" t="s">
        <v>112</v>
      </c>
      <c r="K277" s="4" t="s">
        <v>68</v>
      </c>
      <c r="L277" s="35" t="n">
        <f aca="false">G277*H277</f>
        <v>60</v>
      </c>
      <c r="M277" s="35" t="n">
        <f aca="false">L277*I277</f>
        <v>0</v>
      </c>
      <c r="N277" s="35" t="n">
        <f aca="false">L277-M277</f>
        <v>60</v>
      </c>
      <c r="O277" s="4" t="n">
        <f aca="false">MONTH(B277)</f>
        <v>3</v>
      </c>
      <c r="P277" s="4" t="str">
        <f aca="false">CHOOSE(WEEKDAY(B277,2),"Mon","Tue","Wed","Thu","Fri","Sat","Sun")</f>
        <v>Thu</v>
      </c>
      <c r="Q277" s="4" t="str">
        <f aca="false">IF(WEEKDAY(B277,2)&gt;5,"Weekend","Weekday")</f>
        <v>Weekday</v>
      </c>
      <c r="R277" s="4" t="str">
        <f aca="false">IF(C277&lt;11,"Morning (7-10)",IF(C277&lt;14,"Lunch (11-13)",IF(C277&lt;18,"Afternoon (14-17)","Evening (18-20)")))</f>
        <v>Afternoon (14-17)</v>
      </c>
      <c r="S277" s="4" t="str">
        <f aca="false">IF(AND(O277&gt;=3,O277&lt;=5),"Hot Dry (Mar-May)",IF(AND(O277&gt;=6,O277&lt;=11),"Rainy (Jun-Nov)","Cool Dry (Dec-Feb)"))</f>
        <v>Hot Dry (Mar-May)</v>
      </c>
      <c r="T277" s="4" t="str">
        <f aca="false">CHOOSE(O277,"Jan","Feb","Mar","Apr","May","Jun","Jul","Aug","Sep","Oct","Nov","Dec")</f>
        <v>Mar</v>
      </c>
    </row>
    <row r="278" customFormat="false" ht="15" hidden="false" customHeight="false" outlineLevel="0" collapsed="false">
      <c r="A278" s="4" t="s">
        <v>449</v>
      </c>
      <c r="B278" s="17" t="n">
        <v>45722</v>
      </c>
      <c r="C278" s="4" t="n">
        <v>17</v>
      </c>
      <c r="D278" s="4" t="s">
        <v>73</v>
      </c>
      <c r="E278" s="4" t="s">
        <v>84</v>
      </c>
      <c r="F278" s="4" t="s">
        <v>117</v>
      </c>
      <c r="G278" s="4" t="n">
        <v>2</v>
      </c>
      <c r="H278" s="34" t="n">
        <v>95</v>
      </c>
      <c r="I278" s="18" t="n">
        <v>0.1</v>
      </c>
      <c r="J278" s="4" t="s">
        <v>67</v>
      </c>
      <c r="K278" s="4" t="s">
        <v>71</v>
      </c>
      <c r="L278" s="35" t="n">
        <f aca="false">G278*H278</f>
        <v>190</v>
      </c>
      <c r="M278" s="35" t="n">
        <f aca="false">L278*I278</f>
        <v>19</v>
      </c>
      <c r="N278" s="35" t="n">
        <f aca="false">L278-M278</f>
        <v>171</v>
      </c>
      <c r="O278" s="4" t="n">
        <f aca="false">MONTH(B278)</f>
        <v>3</v>
      </c>
      <c r="P278" s="4" t="str">
        <f aca="false">CHOOSE(WEEKDAY(B278,2),"Mon","Tue","Wed","Thu","Fri","Sat","Sun")</f>
        <v>Thu</v>
      </c>
      <c r="Q278" s="4" t="str">
        <f aca="false">IF(WEEKDAY(B278,2)&gt;5,"Weekend","Weekday")</f>
        <v>Weekday</v>
      </c>
      <c r="R278" s="4" t="str">
        <f aca="false">IF(C278&lt;11,"Morning (7-10)",IF(C278&lt;14,"Lunch (11-13)",IF(C278&lt;18,"Afternoon (14-17)","Evening (18-20)")))</f>
        <v>Afternoon (14-17)</v>
      </c>
      <c r="S278" s="4" t="str">
        <f aca="false">IF(AND(O278&gt;=3,O278&lt;=5),"Hot Dry (Mar-May)",IF(AND(O278&gt;=6,O278&lt;=11),"Rainy (Jun-Nov)","Cool Dry (Dec-Feb)"))</f>
        <v>Hot Dry (Mar-May)</v>
      </c>
      <c r="T278" s="4" t="str">
        <f aca="false">CHOOSE(O278,"Jan","Feb","Mar","Apr","May","Jun","Jul","Aug","Sep","Oct","Nov","Dec")</f>
        <v>Mar</v>
      </c>
    </row>
    <row r="279" customFormat="false" ht="15" hidden="false" customHeight="false" outlineLevel="0" collapsed="false">
      <c r="A279" s="4" t="s">
        <v>450</v>
      </c>
      <c r="B279" s="17" t="n">
        <v>45723</v>
      </c>
      <c r="C279" s="4" t="n">
        <v>8</v>
      </c>
      <c r="D279" s="4" t="s">
        <v>70</v>
      </c>
      <c r="E279" s="4" t="s">
        <v>84</v>
      </c>
      <c r="F279" s="4" t="s">
        <v>117</v>
      </c>
      <c r="G279" s="4" t="n">
        <v>1</v>
      </c>
      <c r="H279" s="34" t="n">
        <v>95</v>
      </c>
      <c r="I279" s="18" t="n">
        <v>0</v>
      </c>
      <c r="J279" s="4" t="s">
        <v>81</v>
      </c>
      <c r="K279" s="4" t="s">
        <v>68</v>
      </c>
      <c r="L279" s="35" t="n">
        <f aca="false">G279*H279</f>
        <v>95</v>
      </c>
      <c r="M279" s="35" t="n">
        <f aca="false">L279*I279</f>
        <v>0</v>
      </c>
      <c r="N279" s="35" t="n">
        <f aca="false">L279-M279</f>
        <v>95</v>
      </c>
      <c r="O279" s="4" t="n">
        <f aca="false">MONTH(B279)</f>
        <v>3</v>
      </c>
      <c r="P279" s="4" t="str">
        <f aca="false">CHOOSE(WEEKDAY(B279,2),"Mon","Tue","Wed","Thu","Fri","Sat","Sun")</f>
        <v>Fri</v>
      </c>
      <c r="Q279" s="4" t="str">
        <f aca="false">IF(WEEKDAY(B279,2)&gt;5,"Weekend","Weekday")</f>
        <v>Weekday</v>
      </c>
      <c r="R279" s="4" t="str">
        <f aca="false">IF(C279&lt;11,"Morning (7-10)",IF(C279&lt;14,"Lunch (11-13)",IF(C279&lt;18,"Afternoon (14-17)","Evening (18-20)")))</f>
        <v>Morning (7-10)</v>
      </c>
      <c r="S279" s="4" t="str">
        <f aca="false">IF(AND(O279&gt;=3,O279&lt;=5),"Hot Dry (Mar-May)",IF(AND(O279&gt;=6,O279&lt;=11),"Rainy (Jun-Nov)","Cool Dry (Dec-Feb)"))</f>
        <v>Hot Dry (Mar-May)</v>
      </c>
      <c r="T279" s="4" t="str">
        <f aca="false">CHOOSE(O279,"Jan","Feb","Mar","Apr","May","Jun","Jul","Aug","Sep","Oct","Nov","Dec")</f>
        <v>Mar</v>
      </c>
    </row>
    <row r="280" customFormat="false" ht="15" hidden="false" customHeight="false" outlineLevel="0" collapsed="false">
      <c r="A280" s="4" t="s">
        <v>451</v>
      </c>
      <c r="B280" s="17" t="n">
        <v>45723</v>
      </c>
      <c r="C280" s="4" t="n">
        <v>13</v>
      </c>
      <c r="D280" s="4" t="s">
        <v>73</v>
      </c>
      <c r="E280" s="4" t="s">
        <v>99</v>
      </c>
      <c r="F280" s="4" t="s">
        <v>133</v>
      </c>
      <c r="G280" s="4" t="n">
        <v>4</v>
      </c>
      <c r="H280" s="34" t="n">
        <v>90</v>
      </c>
      <c r="I280" s="18" t="n">
        <v>0</v>
      </c>
      <c r="J280" s="4" t="s">
        <v>112</v>
      </c>
      <c r="K280" s="4" t="s">
        <v>77</v>
      </c>
      <c r="L280" s="35" t="n">
        <f aca="false">G280*H280</f>
        <v>360</v>
      </c>
      <c r="M280" s="35" t="n">
        <f aca="false">L280*I280</f>
        <v>0</v>
      </c>
      <c r="N280" s="35" t="n">
        <f aca="false">L280-M280</f>
        <v>360</v>
      </c>
      <c r="O280" s="4" t="n">
        <f aca="false">MONTH(B280)</f>
        <v>3</v>
      </c>
      <c r="P280" s="4" t="str">
        <f aca="false">CHOOSE(WEEKDAY(B280,2),"Mon","Tue","Wed","Thu","Fri","Sat","Sun")</f>
        <v>Fri</v>
      </c>
      <c r="Q280" s="4" t="str">
        <f aca="false">IF(WEEKDAY(B280,2)&gt;5,"Weekend","Weekday")</f>
        <v>Weekday</v>
      </c>
      <c r="R280" s="4" t="str">
        <f aca="false">IF(C280&lt;11,"Morning (7-10)",IF(C280&lt;14,"Lunch (11-13)",IF(C280&lt;18,"Afternoon (14-17)","Evening (18-20)")))</f>
        <v>Lunch (11-13)</v>
      </c>
      <c r="S280" s="4" t="str">
        <f aca="false">IF(AND(O280&gt;=3,O280&lt;=5),"Hot Dry (Mar-May)",IF(AND(O280&gt;=6,O280&lt;=11),"Rainy (Jun-Nov)","Cool Dry (Dec-Feb)"))</f>
        <v>Hot Dry (Mar-May)</v>
      </c>
      <c r="T280" s="4" t="str">
        <f aca="false">CHOOSE(O280,"Jan","Feb","Mar","Apr","May","Jun","Jul","Aug","Sep","Oct","Nov","Dec")</f>
        <v>Mar</v>
      </c>
    </row>
    <row r="281" customFormat="false" ht="15" hidden="false" customHeight="false" outlineLevel="0" collapsed="false">
      <c r="A281" s="4" t="s">
        <v>452</v>
      </c>
      <c r="B281" s="17" t="n">
        <v>45724</v>
      </c>
      <c r="C281" s="4" t="n">
        <v>8</v>
      </c>
      <c r="D281" s="4" t="s">
        <v>98</v>
      </c>
      <c r="E281" s="4" t="s">
        <v>65</v>
      </c>
      <c r="F281" s="4" t="s">
        <v>87</v>
      </c>
      <c r="G281" s="4" t="n">
        <v>2</v>
      </c>
      <c r="H281" s="34" t="n">
        <v>160</v>
      </c>
      <c r="I281" s="18" t="n">
        <v>0.1</v>
      </c>
      <c r="J281" s="4" t="s">
        <v>81</v>
      </c>
      <c r="K281" s="4" t="s">
        <v>71</v>
      </c>
      <c r="L281" s="35" t="n">
        <f aca="false">G281*H281</f>
        <v>320</v>
      </c>
      <c r="M281" s="35" t="n">
        <f aca="false">L281*I281</f>
        <v>32</v>
      </c>
      <c r="N281" s="35" t="n">
        <f aca="false">L281-M281</f>
        <v>288</v>
      </c>
      <c r="O281" s="4" t="n">
        <f aca="false">MONTH(B281)</f>
        <v>3</v>
      </c>
      <c r="P281" s="4" t="str">
        <f aca="false">CHOOSE(WEEKDAY(B281,2),"Mon","Tue","Wed","Thu","Fri","Sat","Sun")</f>
        <v>Sat</v>
      </c>
      <c r="Q281" s="4" t="str">
        <f aca="false">IF(WEEKDAY(B281,2)&gt;5,"Weekend","Weekday")</f>
        <v>Weekend</v>
      </c>
      <c r="R281" s="4" t="str">
        <f aca="false">IF(C281&lt;11,"Morning (7-10)",IF(C281&lt;14,"Lunch (11-13)",IF(C281&lt;18,"Afternoon (14-17)","Evening (18-20)")))</f>
        <v>Morning (7-10)</v>
      </c>
      <c r="S281" s="4" t="str">
        <f aca="false">IF(AND(O281&gt;=3,O281&lt;=5),"Hot Dry (Mar-May)",IF(AND(O281&gt;=6,O281&lt;=11),"Rainy (Jun-Nov)","Cool Dry (Dec-Feb)"))</f>
        <v>Hot Dry (Mar-May)</v>
      </c>
      <c r="T281" s="4" t="str">
        <f aca="false">CHOOSE(O281,"Jan","Feb","Mar","Apr","May","Jun","Jul","Aug","Sep","Oct","Nov","Dec")</f>
        <v>Mar</v>
      </c>
    </row>
    <row r="282" customFormat="false" ht="15" hidden="false" customHeight="false" outlineLevel="0" collapsed="false">
      <c r="A282" s="4" t="s">
        <v>454</v>
      </c>
      <c r="B282" s="17" t="n">
        <v>45724</v>
      </c>
      <c r="C282" s="4" t="n">
        <v>8</v>
      </c>
      <c r="D282" s="4" t="s">
        <v>70</v>
      </c>
      <c r="E282" s="4" t="s">
        <v>84</v>
      </c>
      <c r="F282" s="4" t="s">
        <v>85</v>
      </c>
      <c r="G282" s="4" t="n">
        <v>1</v>
      </c>
      <c r="H282" s="34" t="n">
        <v>150</v>
      </c>
      <c r="I282" s="18" t="n">
        <v>0.05</v>
      </c>
      <c r="J282" s="4" t="s">
        <v>67</v>
      </c>
      <c r="K282" s="4" t="s">
        <v>82</v>
      </c>
      <c r="L282" s="35" t="n">
        <f aca="false">G282*H282</f>
        <v>150</v>
      </c>
      <c r="M282" s="35" t="n">
        <f aca="false">L282*I282</f>
        <v>7.5</v>
      </c>
      <c r="N282" s="35" t="n">
        <f aca="false">L282-M282</f>
        <v>142.5</v>
      </c>
      <c r="O282" s="4" t="n">
        <f aca="false">MONTH(B282)</f>
        <v>3</v>
      </c>
      <c r="P282" s="4" t="str">
        <f aca="false">CHOOSE(WEEKDAY(B282,2),"Mon","Tue","Wed","Thu","Fri","Sat","Sun")</f>
        <v>Sat</v>
      </c>
      <c r="Q282" s="4" t="str">
        <f aca="false">IF(WEEKDAY(B282,2)&gt;5,"Weekend","Weekday")</f>
        <v>Weekend</v>
      </c>
      <c r="R282" s="4" t="str">
        <f aca="false">IF(C282&lt;11,"Morning (7-10)",IF(C282&lt;14,"Lunch (11-13)",IF(C282&lt;18,"Afternoon (14-17)","Evening (18-20)")))</f>
        <v>Morning (7-10)</v>
      </c>
      <c r="S282" s="4" t="str">
        <f aca="false">IF(AND(O282&gt;=3,O282&lt;=5),"Hot Dry (Mar-May)",IF(AND(O282&gt;=6,O282&lt;=11),"Rainy (Jun-Nov)","Cool Dry (Dec-Feb)"))</f>
        <v>Hot Dry (Mar-May)</v>
      </c>
      <c r="T282" s="4" t="str">
        <f aca="false">CHOOSE(O282,"Jan","Feb","Mar","Apr","May","Jun","Jul","Aug","Sep","Oct","Nov","Dec")</f>
        <v>Mar</v>
      </c>
    </row>
    <row r="283" customFormat="false" ht="15" hidden="false" customHeight="false" outlineLevel="0" collapsed="false">
      <c r="A283" s="4" t="s">
        <v>455</v>
      </c>
      <c r="B283" s="17" t="n">
        <v>45724</v>
      </c>
      <c r="C283" s="4" t="n">
        <v>9</v>
      </c>
      <c r="D283" s="4" t="s">
        <v>64</v>
      </c>
      <c r="E283" s="4" t="s">
        <v>79</v>
      </c>
      <c r="F283" s="4" t="s">
        <v>80</v>
      </c>
      <c r="G283" s="4" t="n">
        <v>2</v>
      </c>
      <c r="H283" s="34" t="n">
        <v>160</v>
      </c>
      <c r="I283" s="18" t="n">
        <v>0.1</v>
      </c>
      <c r="J283" s="4" t="s">
        <v>112</v>
      </c>
      <c r="K283" s="4" t="s">
        <v>2289</v>
      </c>
      <c r="L283" s="35" t="n">
        <f aca="false">G283*H283</f>
        <v>320</v>
      </c>
      <c r="M283" s="35" t="n">
        <f aca="false">L283*I283</f>
        <v>32</v>
      </c>
      <c r="N283" s="35" t="n">
        <f aca="false">L283-M283</f>
        <v>288</v>
      </c>
      <c r="O283" s="4" t="n">
        <f aca="false">MONTH(B283)</f>
        <v>3</v>
      </c>
      <c r="P283" s="4" t="str">
        <f aca="false">CHOOSE(WEEKDAY(B283,2),"Mon","Tue","Wed","Thu","Fri","Sat","Sun")</f>
        <v>Sat</v>
      </c>
      <c r="Q283" s="4" t="str">
        <f aca="false">IF(WEEKDAY(B283,2)&gt;5,"Weekend","Weekday")</f>
        <v>Weekend</v>
      </c>
      <c r="R283" s="4" t="str">
        <f aca="false">IF(C283&lt;11,"Morning (7-10)",IF(C283&lt;14,"Lunch (11-13)",IF(C283&lt;18,"Afternoon (14-17)","Evening (18-20)")))</f>
        <v>Morning (7-10)</v>
      </c>
      <c r="S283" s="4" t="str">
        <f aca="false">IF(AND(O283&gt;=3,O283&lt;=5),"Hot Dry (Mar-May)",IF(AND(O283&gt;=6,O283&lt;=11),"Rainy (Jun-Nov)","Cool Dry (Dec-Feb)"))</f>
        <v>Hot Dry (Mar-May)</v>
      </c>
      <c r="T283" s="4" t="str">
        <f aca="false">CHOOSE(O283,"Jan","Feb","Mar","Apr","May","Jun","Jul","Aug","Sep","Oct","Nov","Dec")</f>
        <v>Mar</v>
      </c>
    </row>
    <row r="284" customFormat="false" ht="15" hidden="false" customHeight="false" outlineLevel="0" collapsed="false">
      <c r="A284" s="4" t="s">
        <v>456</v>
      </c>
      <c r="B284" s="17" t="n">
        <v>45724</v>
      </c>
      <c r="C284" s="4" t="n">
        <v>12</v>
      </c>
      <c r="D284" s="4" t="s">
        <v>70</v>
      </c>
      <c r="E284" s="4" t="s">
        <v>65</v>
      </c>
      <c r="F284" s="4" t="s">
        <v>121</v>
      </c>
      <c r="G284" s="4" t="n">
        <v>3</v>
      </c>
      <c r="H284" s="34" t="n">
        <v>170</v>
      </c>
      <c r="I284" s="18" t="n">
        <v>0.05</v>
      </c>
      <c r="J284" s="4" t="s">
        <v>81</v>
      </c>
      <c r="K284" s="4" t="s">
        <v>82</v>
      </c>
      <c r="L284" s="35" t="n">
        <f aca="false">G284*H284</f>
        <v>510</v>
      </c>
      <c r="M284" s="35" t="n">
        <f aca="false">L284*I284</f>
        <v>25.5</v>
      </c>
      <c r="N284" s="35" t="n">
        <f aca="false">L284-M284</f>
        <v>484.5</v>
      </c>
      <c r="O284" s="4" t="n">
        <f aca="false">MONTH(B284)</f>
        <v>3</v>
      </c>
      <c r="P284" s="4" t="str">
        <f aca="false">CHOOSE(WEEKDAY(B284,2),"Mon","Tue","Wed","Thu","Fri","Sat","Sun")</f>
        <v>Sat</v>
      </c>
      <c r="Q284" s="4" t="str">
        <f aca="false">IF(WEEKDAY(B284,2)&gt;5,"Weekend","Weekday")</f>
        <v>Weekend</v>
      </c>
      <c r="R284" s="4" t="str">
        <f aca="false">IF(C284&lt;11,"Morning (7-10)",IF(C284&lt;14,"Lunch (11-13)",IF(C284&lt;18,"Afternoon (14-17)","Evening (18-20)")))</f>
        <v>Lunch (11-13)</v>
      </c>
      <c r="S284" s="4" t="str">
        <f aca="false">IF(AND(O284&gt;=3,O284&lt;=5),"Hot Dry (Mar-May)",IF(AND(O284&gt;=6,O284&lt;=11),"Rainy (Jun-Nov)","Cool Dry (Dec-Feb)"))</f>
        <v>Hot Dry (Mar-May)</v>
      </c>
      <c r="T284" s="4" t="str">
        <f aca="false">CHOOSE(O284,"Jan","Feb","Mar","Apr","May","Jun","Jul","Aug","Sep","Oct","Nov","Dec")</f>
        <v>Mar</v>
      </c>
    </row>
    <row r="285" customFormat="false" ht="15" hidden="false" customHeight="false" outlineLevel="0" collapsed="false">
      <c r="A285" s="4" t="s">
        <v>457</v>
      </c>
      <c r="B285" s="17" t="n">
        <v>45724</v>
      </c>
      <c r="C285" s="4" t="n">
        <v>12</v>
      </c>
      <c r="D285" s="4" t="s">
        <v>64</v>
      </c>
      <c r="E285" s="4" t="s">
        <v>65</v>
      </c>
      <c r="F285" s="4" t="s">
        <v>87</v>
      </c>
      <c r="G285" s="4" t="n">
        <v>1</v>
      </c>
      <c r="H285" s="34" t="n">
        <v>160</v>
      </c>
      <c r="I285" s="18" t="n">
        <v>0</v>
      </c>
      <c r="J285" s="4" t="s">
        <v>81</v>
      </c>
      <c r="K285" s="4" t="s">
        <v>77</v>
      </c>
      <c r="L285" s="35" t="n">
        <f aca="false">G285*H285</f>
        <v>160</v>
      </c>
      <c r="M285" s="35" t="n">
        <f aca="false">L285*I285</f>
        <v>0</v>
      </c>
      <c r="N285" s="35" t="n">
        <f aca="false">L285-M285</f>
        <v>160</v>
      </c>
      <c r="O285" s="4" t="n">
        <f aca="false">MONTH(B285)</f>
        <v>3</v>
      </c>
      <c r="P285" s="4" t="str">
        <f aca="false">CHOOSE(WEEKDAY(B285,2),"Mon","Tue","Wed","Thu","Fri","Sat","Sun")</f>
        <v>Sat</v>
      </c>
      <c r="Q285" s="4" t="str">
        <f aca="false">IF(WEEKDAY(B285,2)&gt;5,"Weekend","Weekday")</f>
        <v>Weekend</v>
      </c>
      <c r="R285" s="4" t="str">
        <f aca="false">IF(C285&lt;11,"Morning (7-10)",IF(C285&lt;14,"Lunch (11-13)",IF(C285&lt;18,"Afternoon (14-17)","Evening (18-20)")))</f>
        <v>Lunch (11-13)</v>
      </c>
      <c r="S285" s="4" t="str">
        <f aca="false">IF(AND(O285&gt;=3,O285&lt;=5),"Hot Dry (Mar-May)",IF(AND(O285&gt;=6,O285&lt;=11),"Rainy (Jun-Nov)","Cool Dry (Dec-Feb)"))</f>
        <v>Hot Dry (Mar-May)</v>
      </c>
      <c r="T285" s="4" t="str">
        <f aca="false">CHOOSE(O285,"Jan","Feb","Mar","Apr","May","Jun","Jul","Aug","Sep","Oct","Nov","Dec")</f>
        <v>Mar</v>
      </c>
    </row>
    <row r="286" customFormat="false" ht="15" hidden="false" customHeight="false" outlineLevel="0" collapsed="false">
      <c r="A286" s="4" t="s">
        <v>458</v>
      </c>
      <c r="B286" s="17" t="n">
        <v>45724</v>
      </c>
      <c r="C286" s="4" t="n">
        <v>17</v>
      </c>
      <c r="D286" s="4" t="s">
        <v>70</v>
      </c>
      <c r="E286" s="4" t="s">
        <v>99</v>
      </c>
      <c r="F286" s="4" t="s">
        <v>109</v>
      </c>
      <c r="G286" s="4" t="n">
        <v>4</v>
      </c>
      <c r="H286" s="34" t="n">
        <v>130</v>
      </c>
      <c r="I286" s="18" t="n">
        <v>0</v>
      </c>
      <c r="J286" s="4" t="s">
        <v>112</v>
      </c>
      <c r="K286" s="4" t="s">
        <v>77</v>
      </c>
      <c r="L286" s="35" t="n">
        <f aca="false">G286*H286</f>
        <v>520</v>
      </c>
      <c r="M286" s="35" t="n">
        <f aca="false">L286*I286</f>
        <v>0</v>
      </c>
      <c r="N286" s="35" t="n">
        <f aca="false">L286-M286</f>
        <v>520</v>
      </c>
      <c r="O286" s="4" t="n">
        <f aca="false">MONTH(B286)</f>
        <v>3</v>
      </c>
      <c r="P286" s="4" t="str">
        <f aca="false">CHOOSE(WEEKDAY(B286,2),"Mon","Tue","Wed","Thu","Fri","Sat","Sun")</f>
        <v>Sat</v>
      </c>
      <c r="Q286" s="4" t="str">
        <f aca="false">IF(WEEKDAY(B286,2)&gt;5,"Weekend","Weekday")</f>
        <v>Weekend</v>
      </c>
      <c r="R286" s="4" t="str">
        <f aca="false">IF(C286&lt;11,"Morning (7-10)",IF(C286&lt;14,"Lunch (11-13)",IF(C286&lt;18,"Afternoon (14-17)","Evening (18-20)")))</f>
        <v>Afternoon (14-17)</v>
      </c>
      <c r="S286" s="4" t="str">
        <f aca="false">IF(AND(O286&gt;=3,O286&lt;=5),"Hot Dry (Mar-May)",IF(AND(O286&gt;=6,O286&lt;=11),"Rainy (Jun-Nov)","Cool Dry (Dec-Feb)"))</f>
        <v>Hot Dry (Mar-May)</v>
      </c>
      <c r="T286" s="4" t="str">
        <f aca="false">CHOOSE(O286,"Jan","Feb","Mar","Apr","May","Jun","Jul","Aug","Sep","Oct","Nov","Dec")</f>
        <v>Mar</v>
      </c>
    </row>
    <row r="287" customFormat="false" ht="15" hidden="false" customHeight="false" outlineLevel="0" collapsed="false">
      <c r="A287" s="4" t="s">
        <v>459</v>
      </c>
      <c r="B287" s="17" t="n">
        <v>45724</v>
      </c>
      <c r="C287" s="4" t="n">
        <v>17</v>
      </c>
      <c r="D287" s="4" t="s">
        <v>73</v>
      </c>
      <c r="E287" s="4" t="s">
        <v>99</v>
      </c>
      <c r="F287" s="4" t="s">
        <v>109</v>
      </c>
      <c r="G287" s="4" t="n">
        <v>1</v>
      </c>
      <c r="H287" s="34" t="n">
        <v>130</v>
      </c>
      <c r="I287" s="18" t="n">
        <v>0</v>
      </c>
      <c r="J287" s="4" t="s">
        <v>112</v>
      </c>
      <c r="K287" s="4" t="s">
        <v>68</v>
      </c>
      <c r="L287" s="35" t="n">
        <f aca="false">G287*H287</f>
        <v>130</v>
      </c>
      <c r="M287" s="35" t="n">
        <f aca="false">L287*I287</f>
        <v>0</v>
      </c>
      <c r="N287" s="35" t="n">
        <f aca="false">L287-M287</f>
        <v>130</v>
      </c>
      <c r="O287" s="4" t="n">
        <f aca="false">MONTH(B287)</f>
        <v>3</v>
      </c>
      <c r="P287" s="4" t="str">
        <f aca="false">CHOOSE(WEEKDAY(B287,2),"Mon","Tue","Wed","Thu","Fri","Sat","Sun")</f>
        <v>Sat</v>
      </c>
      <c r="Q287" s="4" t="str">
        <f aca="false">IF(WEEKDAY(B287,2)&gt;5,"Weekend","Weekday")</f>
        <v>Weekend</v>
      </c>
      <c r="R287" s="4" t="str">
        <f aca="false">IF(C287&lt;11,"Morning (7-10)",IF(C287&lt;14,"Lunch (11-13)",IF(C287&lt;18,"Afternoon (14-17)","Evening (18-20)")))</f>
        <v>Afternoon (14-17)</v>
      </c>
      <c r="S287" s="4" t="str">
        <f aca="false">IF(AND(O287&gt;=3,O287&lt;=5),"Hot Dry (Mar-May)",IF(AND(O287&gt;=6,O287&lt;=11),"Rainy (Jun-Nov)","Cool Dry (Dec-Feb)"))</f>
        <v>Hot Dry (Mar-May)</v>
      </c>
      <c r="T287" s="4" t="str">
        <f aca="false">CHOOSE(O287,"Jan","Feb","Mar","Apr","May","Jun","Jul","Aug","Sep","Oct","Nov","Dec")</f>
        <v>Mar</v>
      </c>
    </row>
    <row r="288" customFormat="false" ht="15" hidden="false" customHeight="false" outlineLevel="0" collapsed="false">
      <c r="A288" s="4" t="s">
        <v>460</v>
      </c>
      <c r="B288" s="17" t="n">
        <v>45724</v>
      </c>
      <c r="C288" s="4" t="n">
        <v>18</v>
      </c>
      <c r="D288" s="4" t="s">
        <v>98</v>
      </c>
      <c r="E288" s="4" t="s">
        <v>79</v>
      </c>
      <c r="F288" s="4" t="s">
        <v>148</v>
      </c>
      <c r="G288" s="4" t="n">
        <v>1</v>
      </c>
      <c r="H288" s="34" t="n">
        <v>120</v>
      </c>
      <c r="I288" s="18" t="n">
        <v>0</v>
      </c>
      <c r="J288" s="4" t="s">
        <v>81</v>
      </c>
      <c r="K288" s="4" t="s">
        <v>68</v>
      </c>
      <c r="L288" s="35" t="n">
        <f aca="false">G288*H288</f>
        <v>120</v>
      </c>
      <c r="M288" s="35" t="n">
        <f aca="false">L288*I288</f>
        <v>0</v>
      </c>
      <c r="N288" s="35" t="n">
        <f aca="false">L288-M288</f>
        <v>120</v>
      </c>
      <c r="O288" s="4" t="n">
        <f aca="false">MONTH(B288)</f>
        <v>3</v>
      </c>
      <c r="P288" s="4" t="str">
        <f aca="false">CHOOSE(WEEKDAY(B288,2),"Mon","Tue","Wed","Thu","Fri","Sat","Sun")</f>
        <v>Sat</v>
      </c>
      <c r="Q288" s="4" t="str">
        <f aca="false">IF(WEEKDAY(B288,2)&gt;5,"Weekend","Weekday")</f>
        <v>Weekend</v>
      </c>
      <c r="R288" s="4" t="str">
        <f aca="false">IF(C288&lt;11,"Morning (7-10)",IF(C288&lt;14,"Lunch (11-13)",IF(C288&lt;18,"Afternoon (14-17)","Evening (18-20)")))</f>
        <v>Evening (18-20)</v>
      </c>
      <c r="S288" s="4" t="str">
        <f aca="false">IF(AND(O288&gt;=3,O288&lt;=5),"Hot Dry (Mar-May)",IF(AND(O288&gt;=6,O288&lt;=11),"Rainy (Jun-Nov)","Cool Dry (Dec-Feb)"))</f>
        <v>Hot Dry (Mar-May)</v>
      </c>
      <c r="T288" s="4" t="str">
        <f aca="false">CHOOSE(O288,"Jan","Feb","Mar","Apr","May","Jun","Jul","Aug","Sep","Oct","Nov","Dec")</f>
        <v>Mar</v>
      </c>
    </row>
    <row r="289" customFormat="false" ht="15" hidden="false" customHeight="false" outlineLevel="0" collapsed="false">
      <c r="A289" s="4" t="s">
        <v>461</v>
      </c>
      <c r="B289" s="17" t="n">
        <v>45724</v>
      </c>
      <c r="C289" s="4" t="n">
        <v>20</v>
      </c>
      <c r="D289" s="4" t="s">
        <v>98</v>
      </c>
      <c r="E289" s="4" t="s">
        <v>65</v>
      </c>
      <c r="F289" s="4" t="s">
        <v>66</v>
      </c>
      <c r="G289" s="4" t="n">
        <v>2</v>
      </c>
      <c r="H289" s="34" t="n">
        <v>120</v>
      </c>
      <c r="I289" s="18" t="n">
        <v>0</v>
      </c>
      <c r="J289" s="4" t="s">
        <v>76</v>
      </c>
      <c r="K289" s="4" t="s">
        <v>68</v>
      </c>
      <c r="L289" s="35" t="n">
        <f aca="false">G289*H289</f>
        <v>240</v>
      </c>
      <c r="M289" s="35" t="n">
        <f aca="false">L289*I289</f>
        <v>0</v>
      </c>
      <c r="N289" s="35" t="n">
        <f aca="false">L289-M289</f>
        <v>240</v>
      </c>
      <c r="O289" s="4" t="n">
        <f aca="false">MONTH(B289)</f>
        <v>3</v>
      </c>
      <c r="P289" s="4" t="str">
        <f aca="false">CHOOSE(WEEKDAY(B289,2),"Mon","Tue","Wed","Thu","Fri","Sat","Sun")</f>
        <v>Sat</v>
      </c>
      <c r="Q289" s="4" t="str">
        <f aca="false">IF(WEEKDAY(B289,2)&gt;5,"Weekend","Weekday")</f>
        <v>Weekend</v>
      </c>
      <c r="R289" s="4" t="str">
        <f aca="false">IF(C289&lt;11,"Morning (7-10)",IF(C289&lt;14,"Lunch (11-13)",IF(C289&lt;18,"Afternoon (14-17)","Evening (18-20)")))</f>
        <v>Evening (18-20)</v>
      </c>
      <c r="S289" s="4" t="str">
        <f aca="false">IF(AND(O289&gt;=3,O289&lt;=5),"Hot Dry (Mar-May)",IF(AND(O289&gt;=6,O289&lt;=11),"Rainy (Jun-Nov)","Cool Dry (Dec-Feb)"))</f>
        <v>Hot Dry (Mar-May)</v>
      </c>
      <c r="T289" s="4" t="str">
        <f aca="false">CHOOSE(O289,"Jan","Feb","Mar","Apr","May","Jun","Jul","Aug","Sep","Oct","Nov","Dec")</f>
        <v>Mar</v>
      </c>
    </row>
    <row r="290" customFormat="false" ht="15" hidden="false" customHeight="false" outlineLevel="0" collapsed="false">
      <c r="A290" s="4" t="s">
        <v>463</v>
      </c>
      <c r="B290" s="17" t="n">
        <v>45725</v>
      </c>
      <c r="C290" s="4" t="n">
        <v>12</v>
      </c>
      <c r="D290" s="4" t="s">
        <v>70</v>
      </c>
      <c r="E290" s="4" t="s">
        <v>84</v>
      </c>
      <c r="F290" s="4" t="s">
        <v>85</v>
      </c>
      <c r="G290" s="4" t="n">
        <v>4</v>
      </c>
      <c r="H290" s="34" t="n">
        <v>150</v>
      </c>
      <c r="I290" s="18" t="n">
        <v>0</v>
      </c>
      <c r="J290" s="4" t="s">
        <v>67</v>
      </c>
      <c r="K290" s="4" t="s">
        <v>68</v>
      </c>
      <c r="L290" s="35" t="n">
        <f aca="false">G290*H290</f>
        <v>600</v>
      </c>
      <c r="M290" s="35" t="n">
        <f aca="false">L290*I290</f>
        <v>0</v>
      </c>
      <c r="N290" s="35" t="n">
        <f aca="false">L290-M290</f>
        <v>600</v>
      </c>
      <c r="O290" s="4" t="n">
        <f aca="false">MONTH(B290)</f>
        <v>3</v>
      </c>
      <c r="P290" s="4" t="str">
        <f aca="false">CHOOSE(WEEKDAY(B290,2),"Mon","Tue","Wed","Thu","Fri","Sat","Sun")</f>
        <v>Sun</v>
      </c>
      <c r="Q290" s="4" t="str">
        <f aca="false">IF(WEEKDAY(B290,2)&gt;5,"Weekend","Weekday")</f>
        <v>Weekend</v>
      </c>
      <c r="R290" s="4" t="str">
        <f aca="false">IF(C290&lt;11,"Morning (7-10)",IF(C290&lt;14,"Lunch (11-13)",IF(C290&lt;18,"Afternoon (14-17)","Evening (18-20)")))</f>
        <v>Lunch (11-13)</v>
      </c>
      <c r="S290" s="4" t="str">
        <f aca="false">IF(AND(O290&gt;=3,O290&lt;=5),"Hot Dry (Mar-May)",IF(AND(O290&gt;=6,O290&lt;=11),"Rainy (Jun-Nov)","Cool Dry (Dec-Feb)"))</f>
        <v>Hot Dry (Mar-May)</v>
      </c>
      <c r="T290" s="4" t="str">
        <f aca="false">CHOOSE(O290,"Jan","Feb","Mar","Apr","May","Jun","Jul","Aug","Sep","Oct","Nov","Dec")</f>
        <v>Mar</v>
      </c>
    </row>
    <row r="291" customFormat="false" ht="15" hidden="false" customHeight="false" outlineLevel="0" collapsed="false">
      <c r="A291" s="4" t="s">
        <v>464</v>
      </c>
      <c r="B291" s="17" t="n">
        <v>45725</v>
      </c>
      <c r="C291" s="4" t="n">
        <v>12</v>
      </c>
      <c r="D291" s="4" t="s">
        <v>70</v>
      </c>
      <c r="E291" s="4" t="s">
        <v>84</v>
      </c>
      <c r="F291" s="4" t="s">
        <v>114</v>
      </c>
      <c r="G291" s="4" t="n">
        <v>3</v>
      </c>
      <c r="H291" s="34" t="n">
        <v>85</v>
      </c>
      <c r="I291" s="18" t="n">
        <v>0.1</v>
      </c>
      <c r="J291" s="4" t="s">
        <v>76</v>
      </c>
      <c r="K291" s="4" t="s">
        <v>71</v>
      </c>
      <c r="L291" s="35" t="n">
        <f aca="false">G291*H291</f>
        <v>255</v>
      </c>
      <c r="M291" s="35" t="n">
        <f aca="false">L291*I291</f>
        <v>25.5</v>
      </c>
      <c r="N291" s="35" t="n">
        <f aca="false">L291-M291</f>
        <v>229.5</v>
      </c>
      <c r="O291" s="4" t="n">
        <f aca="false">MONTH(B291)</f>
        <v>3</v>
      </c>
      <c r="P291" s="4" t="str">
        <f aca="false">CHOOSE(WEEKDAY(B291,2),"Mon","Tue","Wed","Thu","Fri","Sat","Sun")</f>
        <v>Sun</v>
      </c>
      <c r="Q291" s="4" t="str">
        <f aca="false">IF(WEEKDAY(B291,2)&gt;5,"Weekend","Weekday")</f>
        <v>Weekend</v>
      </c>
      <c r="R291" s="4" t="str">
        <f aca="false">IF(C291&lt;11,"Morning (7-10)",IF(C291&lt;14,"Lunch (11-13)",IF(C291&lt;18,"Afternoon (14-17)","Evening (18-20)")))</f>
        <v>Lunch (11-13)</v>
      </c>
      <c r="S291" s="4" t="str">
        <f aca="false">IF(AND(O291&gt;=3,O291&lt;=5),"Hot Dry (Mar-May)",IF(AND(O291&gt;=6,O291&lt;=11),"Rainy (Jun-Nov)","Cool Dry (Dec-Feb)"))</f>
        <v>Hot Dry (Mar-May)</v>
      </c>
      <c r="T291" s="4" t="str">
        <f aca="false">CHOOSE(O291,"Jan","Feb","Mar","Apr","May","Jun","Jul","Aug","Sep","Oct","Nov","Dec")</f>
        <v>Mar</v>
      </c>
    </row>
    <row r="292" customFormat="false" ht="15" hidden="false" customHeight="false" outlineLevel="0" collapsed="false">
      <c r="A292" s="4" t="s">
        <v>465</v>
      </c>
      <c r="B292" s="17" t="n">
        <v>45725</v>
      </c>
      <c r="C292" s="4" t="n">
        <v>17</v>
      </c>
      <c r="D292" s="4" t="s">
        <v>73</v>
      </c>
      <c r="E292" s="4" t="s">
        <v>65</v>
      </c>
      <c r="F292" s="4" t="s">
        <v>66</v>
      </c>
      <c r="G292" s="4" t="n">
        <v>2</v>
      </c>
      <c r="H292" s="34" t="n">
        <v>120</v>
      </c>
      <c r="I292" s="18" t="n">
        <v>0.05</v>
      </c>
      <c r="J292" s="4" t="s">
        <v>81</v>
      </c>
      <c r="K292" s="4" t="s">
        <v>82</v>
      </c>
      <c r="L292" s="35" t="n">
        <f aca="false">G292*H292</f>
        <v>240</v>
      </c>
      <c r="M292" s="35" t="n">
        <f aca="false">L292*I292</f>
        <v>12</v>
      </c>
      <c r="N292" s="35" t="n">
        <f aca="false">L292-M292</f>
        <v>228</v>
      </c>
      <c r="O292" s="4" t="n">
        <f aca="false">MONTH(B292)</f>
        <v>3</v>
      </c>
      <c r="P292" s="4" t="str">
        <f aca="false">CHOOSE(WEEKDAY(B292,2),"Mon","Tue","Wed","Thu","Fri","Sat","Sun")</f>
        <v>Sun</v>
      </c>
      <c r="Q292" s="4" t="str">
        <f aca="false">IF(WEEKDAY(B292,2)&gt;5,"Weekend","Weekday")</f>
        <v>Weekend</v>
      </c>
      <c r="R292" s="4" t="str">
        <f aca="false">IF(C292&lt;11,"Morning (7-10)",IF(C292&lt;14,"Lunch (11-13)",IF(C292&lt;18,"Afternoon (14-17)","Evening (18-20)")))</f>
        <v>Afternoon (14-17)</v>
      </c>
      <c r="S292" s="4" t="str">
        <f aca="false">IF(AND(O292&gt;=3,O292&lt;=5),"Hot Dry (Mar-May)",IF(AND(O292&gt;=6,O292&lt;=11),"Rainy (Jun-Nov)","Cool Dry (Dec-Feb)"))</f>
        <v>Hot Dry (Mar-May)</v>
      </c>
      <c r="T292" s="4" t="str">
        <f aca="false">CHOOSE(O292,"Jan","Feb","Mar","Apr","May","Jun","Jul","Aug","Sep","Oct","Nov","Dec")</f>
        <v>Mar</v>
      </c>
    </row>
    <row r="293" customFormat="false" ht="15" hidden="false" customHeight="false" outlineLevel="0" collapsed="false">
      <c r="A293" s="4" t="s">
        <v>466</v>
      </c>
      <c r="B293" s="17" t="n">
        <v>45726</v>
      </c>
      <c r="C293" s="4" t="n">
        <v>7</v>
      </c>
      <c r="D293" s="4" t="s">
        <v>73</v>
      </c>
      <c r="E293" s="4" t="s">
        <v>65</v>
      </c>
      <c r="F293" s="4" t="s">
        <v>94</v>
      </c>
      <c r="G293" s="4" t="n">
        <v>1</v>
      </c>
      <c r="H293" s="34" t="n">
        <v>150</v>
      </c>
      <c r="I293" s="18" t="n">
        <v>0</v>
      </c>
      <c r="J293" s="4" t="s">
        <v>67</v>
      </c>
      <c r="K293" s="4" t="s">
        <v>77</v>
      </c>
      <c r="L293" s="35" t="n">
        <f aca="false">G293*H293</f>
        <v>150</v>
      </c>
      <c r="M293" s="35" t="n">
        <f aca="false">L293*I293</f>
        <v>0</v>
      </c>
      <c r="N293" s="35" t="n">
        <f aca="false">L293-M293</f>
        <v>150</v>
      </c>
      <c r="O293" s="4" t="n">
        <f aca="false">MONTH(B293)</f>
        <v>3</v>
      </c>
      <c r="P293" s="4" t="str">
        <f aca="false">CHOOSE(WEEKDAY(B293,2),"Mon","Tue","Wed","Thu","Fri","Sat","Sun")</f>
        <v>Mon</v>
      </c>
      <c r="Q293" s="4" t="str">
        <f aca="false">IF(WEEKDAY(B293,2)&gt;5,"Weekend","Weekday")</f>
        <v>Weekday</v>
      </c>
      <c r="R293" s="4" t="str">
        <f aca="false">IF(C293&lt;11,"Morning (7-10)",IF(C293&lt;14,"Lunch (11-13)",IF(C293&lt;18,"Afternoon (14-17)","Evening (18-20)")))</f>
        <v>Morning (7-10)</v>
      </c>
      <c r="S293" s="4" t="str">
        <f aca="false">IF(AND(O293&gt;=3,O293&lt;=5),"Hot Dry (Mar-May)",IF(AND(O293&gt;=6,O293&lt;=11),"Rainy (Jun-Nov)","Cool Dry (Dec-Feb)"))</f>
        <v>Hot Dry (Mar-May)</v>
      </c>
      <c r="T293" s="4" t="str">
        <f aca="false">CHOOSE(O293,"Jan","Feb","Mar","Apr","May","Jun","Jul","Aug","Sep","Oct","Nov","Dec")</f>
        <v>Mar</v>
      </c>
    </row>
    <row r="294" customFormat="false" ht="15" hidden="false" customHeight="false" outlineLevel="0" collapsed="false">
      <c r="A294" s="4" t="s">
        <v>467</v>
      </c>
      <c r="B294" s="17" t="n">
        <v>45726</v>
      </c>
      <c r="C294" s="4" t="n">
        <v>9</v>
      </c>
      <c r="D294" s="4" t="s">
        <v>64</v>
      </c>
      <c r="E294" s="4" t="s">
        <v>65</v>
      </c>
      <c r="F294" s="4" t="s">
        <v>87</v>
      </c>
      <c r="G294" s="4" t="n">
        <v>2</v>
      </c>
      <c r="H294" s="34" t="n">
        <v>160</v>
      </c>
      <c r="I294" s="18" t="n">
        <v>0</v>
      </c>
      <c r="J294" s="4" t="s">
        <v>76</v>
      </c>
      <c r="K294" s="4" t="s">
        <v>68</v>
      </c>
      <c r="L294" s="35" t="n">
        <f aca="false">G294*H294</f>
        <v>320</v>
      </c>
      <c r="M294" s="35" t="n">
        <f aca="false">L294*I294</f>
        <v>0</v>
      </c>
      <c r="N294" s="35" t="n">
        <f aca="false">L294-M294</f>
        <v>320</v>
      </c>
      <c r="O294" s="4" t="n">
        <f aca="false">MONTH(B294)</f>
        <v>3</v>
      </c>
      <c r="P294" s="4" t="str">
        <f aca="false">CHOOSE(WEEKDAY(B294,2),"Mon","Tue","Wed","Thu","Fri","Sat","Sun")</f>
        <v>Mon</v>
      </c>
      <c r="Q294" s="4" t="str">
        <f aca="false">IF(WEEKDAY(B294,2)&gt;5,"Weekend","Weekday")</f>
        <v>Weekday</v>
      </c>
      <c r="R294" s="4" t="str">
        <f aca="false">IF(C294&lt;11,"Morning (7-10)",IF(C294&lt;14,"Lunch (11-13)",IF(C294&lt;18,"Afternoon (14-17)","Evening (18-20)")))</f>
        <v>Morning (7-10)</v>
      </c>
      <c r="S294" s="4" t="str">
        <f aca="false">IF(AND(O294&gt;=3,O294&lt;=5),"Hot Dry (Mar-May)",IF(AND(O294&gt;=6,O294&lt;=11),"Rainy (Jun-Nov)","Cool Dry (Dec-Feb)"))</f>
        <v>Hot Dry (Mar-May)</v>
      </c>
      <c r="T294" s="4" t="str">
        <f aca="false">CHOOSE(O294,"Jan","Feb","Mar","Apr","May","Jun","Jul","Aug","Sep","Oct","Nov","Dec")</f>
        <v>Mar</v>
      </c>
    </row>
    <row r="295" customFormat="false" ht="15" hidden="false" customHeight="false" outlineLevel="0" collapsed="false">
      <c r="A295" s="4" t="s">
        <v>468</v>
      </c>
      <c r="B295" s="17" t="n">
        <v>45726</v>
      </c>
      <c r="C295" s="4" t="n">
        <v>12</v>
      </c>
      <c r="D295" s="4" t="s">
        <v>64</v>
      </c>
      <c r="E295" s="4" t="s">
        <v>99</v>
      </c>
      <c r="F295" s="4" t="s">
        <v>100</v>
      </c>
      <c r="G295" s="4" t="n">
        <v>1</v>
      </c>
      <c r="H295" s="34" t="n">
        <v>110</v>
      </c>
      <c r="I295" s="18" t="n">
        <v>0</v>
      </c>
      <c r="J295" s="4" t="s">
        <v>67</v>
      </c>
      <c r="K295" s="4" t="s">
        <v>77</v>
      </c>
      <c r="L295" s="35" t="n">
        <f aca="false">G295*H295</f>
        <v>110</v>
      </c>
      <c r="M295" s="35" t="n">
        <f aca="false">L295*I295</f>
        <v>0</v>
      </c>
      <c r="N295" s="35" t="n">
        <f aca="false">L295-M295</f>
        <v>110</v>
      </c>
      <c r="O295" s="4" t="n">
        <f aca="false">MONTH(B295)</f>
        <v>3</v>
      </c>
      <c r="P295" s="4" t="str">
        <f aca="false">CHOOSE(WEEKDAY(B295,2),"Mon","Tue","Wed","Thu","Fri","Sat","Sun")</f>
        <v>Mon</v>
      </c>
      <c r="Q295" s="4" t="str">
        <f aca="false">IF(WEEKDAY(B295,2)&gt;5,"Weekend","Weekday")</f>
        <v>Weekday</v>
      </c>
      <c r="R295" s="4" t="str">
        <f aca="false">IF(C295&lt;11,"Morning (7-10)",IF(C295&lt;14,"Lunch (11-13)",IF(C295&lt;18,"Afternoon (14-17)","Evening (18-20)")))</f>
        <v>Lunch (11-13)</v>
      </c>
      <c r="S295" s="4" t="str">
        <f aca="false">IF(AND(O295&gt;=3,O295&lt;=5),"Hot Dry (Mar-May)",IF(AND(O295&gt;=6,O295&lt;=11),"Rainy (Jun-Nov)","Cool Dry (Dec-Feb)"))</f>
        <v>Hot Dry (Mar-May)</v>
      </c>
      <c r="T295" s="4" t="str">
        <f aca="false">CHOOSE(O295,"Jan","Feb","Mar","Apr","May","Jun","Jul","Aug","Sep","Oct","Nov","Dec")</f>
        <v>Mar</v>
      </c>
    </row>
    <row r="296" customFormat="false" ht="15" hidden="false" customHeight="false" outlineLevel="0" collapsed="false">
      <c r="A296" s="4" t="s">
        <v>469</v>
      </c>
      <c r="B296" s="17" t="n">
        <v>45726</v>
      </c>
      <c r="C296" s="4" t="n">
        <v>12</v>
      </c>
      <c r="D296" s="4" t="s">
        <v>64</v>
      </c>
      <c r="E296" s="4" t="s">
        <v>84</v>
      </c>
      <c r="F296" s="4" t="s">
        <v>114</v>
      </c>
      <c r="G296" s="4" t="n">
        <v>2</v>
      </c>
      <c r="H296" s="34" t="n">
        <v>85</v>
      </c>
      <c r="I296" s="18" t="n">
        <v>0.1</v>
      </c>
      <c r="J296" s="4" t="s">
        <v>112</v>
      </c>
      <c r="K296" s="4" t="s">
        <v>82</v>
      </c>
      <c r="L296" s="35" t="n">
        <f aca="false">G296*H296</f>
        <v>170</v>
      </c>
      <c r="M296" s="35" t="n">
        <f aca="false">L296*I296</f>
        <v>17</v>
      </c>
      <c r="N296" s="35" t="n">
        <f aca="false">L296-M296</f>
        <v>153</v>
      </c>
      <c r="O296" s="4" t="n">
        <f aca="false">MONTH(B296)</f>
        <v>3</v>
      </c>
      <c r="P296" s="4" t="str">
        <f aca="false">CHOOSE(WEEKDAY(B296,2),"Mon","Tue","Wed","Thu","Fri","Sat","Sun")</f>
        <v>Mon</v>
      </c>
      <c r="Q296" s="4" t="str">
        <f aca="false">IF(WEEKDAY(B296,2)&gt;5,"Weekend","Weekday")</f>
        <v>Weekday</v>
      </c>
      <c r="R296" s="4" t="str">
        <f aca="false">IF(C296&lt;11,"Morning (7-10)",IF(C296&lt;14,"Lunch (11-13)",IF(C296&lt;18,"Afternoon (14-17)","Evening (18-20)")))</f>
        <v>Lunch (11-13)</v>
      </c>
      <c r="S296" s="4" t="str">
        <f aca="false">IF(AND(O296&gt;=3,O296&lt;=5),"Hot Dry (Mar-May)",IF(AND(O296&gt;=6,O296&lt;=11),"Rainy (Jun-Nov)","Cool Dry (Dec-Feb)"))</f>
        <v>Hot Dry (Mar-May)</v>
      </c>
      <c r="T296" s="4" t="str">
        <f aca="false">CHOOSE(O296,"Jan","Feb","Mar","Apr","May","Jun","Jul","Aug","Sep","Oct","Nov","Dec")</f>
        <v>Mar</v>
      </c>
    </row>
    <row r="297" customFormat="false" ht="15" hidden="false" customHeight="false" outlineLevel="0" collapsed="false">
      <c r="A297" s="4" t="s">
        <v>471</v>
      </c>
      <c r="B297" s="17" t="n">
        <v>45726</v>
      </c>
      <c r="C297" s="4" t="n">
        <v>19</v>
      </c>
      <c r="D297" s="4" t="s">
        <v>98</v>
      </c>
      <c r="E297" s="4" t="s">
        <v>79</v>
      </c>
      <c r="F297" s="4" t="s">
        <v>80</v>
      </c>
      <c r="G297" s="4" t="n">
        <v>3</v>
      </c>
      <c r="H297" s="34" t="n">
        <v>160</v>
      </c>
      <c r="I297" s="18" t="n">
        <v>0.1</v>
      </c>
      <c r="J297" s="4" t="s">
        <v>81</v>
      </c>
      <c r="K297" s="4" t="s">
        <v>71</v>
      </c>
      <c r="L297" s="35" t="n">
        <f aca="false">G297*H297</f>
        <v>480</v>
      </c>
      <c r="M297" s="35" t="n">
        <f aca="false">L297*I297</f>
        <v>48</v>
      </c>
      <c r="N297" s="35" t="n">
        <f aca="false">L297-M297</f>
        <v>432</v>
      </c>
      <c r="O297" s="4" t="n">
        <f aca="false">MONTH(B297)</f>
        <v>3</v>
      </c>
      <c r="P297" s="4" t="str">
        <f aca="false">CHOOSE(WEEKDAY(B297,2),"Mon","Tue","Wed","Thu","Fri","Sat","Sun")</f>
        <v>Mon</v>
      </c>
      <c r="Q297" s="4" t="str">
        <f aca="false">IF(WEEKDAY(B297,2)&gt;5,"Weekend","Weekday")</f>
        <v>Weekday</v>
      </c>
      <c r="R297" s="4" t="str">
        <f aca="false">IF(C297&lt;11,"Morning (7-10)",IF(C297&lt;14,"Lunch (11-13)",IF(C297&lt;18,"Afternoon (14-17)","Evening (18-20)")))</f>
        <v>Evening (18-20)</v>
      </c>
      <c r="S297" s="4" t="str">
        <f aca="false">IF(AND(O297&gt;=3,O297&lt;=5),"Hot Dry (Mar-May)",IF(AND(O297&gt;=6,O297&lt;=11),"Rainy (Jun-Nov)","Cool Dry (Dec-Feb)"))</f>
        <v>Hot Dry (Mar-May)</v>
      </c>
      <c r="T297" s="4" t="str">
        <f aca="false">CHOOSE(O297,"Jan","Feb","Mar","Apr","May","Jun","Jul","Aug","Sep","Oct","Nov","Dec")</f>
        <v>Mar</v>
      </c>
    </row>
    <row r="298" customFormat="false" ht="15" hidden="false" customHeight="false" outlineLevel="0" collapsed="false">
      <c r="A298" s="4" t="s">
        <v>472</v>
      </c>
      <c r="B298" s="17" t="n">
        <v>45727</v>
      </c>
      <c r="C298" s="4" t="n">
        <v>13</v>
      </c>
      <c r="D298" s="4" t="s">
        <v>98</v>
      </c>
      <c r="E298" s="4" t="s">
        <v>84</v>
      </c>
      <c r="F298" s="4" t="s">
        <v>117</v>
      </c>
      <c r="G298" s="4" t="n">
        <v>1</v>
      </c>
      <c r="H298" s="34" t="n">
        <v>95</v>
      </c>
      <c r="I298" s="18" t="n">
        <v>0.05</v>
      </c>
      <c r="J298" s="4" t="s">
        <v>67</v>
      </c>
      <c r="K298" s="4" t="s">
        <v>82</v>
      </c>
      <c r="L298" s="35" t="n">
        <f aca="false">G298*H298</f>
        <v>95</v>
      </c>
      <c r="M298" s="35" t="n">
        <f aca="false">L298*I298</f>
        <v>4.75</v>
      </c>
      <c r="N298" s="35" t="n">
        <f aca="false">L298-M298</f>
        <v>90.25</v>
      </c>
      <c r="O298" s="4" t="n">
        <f aca="false">MONTH(B298)</f>
        <v>3</v>
      </c>
      <c r="P298" s="4" t="str">
        <f aca="false">CHOOSE(WEEKDAY(B298,2),"Mon","Tue","Wed","Thu","Fri","Sat","Sun")</f>
        <v>Tue</v>
      </c>
      <c r="Q298" s="4" t="str">
        <f aca="false">IF(WEEKDAY(B298,2)&gt;5,"Weekend","Weekday")</f>
        <v>Weekday</v>
      </c>
      <c r="R298" s="4" t="str">
        <f aca="false">IF(C298&lt;11,"Morning (7-10)",IF(C298&lt;14,"Lunch (11-13)",IF(C298&lt;18,"Afternoon (14-17)","Evening (18-20)")))</f>
        <v>Lunch (11-13)</v>
      </c>
      <c r="S298" s="4" t="str">
        <f aca="false">IF(AND(O298&gt;=3,O298&lt;=5),"Hot Dry (Mar-May)",IF(AND(O298&gt;=6,O298&lt;=11),"Rainy (Jun-Nov)","Cool Dry (Dec-Feb)"))</f>
        <v>Hot Dry (Mar-May)</v>
      </c>
      <c r="T298" s="4" t="str">
        <f aca="false">CHOOSE(O298,"Jan","Feb","Mar","Apr","May","Jun","Jul","Aug","Sep","Oct","Nov","Dec")</f>
        <v>Mar</v>
      </c>
    </row>
    <row r="299" customFormat="false" ht="15" hidden="false" customHeight="false" outlineLevel="0" collapsed="false">
      <c r="A299" s="4" t="s">
        <v>473</v>
      </c>
      <c r="B299" s="17" t="n">
        <v>45727</v>
      </c>
      <c r="C299" s="4" t="n">
        <v>13</v>
      </c>
      <c r="D299" s="4" t="s">
        <v>70</v>
      </c>
      <c r="E299" s="4" t="s">
        <v>74</v>
      </c>
      <c r="F299" s="4" t="s">
        <v>139</v>
      </c>
      <c r="G299" s="4" t="n">
        <v>1</v>
      </c>
      <c r="H299" s="34" t="n">
        <v>260</v>
      </c>
      <c r="I299" s="18" t="n">
        <v>0</v>
      </c>
      <c r="J299" s="4" t="s">
        <v>81</v>
      </c>
      <c r="K299" s="4" t="s">
        <v>77</v>
      </c>
      <c r="L299" s="35" t="n">
        <f aca="false">G299*H299</f>
        <v>260</v>
      </c>
      <c r="M299" s="35" t="n">
        <f aca="false">L299*I299</f>
        <v>0</v>
      </c>
      <c r="N299" s="35" t="n">
        <f aca="false">L299-M299</f>
        <v>260</v>
      </c>
      <c r="O299" s="4" t="n">
        <f aca="false">MONTH(B299)</f>
        <v>3</v>
      </c>
      <c r="P299" s="4" t="str">
        <f aca="false">CHOOSE(WEEKDAY(B299,2),"Mon","Tue","Wed","Thu","Fri","Sat","Sun")</f>
        <v>Tue</v>
      </c>
      <c r="Q299" s="4" t="str">
        <f aca="false">IF(WEEKDAY(B299,2)&gt;5,"Weekend","Weekday")</f>
        <v>Weekday</v>
      </c>
      <c r="R299" s="4" t="str">
        <f aca="false">IF(C299&lt;11,"Morning (7-10)",IF(C299&lt;14,"Lunch (11-13)",IF(C299&lt;18,"Afternoon (14-17)","Evening (18-20)")))</f>
        <v>Lunch (11-13)</v>
      </c>
      <c r="S299" s="4" t="str">
        <f aca="false">IF(AND(O299&gt;=3,O299&lt;=5),"Hot Dry (Mar-May)",IF(AND(O299&gt;=6,O299&lt;=11),"Rainy (Jun-Nov)","Cool Dry (Dec-Feb)"))</f>
        <v>Hot Dry (Mar-May)</v>
      </c>
      <c r="T299" s="4" t="str">
        <f aca="false">CHOOSE(O299,"Jan","Feb","Mar","Apr","May","Jun","Jul","Aug","Sep","Oct","Nov","Dec")</f>
        <v>Mar</v>
      </c>
    </row>
    <row r="300" customFormat="false" ht="15" hidden="false" customHeight="false" outlineLevel="0" collapsed="false">
      <c r="A300" s="4" t="s">
        <v>474</v>
      </c>
      <c r="B300" s="17" t="n">
        <v>45727</v>
      </c>
      <c r="C300" s="4" t="n">
        <v>13</v>
      </c>
      <c r="D300" s="4" t="s">
        <v>64</v>
      </c>
      <c r="E300" s="4" t="s">
        <v>65</v>
      </c>
      <c r="F300" s="4" t="s">
        <v>66</v>
      </c>
      <c r="G300" s="4" t="n">
        <v>1</v>
      </c>
      <c r="H300" s="34" t="n">
        <v>120</v>
      </c>
      <c r="I300" s="18" t="n">
        <v>0.05</v>
      </c>
      <c r="J300" s="4" t="s">
        <v>76</v>
      </c>
      <c r="K300" s="4" t="s">
        <v>82</v>
      </c>
      <c r="L300" s="35" t="n">
        <f aca="false">G300*H300</f>
        <v>120</v>
      </c>
      <c r="M300" s="35" t="n">
        <f aca="false">L300*I300</f>
        <v>6</v>
      </c>
      <c r="N300" s="35" t="n">
        <f aca="false">L300-M300</f>
        <v>114</v>
      </c>
      <c r="O300" s="4" t="n">
        <f aca="false">MONTH(B300)</f>
        <v>3</v>
      </c>
      <c r="P300" s="4" t="str">
        <f aca="false">CHOOSE(WEEKDAY(B300,2),"Mon","Tue","Wed","Thu","Fri","Sat","Sun")</f>
        <v>Tue</v>
      </c>
      <c r="Q300" s="4" t="str">
        <f aca="false">IF(WEEKDAY(B300,2)&gt;5,"Weekend","Weekday")</f>
        <v>Weekday</v>
      </c>
      <c r="R300" s="4" t="str">
        <f aca="false">IF(C300&lt;11,"Morning (7-10)",IF(C300&lt;14,"Lunch (11-13)",IF(C300&lt;18,"Afternoon (14-17)","Evening (18-20)")))</f>
        <v>Lunch (11-13)</v>
      </c>
      <c r="S300" s="4" t="str">
        <f aca="false">IF(AND(O300&gt;=3,O300&lt;=5),"Hot Dry (Mar-May)",IF(AND(O300&gt;=6,O300&lt;=11),"Rainy (Jun-Nov)","Cool Dry (Dec-Feb)"))</f>
        <v>Hot Dry (Mar-May)</v>
      </c>
      <c r="T300" s="4" t="str">
        <f aca="false">CHOOSE(O300,"Jan","Feb","Mar","Apr","May","Jun","Jul","Aug","Sep","Oct","Nov","Dec")</f>
        <v>Mar</v>
      </c>
    </row>
    <row r="301" customFormat="false" ht="15" hidden="false" customHeight="false" outlineLevel="0" collapsed="false">
      <c r="A301" s="4" t="s">
        <v>475</v>
      </c>
      <c r="B301" s="17" t="n">
        <v>45727</v>
      </c>
      <c r="C301" s="4" t="n">
        <v>15</v>
      </c>
      <c r="D301" s="4" t="s">
        <v>64</v>
      </c>
      <c r="E301" s="4" t="s">
        <v>65</v>
      </c>
      <c r="F301" s="4" t="s">
        <v>121</v>
      </c>
      <c r="G301" s="4" t="n">
        <v>2</v>
      </c>
      <c r="H301" s="34" t="n">
        <v>170</v>
      </c>
      <c r="I301" s="18" t="n">
        <v>0.05</v>
      </c>
      <c r="J301" s="4" t="s">
        <v>76</v>
      </c>
      <c r="K301" s="4" t="s">
        <v>82</v>
      </c>
      <c r="L301" s="35" t="n">
        <f aca="false">G301*H301</f>
        <v>340</v>
      </c>
      <c r="M301" s="35" t="n">
        <f aca="false">L301*I301</f>
        <v>17</v>
      </c>
      <c r="N301" s="35" t="n">
        <f aca="false">L301-M301</f>
        <v>323</v>
      </c>
      <c r="O301" s="4" t="n">
        <f aca="false">MONTH(B301)</f>
        <v>3</v>
      </c>
      <c r="P301" s="4" t="str">
        <f aca="false">CHOOSE(WEEKDAY(B301,2),"Mon","Tue","Wed","Thu","Fri","Sat","Sun")</f>
        <v>Tue</v>
      </c>
      <c r="Q301" s="4" t="str">
        <f aca="false">IF(WEEKDAY(B301,2)&gt;5,"Weekend","Weekday")</f>
        <v>Weekday</v>
      </c>
      <c r="R301" s="4" t="str">
        <f aca="false">IF(C301&lt;11,"Morning (7-10)",IF(C301&lt;14,"Lunch (11-13)",IF(C301&lt;18,"Afternoon (14-17)","Evening (18-20)")))</f>
        <v>Afternoon (14-17)</v>
      </c>
      <c r="S301" s="4" t="str">
        <f aca="false">IF(AND(O301&gt;=3,O301&lt;=5),"Hot Dry (Mar-May)",IF(AND(O301&gt;=6,O301&lt;=11),"Rainy (Jun-Nov)","Cool Dry (Dec-Feb)"))</f>
        <v>Hot Dry (Mar-May)</v>
      </c>
      <c r="T301" s="4" t="str">
        <f aca="false">CHOOSE(O301,"Jan","Feb","Mar","Apr","May","Jun","Jul","Aug","Sep","Oct","Nov","Dec")</f>
        <v>Mar</v>
      </c>
    </row>
    <row r="302" customFormat="false" ht="15" hidden="false" customHeight="false" outlineLevel="0" collapsed="false">
      <c r="A302" s="4" t="s">
        <v>476</v>
      </c>
      <c r="B302" s="17" t="n">
        <v>45727</v>
      </c>
      <c r="C302" s="4" t="n">
        <v>15</v>
      </c>
      <c r="D302" s="4" t="s">
        <v>73</v>
      </c>
      <c r="E302" s="4" t="s">
        <v>65</v>
      </c>
      <c r="F302" s="4" t="s">
        <v>87</v>
      </c>
      <c r="G302" s="4" t="n">
        <v>2</v>
      </c>
      <c r="H302" s="34" t="n">
        <v>160</v>
      </c>
      <c r="I302" s="18" t="n">
        <v>0</v>
      </c>
      <c r="J302" s="4" t="s">
        <v>88</v>
      </c>
      <c r="K302" s="4" t="s">
        <v>68</v>
      </c>
      <c r="L302" s="35" t="n">
        <f aca="false">G302*H302</f>
        <v>320</v>
      </c>
      <c r="M302" s="35" t="n">
        <f aca="false">L302*I302</f>
        <v>0</v>
      </c>
      <c r="N302" s="35" t="n">
        <f aca="false">L302-M302</f>
        <v>320</v>
      </c>
      <c r="O302" s="4" t="n">
        <f aca="false">MONTH(B302)</f>
        <v>3</v>
      </c>
      <c r="P302" s="4" t="str">
        <f aca="false">CHOOSE(WEEKDAY(B302,2),"Mon","Tue","Wed","Thu","Fri","Sat","Sun")</f>
        <v>Tue</v>
      </c>
      <c r="Q302" s="4" t="str">
        <f aca="false">IF(WEEKDAY(B302,2)&gt;5,"Weekend","Weekday")</f>
        <v>Weekday</v>
      </c>
      <c r="R302" s="4" t="str">
        <f aca="false">IF(C302&lt;11,"Morning (7-10)",IF(C302&lt;14,"Lunch (11-13)",IF(C302&lt;18,"Afternoon (14-17)","Evening (18-20)")))</f>
        <v>Afternoon (14-17)</v>
      </c>
      <c r="S302" s="4" t="str">
        <f aca="false">IF(AND(O302&gt;=3,O302&lt;=5),"Hot Dry (Mar-May)",IF(AND(O302&gt;=6,O302&lt;=11),"Rainy (Jun-Nov)","Cool Dry (Dec-Feb)"))</f>
        <v>Hot Dry (Mar-May)</v>
      </c>
      <c r="T302" s="4" t="str">
        <f aca="false">CHOOSE(O302,"Jan","Feb","Mar","Apr","May","Jun","Jul","Aug","Sep","Oct","Nov","Dec")</f>
        <v>Mar</v>
      </c>
    </row>
    <row r="303" customFormat="false" ht="15" hidden="false" customHeight="false" outlineLevel="0" collapsed="false">
      <c r="A303" s="4" t="s">
        <v>478</v>
      </c>
      <c r="B303" s="17" t="n">
        <v>45727</v>
      </c>
      <c r="C303" s="4" t="n">
        <v>17</v>
      </c>
      <c r="D303" s="4" t="s">
        <v>98</v>
      </c>
      <c r="E303" s="4" t="s">
        <v>79</v>
      </c>
      <c r="F303" s="4" t="s">
        <v>80</v>
      </c>
      <c r="G303" s="4" t="n">
        <v>1</v>
      </c>
      <c r="H303" s="34" t="n">
        <v>160</v>
      </c>
      <c r="I303" s="18" t="n">
        <v>0</v>
      </c>
      <c r="J303" s="4" t="s">
        <v>81</v>
      </c>
      <c r="K303" s="4" t="s">
        <v>68</v>
      </c>
      <c r="L303" s="35" t="n">
        <f aca="false">G303*H303</f>
        <v>160</v>
      </c>
      <c r="M303" s="35" t="n">
        <f aca="false">L303*I303</f>
        <v>0</v>
      </c>
      <c r="N303" s="35" t="n">
        <f aca="false">L303-M303</f>
        <v>160</v>
      </c>
      <c r="O303" s="4" t="n">
        <f aca="false">MONTH(B303)</f>
        <v>3</v>
      </c>
      <c r="P303" s="4" t="str">
        <f aca="false">CHOOSE(WEEKDAY(B303,2),"Mon","Tue","Wed","Thu","Fri","Sat","Sun")</f>
        <v>Tue</v>
      </c>
      <c r="Q303" s="4" t="str">
        <f aca="false">IF(WEEKDAY(B303,2)&gt;5,"Weekend","Weekday")</f>
        <v>Weekday</v>
      </c>
      <c r="R303" s="4" t="str">
        <f aca="false">IF(C303&lt;11,"Morning (7-10)",IF(C303&lt;14,"Lunch (11-13)",IF(C303&lt;18,"Afternoon (14-17)","Evening (18-20)")))</f>
        <v>Afternoon (14-17)</v>
      </c>
      <c r="S303" s="4" t="str">
        <f aca="false">IF(AND(O303&gt;=3,O303&lt;=5),"Hot Dry (Mar-May)",IF(AND(O303&gt;=6,O303&lt;=11),"Rainy (Jun-Nov)","Cool Dry (Dec-Feb)"))</f>
        <v>Hot Dry (Mar-May)</v>
      </c>
      <c r="T303" s="4" t="str">
        <f aca="false">CHOOSE(O303,"Jan","Feb","Mar","Apr","May","Jun","Jul","Aug","Sep","Oct","Nov","Dec")</f>
        <v>Mar</v>
      </c>
    </row>
    <row r="304" customFormat="false" ht="15" hidden="false" customHeight="false" outlineLevel="0" collapsed="false">
      <c r="A304" s="4" t="s">
        <v>479</v>
      </c>
      <c r="B304" s="17" t="n">
        <v>45728</v>
      </c>
      <c r="C304" s="4" t="n">
        <v>9</v>
      </c>
      <c r="D304" s="4" t="s">
        <v>70</v>
      </c>
      <c r="E304" s="4" t="s">
        <v>84</v>
      </c>
      <c r="F304" s="4" t="s">
        <v>117</v>
      </c>
      <c r="G304" s="4" t="n">
        <v>3</v>
      </c>
      <c r="H304" s="34" t="n">
        <v>95</v>
      </c>
      <c r="I304" s="18" t="n">
        <v>0</v>
      </c>
      <c r="J304" s="4" t="s">
        <v>67</v>
      </c>
      <c r="K304" s="4" t="s">
        <v>77</v>
      </c>
      <c r="L304" s="35" t="n">
        <f aca="false">G304*H304</f>
        <v>285</v>
      </c>
      <c r="M304" s="35" t="n">
        <f aca="false">L304*I304</f>
        <v>0</v>
      </c>
      <c r="N304" s="35" t="n">
        <f aca="false">L304-M304</f>
        <v>285</v>
      </c>
      <c r="O304" s="4" t="n">
        <f aca="false">MONTH(B304)</f>
        <v>3</v>
      </c>
      <c r="P304" s="4" t="str">
        <f aca="false">CHOOSE(WEEKDAY(B304,2),"Mon","Tue","Wed","Thu","Fri","Sat","Sun")</f>
        <v>Wed</v>
      </c>
      <c r="Q304" s="4" t="str">
        <f aca="false">IF(WEEKDAY(B304,2)&gt;5,"Weekend","Weekday")</f>
        <v>Weekday</v>
      </c>
      <c r="R304" s="4" t="str">
        <f aca="false">IF(C304&lt;11,"Morning (7-10)",IF(C304&lt;14,"Lunch (11-13)",IF(C304&lt;18,"Afternoon (14-17)","Evening (18-20)")))</f>
        <v>Morning (7-10)</v>
      </c>
      <c r="S304" s="4" t="str">
        <f aca="false">IF(AND(O304&gt;=3,O304&lt;=5),"Hot Dry (Mar-May)",IF(AND(O304&gt;=6,O304&lt;=11),"Rainy (Jun-Nov)","Cool Dry (Dec-Feb)"))</f>
        <v>Hot Dry (Mar-May)</v>
      </c>
      <c r="T304" s="4" t="str">
        <f aca="false">CHOOSE(O304,"Jan","Feb","Mar","Apr","May","Jun","Jul","Aug","Sep","Oct","Nov","Dec")</f>
        <v>Mar</v>
      </c>
    </row>
    <row r="305" customFormat="false" ht="15" hidden="false" customHeight="false" outlineLevel="0" collapsed="false">
      <c r="A305" s="4" t="s">
        <v>480</v>
      </c>
      <c r="B305" s="17" t="n">
        <v>45728</v>
      </c>
      <c r="C305" s="4" t="n">
        <v>15</v>
      </c>
      <c r="D305" s="4" t="s">
        <v>73</v>
      </c>
      <c r="E305" s="4" t="s">
        <v>79</v>
      </c>
      <c r="F305" s="4" t="s">
        <v>80</v>
      </c>
      <c r="G305" s="4" t="n">
        <v>2</v>
      </c>
      <c r="H305" s="34" t="n">
        <v>160</v>
      </c>
      <c r="I305" s="18" t="n">
        <v>0.05</v>
      </c>
      <c r="J305" s="4" t="s">
        <v>76</v>
      </c>
      <c r="K305" s="4" t="s">
        <v>82</v>
      </c>
      <c r="L305" s="35" t="n">
        <f aca="false">G305*H305</f>
        <v>320</v>
      </c>
      <c r="M305" s="35" t="n">
        <f aca="false">L305*I305</f>
        <v>16</v>
      </c>
      <c r="N305" s="35" t="n">
        <f aca="false">L305-M305</f>
        <v>304</v>
      </c>
      <c r="O305" s="4" t="n">
        <f aca="false">MONTH(B305)</f>
        <v>3</v>
      </c>
      <c r="P305" s="4" t="str">
        <f aca="false">CHOOSE(WEEKDAY(B305,2),"Mon","Tue","Wed","Thu","Fri","Sat","Sun")</f>
        <v>Wed</v>
      </c>
      <c r="Q305" s="4" t="str">
        <f aca="false">IF(WEEKDAY(B305,2)&gt;5,"Weekend","Weekday")</f>
        <v>Weekday</v>
      </c>
      <c r="R305" s="4" t="str">
        <f aca="false">IF(C305&lt;11,"Morning (7-10)",IF(C305&lt;14,"Lunch (11-13)",IF(C305&lt;18,"Afternoon (14-17)","Evening (18-20)")))</f>
        <v>Afternoon (14-17)</v>
      </c>
      <c r="S305" s="4" t="str">
        <f aca="false">IF(AND(O305&gt;=3,O305&lt;=5),"Hot Dry (Mar-May)",IF(AND(O305&gt;=6,O305&lt;=11),"Rainy (Jun-Nov)","Cool Dry (Dec-Feb)"))</f>
        <v>Hot Dry (Mar-May)</v>
      </c>
      <c r="T305" s="4" t="str">
        <f aca="false">CHOOSE(O305,"Jan","Feb","Mar","Apr","May","Jun","Jul","Aug","Sep","Oct","Nov","Dec")</f>
        <v>Mar</v>
      </c>
    </row>
    <row r="306" customFormat="false" ht="15" hidden="false" customHeight="false" outlineLevel="0" collapsed="false">
      <c r="A306" s="4" t="s">
        <v>481</v>
      </c>
      <c r="B306" s="17" t="n">
        <v>45728</v>
      </c>
      <c r="C306" s="4" t="n">
        <v>15</v>
      </c>
      <c r="D306" s="4" t="s">
        <v>70</v>
      </c>
      <c r="E306" s="4" t="s">
        <v>65</v>
      </c>
      <c r="F306" s="4" t="s">
        <v>94</v>
      </c>
      <c r="G306" s="4" t="n">
        <v>1</v>
      </c>
      <c r="H306" s="34" t="n">
        <v>150</v>
      </c>
      <c r="I306" s="18" t="n">
        <v>0</v>
      </c>
      <c r="J306" s="4" t="s">
        <v>81</v>
      </c>
      <c r="K306" s="4" t="s">
        <v>77</v>
      </c>
      <c r="L306" s="35" t="n">
        <f aca="false">G306*H306</f>
        <v>150</v>
      </c>
      <c r="M306" s="35" t="n">
        <f aca="false">L306*I306</f>
        <v>0</v>
      </c>
      <c r="N306" s="35" t="n">
        <f aca="false">L306-M306</f>
        <v>150</v>
      </c>
      <c r="O306" s="4" t="n">
        <f aca="false">MONTH(B306)</f>
        <v>3</v>
      </c>
      <c r="P306" s="4" t="str">
        <f aca="false">CHOOSE(WEEKDAY(B306,2),"Mon","Tue","Wed","Thu","Fri","Sat","Sun")</f>
        <v>Wed</v>
      </c>
      <c r="Q306" s="4" t="str">
        <f aca="false">IF(WEEKDAY(B306,2)&gt;5,"Weekend","Weekday")</f>
        <v>Weekday</v>
      </c>
      <c r="R306" s="4" t="str">
        <f aca="false">IF(C306&lt;11,"Morning (7-10)",IF(C306&lt;14,"Lunch (11-13)",IF(C306&lt;18,"Afternoon (14-17)","Evening (18-20)")))</f>
        <v>Afternoon (14-17)</v>
      </c>
      <c r="S306" s="4" t="str">
        <f aca="false">IF(AND(O306&gt;=3,O306&lt;=5),"Hot Dry (Mar-May)",IF(AND(O306&gt;=6,O306&lt;=11),"Rainy (Jun-Nov)","Cool Dry (Dec-Feb)"))</f>
        <v>Hot Dry (Mar-May)</v>
      </c>
      <c r="T306" s="4" t="str">
        <f aca="false">CHOOSE(O306,"Jan","Feb","Mar","Apr","May","Jun","Jul","Aug","Sep","Oct","Nov","Dec")</f>
        <v>Mar</v>
      </c>
    </row>
    <row r="307" customFormat="false" ht="15" hidden="false" customHeight="false" outlineLevel="0" collapsed="false">
      <c r="A307" s="4" t="s">
        <v>483</v>
      </c>
      <c r="B307" s="17" t="n">
        <v>45728</v>
      </c>
      <c r="C307" s="4" t="n">
        <v>17</v>
      </c>
      <c r="D307" s="4" t="s">
        <v>64</v>
      </c>
      <c r="E307" s="4" t="s">
        <v>65</v>
      </c>
      <c r="F307" s="4" t="s">
        <v>94</v>
      </c>
      <c r="G307" s="4" t="n">
        <v>2</v>
      </c>
      <c r="H307" s="34" t="n">
        <v>150</v>
      </c>
      <c r="I307" s="18" t="n">
        <v>0.05</v>
      </c>
      <c r="J307" s="4" t="s">
        <v>88</v>
      </c>
      <c r="K307" s="4" t="s">
        <v>82</v>
      </c>
      <c r="L307" s="35" t="n">
        <f aca="false">G307*H307</f>
        <v>300</v>
      </c>
      <c r="M307" s="35" t="n">
        <f aca="false">L307*I307</f>
        <v>15</v>
      </c>
      <c r="N307" s="35" t="n">
        <f aca="false">L307-M307</f>
        <v>285</v>
      </c>
      <c r="O307" s="4" t="n">
        <f aca="false">MONTH(B307)</f>
        <v>3</v>
      </c>
      <c r="P307" s="4" t="str">
        <f aca="false">CHOOSE(WEEKDAY(B307,2),"Mon","Tue","Wed","Thu","Fri","Sat","Sun")</f>
        <v>Wed</v>
      </c>
      <c r="Q307" s="4" t="str">
        <f aca="false">IF(WEEKDAY(B307,2)&gt;5,"Weekend","Weekday")</f>
        <v>Weekday</v>
      </c>
      <c r="R307" s="4" t="str">
        <f aca="false">IF(C307&lt;11,"Morning (7-10)",IF(C307&lt;14,"Lunch (11-13)",IF(C307&lt;18,"Afternoon (14-17)","Evening (18-20)")))</f>
        <v>Afternoon (14-17)</v>
      </c>
      <c r="S307" s="4" t="str">
        <f aca="false">IF(AND(O307&gt;=3,O307&lt;=5),"Hot Dry (Mar-May)",IF(AND(O307&gt;=6,O307&lt;=11),"Rainy (Jun-Nov)","Cool Dry (Dec-Feb)"))</f>
        <v>Hot Dry (Mar-May)</v>
      </c>
      <c r="T307" s="4" t="str">
        <f aca="false">CHOOSE(O307,"Jan","Feb","Mar","Apr","May","Jun","Jul","Aug","Sep","Oct","Nov","Dec")</f>
        <v>Mar</v>
      </c>
    </row>
    <row r="308" customFormat="false" ht="15" hidden="false" customHeight="false" outlineLevel="0" collapsed="false">
      <c r="A308" s="4" t="s">
        <v>484</v>
      </c>
      <c r="B308" s="17" t="n">
        <v>45728</v>
      </c>
      <c r="C308" s="4" t="n">
        <v>18</v>
      </c>
      <c r="D308" s="4" t="s">
        <v>64</v>
      </c>
      <c r="E308" s="4" t="s">
        <v>79</v>
      </c>
      <c r="F308" s="4" t="s">
        <v>80</v>
      </c>
      <c r="G308" s="4" t="n">
        <v>2</v>
      </c>
      <c r="H308" s="34" t="n">
        <v>160</v>
      </c>
      <c r="I308" s="18" t="n">
        <v>0.1</v>
      </c>
      <c r="J308" s="4" t="s">
        <v>88</v>
      </c>
      <c r="K308" s="4" t="s">
        <v>71</v>
      </c>
      <c r="L308" s="35" t="n">
        <f aca="false">G308*H308</f>
        <v>320</v>
      </c>
      <c r="M308" s="35" t="n">
        <f aca="false">L308*I308</f>
        <v>32</v>
      </c>
      <c r="N308" s="35" t="n">
        <f aca="false">L308-M308</f>
        <v>288</v>
      </c>
      <c r="O308" s="4" t="n">
        <f aca="false">MONTH(B308)</f>
        <v>3</v>
      </c>
      <c r="P308" s="4" t="str">
        <f aca="false">CHOOSE(WEEKDAY(B308,2),"Mon","Tue","Wed","Thu","Fri","Sat","Sun")</f>
        <v>Wed</v>
      </c>
      <c r="Q308" s="4" t="str">
        <f aca="false">IF(WEEKDAY(B308,2)&gt;5,"Weekend","Weekday")</f>
        <v>Weekday</v>
      </c>
      <c r="R308" s="4" t="str">
        <f aca="false">IF(C308&lt;11,"Morning (7-10)",IF(C308&lt;14,"Lunch (11-13)",IF(C308&lt;18,"Afternoon (14-17)","Evening (18-20)")))</f>
        <v>Evening (18-20)</v>
      </c>
      <c r="S308" s="4" t="str">
        <f aca="false">IF(AND(O308&gt;=3,O308&lt;=5),"Hot Dry (Mar-May)",IF(AND(O308&gt;=6,O308&lt;=11),"Rainy (Jun-Nov)","Cool Dry (Dec-Feb)"))</f>
        <v>Hot Dry (Mar-May)</v>
      </c>
      <c r="T308" s="4" t="str">
        <f aca="false">CHOOSE(O308,"Jan","Feb","Mar","Apr","May","Jun","Jul","Aug","Sep","Oct","Nov","Dec")</f>
        <v>Mar</v>
      </c>
    </row>
    <row r="309" customFormat="false" ht="15" hidden="false" customHeight="false" outlineLevel="0" collapsed="false">
      <c r="A309" s="4" t="s">
        <v>485</v>
      </c>
      <c r="B309" s="17" t="n">
        <v>45729</v>
      </c>
      <c r="C309" s="4" t="n">
        <v>8</v>
      </c>
      <c r="D309" s="4" t="s">
        <v>98</v>
      </c>
      <c r="E309" s="4" t="s">
        <v>65</v>
      </c>
      <c r="F309" s="4" t="s">
        <v>94</v>
      </c>
      <c r="G309" s="4" t="n">
        <v>1</v>
      </c>
      <c r="H309" s="34" t="n">
        <v>150</v>
      </c>
      <c r="I309" s="18" t="n">
        <v>0</v>
      </c>
      <c r="J309" s="4" t="s">
        <v>76</v>
      </c>
      <c r="K309" s="4" t="s">
        <v>68</v>
      </c>
      <c r="L309" s="35" t="n">
        <f aca="false">G309*H309</f>
        <v>150</v>
      </c>
      <c r="M309" s="35" t="n">
        <f aca="false">L309*I309</f>
        <v>0</v>
      </c>
      <c r="N309" s="35" t="n">
        <f aca="false">L309-M309</f>
        <v>150</v>
      </c>
      <c r="O309" s="4" t="n">
        <f aca="false">MONTH(B309)</f>
        <v>3</v>
      </c>
      <c r="P309" s="4" t="str">
        <f aca="false">CHOOSE(WEEKDAY(B309,2),"Mon","Tue","Wed","Thu","Fri","Sat","Sun")</f>
        <v>Thu</v>
      </c>
      <c r="Q309" s="4" t="str">
        <f aca="false">IF(WEEKDAY(B309,2)&gt;5,"Weekend","Weekday")</f>
        <v>Weekday</v>
      </c>
      <c r="R309" s="4" t="str">
        <f aca="false">IF(C309&lt;11,"Morning (7-10)",IF(C309&lt;14,"Lunch (11-13)",IF(C309&lt;18,"Afternoon (14-17)","Evening (18-20)")))</f>
        <v>Morning (7-10)</v>
      </c>
      <c r="S309" s="4" t="str">
        <f aca="false">IF(AND(O309&gt;=3,O309&lt;=5),"Hot Dry (Mar-May)",IF(AND(O309&gt;=6,O309&lt;=11),"Rainy (Jun-Nov)","Cool Dry (Dec-Feb)"))</f>
        <v>Hot Dry (Mar-May)</v>
      </c>
      <c r="T309" s="4" t="str">
        <f aca="false">CHOOSE(O309,"Jan","Feb","Mar","Apr","May","Jun","Jul","Aug","Sep","Oct","Nov","Dec")</f>
        <v>Mar</v>
      </c>
    </row>
    <row r="310" customFormat="false" ht="15" hidden="false" customHeight="false" outlineLevel="0" collapsed="false">
      <c r="A310" s="4" t="s">
        <v>487</v>
      </c>
      <c r="B310" s="17" t="n">
        <v>45729</v>
      </c>
      <c r="C310" s="4" t="n">
        <v>14</v>
      </c>
      <c r="D310" s="4" t="s">
        <v>64</v>
      </c>
      <c r="E310" s="4" t="s">
        <v>65</v>
      </c>
      <c r="F310" s="4" t="s">
        <v>121</v>
      </c>
      <c r="G310" s="4" t="n">
        <v>1</v>
      </c>
      <c r="H310" s="34" t="n">
        <v>170</v>
      </c>
      <c r="I310" s="18" t="n">
        <v>0</v>
      </c>
      <c r="J310" s="4" t="s">
        <v>81</v>
      </c>
      <c r="K310" s="4" t="s">
        <v>77</v>
      </c>
      <c r="L310" s="35" t="n">
        <f aca="false">G310*H310</f>
        <v>170</v>
      </c>
      <c r="M310" s="35" t="n">
        <f aca="false">L310*I310</f>
        <v>0</v>
      </c>
      <c r="N310" s="35" t="n">
        <f aca="false">L310-M310</f>
        <v>170</v>
      </c>
      <c r="O310" s="4" t="n">
        <f aca="false">MONTH(B310)</f>
        <v>3</v>
      </c>
      <c r="P310" s="4" t="str">
        <f aca="false">CHOOSE(WEEKDAY(B310,2),"Mon","Tue","Wed","Thu","Fri","Sat","Sun")</f>
        <v>Thu</v>
      </c>
      <c r="Q310" s="4" t="str">
        <f aca="false">IF(WEEKDAY(B310,2)&gt;5,"Weekend","Weekday")</f>
        <v>Weekday</v>
      </c>
      <c r="R310" s="4" t="str">
        <f aca="false">IF(C310&lt;11,"Morning (7-10)",IF(C310&lt;14,"Lunch (11-13)",IF(C310&lt;18,"Afternoon (14-17)","Evening (18-20)")))</f>
        <v>Afternoon (14-17)</v>
      </c>
      <c r="S310" s="4" t="str">
        <f aca="false">IF(AND(O310&gt;=3,O310&lt;=5),"Hot Dry (Mar-May)",IF(AND(O310&gt;=6,O310&lt;=11),"Rainy (Jun-Nov)","Cool Dry (Dec-Feb)"))</f>
        <v>Hot Dry (Mar-May)</v>
      </c>
      <c r="T310" s="4" t="str">
        <f aca="false">CHOOSE(O310,"Jan","Feb","Mar","Apr","May","Jun","Jul","Aug","Sep","Oct","Nov","Dec")</f>
        <v>Mar</v>
      </c>
    </row>
    <row r="311" customFormat="false" ht="15" hidden="false" customHeight="false" outlineLevel="0" collapsed="false">
      <c r="A311" s="4" t="s">
        <v>488</v>
      </c>
      <c r="B311" s="17" t="n">
        <v>45729</v>
      </c>
      <c r="C311" s="4" t="n">
        <v>15</v>
      </c>
      <c r="D311" s="4" t="s">
        <v>98</v>
      </c>
      <c r="E311" s="4" t="s">
        <v>74</v>
      </c>
      <c r="F311" s="4" t="s">
        <v>139</v>
      </c>
      <c r="G311" s="4" t="n">
        <v>1</v>
      </c>
      <c r="H311" s="34" t="n">
        <v>260</v>
      </c>
      <c r="I311" s="18" t="n">
        <v>0.05</v>
      </c>
      <c r="J311" s="4" t="s">
        <v>76</v>
      </c>
      <c r="K311" s="4" t="s">
        <v>2289</v>
      </c>
      <c r="L311" s="35" t="n">
        <f aca="false">G311*H311</f>
        <v>260</v>
      </c>
      <c r="M311" s="35" t="n">
        <f aca="false">L311*I311</f>
        <v>13</v>
      </c>
      <c r="N311" s="35" t="n">
        <f aca="false">L311-M311</f>
        <v>247</v>
      </c>
      <c r="O311" s="4" t="n">
        <f aca="false">MONTH(B311)</f>
        <v>3</v>
      </c>
      <c r="P311" s="4" t="str">
        <f aca="false">CHOOSE(WEEKDAY(B311,2),"Mon","Tue","Wed","Thu","Fri","Sat","Sun")</f>
        <v>Thu</v>
      </c>
      <c r="Q311" s="4" t="str">
        <f aca="false">IF(WEEKDAY(B311,2)&gt;5,"Weekend","Weekday")</f>
        <v>Weekday</v>
      </c>
      <c r="R311" s="4" t="str">
        <f aca="false">IF(C311&lt;11,"Morning (7-10)",IF(C311&lt;14,"Lunch (11-13)",IF(C311&lt;18,"Afternoon (14-17)","Evening (18-20)")))</f>
        <v>Afternoon (14-17)</v>
      </c>
      <c r="S311" s="4" t="str">
        <f aca="false">IF(AND(O311&gt;=3,O311&lt;=5),"Hot Dry (Mar-May)",IF(AND(O311&gt;=6,O311&lt;=11),"Rainy (Jun-Nov)","Cool Dry (Dec-Feb)"))</f>
        <v>Hot Dry (Mar-May)</v>
      </c>
      <c r="T311" s="4" t="str">
        <f aca="false">CHOOSE(O311,"Jan","Feb","Mar","Apr","May","Jun","Jul","Aug","Sep","Oct","Nov","Dec")</f>
        <v>Mar</v>
      </c>
    </row>
    <row r="312" customFormat="false" ht="15" hidden="false" customHeight="false" outlineLevel="0" collapsed="false">
      <c r="A312" s="4" t="s">
        <v>489</v>
      </c>
      <c r="B312" s="17" t="n">
        <v>45729</v>
      </c>
      <c r="C312" s="4" t="n">
        <v>17</v>
      </c>
      <c r="D312" s="4" t="s">
        <v>98</v>
      </c>
      <c r="E312" s="4" t="s">
        <v>79</v>
      </c>
      <c r="F312" s="4" t="s">
        <v>135</v>
      </c>
      <c r="G312" s="4" t="n">
        <v>1</v>
      </c>
      <c r="H312" s="34" t="n">
        <v>130</v>
      </c>
      <c r="I312" s="18" t="n">
        <v>0</v>
      </c>
      <c r="J312" s="4" t="s">
        <v>67</v>
      </c>
      <c r="K312" s="4" t="s">
        <v>82</v>
      </c>
      <c r="L312" s="35" t="n">
        <f aca="false">G312*H312</f>
        <v>130</v>
      </c>
      <c r="M312" s="35" t="n">
        <f aca="false">L312*I312</f>
        <v>0</v>
      </c>
      <c r="N312" s="35" t="n">
        <f aca="false">L312-M312</f>
        <v>130</v>
      </c>
      <c r="O312" s="4" t="n">
        <f aca="false">MONTH(B312)</f>
        <v>3</v>
      </c>
      <c r="P312" s="4" t="str">
        <f aca="false">CHOOSE(WEEKDAY(B312,2),"Mon","Tue","Wed","Thu","Fri","Sat","Sun")</f>
        <v>Thu</v>
      </c>
      <c r="Q312" s="4" t="str">
        <f aca="false">IF(WEEKDAY(B312,2)&gt;5,"Weekend","Weekday")</f>
        <v>Weekday</v>
      </c>
      <c r="R312" s="4" t="str">
        <f aca="false">IF(C312&lt;11,"Morning (7-10)",IF(C312&lt;14,"Lunch (11-13)",IF(C312&lt;18,"Afternoon (14-17)","Evening (18-20)")))</f>
        <v>Afternoon (14-17)</v>
      </c>
      <c r="S312" s="4" t="str">
        <f aca="false">IF(AND(O312&gt;=3,O312&lt;=5),"Hot Dry (Mar-May)",IF(AND(O312&gt;=6,O312&lt;=11),"Rainy (Jun-Nov)","Cool Dry (Dec-Feb)"))</f>
        <v>Hot Dry (Mar-May)</v>
      </c>
      <c r="T312" s="4" t="str">
        <f aca="false">CHOOSE(O312,"Jan","Feb","Mar","Apr","May","Jun","Jul","Aug","Sep","Oct","Nov","Dec")</f>
        <v>Mar</v>
      </c>
    </row>
    <row r="313" customFormat="false" ht="15" hidden="false" customHeight="false" outlineLevel="0" collapsed="false">
      <c r="A313" s="4" t="s">
        <v>490</v>
      </c>
      <c r="B313" s="17" t="n">
        <v>45730</v>
      </c>
      <c r="C313" s="4" t="n">
        <v>9</v>
      </c>
      <c r="D313" s="4" t="s">
        <v>73</v>
      </c>
      <c r="E313" s="4" t="s">
        <v>99</v>
      </c>
      <c r="F313" s="4" t="s">
        <v>133</v>
      </c>
      <c r="G313" s="4" t="n">
        <v>4</v>
      </c>
      <c r="H313" s="34" t="n">
        <v>90</v>
      </c>
      <c r="I313" s="18" t="n">
        <v>0.05</v>
      </c>
      <c r="J313" s="4" t="s">
        <v>88</v>
      </c>
      <c r="K313" s="4" t="s">
        <v>82</v>
      </c>
      <c r="L313" s="35" t="n">
        <f aca="false">G313*H313</f>
        <v>360</v>
      </c>
      <c r="M313" s="35" t="n">
        <f aca="false">L313*I313</f>
        <v>18</v>
      </c>
      <c r="N313" s="35" t="n">
        <f aca="false">L313-M313</f>
        <v>342</v>
      </c>
      <c r="O313" s="4" t="n">
        <f aca="false">MONTH(B313)</f>
        <v>3</v>
      </c>
      <c r="P313" s="4" t="str">
        <f aca="false">CHOOSE(WEEKDAY(B313,2),"Mon","Tue","Wed","Thu","Fri","Sat","Sun")</f>
        <v>Fri</v>
      </c>
      <c r="Q313" s="4" t="str">
        <f aca="false">IF(WEEKDAY(B313,2)&gt;5,"Weekend","Weekday")</f>
        <v>Weekday</v>
      </c>
      <c r="R313" s="4" t="str">
        <f aca="false">IF(C313&lt;11,"Morning (7-10)",IF(C313&lt;14,"Lunch (11-13)",IF(C313&lt;18,"Afternoon (14-17)","Evening (18-20)")))</f>
        <v>Morning (7-10)</v>
      </c>
      <c r="S313" s="4" t="str">
        <f aca="false">IF(AND(O313&gt;=3,O313&lt;=5),"Hot Dry (Mar-May)",IF(AND(O313&gt;=6,O313&lt;=11),"Rainy (Jun-Nov)","Cool Dry (Dec-Feb)"))</f>
        <v>Hot Dry (Mar-May)</v>
      </c>
      <c r="T313" s="4" t="str">
        <f aca="false">CHOOSE(O313,"Jan","Feb","Mar","Apr","May","Jun","Jul","Aug","Sep","Oct","Nov","Dec")</f>
        <v>Mar</v>
      </c>
    </row>
    <row r="314" customFormat="false" ht="15" hidden="false" customHeight="false" outlineLevel="0" collapsed="false">
      <c r="A314" s="4" t="s">
        <v>492</v>
      </c>
      <c r="B314" s="17" t="n">
        <v>45730</v>
      </c>
      <c r="C314" s="4" t="n">
        <v>10</v>
      </c>
      <c r="D314" s="4" t="s">
        <v>70</v>
      </c>
      <c r="E314" s="4" t="s">
        <v>65</v>
      </c>
      <c r="F314" s="4" t="s">
        <v>94</v>
      </c>
      <c r="G314" s="4" t="n">
        <v>1</v>
      </c>
      <c r="H314" s="34" t="n">
        <v>150</v>
      </c>
      <c r="I314" s="18" t="n">
        <v>0</v>
      </c>
      <c r="J314" s="4" t="s">
        <v>67</v>
      </c>
      <c r="K314" s="4" t="s">
        <v>68</v>
      </c>
      <c r="L314" s="35" t="n">
        <f aca="false">G314*H314</f>
        <v>150</v>
      </c>
      <c r="M314" s="35" t="n">
        <f aca="false">L314*I314</f>
        <v>0</v>
      </c>
      <c r="N314" s="35" t="n">
        <f aca="false">L314-M314</f>
        <v>150</v>
      </c>
      <c r="O314" s="4" t="n">
        <f aca="false">MONTH(B314)</f>
        <v>3</v>
      </c>
      <c r="P314" s="4" t="str">
        <f aca="false">CHOOSE(WEEKDAY(B314,2),"Mon","Tue","Wed","Thu","Fri","Sat","Sun")</f>
        <v>Fri</v>
      </c>
      <c r="Q314" s="4" t="str">
        <f aca="false">IF(WEEKDAY(B314,2)&gt;5,"Weekend","Weekday")</f>
        <v>Weekday</v>
      </c>
      <c r="R314" s="4" t="str">
        <f aca="false">IF(C314&lt;11,"Morning (7-10)",IF(C314&lt;14,"Lunch (11-13)",IF(C314&lt;18,"Afternoon (14-17)","Evening (18-20)")))</f>
        <v>Morning (7-10)</v>
      </c>
      <c r="S314" s="4" t="str">
        <f aca="false">IF(AND(O314&gt;=3,O314&lt;=5),"Hot Dry (Mar-May)",IF(AND(O314&gt;=6,O314&lt;=11),"Rainy (Jun-Nov)","Cool Dry (Dec-Feb)"))</f>
        <v>Hot Dry (Mar-May)</v>
      </c>
      <c r="T314" s="4" t="str">
        <f aca="false">CHOOSE(O314,"Jan","Feb","Mar","Apr","May","Jun","Jul","Aug","Sep","Oct","Nov","Dec")</f>
        <v>Mar</v>
      </c>
    </row>
    <row r="315" customFormat="false" ht="15" hidden="false" customHeight="false" outlineLevel="0" collapsed="false">
      <c r="A315" s="4" t="s">
        <v>493</v>
      </c>
      <c r="B315" s="17" t="n">
        <v>45730</v>
      </c>
      <c r="C315" s="4" t="n">
        <v>12</v>
      </c>
      <c r="D315" s="4" t="s">
        <v>73</v>
      </c>
      <c r="E315" s="4" t="s">
        <v>74</v>
      </c>
      <c r="F315" s="4" t="s">
        <v>75</v>
      </c>
      <c r="G315" s="4" t="n">
        <v>1</v>
      </c>
      <c r="H315" s="34" t="n">
        <v>220</v>
      </c>
      <c r="I315" s="18" t="n">
        <v>0.15</v>
      </c>
      <c r="J315" s="4" t="s">
        <v>81</v>
      </c>
      <c r="K315" s="4" t="s">
        <v>82</v>
      </c>
      <c r="L315" s="35" t="n">
        <f aca="false">G315*H315</f>
        <v>220</v>
      </c>
      <c r="M315" s="35" t="n">
        <f aca="false">L315*I315</f>
        <v>33</v>
      </c>
      <c r="N315" s="35" t="n">
        <f aca="false">L315-M315</f>
        <v>187</v>
      </c>
      <c r="O315" s="4" t="n">
        <f aca="false">MONTH(B315)</f>
        <v>3</v>
      </c>
      <c r="P315" s="4" t="str">
        <f aca="false">CHOOSE(WEEKDAY(B315,2),"Mon","Tue","Wed","Thu","Fri","Sat","Sun")</f>
        <v>Fri</v>
      </c>
      <c r="Q315" s="4" t="str">
        <f aca="false">IF(WEEKDAY(B315,2)&gt;5,"Weekend","Weekday")</f>
        <v>Weekday</v>
      </c>
      <c r="R315" s="4" t="str">
        <f aca="false">IF(C315&lt;11,"Morning (7-10)",IF(C315&lt;14,"Lunch (11-13)",IF(C315&lt;18,"Afternoon (14-17)","Evening (18-20)")))</f>
        <v>Lunch (11-13)</v>
      </c>
      <c r="S315" s="4" t="str">
        <f aca="false">IF(AND(O315&gt;=3,O315&lt;=5),"Hot Dry (Mar-May)",IF(AND(O315&gt;=6,O315&lt;=11),"Rainy (Jun-Nov)","Cool Dry (Dec-Feb)"))</f>
        <v>Hot Dry (Mar-May)</v>
      </c>
      <c r="T315" s="4" t="str">
        <f aca="false">CHOOSE(O315,"Jan","Feb","Mar","Apr","May","Jun","Jul","Aug","Sep","Oct","Nov","Dec")</f>
        <v>Mar</v>
      </c>
    </row>
    <row r="316" customFormat="false" ht="15" hidden="false" customHeight="false" outlineLevel="0" collapsed="false">
      <c r="A316" s="4" t="s">
        <v>494</v>
      </c>
      <c r="B316" s="17" t="n">
        <v>45730</v>
      </c>
      <c r="C316" s="4" t="n">
        <v>19</v>
      </c>
      <c r="D316" s="4" t="s">
        <v>64</v>
      </c>
      <c r="E316" s="4" t="s">
        <v>65</v>
      </c>
      <c r="F316" s="4" t="s">
        <v>94</v>
      </c>
      <c r="G316" s="4" t="n">
        <v>1</v>
      </c>
      <c r="H316" s="34" t="n">
        <v>150</v>
      </c>
      <c r="I316" s="18" t="n">
        <v>0</v>
      </c>
      <c r="J316" s="4" t="s">
        <v>88</v>
      </c>
      <c r="K316" s="4" t="s">
        <v>77</v>
      </c>
      <c r="L316" s="35" t="n">
        <f aca="false">G316*H316</f>
        <v>150</v>
      </c>
      <c r="M316" s="35" t="n">
        <f aca="false">L316*I316</f>
        <v>0</v>
      </c>
      <c r="N316" s="35" t="n">
        <f aca="false">L316-M316</f>
        <v>150</v>
      </c>
      <c r="O316" s="4" t="n">
        <f aca="false">MONTH(B316)</f>
        <v>3</v>
      </c>
      <c r="P316" s="4" t="str">
        <f aca="false">CHOOSE(WEEKDAY(B316,2),"Mon","Tue","Wed","Thu","Fri","Sat","Sun")</f>
        <v>Fri</v>
      </c>
      <c r="Q316" s="4" t="str">
        <f aca="false">IF(WEEKDAY(B316,2)&gt;5,"Weekend","Weekday")</f>
        <v>Weekday</v>
      </c>
      <c r="R316" s="4" t="str">
        <f aca="false">IF(C316&lt;11,"Morning (7-10)",IF(C316&lt;14,"Lunch (11-13)",IF(C316&lt;18,"Afternoon (14-17)","Evening (18-20)")))</f>
        <v>Evening (18-20)</v>
      </c>
      <c r="S316" s="4" t="str">
        <f aca="false">IF(AND(O316&gt;=3,O316&lt;=5),"Hot Dry (Mar-May)",IF(AND(O316&gt;=6,O316&lt;=11),"Rainy (Jun-Nov)","Cool Dry (Dec-Feb)"))</f>
        <v>Hot Dry (Mar-May)</v>
      </c>
      <c r="T316" s="4" t="str">
        <f aca="false">CHOOSE(O316,"Jan","Feb","Mar","Apr","May","Jun","Jul","Aug","Sep","Oct","Nov","Dec")</f>
        <v>Mar</v>
      </c>
    </row>
    <row r="317" customFormat="false" ht="15" hidden="false" customHeight="false" outlineLevel="0" collapsed="false">
      <c r="A317" s="4" t="s">
        <v>495</v>
      </c>
      <c r="B317" s="17" t="n">
        <v>45731</v>
      </c>
      <c r="C317" s="4" t="n">
        <v>8</v>
      </c>
      <c r="D317" s="4" t="s">
        <v>98</v>
      </c>
      <c r="E317" s="4" t="s">
        <v>79</v>
      </c>
      <c r="F317" s="4" t="s">
        <v>80</v>
      </c>
      <c r="G317" s="4" t="n">
        <v>1</v>
      </c>
      <c r="H317" s="34" t="n">
        <v>160</v>
      </c>
      <c r="I317" s="18" t="n">
        <v>0</v>
      </c>
      <c r="J317" s="4" t="s">
        <v>81</v>
      </c>
      <c r="K317" s="4" t="s">
        <v>68</v>
      </c>
      <c r="L317" s="35" t="n">
        <f aca="false">G317*H317</f>
        <v>160</v>
      </c>
      <c r="M317" s="35" t="n">
        <f aca="false">L317*I317</f>
        <v>0</v>
      </c>
      <c r="N317" s="35" t="n">
        <f aca="false">L317-M317</f>
        <v>160</v>
      </c>
      <c r="O317" s="4" t="n">
        <f aca="false">MONTH(B317)</f>
        <v>3</v>
      </c>
      <c r="P317" s="4" t="str">
        <f aca="false">CHOOSE(WEEKDAY(B317,2),"Mon","Tue","Wed","Thu","Fri","Sat","Sun")</f>
        <v>Sat</v>
      </c>
      <c r="Q317" s="4" t="str">
        <f aca="false">IF(WEEKDAY(B317,2)&gt;5,"Weekend","Weekday")</f>
        <v>Weekend</v>
      </c>
      <c r="R317" s="4" t="str">
        <f aca="false">IF(C317&lt;11,"Morning (7-10)",IF(C317&lt;14,"Lunch (11-13)",IF(C317&lt;18,"Afternoon (14-17)","Evening (18-20)")))</f>
        <v>Morning (7-10)</v>
      </c>
      <c r="S317" s="4" t="str">
        <f aca="false">IF(AND(O317&gt;=3,O317&lt;=5),"Hot Dry (Mar-May)",IF(AND(O317&gt;=6,O317&lt;=11),"Rainy (Jun-Nov)","Cool Dry (Dec-Feb)"))</f>
        <v>Hot Dry (Mar-May)</v>
      </c>
      <c r="T317" s="4" t="str">
        <f aca="false">CHOOSE(O317,"Jan","Feb","Mar","Apr","May","Jun","Jul","Aug","Sep","Oct","Nov","Dec")</f>
        <v>Mar</v>
      </c>
    </row>
    <row r="318" customFormat="false" ht="15" hidden="false" customHeight="false" outlineLevel="0" collapsed="false">
      <c r="A318" s="4" t="s">
        <v>496</v>
      </c>
      <c r="B318" s="17" t="n">
        <v>45731</v>
      </c>
      <c r="C318" s="4" t="n">
        <v>8</v>
      </c>
      <c r="D318" s="4" t="s">
        <v>73</v>
      </c>
      <c r="E318" s="4" t="s">
        <v>79</v>
      </c>
      <c r="F318" s="4" t="s">
        <v>135</v>
      </c>
      <c r="G318" s="4" t="n">
        <v>2</v>
      </c>
      <c r="H318" s="34" t="n">
        <v>130</v>
      </c>
      <c r="I318" s="18" t="n">
        <v>0</v>
      </c>
      <c r="J318" s="4" t="s">
        <v>81</v>
      </c>
      <c r="K318" s="4" t="s">
        <v>68</v>
      </c>
      <c r="L318" s="35" t="n">
        <f aca="false">G318*H318</f>
        <v>260</v>
      </c>
      <c r="M318" s="35" t="n">
        <f aca="false">L318*I318</f>
        <v>0</v>
      </c>
      <c r="N318" s="35" t="n">
        <f aca="false">L318-M318</f>
        <v>260</v>
      </c>
      <c r="O318" s="4" t="n">
        <f aca="false">MONTH(B318)</f>
        <v>3</v>
      </c>
      <c r="P318" s="4" t="str">
        <f aca="false">CHOOSE(WEEKDAY(B318,2),"Mon","Tue","Wed","Thu","Fri","Sat","Sun")</f>
        <v>Sat</v>
      </c>
      <c r="Q318" s="4" t="str">
        <f aca="false">IF(WEEKDAY(B318,2)&gt;5,"Weekend","Weekday")</f>
        <v>Weekend</v>
      </c>
      <c r="R318" s="4" t="str">
        <f aca="false">IF(C318&lt;11,"Morning (7-10)",IF(C318&lt;14,"Lunch (11-13)",IF(C318&lt;18,"Afternoon (14-17)","Evening (18-20)")))</f>
        <v>Morning (7-10)</v>
      </c>
      <c r="S318" s="4" t="str">
        <f aca="false">IF(AND(O318&gt;=3,O318&lt;=5),"Hot Dry (Mar-May)",IF(AND(O318&gt;=6,O318&lt;=11),"Rainy (Jun-Nov)","Cool Dry (Dec-Feb)"))</f>
        <v>Hot Dry (Mar-May)</v>
      </c>
      <c r="T318" s="4" t="str">
        <f aca="false">CHOOSE(O318,"Jan","Feb","Mar","Apr","May","Jun","Jul","Aug","Sep","Oct","Nov","Dec")</f>
        <v>Mar</v>
      </c>
    </row>
    <row r="319" customFormat="false" ht="15" hidden="false" customHeight="false" outlineLevel="0" collapsed="false">
      <c r="A319" s="4" t="s">
        <v>497</v>
      </c>
      <c r="B319" s="17" t="n">
        <v>45731</v>
      </c>
      <c r="C319" s="4" t="n">
        <v>9</v>
      </c>
      <c r="D319" s="4" t="s">
        <v>64</v>
      </c>
      <c r="E319" s="4" t="s">
        <v>74</v>
      </c>
      <c r="F319" s="4" t="s">
        <v>91</v>
      </c>
      <c r="G319" s="4" t="n">
        <v>1</v>
      </c>
      <c r="H319" s="34" t="n">
        <v>200</v>
      </c>
      <c r="I319" s="18" t="n">
        <v>0.05</v>
      </c>
      <c r="J319" s="4" t="s">
        <v>67</v>
      </c>
      <c r="K319" s="4" t="s">
        <v>82</v>
      </c>
      <c r="L319" s="35" t="n">
        <f aca="false">G319*H319</f>
        <v>200</v>
      </c>
      <c r="M319" s="35" t="n">
        <f aca="false">L319*I319</f>
        <v>10</v>
      </c>
      <c r="N319" s="35" t="n">
        <f aca="false">L319-M319</f>
        <v>190</v>
      </c>
      <c r="O319" s="4" t="n">
        <f aca="false">MONTH(B319)</f>
        <v>3</v>
      </c>
      <c r="P319" s="4" t="str">
        <f aca="false">CHOOSE(WEEKDAY(B319,2),"Mon","Tue","Wed","Thu","Fri","Sat","Sun")</f>
        <v>Sat</v>
      </c>
      <c r="Q319" s="4" t="str">
        <f aca="false">IF(WEEKDAY(B319,2)&gt;5,"Weekend","Weekday")</f>
        <v>Weekend</v>
      </c>
      <c r="R319" s="4" t="str">
        <f aca="false">IF(C319&lt;11,"Morning (7-10)",IF(C319&lt;14,"Lunch (11-13)",IF(C319&lt;18,"Afternoon (14-17)","Evening (18-20)")))</f>
        <v>Morning (7-10)</v>
      </c>
      <c r="S319" s="4" t="str">
        <f aca="false">IF(AND(O319&gt;=3,O319&lt;=5),"Hot Dry (Mar-May)",IF(AND(O319&gt;=6,O319&lt;=11),"Rainy (Jun-Nov)","Cool Dry (Dec-Feb)"))</f>
        <v>Hot Dry (Mar-May)</v>
      </c>
      <c r="T319" s="4" t="str">
        <f aca="false">CHOOSE(O319,"Jan","Feb","Mar","Apr","May","Jun","Jul","Aug","Sep","Oct","Nov","Dec")</f>
        <v>Mar</v>
      </c>
    </row>
    <row r="320" customFormat="false" ht="15" hidden="false" customHeight="false" outlineLevel="0" collapsed="false">
      <c r="A320" s="4" t="s">
        <v>498</v>
      </c>
      <c r="B320" s="17" t="n">
        <v>45731</v>
      </c>
      <c r="C320" s="4" t="n">
        <v>12</v>
      </c>
      <c r="D320" s="4" t="s">
        <v>98</v>
      </c>
      <c r="E320" s="4" t="s">
        <v>65</v>
      </c>
      <c r="F320" s="4" t="s">
        <v>87</v>
      </c>
      <c r="G320" s="4" t="n">
        <v>2</v>
      </c>
      <c r="H320" s="34" t="n">
        <v>160</v>
      </c>
      <c r="I320" s="18" t="n">
        <v>0.1</v>
      </c>
      <c r="J320" s="4" t="s">
        <v>76</v>
      </c>
      <c r="K320" s="4" t="s">
        <v>71</v>
      </c>
      <c r="L320" s="35" t="n">
        <f aca="false">G320*H320</f>
        <v>320</v>
      </c>
      <c r="M320" s="35" t="n">
        <f aca="false">L320*I320</f>
        <v>32</v>
      </c>
      <c r="N320" s="35" t="n">
        <f aca="false">L320-M320</f>
        <v>288</v>
      </c>
      <c r="O320" s="4" t="n">
        <f aca="false">MONTH(B320)</f>
        <v>3</v>
      </c>
      <c r="P320" s="4" t="str">
        <f aca="false">CHOOSE(WEEKDAY(B320,2),"Mon","Tue","Wed","Thu","Fri","Sat","Sun")</f>
        <v>Sat</v>
      </c>
      <c r="Q320" s="4" t="str">
        <f aca="false">IF(WEEKDAY(B320,2)&gt;5,"Weekend","Weekday")</f>
        <v>Weekend</v>
      </c>
      <c r="R320" s="4" t="str">
        <f aca="false">IF(C320&lt;11,"Morning (7-10)",IF(C320&lt;14,"Lunch (11-13)",IF(C320&lt;18,"Afternoon (14-17)","Evening (18-20)")))</f>
        <v>Lunch (11-13)</v>
      </c>
      <c r="S320" s="4" t="str">
        <f aca="false">IF(AND(O320&gt;=3,O320&lt;=5),"Hot Dry (Mar-May)",IF(AND(O320&gt;=6,O320&lt;=11),"Rainy (Jun-Nov)","Cool Dry (Dec-Feb)"))</f>
        <v>Hot Dry (Mar-May)</v>
      </c>
      <c r="T320" s="4" t="str">
        <f aca="false">CHOOSE(O320,"Jan","Feb","Mar","Apr","May","Jun","Jul","Aug","Sep","Oct","Nov","Dec")</f>
        <v>Mar</v>
      </c>
    </row>
    <row r="321" customFormat="false" ht="15" hidden="false" customHeight="false" outlineLevel="0" collapsed="false">
      <c r="A321" s="4" t="s">
        <v>500</v>
      </c>
      <c r="B321" s="17" t="n">
        <v>45731</v>
      </c>
      <c r="C321" s="4" t="n">
        <v>12</v>
      </c>
      <c r="D321" s="4" t="s">
        <v>98</v>
      </c>
      <c r="E321" s="4" t="s">
        <v>99</v>
      </c>
      <c r="F321" s="4" t="s">
        <v>133</v>
      </c>
      <c r="G321" s="4" t="n">
        <v>2</v>
      </c>
      <c r="H321" s="34" t="n">
        <v>90</v>
      </c>
      <c r="I321" s="18" t="n">
        <v>0</v>
      </c>
      <c r="J321" s="4" t="s">
        <v>76</v>
      </c>
      <c r="K321" s="4" t="s">
        <v>68</v>
      </c>
      <c r="L321" s="35" t="n">
        <f aca="false">G321*H321</f>
        <v>180</v>
      </c>
      <c r="M321" s="35" t="n">
        <f aca="false">L321*I321</f>
        <v>0</v>
      </c>
      <c r="N321" s="35" t="n">
        <f aca="false">L321-M321</f>
        <v>180</v>
      </c>
      <c r="O321" s="4" t="n">
        <f aca="false">MONTH(B321)</f>
        <v>3</v>
      </c>
      <c r="P321" s="4" t="str">
        <f aca="false">CHOOSE(WEEKDAY(B321,2),"Mon","Tue","Wed","Thu","Fri","Sat","Sun")</f>
        <v>Sat</v>
      </c>
      <c r="Q321" s="4" t="str">
        <f aca="false">IF(WEEKDAY(B321,2)&gt;5,"Weekend","Weekday")</f>
        <v>Weekend</v>
      </c>
      <c r="R321" s="4" t="str">
        <f aca="false">IF(C321&lt;11,"Morning (7-10)",IF(C321&lt;14,"Lunch (11-13)",IF(C321&lt;18,"Afternoon (14-17)","Evening (18-20)")))</f>
        <v>Lunch (11-13)</v>
      </c>
      <c r="S321" s="4" t="str">
        <f aca="false">IF(AND(O321&gt;=3,O321&lt;=5),"Hot Dry (Mar-May)",IF(AND(O321&gt;=6,O321&lt;=11),"Rainy (Jun-Nov)","Cool Dry (Dec-Feb)"))</f>
        <v>Hot Dry (Mar-May)</v>
      </c>
      <c r="T321" s="4" t="str">
        <f aca="false">CHOOSE(O321,"Jan","Feb","Mar","Apr","May","Jun","Jul","Aug","Sep","Oct","Nov","Dec")</f>
        <v>Mar</v>
      </c>
    </row>
    <row r="322" customFormat="false" ht="15" hidden="false" customHeight="false" outlineLevel="0" collapsed="false">
      <c r="A322" s="4" t="s">
        <v>501</v>
      </c>
      <c r="B322" s="17" t="n">
        <v>45731</v>
      </c>
      <c r="C322" s="4" t="n">
        <v>12</v>
      </c>
      <c r="D322" s="4" t="s">
        <v>98</v>
      </c>
      <c r="E322" s="4" t="s">
        <v>79</v>
      </c>
      <c r="F322" s="4" t="s">
        <v>80</v>
      </c>
      <c r="G322" s="4" t="n">
        <v>1</v>
      </c>
      <c r="H322" s="34" t="n">
        <v>160</v>
      </c>
      <c r="I322" s="18" t="n">
        <v>0.1</v>
      </c>
      <c r="J322" s="4" t="s">
        <v>76</v>
      </c>
      <c r="K322" s="4" t="s">
        <v>71</v>
      </c>
      <c r="L322" s="35" t="n">
        <f aca="false">G322*H322</f>
        <v>160</v>
      </c>
      <c r="M322" s="35" t="n">
        <f aca="false">L322*I322</f>
        <v>16</v>
      </c>
      <c r="N322" s="35" t="n">
        <f aca="false">L322-M322</f>
        <v>144</v>
      </c>
      <c r="O322" s="4" t="n">
        <f aca="false">MONTH(B322)</f>
        <v>3</v>
      </c>
      <c r="P322" s="4" t="str">
        <f aca="false">CHOOSE(WEEKDAY(B322,2),"Mon","Tue","Wed","Thu","Fri","Sat","Sun")</f>
        <v>Sat</v>
      </c>
      <c r="Q322" s="4" t="str">
        <f aca="false">IF(WEEKDAY(B322,2)&gt;5,"Weekend","Weekday")</f>
        <v>Weekend</v>
      </c>
      <c r="R322" s="4" t="str">
        <f aca="false">IF(C322&lt;11,"Morning (7-10)",IF(C322&lt;14,"Lunch (11-13)",IF(C322&lt;18,"Afternoon (14-17)","Evening (18-20)")))</f>
        <v>Lunch (11-13)</v>
      </c>
      <c r="S322" s="4" t="str">
        <f aca="false">IF(AND(O322&gt;=3,O322&lt;=5),"Hot Dry (Mar-May)",IF(AND(O322&gt;=6,O322&lt;=11),"Rainy (Jun-Nov)","Cool Dry (Dec-Feb)"))</f>
        <v>Hot Dry (Mar-May)</v>
      </c>
      <c r="T322" s="4" t="str">
        <f aca="false">CHOOSE(O322,"Jan","Feb","Mar","Apr","May","Jun","Jul","Aug","Sep","Oct","Nov","Dec")</f>
        <v>Mar</v>
      </c>
    </row>
    <row r="323" customFormat="false" ht="15" hidden="false" customHeight="false" outlineLevel="0" collapsed="false">
      <c r="A323" s="4" t="s">
        <v>502</v>
      </c>
      <c r="B323" s="17" t="n">
        <v>45731</v>
      </c>
      <c r="C323" s="4" t="n">
        <v>13</v>
      </c>
      <c r="D323" s="4" t="s">
        <v>64</v>
      </c>
      <c r="E323" s="4" t="s">
        <v>65</v>
      </c>
      <c r="F323" s="4" t="s">
        <v>94</v>
      </c>
      <c r="G323" s="4" t="n">
        <v>1</v>
      </c>
      <c r="H323" s="34" t="n">
        <v>150</v>
      </c>
      <c r="I323" s="18" t="n">
        <v>0</v>
      </c>
      <c r="J323" s="4" t="s">
        <v>67</v>
      </c>
      <c r="K323" s="4" t="s">
        <v>68</v>
      </c>
      <c r="L323" s="35" t="n">
        <f aca="false">G323*H323</f>
        <v>150</v>
      </c>
      <c r="M323" s="35" t="n">
        <f aca="false">L323*I323</f>
        <v>0</v>
      </c>
      <c r="N323" s="35" t="n">
        <f aca="false">L323-M323</f>
        <v>150</v>
      </c>
      <c r="O323" s="4" t="n">
        <f aca="false">MONTH(B323)</f>
        <v>3</v>
      </c>
      <c r="P323" s="4" t="str">
        <f aca="false">CHOOSE(WEEKDAY(B323,2),"Mon","Tue","Wed","Thu","Fri","Sat","Sun")</f>
        <v>Sat</v>
      </c>
      <c r="Q323" s="4" t="str">
        <f aca="false">IF(WEEKDAY(B323,2)&gt;5,"Weekend","Weekday")</f>
        <v>Weekend</v>
      </c>
      <c r="R323" s="4" t="str">
        <f aca="false">IF(C323&lt;11,"Morning (7-10)",IF(C323&lt;14,"Lunch (11-13)",IF(C323&lt;18,"Afternoon (14-17)","Evening (18-20)")))</f>
        <v>Lunch (11-13)</v>
      </c>
      <c r="S323" s="4" t="str">
        <f aca="false">IF(AND(O323&gt;=3,O323&lt;=5),"Hot Dry (Mar-May)",IF(AND(O323&gt;=6,O323&lt;=11),"Rainy (Jun-Nov)","Cool Dry (Dec-Feb)"))</f>
        <v>Hot Dry (Mar-May)</v>
      </c>
      <c r="T323" s="4" t="str">
        <f aca="false">CHOOSE(O323,"Jan","Feb","Mar","Apr","May","Jun","Jul","Aug","Sep","Oct","Nov","Dec")</f>
        <v>Mar</v>
      </c>
    </row>
    <row r="324" customFormat="false" ht="15" hidden="false" customHeight="false" outlineLevel="0" collapsed="false">
      <c r="A324" s="4" t="s">
        <v>503</v>
      </c>
      <c r="B324" s="17" t="n">
        <v>45731</v>
      </c>
      <c r="C324" s="4" t="n">
        <v>14</v>
      </c>
      <c r="D324" s="4" t="s">
        <v>70</v>
      </c>
      <c r="E324" s="4" t="s">
        <v>84</v>
      </c>
      <c r="F324" s="4" t="s">
        <v>106</v>
      </c>
      <c r="G324" s="4" t="n">
        <v>1</v>
      </c>
      <c r="H324" s="34" t="n">
        <v>60</v>
      </c>
      <c r="I324" s="18" t="n">
        <v>0.1</v>
      </c>
      <c r="J324" s="4" t="s">
        <v>81</v>
      </c>
      <c r="K324" s="4" t="s">
        <v>71</v>
      </c>
      <c r="L324" s="35" t="n">
        <f aca="false">G324*H324</f>
        <v>60</v>
      </c>
      <c r="M324" s="35" t="n">
        <f aca="false">L324*I324</f>
        <v>6</v>
      </c>
      <c r="N324" s="35" t="n">
        <f aca="false">L324-M324</f>
        <v>54</v>
      </c>
      <c r="O324" s="4" t="n">
        <f aca="false">MONTH(B324)</f>
        <v>3</v>
      </c>
      <c r="P324" s="4" t="str">
        <f aca="false">CHOOSE(WEEKDAY(B324,2),"Mon","Tue","Wed","Thu","Fri","Sat","Sun")</f>
        <v>Sat</v>
      </c>
      <c r="Q324" s="4" t="str">
        <f aca="false">IF(WEEKDAY(B324,2)&gt;5,"Weekend","Weekday")</f>
        <v>Weekend</v>
      </c>
      <c r="R324" s="4" t="str">
        <f aca="false">IF(C324&lt;11,"Morning (7-10)",IF(C324&lt;14,"Lunch (11-13)",IF(C324&lt;18,"Afternoon (14-17)","Evening (18-20)")))</f>
        <v>Afternoon (14-17)</v>
      </c>
      <c r="S324" s="4" t="str">
        <f aca="false">IF(AND(O324&gt;=3,O324&lt;=5),"Hot Dry (Mar-May)",IF(AND(O324&gt;=6,O324&lt;=11),"Rainy (Jun-Nov)","Cool Dry (Dec-Feb)"))</f>
        <v>Hot Dry (Mar-May)</v>
      </c>
      <c r="T324" s="4" t="str">
        <f aca="false">CHOOSE(O324,"Jan","Feb","Mar","Apr","May","Jun","Jul","Aug","Sep","Oct","Nov","Dec")</f>
        <v>Mar</v>
      </c>
    </row>
    <row r="325" customFormat="false" ht="15" hidden="false" customHeight="false" outlineLevel="0" collapsed="false">
      <c r="A325" s="4" t="s">
        <v>505</v>
      </c>
      <c r="B325" s="17" t="n">
        <v>45731</v>
      </c>
      <c r="C325" s="4" t="n">
        <v>15</v>
      </c>
      <c r="D325" s="4" t="s">
        <v>64</v>
      </c>
      <c r="E325" s="4" t="s">
        <v>65</v>
      </c>
      <c r="F325" s="4" t="s">
        <v>121</v>
      </c>
      <c r="G325" s="4" t="n">
        <v>1</v>
      </c>
      <c r="H325" s="34" t="n">
        <v>170</v>
      </c>
      <c r="I325" s="18" t="n">
        <v>0</v>
      </c>
      <c r="J325" s="4" t="s">
        <v>76</v>
      </c>
      <c r="K325" s="4" t="s">
        <v>68</v>
      </c>
      <c r="L325" s="35" t="n">
        <f aca="false">G325*H325</f>
        <v>170</v>
      </c>
      <c r="M325" s="35" t="n">
        <f aca="false">L325*I325</f>
        <v>0</v>
      </c>
      <c r="N325" s="35" t="n">
        <f aca="false">L325-M325</f>
        <v>170</v>
      </c>
      <c r="O325" s="4" t="n">
        <f aca="false">MONTH(B325)</f>
        <v>3</v>
      </c>
      <c r="P325" s="4" t="str">
        <f aca="false">CHOOSE(WEEKDAY(B325,2),"Mon","Tue","Wed","Thu","Fri","Sat","Sun")</f>
        <v>Sat</v>
      </c>
      <c r="Q325" s="4" t="str">
        <f aca="false">IF(WEEKDAY(B325,2)&gt;5,"Weekend","Weekday")</f>
        <v>Weekend</v>
      </c>
      <c r="R325" s="4" t="str">
        <f aca="false">IF(C325&lt;11,"Morning (7-10)",IF(C325&lt;14,"Lunch (11-13)",IF(C325&lt;18,"Afternoon (14-17)","Evening (18-20)")))</f>
        <v>Afternoon (14-17)</v>
      </c>
      <c r="S325" s="4" t="str">
        <f aca="false">IF(AND(O325&gt;=3,O325&lt;=5),"Hot Dry (Mar-May)",IF(AND(O325&gt;=6,O325&lt;=11),"Rainy (Jun-Nov)","Cool Dry (Dec-Feb)"))</f>
        <v>Hot Dry (Mar-May)</v>
      </c>
      <c r="T325" s="4" t="str">
        <f aca="false">CHOOSE(O325,"Jan","Feb","Mar","Apr","May","Jun","Jul","Aug","Sep","Oct","Nov","Dec")</f>
        <v>Mar</v>
      </c>
    </row>
    <row r="326" customFormat="false" ht="15" hidden="false" customHeight="false" outlineLevel="0" collapsed="false">
      <c r="A326" s="4" t="s">
        <v>506</v>
      </c>
      <c r="B326" s="17" t="n">
        <v>45731</v>
      </c>
      <c r="C326" s="4" t="n">
        <v>16</v>
      </c>
      <c r="D326" s="4" t="s">
        <v>70</v>
      </c>
      <c r="E326" s="4" t="s">
        <v>99</v>
      </c>
      <c r="F326" s="4" t="s">
        <v>100</v>
      </c>
      <c r="G326" s="4" t="n">
        <v>2</v>
      </c>
      <c r="H326" s="34" t="n">
        <v>110</v>
      </c>
      <c r="I326" s="18" t="n">
        <v>0</v>
      </c>
      <c r="J326" s="4" t="s">
        <v>88</v>
      </c>
      <c r="K326" s="4" t="s">
        <v>68</v>
      </c>
      <c r="L326" s="35" t="n">
        <f aca="false">G326*H326</f>
        <v>220</v>
      </c>
      <c r="M326" s="35" t="n">
        <f aca="false">L326*I326</f>
        <v>0</v>
      </c>
      <c r="N326" s="35" t="n">
        <f aca="false">L326-M326</f>
        <v>220</v>
      </c>
      <c r="O326" s="4" t="n">
        <f aca="false">MONTH(B326)</f>
        <v>3</v>
      </c>
      <c r="P326" s="4" t="str">
        <f aca="false">CHOOSE(WEEKDAY(B326,2),"Mon","Tue","Wed","Thu","Fri","Sat","Sun")</f>
        <v>Sat</v>
      </c>
      <c r="Q326" s="4" t="str">
        <f aca="false">IF(WEEKDAY(B326,2)&gt;5,"Weekend","Weekday")</f>
        <v>Weekend</v>
      </c>
      <c r="R326" s="4" t="str">
        <f aca="false">IF(C326&lt;11,"Morning (7-10)",IF(C326&lt;14,"Lunch (11-13)",IF(C326&lt;18,"Afternoon (14-17)","Evening (18-20)")))</f>
        <v>Afternoon (14-17)</v>
      </c>
      <c r="S326" s="4" t="str">
        <f aca="false">IF(AND(O326&gt;=3,O326&lt;=5),"Hot Dry (Mar-May)",IF(AND(O326&gt;=6,O326&lt;=11),"Rainy (Jun-Nov)","Cool Dry (Dec-Feb)"))</f>
        <v>Hot Dry (Mar-May)</v>
      </c>
      <c r="T326" s="4" t="str">
        <f aca="false">CHOOSE(O326,"Jan","Feb","Mar","Apr","May","Jun","Jul","Aug","Sep","Oct","Nov","Dec")</f>
        <v>Mar</v>
      </c>
    </row>
    <row r="327" customFormat="false" ht="15" hidden="false" customHeight="false" outlineLevel="0" collapsed="false">
      <c r="A327" s="4" t="s">
        <v>507</v>
      </c>
      <c r="B327" s="17" t="n">
        <v>45731</v>
      </c>
      <c r="C327" s="4" t="n">
        <v>20</v>
      </c>
      <c r="D327" s="4" t="s">
        <v>70</v>
      </c>
      <c r="E327" s="4" t="s">
        <v>65</v>
      </c>
      <c r="F327" s="4" t="s">
        <v>94</v>
      </c>
      <c r="G327" s="4" t="n">
        <v>1</v>
      </c>
      <c r="H327" s="34" t="n">
        <v>150</v>
      </c>
      <c r="I327" s="18" t="n">
        <v>0</v>
      </c>
      <c r="J327" s="4" t="s">
        <v>81</v>
      </c>
      <c r="K327" s="4" t="s">
        <v>77</v>
      </c>
      <c r="L327" s="35" t="n">
        <f aca="false">G327*H327</f>
        <v>150</v>
      </c>
      <c r="M327" s="35" t="n">
        <f aca="false">L327*I327</f>
        <v>0</v>
      </c>
      <c r="N327" s="35" t="n">
        <f aca="false">L327-M327</f>
        <v>150</v>
      </c>
      <c r="O327" s="4" t="n">
        <f aca="false">MONTH(B327)</f>
        <v>3</v>
      </c>
      <c r="P327" s="4" t="str">
        <f aca="false">CHOOSE(WEEKDAY(B327,2),"Mon","Tue","Wed","Thu","Fri","Sat","Sun")</f>
        <v>Sat</v>
      </c>
      <c r="Q327" s="4" t="str">
        <f aca="false">IF(WEEKDAY(B327,2)&gt;5,"Weekend","Weekday")</f>
        <v>Weekend</v>
      </c>
      <c r="R327" s="4" t="str">
        <f aca="false">IF(C327&lt;11,"Morning (7-10)",IF(C327&lt;14,"Lunch (11-13)",IF(C327&lt;18,"Afternoon (14-17)","Evening (18-20)")))</f>
        <v>Evening (18-20)</v>
      </c>
      <c r="S327" s="4" t="str">
        <f aca="false">IF(AND(O327&gt;=3,O327&lt;=5),"Hot Dry (Mar-May)",IF(AND(O327&gt;=6,O327&lt;=11),"Rainy (Jun-Nov)","Cool Dry (Dec-Feb)"))</f>
        <v>Hot Dry (Mar-May)</v>
      </c>
      <c r="T327" s="4" t="str">
        <f aca="false">CHOOSE(O327,"Jan","Feb","Mar","Apr","May","Jun","Jul","Aug","Sep","Oct","Nov","Dec")</f>
        <v>Mar</v>
      </c>
    </row>
    <row r="328" customFormat="false" ht="15" hidden="false" customHeight="false" outlineLevel="0" collapsed="false">
      <c r="A328" s="4" t="s">
        <v>508</v>
      </c>
      <c r="B328" s="17" t="n">
        <v>45732</v>
      </c>
      <c r="C328" s="4" t="n">
        <v>11</v>
      </c>
      <c r="D328" s="4" t="s">
        <v>70</v>
      </c>
      <c r="E328" s="4" t="s">
        <v>84</v>
      </c>
      <c r="F328" s="4" t="s">
        <v>117</v>
      </c>
      <c r="G328" s="4" t="n">
        <v>1</v>
      </c>
      <c r="H328" s="34" t="n">
        <v>95</v>
      </c>
      <c r="I328" s="18" t="n">
        <v>0</v>
      </c>
      <c r="J328" s="4" t="s">
        <v>81</v>
      </c>
      <c r="K328" s="4" t="s">
        <v>82</v>
      </c>
      <c r="L328" s="35" t="n">
        <f aca="false">G328*H328</f>
        <v>95</v>
      </c>
      <c r="M328" s="35" t="n">
        <f aca="false">L328*I328</f>
        <v>0</v>
      </c>
      <c r="N328" s="35" t="n">
        <f aca="false">L328-M328</f>
        <v>95</v>
      </c>
      <c r="O328" s="4" t="n">
        <f aca="false">MONTH(B328)</f>
        <v>3</v>
      </c>
      <c r="P328" s="4" t="str">
        <f aca="false">CHOOSE(WEEKDAY(B328,2),"Mon","Tue","Wed","Thu","Fri","Sat","Sun")</f>
        <v>Sun</v>
      </c>
      <c r="Q328" s="4" t="str">
        <f aca="false">IF(WEEKDAY(B328,2)&gt;5,"Weekend","Weekday")</f>
        <v>Weekend</v>
      </c>
      <c r="R328" s="4" t="str">
        <f aca="false">IF(C328&lt;11,"Morning (7-10)",IF(C328&lt;14,"Lunch (11-13)",IF(C328&lt;18,"Afternoon (14-17)","Evening (18-20)")))</f>
        <v>Lunch (11-13)</v>
      </c>
      <c r="S328" s="4" t="str">
        <f aca="false">IF(AND(O328&gt;=3,O328&lt;=5),"Hot Dry (Mar-May)",IF(AND(O328&gt;=6,O328&lt;=11),"Rainy (Jun-Nov)","Cool Dry (Dec-Feb)"))</f>
        <v>Hot Dry (Mar-May)</v>
      </c>
      <c r="T328" s="4" t="str">
        <f aca="false">CHOOSE(O328,"Jan","Feb","Mar","Apr","May","Jun","Jul","Aug","Sep","Oct","Nov","Dec")</f>
        <v>Mar</v>
      </c>
    </row>
    <row r="329" customFormat="false" ht="15" hidden="false" customHeight="false" outlineLevel="0" collapsed="false">
      <c r="A329" s="4" t="s">
        <v>509</v>
      </c>
      <c r="B329" s="17" t="n">
        <v>45733</v>
      </c>
      <c r="C329" s="4" t="n">
        <v>8</v>
      </c>
      <c r="D329" s="4" t="s">
        <v>64</v>
      </c>
      <c r="E329" s="4" t="s">
        <v>65</v>
      </c>
      <c r="F329" s="4" t="s">
        <v>66</v>
      </c>
      <c r="G329" s="4" t="n">
        <v>1</v>
      </c>
      <c r="H329" s="34" t="n">
        <v>120</v>
      </c>
      <c r="I329" s="18" t="n">
        <v>0</v>
      </c>
      <c r="J329" s="4" t="s">
        <v>112</v>
      </c>
      <c r="K329" s="4" t="s">
        <v>77</v>
      </c>
      <c r="L329" s="35" t="n">
        <f aca="false">G329*H329</f>
        <v>120</v>
      </c>
      <c r="M329" s="35" t="n">
        <f aca="false">L329*I329</f>
        <v>0</v>
      </c>
      <c r="N329" s="35" t="n">
        <f aca="false">L329-M329</f>
        <v>120</v>
      </c>
      <c r="O329" s="4" t="n">
        <f aca="false">MONTH(B329)</f>
        <v>3</v>
      </c>
      <c r="P329" s="4" t="str">
        <f aca="false">CHOOSE(WEEKDAY(B329,2),"Mon","Tue","Wed","Thu","Fri","Sat","Sun")</f>
        <v>Mon</v>
      </c>
      <c r="Q329" s="4" t="str">
        <f aca="false">IF(WEEKDAY(B329,2)&gt;5,"Weekend","Weekday")</f>
        <v>Weekday</v>
      </c>
      <c r="R329" s="4" t="str">
        <f aca="false">IF(C329&lt;11,"Morning (7-10)",IF(C329&lt;14,"Lunch (11-13)",IF(C329&lt;18,"Afternoon (14-17)","Evening (18-20)")))</f>
        <v>Morning (7-10)</v>
      </c>
      <c r="S329" s="4" t="str">
        <f aca="false">IF(AND(O329&gt;=3,O329&lt;=5),"Hot Dry (Mar-May)",IF(AND(O329&gt;=6,O329&lt;=11),"Rainy (Jun-Nov)","Cool Dry (Dec-Feb)"))</f>
        <v>Hot Dry (Mar-May)</v>
      </c>
      <c r="T329" s="4" t="str">
        <f aca="false">CHOOSE(O329,"Jan","Feb","Mar","Apr","May","Jun","Jul","Aug","Sep","Oct","Nov","Dec")</f>
        <v>Mar</v>
      </c>
    </row>
    <row r="330" customFormat="false" ht="15" hidden="false" customHeight="false" outlineLevel="0" collapsed="false">
      <c r="A330" s="4" t="s">
        <v>510</v>
      </c>
      <c r="B330" s="17" t="n">
        <v>45733</v>
      </c>
      <c r="C330" s="4" t="n">
        <v>15</v>
      </c>
      <c r="D330" s="4" t="s">
        <v>73</v>
      </c>
      <c r="E330" s="4" t="s">
        <v>84</v>
      </c>
      <c r="F330" s="4" t="s">
        <v>114</v>
      </c>
      <c r="G330" s="4" t="n">
        <v>3</v>
      </c>
      <c r="H330" s="34" t="n">
        <v>85</v>
      </c>
      <c r="I330" s="18" t="n">
        <v>0.05</v>
      </c>
      <c r="J330" s="4" t="s">
        <v>76</v>
      </c>
      <c r="K330" s="4" t="s">
        <v>82</v>
      </c>
      <c r="L330" s="35" t="n">
        <f aca="false">G330*H330</f>
        <v>255</v>
      </c>
      <c r="M330" s="35" t="n">
        <f aca="false">L330*I330</f>
        <v>12.75</v>
      </c>
      <c r="N330" s="35" t="n">
        <f aca="false">L330-M330</f>
        <v>242.25</v>
      </c>
      <c r="O330" s="4" t="n">
        <f aca="false">MONTH(B330)</f>
        <v>3</v>
      </c>
      <c r="P330" s="4" t="str">
        <f aca="false">CHOOSE(WEEKDAY(B330,2),"Mon","Tue","Wed","Thu","Fri","Sat","Sun")</f>
        <v>Mon</v>
      </c>
      <c r="Q330" s="4" t="str">
        <f aca="false">IF(WEEKDAY(B330,2)&gt;5,"Weekend","Weekday")</f>
        <v>Weekday</v>
      </c>
      <c r="R330" s="4" t="str">
        <f aca="false">IF(C330&lt;11,"Morning (7-10)",IF(C330&lt;14,"Lunch (11-13)",IF(C330&lt;18,"Afternoon (14-17)","Evening (18-20)")))</f>
        <v>Afternoon (14-17)</v>
      </c>
      <c r="S330" s="4" t="str">
        <f aca="false">IF(AND(O330&gt;=3,O330&lt;=5),"Hot Dry (Mar-May)",IF(AND(O330&gt;=6,O330&lt;=11),"Rainy (Jun-Nov)","Cool Dry (Dec-Feb)"))</f>
        <v>Hot Dry (Mar-May)</v>
      </c>
      <c r="T330" s="4" t="str">
        <f aca="false">CHOOSE(O330,"Jan","Feb","Mar","Apr","May","Jun","Jul","Aug","Sep","Oct","Nov","Dec")</f>
        <v>Mar</v>
      </c>
    </row>
    <row r="331" customFormat="false" ht="15" hidden="false" customHeight="false" outlineLevel="0" collapsed="false">
      <c r="A331" s="4" t="s">
        <v>512</v>
      </c>
      <c r="B331" s="17" t="n">
        <v>45733</v>
      </c>
      <c r="C331" s="4" t="n">
        <v>17</v>
      </c>
      <c r="D331" s="4" t="s">
        <v>98</v>
      </c>
      <c r="E331" s="4" t="s">
        <v>65</v>
      </c>
      <c r="F331" s="4" t="s">
        <v>66</v>
      </c>
      <c r="G331" s="4" t="n">
        <v>3</v>
      </c>
      <c r="H331" s="34" t="n">
        <v>120</v>
      </c>
      <c r="I331" s="18" t="n">
        <v>0.05</v>
      </c>
      <c r="J331" s="4" t="s">
        <v>81</v>
      </c>
      <c r="K331" s="4" t="s">
        <v>82</v>
      </c>
      <c r="L331" s="35" t="n">
        <f aca="false">G331*H331</f>
        <v>360</v>
      </c>
      <c r="M331" s="35" t="n">
        <f aca="false">L331*I331</f>
        <v>18</v>
      </c>
      <c r="N331" s="35" t="n">
        <f aca="false">L331-M331</f>
        <v>342</v>
      </c>
      <c r="O331" s="4" t="n">
        <f aca="false">MONTH(B331)</f>
        <v>3</v>
      </c>
      <c r="P331" s="4" t="str">
        <f aca="false">CHOOSE(WEEKDAY(B331,2),"Mon","Tue","Wed","Thu","Fri","Sat","Sun")</f>
        <v>Mon</v>
      </c>
      <c r="Q331" s="4" t="str">
        <f aca="false">IF(WEEKDAY(B331,2)&gt;5,"Weekend","Weekday")</f>
        <v>Weekday</v>
      </c>
      <c r="R331" s="4" t="str">
        <f aca="false">IF(C331&lt;11,"Morning (7-10)",IF(C331&lt;14,"Lunch (11-13)",IF(C331&lt;18,"Afternoon (14-17)","Evening (18-20)")))</f>
        <v>Afternoon (14-17)</v>
      </c>
      <c r="S331" s="4" t="str">
        <f aca="false">IF(AND(O331&gt;=3,O331&lt;=5),"Hot Dry (Mar-May)",IF(AND(O331&gt;=6,O331&lt;=11),"Rainy (Jun-Nov)","Cool Dry (Dec-Feb)"))</f>
        <v>Hot Dry (Mar-May)</v>
      </c>
      <c r="T331" s="4" t="str">
        <f aca="false">CHOOSE(O331,"Jan","Feb","Mar","Apr","May","Jun","Jul","Aug","Sep","Oct","Nov","Dec")</f>
        <v>Mar</v>
      </c>
    </row>
    <row r="332" customFormat="false" ht="15" hidden="false" customHeight="false" outlineLevel="0" collapsed="false">
      <c r="A332" s="4" t="s">
        <v>513</v>
      </c>
      <c r="B332" s="17" t="n">
        <v>45733</v>
      </c>
      <c r="C332" s="4" t="n">
        <v>18</v>
      </c>
      <c r="D332" s="4" t="s">
        <v>73</v>
      </c>
      <c r="E332" s="4" t="s">
        <v>84</v>
      </c>
      <c r="F332" s="4" t="s">
        <v>106</v>
      </c>
      <c r="G332" s="4" t="n">
        <v>1</v>
      </c>
      <c r="H332" s="34" t="n">
        <v>60</v>
      </c>
      <c r="I332" s="18" t="n">
        <v>0</v>
      </c>
      <c r="J332" s="4" t="s">
        <v>2289</v>
      </c>
      <c r="K332" s="4" t="s">
        <v>68</v>
      </c>
      <c r="L332" s="35" t="n">
        <f aca="false">G332*H332</f>
        <v>60</v>
      </c>
      <c r="M332" s="35" t="n">
        <f aca="false">L332*I332</f>
        <v>0</v>
      </c>
      <c r="N332" s="35" t="n">
        <f aca="false">L332-M332</f>
        <v>60</v>
      </c>
      <c r="O332" s="4" t="n">
        <f aca="false">MONTH(B332)</f>
        <v>3</v>
      </c>
      <c r="P332" s="4" t="str">
        <f aca="false">CHOOSE(WEEKDAY(B332,2),"Mon","Tue","Wed","Thu","Fri","Sat","Sun")</f>
        <v>Mon</v>
      </c>
      <c r="Q332" s="4" t="str">
        <f aca="false">IF(WEEKDAY(B332,2)&gt;5,"Weekend","Weekday")</f>
        <v>Weekday</v>
      </c>
      <c r="R332" s="4" t="str">
        <f aca="false">IF(C332&lt;11,"Morning (7-10)",IF(C332&lt;14,"Lunch (11-13)",IF(C332&lt;18,"Afternoon (14-17)","Evening (18-20)")))</f>
        <v>Evening (18-20)</v>
      </c>
      <c r="S332" s="4" t="str">
        <f aca="false">IF(AND(O332&gt;=3,O332&lt;=5),"Hot Dry (Mar-May)",IF(AND(O332&gt;=6,O332&lt;=11),"Rainy (Jun-Nov)","Cool Dry (Dec-Feb)"))</f>
        <v>Hot Dry (Mar-May)</v>
      </c>
      <c r="T332" s="4" t="str">
        <f aca="false">CHOOSE(O332,"Jan","Feb","Mar","Apr","May","Jun","Jul","Aug","Sep","Oct","Nov","Dec")</f>
        <v>Mar</v>
      </c>
    </row>
    <row r="333" customFormat="false" ht="15" hidden="false" customHeight="false" outlineLevel="0" collapsed="false">
      <c r="A333" s="4" t="s">
        <v>515</v>
      </c>
      <c r="B333" s="17" t="n">
        <v>45734</v>
      </c>
      <c r="C333" s="4" t="n">
        <v>9</v>
      </c>
      <c r="D333" s="4" t="s">
        <v>70</v>
      </c>
      <c r="E333" s="4" t="s">
        <v>99</v>
      </c>
      <c r="F333" s="4" t="s">
        <v>109</v>
      </c>
      <c r="G333" s="4" t="n">
        <v>3</v>
      </c>
      <c r="H333" s="34" t="n">
        <v>130</v>
      </c>
      <c r="I333" s="18" t="n">
        <v>0</v>
      </c>
      <c r="J333" s="4" t="s">
        <v>67</v>
      </c>
      <c r="K333" s="4" t="s">
        <v>68</v>
      </c>
      <c r="L333" s="35" t="n">
        <f aca="false">G333*H333</f>
        <v>390</v>
      </c>
      <c r="M333" s="35" t="n">
        <f aca="false">L333*I333</f>
        <v>0</v>
      </c>
      <c r="N333" s="35" t="n">
        <f aca="false">L333-M333</f>
        <v>390</v>
      </c>
      <c r="O333" s="4" t="n">
        <f aca="false">MONTH(B333)</f>
        <v>3</v>
      </c>
      <c r="P333" s="4" t="str">
        <f aca="false">CHOOSE(WEEKDAY(B333,2),"Mon","Tue","Wed","Thu","Fri","Sat","Sun")</f>
        <v>Tue</v>
      </c>
      <c r="Q333" s="4" t="str">
        <f aca="false">IF(WEEKDAY(B333,2)&gt;5,"Weekend","Weekday")</f>
        <v>Weekday</v>
      </c>
      <c r="R333" s="4" t="str">
        <f aca="false">IF(C333&lt;11,"Morning (7-10)",IF(C333&lt;14,"Lunch (11-13)",IF(C333&lt;18,"Afternoon (14-17)","Evening (18-20)")))</f>
        <v>Morning (7-10)</v>
      </c>
      <c r="S333" s="4" t="str">
        <f aca="false">IF(AND(O333&gt;=3,O333&lt;=5),"Hot Dry (Mar-May)",IF(AND(O333&gt;=6,O333&lt;=11),"Rainy (Jun-Nov)","Cool Dry (Dec-Feb)"))</f>
        <v>Hot Dry (Mar-May)</v>
      </c>
      <c r="T333" s="4" t="str">
        <f aca="false">CHOOSE(O333,"Jan","Feb","Mar","Apr","May","Jun","Jul","Aug","Sep","Oct","Nov","Dec")</f>
        <v>Mar</v>
      </c>
    </row>
    <row r="334" customFormat="false" ht="15" hidden="false" customHeight="false" outlineLevel="0" collapsed="false">
      <c r="A334" s="4" t="s">
        <v>516</v>
      </c>
      <c r="B334" s="17" t="n">
        <v>45734</v>
      </c>
      <c r="C334" s="4" t="n">
        <v>10</v>
      </c>
      <c r="D334" s="4" t="s">
        <v>70</v>
      </c>
      <c r="E334" s="4" t="s">
        <v>79</v>
      </c>
      <c r="F334" s="4" t="s">
        <v>148</v>
      </c>
      <c r="G334" s="4" t="n">
        <v>3</v>
      </c>
      <c r="H334" s="34" t="n">
        <v>120</v>
      </c>
      <c r="I334" s="18" t="n">
        <v>0.1</v>
      </c>
      <c r="J334" s="4" t="s">
        <v>67</v>
      </c>
      <c r="K334" s="4" t="s">
        <v>71</v>
      </c>
      <c r="L334" s="35" t="n">
        <f aca="false">G334*H334</f>
        <v>360</v>
      </c>
      <c r="M334" s="35" t="n">
        <f aca="false">L334*I334</f>
        <v>36</v>
      </c>
      <c r="N334" s="35" t="n">
        <f aca="false">L334-M334</f>
        <v>324</v>
      </c>
      <c r="O334" s="4" t="n">
        <f aca="false">MONTH(B334)</f>
        <v>3</v>
      </c>
      <c r="P334" s="4" t="str">
        <f aca="false">CHOOSE(WEEKDAY(B334,2),"Mon","Tue","Wed","Thu","Fri","Sat","Sun")</f>
        <v>Tue</v>
      </c>
      <c r="Q334" s="4" t="str">
        <f aca="false">IF(WEEKDAY(B334,2)&gt;5,"Weekend","Weekday")</f>
        <v>Weekday</v>
      </c>
      <c r="R334" s="4" t="str">
        <f aca="false">IF(C334&lt;11,"Morning (7-10)",IF(C334&lt;14,"Lunch (11-13)",IF(C334&lt;18,"Afternoon (14-17)","Evening (18-20)")))</f>
        <v>Morning (7-10)</v>
      </c>
      <c r="S334" s="4" t="str">
        <f aca="false">IF(AND(O334&gt;=3,O334&lt;=5),"Hot Dry (Mar-May)",IF(AND(O334&gt;=6,O334&lt;=11),"Rainy (Jun-Nov)","Cool Dry (Dec-Feb)"))</f>
        <v>Hot Dry (Mar-May)</v>
      </c>
      <c r="T334" s="4" t="str">
        <f aca="false">CHOOSE(O334,"Jan","Feb","Mar","Apr","May","Jun","Jul","Aug","Sep","Oct","Nov","Dec")</f>
        <v>Mar</v>
      </c>
    </row>
    <row r="335" customFormat="false" ht="15" hidden="false" customHeight="false" outlineLevel="0" collapsed="false">
      <c r="A335" s="4" t="s">
        <v>518</v>
      </c>
      <c r="B335" s="17" t="n">
        <v>45734</v>
      </c>
      <c r="C335" s="4" t="n">
        <v>13</v>
      </c>
      <c r="D335" s="4" t="s">
        <v>64</v>
      </c>
      <c r="E335" s="4" t="s">
        <v>65</v>
      </c>
      <c r="F335" s="4" t="s">
        <v>66</v>
      </c>
      <c r="G335" s="4" t="n">
        <v>3</v>
      </c>
      <c r="H335" s="34" t="n">
        <v>120</v>
      </c>
      <c r="I335" s="18" t="n">
        <v>0</v>
      </c>
      <c r="J335" s="4" t="s">
        <v>88</v>
      </c>
      <c r="K335" s="4" t="s">
        <v>77</v>
      </c>
      <c r="L335" s="35" t="n">
        <f aca="false">G335*H335</f>
        <v>360</v>
      </c>
      <c r="M335" s="35" t="n">
        <f aca="false">L335*I335</f>
        <v>0</v>
      </c>
      <c r="N335" s="35" t="n">
        <f aca="false">L335-M335</f>
        <v>360</v>
      </c>
      <c r="O335" s="4" t="n">
        <f aca="false">MONTH(B335)</f>
        <v>3</v>
      </c>
      <c r="P335" s="4" t="str">
        <f aca="false">CHOOSE(WEEKDAY(B335,2),"Mon","Tue","Wed","Thu","Fri","Sat","Sun")</f>
        <v>Tue</v>
      </c>
      <c r="Q335" s="4" t="str">
        <f aca="false">IF(WEEKDAY(B335,2)&gt;5,"Weekend","Weekday")</f>
        <v>Weekday</v>
      </c>
      <c r="R335" s="4" t="str">
        <f aca="false">IF(C335&lt;11,"Morning (7-10)",IF(C335&lt;14,"Lunch (11-13)",IF(C335&lt;18,"Afternoon (14-17)","Evening (18-20)")))</f>
        <v>Lunch (11-13)</v>
      </c>
      <c r="S335" s="4" t="str">
        <f aca="false">IF(AND(O335&gt;=3,O335&lt;=5),"Hot Dry (Mar-May)",IF(AND(O335&gt;=6,O335&lt;=11),"Rainy (Jun-Nov)","Cool Dry (Dec-Feb)"))</f>
        <v>Hot Dry (Mar-May)</v>
      </c>
      <c r="T335" s="4" t="str">
        <f aca="false">CHOOSE(O335,"Jan","Feb","Mar","Apr","May","Jun","Jul","Aug","Sep","Oct","Nov","Dec")</f>
        <v>Mar</v>
      </c>
    </row>
    <row r="336" customFormat="false" ht="15" hidden="false" customHeight="false" outlineLevel="0" collapsed="false">
      <c r="A336" s="4" t="s">
        <v>519</v>
      </c>
      <c r="B336" s="17" t="n">
        <v>45734</v>
      </c>
      <c r="C336" s="4" t="n">
        <v>13</v>
      </c>
      <c r="D336" s="4" t="s">
        <v>64</v>
      </c>
      <c r="E336" s="4" t="s">
        <v>99</v>
      </c>
      <c r="F336" s="4" t="s">
        <v>102</v>
      </c>
      <c r="G336" s="4" t="n">
        <v>1</v>
      </c>
      <c r="H336" s="34" t="n">
        <v>140</v>
      </c>
      <c r="I336" s="18" t="n">
        <v>0.1</v>
      </c>
      <c r="J336" s="4" t="s">
        <v>67</v>
      </c>
      <c r="K336" s="4" t="s">
        <v>71</v>
      </c>
      <c r="L336" s="35" t="n">
        <f aca="false">G336*H336</f>
        <v>140</v>
      </c>
      <c r="M336" s="35" t="n">
        <f aca="false">L336*I336</f>
        <v>14</v>
      </c>
      <c r="N336" s="35" t="n">
        <f aca="false">L336-M336</f>
        <v>126</v>
      </c>
      <c r="O336" s="4" t="n">
        <f aca="false">MONTH(B336)</f>
        <v>3</v>
      </c>
      <c r="P336" s="4" t="str">
        <f aca="false">CHOOSE(WEEKDAY(B336,2),"Mon","Tue","Wed","Thu","Fri","Sat","Sun")</f>
        <v>Tue</v>
      </c>
      <c r="Q336" s="4" t="str">
        <f aca="false">IF(WEEKDAY(B336,2)&gt;5,"Weekend","Weekday")</f>
        <v>Weekday</v>
      </c>
      <c r="R336" s="4" t="str">
        <f aca="false">IF(C336&lt;11,"Morning (7-10)",IF(C336&lt;14,"Lunch (11-13)",IF(C336&lt;18,"Afternoon (14-17)","Evening (18-20)")))</f>
        <v>Lunch (11-13)</v>
      </c>
      <c r="S336" s="4" t="str">
        <f aca="false">IF(AND(O336&gt;=3,O336&lt;=5),"Hot Dry (Mar-May)",IF(AND(O336&gt;=6,O336&lt;=11),"Rainy (Jun-Nov)","Cool Dry (Dec-Feb)"))</f>
        <v>Hot Dry (Mar-May)</v>
      </c>
      <c r="T336" s="4" t="str">
        <f aca="false">CHOOSE(O336,"Jan","Feb","Mar","Apr","May","Jun","Jul","Aug","Sep","Oct","Nov","Dec")</f>
        <v>Mar</v>
      </c>
    </row>
    <row r="337" customFormat="false" ht="15" hidden="false" customHeight="false" outlineLevel="0" collapsed="false">
      <c r="A337" s="4" t="s">
        <v>520</v>
      </c>
      <c r="B337" s="17" t="n">
        <v>45735</v>
      </c>
      <c r="C337" s="4" t="n">
        <v>11</v>
      </c>
      <c r="D337" s="4" t="s">
        <v>70</v>
      </c>
      <c r="E337" s="4" t="s">
        <v>65</v>
      </c>
      <c r="F337" s="4" t="s">
        <v>121</v>
      </c>
      <c r="G337" s="4" t="n">
        <v>3</v>
      </c>
      <c r="H337" s="34" t="n">
        <v>170</v>
      </c>
      <c r="I337" s="18" t="n">
        <v>0</v>
      </c>
      <c r="J337" s="4" t="s">
        <v>67</v>
      </c>
      <c r="K337" s="4" t="s">
        <v>77</v>
      </c>
      <c r="L337" s="35" t="n">
        <f aca="false">G337*H337</f>
        <v>510</v>
      </c>
      <c r="M337" s="35" t="n">
        <f aca="false">L337*I337</f>
        <v>0</v>
      </c>
      <c r="N337" s="35" t="n">
        <f aca="false">L337-M337</f>
        <v>510</v>
      </c>
      <c r="O337" s="4" t="n">
        <f aca="false">MONTH(B337)</f>
        <v>3</v>
      </c>
      <c r="P337" s="4" t="str">
        <f aca="false">CHOOSE(WEEKDAY(B337,2),"Mon","Tue","Wed","Thu","Fri","Sat","Sun")</f>
        <v>Wed</v>
      </c>
      <c r="Q337" s="4" t="str">
        <f aca="false">IF(WEEKDAY(B337,2)&gt;5,"Weekend","Weekday")</f>
        <v>Weekday</v>
      </c>
      <c r="R337" s="4" t="str">
        <f aca="false">IF(C337&lt;11,"Morning (7-10)",IF(C337&lt;14,"Lunch (11-13)",IF(C337&lt;18,"Afternoon (14-17)","Evening (18-20)")))</f>
        <v>Lunch (11-13)</v>
      </c>
      <c r="S337" s="4" t="str">
        <f aca="false">IF(AND(O337&gt;=3,O337&lt;=5),"Hot Dry (Mar-May)",IF(AND(O337&gt;=6,O337&lt;=11),"Rainy (Jun-Nov)","Cool Dry (Dec-Feb)"))</f>
        <v>Hot Dry (Mar-May)</v>
      </c>
      <c r="T337" s="4" t="str">
        <f aca="false">CHOOSE(O337,"Jan","Feb","Mar","Apr","May","Jun","Jul","Aug","Sep","Oct","Nov","Dec")</f>
        <v>Mar</v>
      </c>
    </row>
    <row r="338" customFormat="false" ht="15" hidden="false" customHeight="false" outlineLevel="0" collapsed="false">
      <c r="A338" s="4" t="s">
        <v>521</v>
      </c>
      <c r="B338" s="17" t="n">
        <v>45735</v>
      </c>
      <c r="C338" s="4" t="n">
        <v>11</v>
      </c>
      <c r="D338" s="4" t="s">
        <v>64</v>
      </c>
      <c r="E338" s="4" t="s">
        <v>79</v>
      </c>
      <c r="F338" s="4" t="s">
        <v>148</v>
      </c>
      <c r="G338" s="4" t="n">
        <v>1</v>
      </c>
      <c r="H338" s="34" t="n">
        <v>120</v>
      </c>
      <c r="I338" s="18" t="n">
        <v>0.05</v>
      </c>
      <c r="J338" s="4" t="s">
        <v>81</v>
      </c>
      <c r="K338" s="4" t="s">
        <v>82</v>
      </c>
      <c r="L338" s="35" t="n">
        <f aca="false">G338*H338</f>
        <v>120</v>
      </c>
      <c r="M338" s="35" t="n">
        <f aca="false">L338*I338</f>
        <v>6</v>
      </c>
      <c r="N338" s="35" t="n">
        <f aca="false">L338-M338</f>
        <v>114</v>
      </c>
      <c r="O338" s="4" t="n">
        <f aca="false">MONTH(B338)</f>
        <v>3</v>
      </c>
      <c r="P338" s="4" t="str">
        <f aca="false">CHOOSE(WEEKDAY(B338,2),"Mon","Tue","Wed","Thu","Fri","Sat","Sun")</f>
        <v>Wed</v>
      </c>
      <c r="Q338" s="4" t="str">
        <f aca="false">IF(WEEKDAY(B338,2)&gt;5,"Weekend","Weekday")</f>
        <v>Weekday</v>
      </c>
      <c r="R338" s="4" t="str">
        <f aca="false">IF(C338&lt;11,"Morning (7-10)",IF(C338&lt;14,"Lunch (11-13)",IF(C338&lt;18,"Afternoon (14-17)","Evening (18-20)")))</f>
        <v>Lunch (11-13)</v>
      </c>
      <c r="S338" s="4" t="str">
        <f aca="false">IF(AND(O338&gt;=3,O338&lt;=5),"Hot Dry (Mar-May)",IF(AND(O338&gt;=6,O338&lt;=11),"Rainy (Jun-Nov)","Cool Dry (Dec-Feb)"))</f>
        <v>Hot Dry (Mar-May)</v>
      </c>
      <c r="T338" s="4" t="str">
        <f aca="false">CHOOSE(O338,"Jan","Feb","Mar","Apr","May","Jun","Jul","Aug","Sep","Oct","Nov","Dec")</f>
        <v>Mar</v>
      </c>
    </row>
    <row r="339" customFormat="false" ht="15" hidden="false" customHeight="false" outlineLevel="0" collapsed="false">
      <c r="A339" s="4" t="s">
        <v>523</v>
      </c>
      <c r="B339" s="17" t="n">
        <v>45735</v>
      </c>
      <c r="C339" s="4" t="n">
        <v>11</v>
      </c>
      <c r="D339" s="4" t="s">
        <v>70</v>
      </c>
      <c r="E339" s="4" t="s">
        <v>65</v>
      </c>
      <c r="F339" s="4" t="s">
        <v>121</v>
      </c>
      <c r="G339" s="4" t="n">
        <v>2</v>
      </c>
      <c r="H339" s="34" t="n">
        <v>170</v>
      </c>
      <c r="I339" s="18" t="n">
        <v>0</v>
      </c>
      <c r="J339" s="4" t="s">
        <v>67</v>
      </c>
      <c r="K339" s="4" t="s">
        <v>68</v>
      </c>
      <c r="L339" s="35" t="n">
        <f aca="false">G339*H339</f>
        <v>340</v>
      </c>
      <c r="M339" s="35" t="n">
        <f aca="false">L339*I339</f>
        <v>0</v>
      </c>
      <c r="N339" s="35" t="n">
        <f aca="false">L339-M339</f>
        <v>340</v>
      </c>
      <c r="O339" s="4" t="n">
        <f aca="false">MONTH(B339)</f>
        <v>3</v>
      </c>
      <c r="P339" s="4" t="str">
        <f aca="false">CHOOSE(WEEKDAY(B339,2),"Mon","Tue","Wed","Thu","Fri","Sat","Sun")</f>
        <v>Wed</v>
      </c>
      <c r="Q339" s="4" t="str">
        <f aca="false">IF(WEEKDAY(B339,2)&gt;5,"Weekend","Weekday")</f>
        <v>Weekday</v>
      </c>
      <c r="R339" s="4" t="str">
        <f aca="false">IF(C339&lt;11,"Morning (7-10)",IF(C339&lt;14,"Lunch (11-13)",IF(C339&lt;18,"Afternoon (14-17)","Evening (18-20)")))</f>
        <v>Lunch (11-13)</v>
      </c>
      <c r="S339" s="4" t="str">
        <f aca="false">IF(AND(O339&gt;=3,O339&lt;=5),"Hot Dry (Mar-May)",IF(AND(O339&gt;=6,O339&lt;=11),"Rainy (Jun-Nov)","Cool Dry (Dec-Feb)"))</f>
        <v>Hot Dry (Mar-May)</v>
      </c>
      <c r="T339" s="4" t="str">
        <f aca="false">CHOOSE(O339,"Jan","Feb","Mar","Apr","May","Jun","Jul","Aug","Sep","Oct","Nov","Dec")</f>
        <v>Mar</v>
      </c>
    </row>
    <row r="340" customFormat="false" ht="15" hidden="false" customHeight="false" outlineLevel="0" collapsed="false">
      <c r="A340" s="4" t="s">
        <v>524</v>
      </c>
      <c r="B340" s="17" t="n">
        <v>45735</v>
      </c>
      <c r="C340" s="4" t="n">
        <v>12</v>
      </c>
      <c r="D340" s="4" t="s">
        <v>64</v>
      </c>
      <c r="E340" s="4" t="s">
        <v>84</v>
      </c>
      <c r="F340" s="4" t="s">
        <v>117</v>
      </c>
      <c r="G340" s="4" t="n">
        <v>2</v>
      </c>
      <c r="H340" s="34" t="n">
        <v>95</v>
      </c>
      <c r="I340" s="18" t="n">
        <v>0.1</v>
      </c>
      <c r="J340" s="4" t="s">
        <v>76</v>
      </c>
      <c r="K340" s="4" t="s">
        <v>71</v>
      </c>
      <c r="L340" s="35" t="n">
        <f aca="false">G340*H340</f>
        <v>190</v>
      </c>
      <c r="M340" s="35" t="n">
        <f aca="false">L340*I340</f>
        <v>19</v>
      </c>
      <c r="N340" s="35" t="n">
        <f aca="false">L340-M340</f>
        <v>171</v>
      </c>
      <c r="O340" s="4" t="n">
        <f aca="false">MONTH(B340)</f>
        <v>3</v>
      </c>
      <c r="P340" s="4" t="str">
        <f aca="false">CHOOSE(WEEKDAY(B340,2),"Mon","Tue","Wed","Thu","Fri","Sat","Sun")</f>
        <v>Wed</v>
      </c>
      <c r="Q340" s="4" t="str">
        <f aca="false">IF(WEEKDAY(B340,2)&gt;5,"Weekend","Weekday")</f>
        <v>Weekday</v>
      </c>
      <c r="R340" s="4" t="str">
        <f aca="false">IF(C340&lt;11,"Morning (7-10)",IF(C340&lt;14,"Lunch (11-13)",IF(C340&lt;18,"Afternoon (14-17)","Evening (18-20)")))</f>
        <v>Lunch (11-13)</v>
      </c>
      <c r="S340" s="4" t="str">
        <f aca="false">IF(AND(O340&gt;=3,O340&lt;=5),"Hot Dry (Mar-May)",IF(AND(O340&gt;=6,O340&lt;=11),"Rainy (Jun-Nov)","Cool Dry (Dec-Feb)"))</f>
        <v>Hot Dry (Mar-May)</v>
      </c>
      <c r="T340" s="4" t="str">
        <f aca="false">CHOOSE(O340,"Jan","Feb","Mar","Apr","May","Jun","Jul","Aug","Sep","Oct","Nov","Dec")</f>
        <v>Mar</v>
      </c>
    </row>
    <row r="341" customFormat="false" ht="15" hidden="false" customHeight="false" outlineLevel="0" collapsed="false">
      <c r="A341" s="4" t="s">
        <v>526</v>
      </c>
      <c r="B341" s="17" t="n">
        <v>45735</v>
      </c>
      <c r="C341" s="4" t="n">
        <v>16</v>
      </c>
      <c r="D341" s="4" t="s">
        <v>64</v>
      </c>
      <c r="E341" s="4" t="s">
        <v>99</v>
      </c>
      <c r="F341" s="4" t="s">
        <v>102</v>
      </c>
      <c r="G341" s="4" t="n">
        <v>2</v>
      </c>
      <c r="H341" s="34" t="n">
        <v>140</v>
      </c>
      <c r="I341" s="18" t="n">
        <v>0.1</v>
      </c>
      <c r="J341" s="4" t="s">
        <v>76</v>
      </c>
      <c r="K341" s="4" t="s">
        <v>71</v>
      </c>
      <c r="L341" s="35" t="n">
        <f aca="false">G341*H341</f>
        <v>280</v>
      </c>
      <c r="M341" s="35" t="n">
        <f aca="false">L341*I341</f>
        <v>28</v>
      </c>
      <c r="N341" s="35" t="n">
        <f aca="false">L341-M341</f>
        <v>252</v>
      </c>
      <c r="O341" s="4" t="n">
        <f aca="false">MONTH(B341)</f>
        <v>3</v>
      </c>
      <c r="P341" s="4" t="str">
        <f aca="false">CHOOSE(WEEKDAY(B341,2),"Mon","Tue","Wed","Thu","Fri","Sat","Sun")</f>
        <v>Wed</v>
      </c>
      <c r="Q341" s="4" t="str">
        <f aca="false">IF(WEEKDAY(B341,2)&gt;5,"Weekend","Weekday")</f>
        <v>Weekday</v>
      </c>
      <c r="R341" s="4" t="str">
        <f aca="false">IF(C341&lt;11,"Morning (7-10)",IF(C341&lt;14,"Lunch (11-13)",IF(C341&lt;18,"Afternoon (14-17)","Evening (18-20)")))</f>
        <v>Afternoon (14-17)</v>
      </c>
      <c r="S341" s="4" t="str">
        <f aca="false">IF(AND(O341&gt;=3,O341&lt;=5),"Hot Dry (Mar-May)",IF(AND(O341&gt;=6,O341&lt;=11),"Rainy (Jun-Nov)","Cool Dry (Dec-Feb)"))</f>
        <v>Hot Dry (Mar-May)</v>
      </c>
      <c r="T341" s="4" t="str">
        <f aca="false">CHOOSE(O341,"Jan","Feb","Mar","Apr","May","Jun","Jul","Aug","Sep","Oct","Nov","Dec")</f>
        <v>Mar</v>
      </c>
    </row>
    <row r="342" customFormat="false" ht="15" hidden="false" customHeight="false" outlineLevel="0" collapsed="false">
      <c r="A342" s="4" t="s">
        <v>527</v>
      </c>
      <c r="B342" s="17" t="n">
        <v>45735</v>
      </c>
      <c r="C342" s="4" t="n">
        <v>17</v>
      </c>
      <c r="D342" s="4" t="s">
        <v>70</v>
      </c>
      <c r="E342" s="4" t="s">
        <v>65</v>
      </c>
      <c r="F342" s="4" t="s">
        <v>94</v>
      </c>
      <c r="G342" s="4" t="n">
        <v>1</v>
      </c>
      <c r="H342" s="34" t="n">
        <v>150</v>
      </c>
      <c r="I342" s="18" t="n">
        <v>0.1</v>
      </c>
      <c r="J342" s="4" t="s">
        <v>67</v>
      </c>
      <c r="K342" s="4" t="s">
        <v>71</v>
      </c>
      <c r="L342" s="35" t="n">
        <f aca="false">G342*H342</f>
        <v>150</v>
      </c>
      <c r="M342" s="35" t="n">
        <f aca="false">L342*I342</f>
        <v>15</v>
      </c>
      <c r="N342" s="35" t="n">
        <f aca="false">L342-M342</f>
        <v>135</v>
      </c>
      <c r="O342" s="4" t="n">
        <f aca="false">MONTH(B342)</f>
        <v>3</v>
      </c>
      <c r="P342" s="4" t="str">
        <f aca="false">CHOOSE(WEEKDAY(B342,2),"Mon","Tue","Wed","Thu","Fri","Sat","Sun")</f>
        <v>Wed</v>
      </c>
      <c r="Q342" s="4" t="str">
        <f aca="false">IF(WEEKDAY(B342,2)&gt;5,"Weekend","Weekday")</f>
        <v>Weekday</v>
      </c>
      <c r="R342" s="4" t="str">
        <f aca="false">IF(C342&lt;11,"Morning (7-10)",IF(C342&lt;14,"Lunch (11-13)",IF(C342&lt;18,"Afternoon (14-17)","Evening (18-20)")))</f>
        <v>Afternoon (14-17)</v>
      </c>
      <c r="S342" s="4" t="str">
        <f aca="false">IF(AND(O342&gt;=3,O342&lt;=5),"Hot Dry (Mar-May)",IF(AND(O342&gt;=6,O342&lt;=11),"Rainy (Jun-Nov)","Cool Dry (Dec-Feb)"))</f>
        <v>Hot Dry (Mar-May)</v>
      </c>
      <c r="T342" s="4" t="str">
        <f aca="false">CHOOSE(O342,"Jan","Feb","Mar","Apr","May","Jun","Jul","Aug","Sep","Oct","Nov","Dec")</f>
        <v>Mar</v>
      </c>
    </row>
    <row r="343" customFormat="false" ht="15" hidden="false" customHeight="false" outlineLevel="0" collapsed="false">
      <c r="A343" s="4" t="s">
        <v>528</v>
      </c>
      <c r="B343" s="17" t="n">
        <v>45736</v>
      </c>
      <c r="C343" s="4" t="n">
        <v>8</v>
      </c>
      <c r="D343" s="4" t="s">
        <v>64</v>
      </c>
      <c r="E343" s="4" t="s">
        <v>74</v>
      </c>
      <c r="F343" s="4" t="s">
        <v>75</v>
      </c>
      <c r="G343" s="4" t="n">
        <v>1</v>
      </c>
      <c r="H343" s="34" t="n">
        <v>220</v>
      </c>
      <c r="I343" s="18" t="n">
        <v>0.1</v>
      </c>
      <c r="J343" s="4" t="s">
        <v>67</v>
      </c>
      <c r="K343" s="4" t="s">
        <v>71</v>
      </c>
      <c r="L343" s="35" t="n">
        <f aca="false">G343*H343</f>
        <v>220</v>
      </c>
      <c r="M343" s="35" t="n">
        <f aca="false">L343*I343</f>
        <v>22</v>
      </c>
      <c r="N343" s="35" t="n">
        <f aca="false">L343-M343</f>
        <v>198</v>
      </c>
      <c r="O343" s="4" t="n">
        <f aca="false">MONTH(B343)</f>
        <v>3</v>
      </c>
      <c r="P343" s="4" t="str">
        <f aca="false">CHOOSE(WEEKDAY(B343,2),"Mon","Tue","Wed","Thu","Fri","Sat","Sun")</f>
        <v>Thu</v>
      </c>
      <c r="Q343" s="4" t="str">
        <f aca="false">IF(WEEKDAY(B343,2)&gt;5,"Weekend","Weekday")</f>
        <v>Weekday</v>
      </c>
      <c r="R343" s="4" t="str">
        <f aca="false">IF(C343&lt;11,"Morning (7-10)",IF(C343&lt;14,"Lunch (11-13)",IF(C343&lt;18,"Afternoon (14-17)","Evening (18-20)")))</f>
        <v>Morning (7-10)</v>
      </c>
      <c r="S343" s="4" t="str">
        <f aca="false">IF(AND(O343&gt;=3,O343&lt;=5),"Hot Dry (Mar-May)",IF(AND(O343&gt;=6,O343&lt;=11),"Rainy (Jun-Nov)","Cool Dry (Dec-Feb)"))</f>
        <v>Hot Dry (Mar-May)</v>
      </c>
      <c r="T343" s="4" t="str">
        <f aca="false">CHOOSE(O343,"Jan","Feb","Mar","Apr","May","Jun","Jul","Aug","Sep","Oct","Nov","Dec")</f>
        <v>Mar</v>
      </c>
    </row>
    <row r="344" customFormat="false" ht="15" hidden="false" customHeight="false" outlineLevel="0" collapsed="false">
      <c r="A344" s="4" t="s">
        <v>529</v>
      </c>
      <c r="B344" s="17" t="n">
        <v>45736</v>
      </c>
      <c r="C344" s="4" t="n">
        <v>16</v>
      </c>
      <c r="D344" s="4" t="s">
        <v>64</v>
      </c>
      <c r="E344" s="4" t="s">
        <v>84</v>
      </c>
      <c r="F344" s="4" t="s">
        <v>114</v>
      </c>
      <c r="G344" s="4" t="n">
        <v>2</v>
      </c>
      <c r="H344" s="34" t="n">
        <v>85</v>
      </c>
      <c r="I344" s="18" t="n">
        <v>0.05</v>
      </c>
      <c r="J344" s="4" t="s">
        <v>112</v>
      </c>
      <c r="K344" s="4" t="s">
        <v>82</v>
      </c>
      <c r="L344" s="35" t="n">
        <f aca="false">G344*H344</f>
        <v>170</v>
      </c>
      <c r="M344" s="35" t="n">
        <f aca="false">L344*I344</f>
        <v>8.5</v>
      </c>
      <c r="N344" s="35" t="n">
        <f aca="false">L344-M344</f>
        <v>161.5</v>
      </c>
      <c r="O344" s="4" t="n">
        <f aca="false">MONTH(B344)</f>
        <v>3</v>
      </c>
      <c r="P344" s="4" t="str">
        <f aca="false">CHOOSE(WEEKDAY(B344,2),"Mon","Tue","Wed","Thu","Fri","Sat","Sun")</f>
        <v>Thu</v>
      </c>
      <c r="Q344" s="4" t="str">
        <f aca="false">IF(WEEKDAY(B344,2)&gt;5,"Weekend","Weekday")</f>
        <v>Weekday</v>
      </c>
      <c r="R344" s="4" t="str">
        <f aca="false">IF(C344&lt;11,"Morning (7-10)",IF(C344&lt;14,"Lunch (11-13)",IF(C344&lt;18,"Afternoon (14-17)","Evening (18-20)")))</f>
        <v>Afternoon (14-17)</v>
      </c>
      <c r="S344" s="4" t="str">
        <f aca="false">IF(AND(O344&gt;=3,O344&lt;=5),"Hot Dry (Mar-May)",IF(AND(O344&gt;=6,O344&lt;=11),"Rainy (Jun-Nov)","Cool Dry (Dec-Feb)"))</f>
        <v>Hot Dry (Mar-May)</v>
      </c>
      <c r="T344" s="4" t="str">
        <f aca="false">CHOOSE(O344,"Jan","Feb","Mar","Apr","May","Jun","Jul","Aug","Sep","Oct","Nov","Dec")</f>
        <v>Mar</v>
      </c>
    </row>
    <row r="345" customFormat="false" ht="15" hidden="false" customHeight="false" outlineLevel="0" collapsed="false">
      <c r="A345" s="4" t="s">
        <v>530</v>
      </c>
      <c r="B345" s="17" t="n">
        <v>45736</v>
      </c>
      <c r="C345" s="4" t="n">
        <v>17</v>
      </c>
      <c r="D345" s="4" t="s">
        <v>73</v>
      </c>
      <c r="E345" s="4" t="s">
        <v>99</v>
      </c>
      <c r="F345" s="4" t="s">
        <v>109</v>
      </c>
      <c r="G345" s="4" t="n">
        <v>3</v>
      </c>
      <c r="H345" s="34" t="n">
        <v>130</v>
      </c>
      <c r="I345" s="18" t="n">
        <v>0.05</v>
      </c>
      <c r="J345" s="4" t="s">
        <v>67</v>
      </c>
      <c r="K345" s="4" t="s">
        <v>82</v>
      </c>
      <c r="L345" s="35" t="n">
        <f aca="false">G345*H345</f>
        <v>390</v>
      </c>
      <c r="M345" s="35" t="n">
        <f aca="false">L345*I345</f>
        <v>19.5</v>
      </c>
      <c r="N345" s="35" t="n">
        <f aca="false">L345-M345</f>
        <v>370.5</v>
      </c>
      <c r="O345" s="4" t="n">
        <f aca="false">MONTH(B345)</f>
        <v>3</v>
      </c>
      <c r="P345" s="4" t="str">
        <f aca="false">CHOOSE(WEEKDAY(B345,2),"Mon","Tue","Wed","Thu","Fri","Sat","Sun")</f>
        <v>Thu</v>
      </c>
      <c r="Q345" s="4" t="str">
        <f aca="false">IF(WEEKDAY(B345,2)&gt;5,"Weekend","Weekday")</f>
        <v>Weekday</v>
      </c>
      <c r="R345" s="4" t="str">
        <f aca="false">IF(C345&lt;11,"Morning (7-10)",IF(C345&lt;14,"Lunch (11-13)",IF(C345&lt;18,"Afternoon (14-17)","Evening (18-20)")))</f>
        <v>Afternoon (14-17)</v>
      </c>
      <c r="S345" s="4" t="str">
        <f aca="false">IF(AND(O345&gt;=3,O345&lt;=5),"Hot Dry (Mar-May)",IF(AND(O345&gt;=6,O345&lt;=11),"Rainy (Jun-Nov)","Cool Dry (Dec-Feb)"))</f>
        <v>Hot Dry (Mar-May)</v>
      </c>
      <c r="T345" s="4" t="str">
        <f aca="false">CHOOSE(O345,"Jan","Feb","Mar","Apr","May","Jun","Jul","Aug","Sep","Oct","Nov","Dec")</f>
        <v>Mar</v>
      </c>
    </row>
    <row r="346" customFormat="false" ht="15" hidden="false" customHeight="false" outlineLevel="0" collapsed="false">
      <c r="A346" s="4" t="s">
        <v>531</v>
      </c>
      <c r="B346" s="17" t="n">
        <v>45737</v>
      </c>
      <c r="C346" s="4" t="n">
        <v>9</v>
      </c>
      <c r="D346" s="4" t="s">
        <v>70</v>
      </c>
      <c r="E346" s="4" t="s">
        <v>65</v>
      </c>
      <c r="F346" s="4" t="s">
        <v>94</v>
      </c>
      <c r="G346" s="4" t="n">
        <v>1</v>
      </c>
      <c r="H346" s="34" t="n">
        <v>150</v>
      </c>
      <c r="I346" s="18" t="n">
        <v>0</v>
      </c>
      <c r="J346" s="4" t="s">
        <v>81</v>
      </c>
      <c r="K346" s="4" t="s">
        <v>68</v>
      </c>
      <c r="L346" s="35" t="n">
        <f aca="false">G346*H346</f>
        <v>150</v>
      </c>
      <c r="M346" s="35" t="n">
        <f aca="false">L346*I346</f>
        <v>0</v>
      </c>
      <c r="N346" s="35" t="n">
        <f aca="false">L346-M346</f>
        <v>150</v>
      </c>
      <c r="O346" s="4" t="n">
        <f aca="false">MONTH(B346)</f>
        <v>3</v>
      </c>
      <c r="P346" s="4" t="str">
        <f aca="false">CHOOSE(WEEKDAY(B346,2),"Mon","Tue","Wed","Thu","Fri","Sat","Sun")</f>
        <v>Fri</v>
      </c>
      <c r="Q346" s="4" t="str">
        <f aca="false">IF(WEEKDAY(B346,2)&gt;5,"Weekend","Weekday")</f>
        <v>Weekday</v>
      </c>
      <c r="R346" s="4" t="str">
        <f aca="false">IF(C346&lt;11,"Morning (7-10)",IF(C346&lt;14,"Lunch (11-13)",IF(C346&lt;18,"Afternoon (14-17)","Evening (18-20)")))</f>
        <v>Morning (7-10)</v>
      </c>
      <c r="S346" s="4" t="str">
        <f aca="false">IF(AND(O346&gt;=3,O346&lt;=5),"Hot Dry (Mar-May)",IF(AND(O346&gt;=6,O346&lt;=11),"Rainy (Jun-Nov)","Cool Dry (Dec-Feb)"))</f>
        <v>Hot Dry (Mar-May)</v>
      </c>
      <c r="T346" s="4" t="str">
        <f aca="false">CHOOSE(O346,"Jan","Feb","Mar","Apr","May","Jun","Jul","Aug","Sep","Oct","Nov","Dec")</f>
        <v>Mar</v>
      </c>
    </row>
    <row r="347" customFormat="false" ht="15" hidden="false" customHeight="false" outlineLevel="0" collapsed="false">
      <c r="A347" s="4" t="s">
        <v>532</v>
      </c>
      <c r="B347" s="17" t="n">
        <v>45737</v>
      </c>
      <c r="C347" s="4" t="n">
        <v>10</v>
      </c>
      <c r="D347" s="4" t="s">
        <v>64</v>
      </c>
      <c r="E347" s="4" t="s">
        <v>99</v>
      </c>
      <c r="F347" s="4" t="s">
        <v>102</v>
      </c>
      <c r="G347" s="4" t="n">
        <v>1</v>
      </c>
      <c r="H347" s="34" t="n">
        <v>140</v>
      </c>
      <c r="I347" s="18" t="n">
        <v>0.1</v>
      </c>
      <c r="J347" s="4" t="s">
        <v>81</v>
      </c>
      <c r="K347" s="4" t="s">
        <v>71</v>
      </c>
      <c r="L347" s="35" t="n">
        <f aca="false">G347*H347</f>
        <v>140</v>
      </c>
      <c r="M347" s="35" t="n">
        <f aca="false">L347*I347</f>
        <v>14</v>
      </c>
      <c r="N347" s="35" t="n">
        <f aca="false">L347-M347</f>
        <v>126</v>
      </c>
      <c r="O347" s="4" t="n">
        <f aca="false">MONTH(B347)</f>
        <v>3</v>
      </c>
      <c r="P347" s="4" t="str">
        <f aca="false">CHOOSE(WEEKDAY(B347,2),"Mon","Tue","Wed","Thu","Fri","Sat","Sun")</f>
        <v>Fri</v>
      </c>
      <c r="Q347" s="4" t="str">
        <f aca="false">IF(WEEKDAY(B347,2)&gt;5,"Weekend","Weekday")</f>
        <v>Weekday</v>
      </c>
      <c r="R347" s="4" t="str">
        <f aca="false">IF(C347&lt;11,"Morning (7-10)",IF(C347&lt;14,"Lunch (11-13)",IF(C347&lt;18,"Afternoon (14-17)","Evening (18-20)")))</f>
        <v>Morning (7-10)</v>
      </c>
      <c r="S347" s="4" t="str">
        <f aca="false">IF(AND(O347&gt;=3,O347&lt;=5),"Hot Dry (Mar-May)",IF(AND(O347&gt;=6,O347&lt;=11),"Rainy (Jun-Nov)","Cool Dry (Dec-Feb)"))</f>
        <v>Hot Dry (Mar-May)</v>
      </c>
      <c r="T347" s="4" t="str">
        <f aca="false">CHOOSE(O347,"Jan","Feb","Mar","Apr","May","Jun","Jul","Aug","Sep","Oct","Nov","Dec")</f>
        <v>Mar</v>
      </c>
    </row>
    <row r="348" customFormat="false" ht="15" hidden="false" customHeight="false" outlineLevel="0" collapsed="false">
      <c r="A348" s="4" t="s">
        <v>533</v>
      </c>
      <c r="B348" s="17" t="n">
        <v>45737</v>
      </c>
      <c r="C348" s="4" t="n">
        <v>11</v>
      </c>
      <c r="D348" s="4" t="s">
        <v>70</v>
      </c>
      <c r="E348" s="4" t="s">
        <v>65</v>
      </c>
      <c r="F348" s="4" t="s">
        <v>94</v>
      </c>
      <c r="G348" s="4" t="n">
        <v>3</v>
      </c>
      <c r="H348" s="34" t="n">
        <v>150</v>
      </c>
      <c r="I348" s="18" t="n">
        <v>0</v>
      </c>
      <c r="J348" s="4" t="s">
        <v>112</v>
      </c>
      <c r="K348" s="4" t="s">
        <v>68</v>
      </c>
      <c r="L348" s="35" t="n">
        <f aca="false">G348*H348</f>
        <v>450</v>
      </c>
      <c r="M348" s="35" t="n">
        <f aca="false">L348*I348</f>
        <v>0</v>
      </c>
      <c r="N348" s="35" t="n">
        <f aca="false">L348-M348</f>
        <v>450</v>
      </c>
      <c r="O348" s="4" t="n">
        <f aca="false">MONTH(B348)</f>
        <v>3</v>
      </c>
      <c r="P348" s="4" t="str">
        <f aca="false">CHOOSE(WEEKDAY(B348,2),"Mon","Tue","Wed","Thu","Fri","Sat","Sun")</f>
        <v>Fri</v>
      </c>
      <c r="Q348" s="4" t="str">
        <f aca="false">IF(WEEKDAY(B348,2)&gt;5,"Weekend","Weekday")</f>
        <v>Weekday</v>
      </c>
      <c r="R348" s="4" t="str">
        <f aca="false">IF(C348&lt;11,"Morning (7-10)",IF(C348&lt;14,"Lunch (11-13)",IF(C348&lt;18,"Afternoon (14-17)","Evening (18-20)")))</f>
        <v>Lunch (11-13)</v>
      </c>
      <c r="S348" s="4" t="str">
        <f aca="false">IF(AND(O348&gt;=3,O348&lt;=5),"Hot Dry (Mar-May)",IF(AND(O348&gt;=6,O348&lt;=11),"Rainy (Jun-Nov)","Cool Dry (Dec-Feb)"))</f>
        <v>Hot Dry (Mar-May)</v>
      </c>
      <c r="T348" s="4" t="str">
        <f aca="false">CHOOSE(O348,"Jan","Feb","Mar","Apr","May","Jun","Jul","Aug","Sep","Oct","Nov","Dec")</f>
        <v>Mar</v>
      </c>
    </row>
    <row r="349" customFormat="false" ht="15" hidden="false" customHeight="false" outlineLevel="0" collapsed="false">
      <c r="A349" s="4" t="s">
        <v>534</v>
      </c>
      <c r="B349" s="17" t="n">
        <v>45737</v>
      </c>
      <c r="C349" s="4" t="n">
        <v>13</v>
      </c>
      <c r="D349" s="4" t="s">
        <v>70</v>
      </c>
      <c r="E349" s="4" t="s">
        <v>65</v>
      </c>
      <c r="F349" s="4" t="s">
        <v>87</v>
      </c>
      <c r="G349" s="4" t="n">
        <v>1</v>
      </c>
      <c r="H349" s="34" t="n">
        <v>160</v>
      </c>
      <c r="I349" s="18" t="n">
        <v>0.15</v>
      </c>
      <c r="J349" s="4" t="s">
        <v>67</v>
      </c>
      <c r="K349" s="4" t="s">
        <v>82</v>
      </c>
      <c r="L349" s="35" t="n">
        <f aca="false">G349*H349</f>
        <v>160</v>
      </c>
      <c r="M349" s="35" t="n">
        <f aca="false">L349*I349</f>
        <v>24</v>
      </c>
      <c r="N349" s="35" t="n">
        <f aca="false">L349-M349</f>
        <v>136</v>
      </c>
      <c r="O349" s="4" t="n">
        <f aca="false">MONTH(B349)</f>
        <v>3</v>
      </c>
      <c r="P349" s="4" t="str">
        <f aca="false">CHOOSE(WEEKDAY(B349,2),"Mon","Tue","Wed","Thu","Fri","Sat","Sun")</f>
        <v>Fri</v>
      </c>
      <c r="Q349" s="4" t="str">
        <f aca="false">IF(WEEKDAY(B349,2)&gt;5,"Weekend","Weekday")</f>
        <v>Weekday</v>
      </c>
      <c r="R349" s="4" t="str">
        <f aca="false">IF(C349&lt;11,"Morning (7-10)",IF(C349&lt;14,"Lunch (11-13)",IF(C349&lt;18,"Afternoon (14-17)","Evening (18-20)")))</f>
        <v>Lunch (11-13)</v>
      </c>
      <c r="S349" s="4" t="str">
        <f aca="false">IF(AND(O349&gt;=3,O349&lt;=5),"Hot Dry (Mar-May)",IF(AND(O349&gt;=6,O349&lt;=11),"Rainy (Jun-Nov)","Cool Dry (Dec-Feb)"))</f>
        <v>Hot Dry (Mar-May)</v>
      </c>
      <c r="T349" s="4" t="str">
        <f aca="false">CHOOSE(O349,"Jan","Feb","Mar","Apr","May","Jun","Jul","Aug","Sep","Oct","Nov","Dec")</f>
        <v>Mar</v>
      </c>
    </row>
    <row r="350" customFormat="false" ht="15" hidden="false" customHeight="false" outlineLevel="0" collapsed="false">
      <c r="A350" s="4" t="s">
        <v>535</v>
      </c>
      <c r="B350" s="17" t="n">
        <v>45737</v>
      </c>
      <c r="C350" s="4" t="n">
        <v>16</v>
      </c>
      <c r="D350" s="4" t="s">
        <v>64</v>
      </c>
      <c r="E350" s="4" t="s">
        <v>65</v>
      </c>
      <c r="F350" s="4" t="s">
        <v>94</v>
      </c>
      <c r="G350" s="4" t="n">
        <v>1</v>
      </c>
      <c r="H350" s="34" t="n">
        <v>150</v>
      </c>
      <c r="I350" s="18" t="n">
        <v>0</v>
      </c>
      <c r="J350" s="4" t="s">
        <v>76</v>
      </c>
      <c r="K350" s="4" t="s">
        <v>68</v>
      </c>
      <c r="L350" s="35" t="n">
        <f aca="false">G350*H350</f>
        <v>150</v>
      </c>
      <c r="M350" s="35" t="n">
        <f aca="false">L350*I350</f>
        <v>0</v>
      </c>
      <c r="N350" s="35" t="n">
        <f aca="false">L350-M350</f>
        <v>150</v>
      </c>
      <c r="O350" s="4" t="n">
        <f aca="false">MONTH(B350)</f>
        <v>3</v>
      </c>
      <c r="P350" s="4" t="str">
        <f aca="false">CHOOSE(WEEKDAY(B350,2),"Mon","Tue","Wed","Thu","Fri","Sat","Sun")</f>
        <v>Fri</v>
      </c>
      <c r="Q350" s="4" t="str">
        <f aca="false">IF(WEEKDAY(B350,2)&gt;5,"Weekend","Weekday")</f>
        <v>Weekday</v>
      </c>
      <c r="R350" s="4" t="str">
        <f aca="false">IF(C350&lt;11,"Morning (7-10)",IF(C350&lt;14,"Lunch (11-13)",IF(C350&lt;18,"Afternoon (14-17)","Evening (18-20)")))</f>
        <v>Afternoon (14-17)</v>
      </c>
      <c r="S350" s="4" t="str">
        <f aca="false">IF(AND(O350&gt;=3,O350&lt;=5),"Hot Dry (Mar-May)",IF(AND(O350&gt;=6,O350&lt;=11),"Rainy (Jun-Nov)","Cool Dry (Dec-Feb)"))</f>
        <v>Hot Dry (Mar-May)</v>
      </c>
      <c r="T350" s="4" t="str">
        <f aca="false">CHOOSE(O350,"Jan","Feb","Mar","Apr","May","Jun","Jul","Aug","Sep","Oct","Nov","Dec")</f>
        <v>Mar</v>
      </c>
    </row>
    <row r="351" customFormat="false" ht="15" hidden="false" customHeight="false" outlineLevel="0" collapsed="false">
      <c r="A351" s="4" t="s">
        <v>537</v>
      </c>
      <c r="B351" s="17" t="n">
        <v>45737</v>
      </c>
      <c r="C351" s="4" t="n">
        <v>16</v>
      </c>
      <c r="D351" s="4" t="s">
        <v>70</v>
      </c>
      <c r="E351" s="4" t="s">
        <v>65</v>
      </c>
      <c r="F351" s="4" t="s">
        <v>121</v>
      </c>
      <c r="G351" s="4" t="n">
        <v>1</v>
      </c>
      <c r="H351" s="34" t="n">
        <v>170</v>
      </c>
      <c r="I351" s="18" t="n">
        <v>0.05</v>
      </c>
      <c r="J351" s="4" t="s">
        <v>81</v>
      </c>
      <c r="K351" s="4" t="s">
        <v>82</v>
      </c>
      <c r="L351" s="35" t="n">
        <f aca="false">G351*H351</f>
        <v>170</v>
      </c>
      <c r="M351" s="35" t="n">
        <f aca="false">L351*I351</f>
        <v>8.5</v>
      </c>
      <c r="N351" s="35" t="n">
        <f aca="false">L351-M351</f>
        <v>161.5</v>
      </c>
      <c r="O351" s="4" t="n">
        <f aca="false">MONTH(B351)</f>
        <v>3</v>
      </c>
      <c r="P351" s="4" t="str">
        <f aca="false">CHOOSE(WEEKDAY(B351,2),"Mon","Tue","Wed","Thu","Fri","Sat","Sun")</f>
        <v>Fri</v>
      </c>
      <c r="Q351" s="4" t="str">
        <f aca="false">IF(WEEKDAY(B351,2)&gt;5,"Weekend","Weekday")</f>
        <v>Weekday</v>
      </c>
      <c r="R351" s="4" t="str">
        <f aca="false">IF(C351&lt;11,"Morning (7-10)",IF(C351&lt;14,"Lunch (11-13)",IF(C351&lt;18,"Afternoon (14-17)","Evening (18-20)")))</f>
        <v>Afternoon (14-17)</v>
      </c>
      <c r="S351" s="4" t="str">
        <f aca="false">IF(AND(O351&gt;=3,O351&lt;=5),"Hot Dry (Mar-May)",IF(AND(O351&gt;=6,O351&lt;=11),"Rainy (Jun-Nov)","Cool Dry (Dec-Feb)"))</f>
        <v>Hot Dry (Mar-May)</v>
      </c>
      <c r="T351" s="4" t="str">
        <f aca="false">CHOOSE(O351,"Jan","Feb","Mar","Apr","May","Jun","Jul","Aug","Sep","Oct","Nov","Dec")</f>
        <v>Mar</v>
      </c>
    </row>
    <row r="352" customFormat="false" ht="15" hidden="false" customHeight="false" outlineLevel="0" collapsed="false">
      <c r="A352" s="4" t="s">
        <v>538</v>
      </c>
      <c r="B352" s="17" t="n">
        <v>45737</v>
      </c>
      <c r="C352" s="4" t="n">
        <v>17</v>
      </c>
      <c r="D352" s="4" t="s">
        <v>70</v>
      </c>
      <c r="E352" s="4" t="s">
        <v>99</v>
      </c>
      <c r="F352" s="4" t="s">
        <v>109</v>
      </c>
      <c r="G352" s="4" t="n">
        <v>1</v>
      </c>
      <c r="H352" s="34" t="n">
        <v>130</v>
      </c>
      <c r="I352" s="18" t="n">
        <v>0.1</v>
      </c>
      <c r="J352" s="4" t="s">
        <v>76</v>
      </c>
      <c r="K352" s="4" t="s">
        <v>71</v>
      </c>
      <c r="L352" s="35" t="n">
        <f aca="false">G352*H352</f>
        <v>130</v>
      </c>
      <c r="M352" s="35" t="n">
        <f aca="false">L352*I352</f>
        <v>13</v>
      </c>
      <c r="N352" s="35" t="n">
        <f aca="false">L352-M352</f>
        <v>117</v>
      </c>
      <c r="O352" s="4" t="n">
        <f aca="false">MONTH(B352)</f>
        <v>3</v>
      </c>
      <c r="P352" s="4" t="str">
        <f aca="false">CHOOSE(WEEKDAY(B352,2),"Mon","Tue","Wed","Thu","Fri","Sat","Sun")</f>
        <v>Fri</v>
      </c>
      <c r="Q352" s="4" t="str">
        <f aca="false">IF(WEEKDAY(B352,2)&gt;5,"Weekend","Weekday")</f>
        <v>Weekday</v>
      </c>
      <c r="R352" s="4" t="str">
        <f aca="false">IF(C352&lt;11,"Morning (7-10)",IF(C352&lt;14,"Lunch (11-13)",IF(C352&lt;18,"Afternoon (14-17)","Evening (18-20)")))</f>
        <v>Afternoon (14-17)</v>
      </c>
      <c r="S352" s="4" t="str">
        <f aca="false">IF(AND(O352&gt;=3,O352&lt;=5),"Hot Dry (Mar-May)",IF(AND(O352&gt;=6,O352&lt;=11),"Rainy (Jun-Nov)","Cool Dry (Dec-Feb)"))</f>
        <v>Hot Dry (Mar-May)</v>
      </c>
      <c r="T352" s="4" t="str">
        <f aca="false">CHOOSE(O352,"Jan","Feb","Mar","Apr","May","Jun","Jul","Aug","Sep","Oct","Nov","Dec")</f>
        <v>Mar</v>
      </c>
    </row>
    <row r="353" customFormat="false" ht="15" hidden="false" customHeight="false" outlineLevel="0" collapsed="false">
      <c r="A353" s="4" t="s">
        <v>540</v>
      </c>
      <c r="B353" s="17" t="n">
        <v>45738</v>
      </c>
      <c r="C353" s="4" t="n">
        <v>12</v>
      </c>
      <c r="D353" s="4" t="s">
        <v>98</v>
      </c>
      <c r="E353" s="4" t="s">
        <v>74</v>
      </c>
      <c r="F353" s="4" t="s">
        <v>91</v>
      </c>
      <c r="G353" s="4" t="n">
        <v>1</v>
      </c>
      <c r="H353" s="34" t="n">
        <v>200</v>
      </c>
      <c r="I353" s="18" t="n">
        <v>0.05</v>
      </c>
      <c r="J353" s="4" t="s">
        <v>67</v>
      </c>
      <c r="K353" s="4" t="s">
        <v>82</v>
      </c>
      <c r="L353" s="35" t="n">
        <f aca="false">G353*H353</f>
        <v>200</v>
      </c>
      <c r="M353" s="35" t="n">
        <f aca="false">L353*I353</f>
        <v>10</v>
      </c>
      <c r="N353" s="35" t="n">
        <f aca="false">L353-M353</f>
        <v>190</v>
      </c>
      <c r="O353" s="4" t="n">
        <f aca="false">MONTH(B353)</f>
        <v>3</v>
      </c>
      <c r="P353" s="4" t="str">
        <f aca="false">CHOOSE(WEEKDAY(B353,2),"Mon","Tue","Wed","Thu","Fri","Sat","Sun")</f>
        <v>Sat</v>
      </c>
      <c r="Q353" s="4" t="str">
        <f aca="false">IF(WEEKDAY(B353,2)&gt;5,"Weekend","Weekday")</f>
        <v>Weekend</v>
      </c>
      <c r="R353" s="4" t="str">
        <f aca="false">IF(C353&lt;11,"Morning (7-10)",IF(C353&lt;14,"Lunch (11-13)",IF(C353&lt;18,"Afternoon (14-17)","Evening (18-20)")))</f>
        <v>Lunch (11-13)</v>
      </c>
      <c r="S353" s="4" t="str">
        <f aca="false">IF(AND(O353&gt;=3,O353&lt;=5),"Hot Dry (Mar-May)",IF(AND(O353&gt;=6,O353&lt;=11),"Rainy (Jun-Nov)","Cool Dry (Dec-Feb)"))</f>
        <v>Hot Dry (Mar-May)</v>
      </c>
      <c r="T353" s="4" t="str">
        <f aca="false">CHOOSE(O353,"Jan","Feb","Mar","Apr","May","Jun","Jul","Aug","Sep","Oct","Nov","Dec")</f>
        <v>Mar</v>
      </c>
    </row>
    <row r="354" customFormat="false" ht="15" hidden="false" customHeight="false" outlineLevel="0" collapsed="false">
      <c r="A354" s="4" t="s">
        <v>542</v>
      </c>
      <c r="B354" s="17" t="n">
        <v>45738</v>
      </c>
      <c r="C354" s="4" t="n">
        <v>14</v>
      </c>
      <c r="D354" s="4" t="s">
        <v>98</v>
      </c>
      <c r="E354" s="4" t="s">
        <v>79</v>
      </c>
      <c r="F354" s="4" t="s">
        <v>148</v>
      </c>
      <c r="G354" s="4" t="n">
        <v>1</v>
      </c>
      <c r="H354" s="34" t="n">
        <v>120</v>
      </c>
      <c r="I354" s="18" t="n">
        <v>0</v>
      </c>
      <c r="J354" s="4" t="s">
        <v>67</v>
      </c>
      <c r="K354" s="4" t="s">
        <v>77</v>
      </c>
      <c r="L354" s="35" t="n">
        <f aca="false">G354*H354</f>
        <v>120</v>
      </c>
      <c r="M354" s="35" t="n">
        <f aca="false">L354*I354</f>
        <v>0</v>
      </c>
      <c r="N354" s="35" t="n">
        <f aca="false">L354-M354</f>
        <v>120</v>
      </c>
      <c r="O354" s="4" t="n">
        <f aca="false">MONTH(B354)</f>
        <v>3</v>
      </c>
      <c r="P354" s="4" t="str">
        <f aca="false">CHOOSE(WEEKDAY(B354,2),"Mon","Tue","Wed","Thu","Fri","Sat","Sun")</f>
        <v>Sat</v>
      </c>
      <c r="Q354" s="4" t="str">
        <f aca="false">IF(WEEKDAY(B354,2)&gt;5,"Weekend","Weekday")</f>
        <v>Weekend</v>
      </c>
      <c r="R354" s="4" t="str">
        <f aca="false">IF(C354&lt;11,"Morning (7-10)",IF(C354&lt;14,"Lunch (11-13)",IF(C354&lt;18,"Afternoon (14-17)","Evening (18-20)")))</f>
        <v>Afternoon (14-17)</v>
      </c>
      <c r="S354" s="4" t="str">
        <f aca="false">IF(AND(O354&gt;=3,O354&lt;=5),"Hot Dry (Mar-May)",IF(AND(O354&gt;=6,O354&lt;=11),"Rainy (Jun-Nov)","Cool Dry (Dec-Feb)"))</f>
        <v>Hot Dry (Mar-May)</v>
      </c>
      <c r="T354" s="4" t="str">
        <f aca="false">CHOOSE(O354,"Jan","Feb","Mar","Apr","May","Jun","Jul","Aug","Sep","Oct","Nov","Dec")</f>
        <v>Mar</v>
      </c>
    </row>
    <row r="355" customFormat="false" ht="15" hidden="false" customHeight="false" outlineLevel="0" collapsed="false">
      <c r="A355" s="4" t="s">
        <v>543</v>
      </c>
      <c r="B355" s="17" t="n">
        <v>45739</v>
      </c>
      <c r="C355" s="4" t="n">
        <v>12</v>
      </c>
      <c r="D355" s="4" t="s">
        <v>64</v>
      </c>
      <c r="E355" s="4" t="s">
        <v>84</v>
      </c>
      <c r="F355" s="4" t="s">
        <v>106</v>
      </c>
      <c r="G355" s="4" t="n">
        <v>1</v>
      </c>
      <c r="H355" s="34" t="n">
        <v>60</v>
      </c>
      <c r="I355" s="18" t="n">
        <v>0</v>
      </c>
      <c r="J355" s="4" t="s">
        <v>81</v>
      </c>
      <c r="K355" s="4" t="s">
        <v>68</v>
      </c>
      <c r="L355" s="35" t="n">
        <f aca="false">G355*H355</f>
        <v>60</v>
      </c>
      <c r="M355" s="35" t="n">
        <f aca="false">L355*I355</f>
        <v>0</v>
      </c>
      <c r="N355" s="35" t="n">
        <f aca="false">L355-M355</f>
        <v>60</v>
      </c>
      <c r="O355" s="4" t="n">
        <f aca="false">MONTH(B355)</f>
        <v>3</v>
      </c>
      <c r="P355" s="4" t="str">
        <f aca="false">CHOOSE(WEEKDAY(B355,2),"Mon","Tue","Wed","Thu","Fri","Sat","Sun")</f>
        <v>Sun</v>
      </c>
      <c r="Q355" s="4" t="str">
        <f aca="false">IF(WEEKDAY(B355,2)&gt;5,"Weekend","Weekday")</f>
        <v>Weekend</v>
      </c>
      <c r="R355" s="4" t="str">
        <f aca="false">IF(C355&lt;11,"Morning (7-10)",IF(C355&lt;14,"Lunch (11-13)",IF(C355&lt;18,"Afternoon (14-17)","Evening (18-20)")))</f>
        <v>Lunch (11-13)</v>
      </c>
      <c r="S355" s="4" t="str">
        <f aca="false">IF(AND(O355&gt;=3,O355&lt;=5),"Hot Dry (Mar-May)",IF(AND(O355&gt;=6,O355&lt;=11),"Rainy (Jun-Nov)","Cool Dry (Dec-Feb)"))</f>
        <v>Hot Dry (Mar-May)</v>
      </c>
      <c r="T355" s="4" t="str">
        <f aca="false">CHOOSE(O355,"Jan","Feb","Mar","Apr","May","Jun","Jul","Aug","Sep","Oct","Nov","Dec")</f>
        <v>Mar</v>
      </c>
    </row>
    <row r="356" customFormat="false" ht="15" hidden="false" customHeight="false" outlineLevel="0" collapsed="false">
      <c r="A356" s="4" t="s">
        <v>544</v>
      </c>
      <c r="B356" s="17" t="n">
        <v>45739</v>
      </c>
      <c r="C356" s="4" t="n">
        <v>18</v>
      </c>
      <c r="D356" s="4" t="s">
        <v>70</v>
      </c>
      <c r="E356" s="4" t="s">
        <v>99</v>
      </c>
      <c r="F356" s="4" t="s">
        <v>102</v>
      </c>
      <c r="G356" s="4" t="n">
        <v>1</v>
      </c>
      <c r="H356" s="34" t="n">
        <v>140</v>
      </c>
      <c r="I356" s="18" t="n">
        <v>0</v>
      </c>
      <c r="J356" s="4" t="s">
        <v>67</v>
      </c>
      <c r="K356" s="4" t="s">
        <v>68</v>
      </c>
      <c r="L356" s="35" t="n">
        <f aca="false">G356*H356</f>
        <v>140</v>
      </c>
      <c r="M356" s="35" t="n">
        <f aca="false">L356*I356</f>
        <v>0</v>
      </c>
      <c r="N356" s="35" t="n">
        <f aca="false">L356-M356</f>
        <v>140</v>
      </c>
      <c r="O356" s="4" t="n">
        <f aca="false">MONTH(B356)</f>
        <v>3</v>
      </c>
      <c r="P356" s="4" t="str">
        <f aca="false">CHOOSE(WEEKDAY(B356,2),"Mon","Tue","Wed","Thu","Fri","Sat","Sun")</f>
        <v>Sun</v>
      </c>
      <c r="Q356" s="4" t="str">
        <f aca="false">IF(WEEKDAY(B356,2)&gt;5,"Weekend","Weekday")</f>
        <v>Weekend</v>
      </c>
      <c r="R356" s="4" t="str">
        <f aca="false">IF(C356&lt;11,"Morning (7-10)",IF(C356&lt;14,"Lunch (11-13)",IF(C356&lt;18,"Afternoon (14-17)","Evening (18-20)")))</f>
        <v>Evening (18-20)</v>
      </c>
      <c r="S356" s="4" t="str">
        <f aca="false">IF(AND(O356&gt;=3,O356&lt;=5),"Hot Dry (Mar-May)",IF(AND(O356&gt;=6,O356&lt;=11),"Rainy (Jun-Nov)","Cool Dry (Dec-Feb)"))</f>
        <v>Hot Dry (Mar-May)</v>
      </c>
      <c r="T356" s="4" t="str">
        <f aca="false">CHOOSE(O356,"Jan","Feb","Mar","Apr","May","Jun","Jul","Aug","Sep","Oct","Nov","Dec")</f>
        <v>Mar</v>
      </c>
    </row>
    <row r="357" customFormat="false" ht="15" hidden="false" customHeight="false" outlineLevel="0" collapsed="false">
      <c r="A357" s="4" t="s">
        <v>545</v>
      </c>
      <c r="B357" s="17" t="n">
        <v>45740</v>
      </c>
      <c r="C357" s="4" t="n">
        <v>8</v>
      </c>
      <c r="D357" s="4" t="s">
        <v>70</v>
      </c>
      <c r="E357" s="4" t="s">
        <v>79</v>
      </c>
      <c r="F357" s="4" t="s">
        <v>135</v>
      </c>
      <c r="G357" s="4" t="n">
        <v>1</v>
      </c>
      <c r="H357" s="34" t="n">
        <v>130</v>
      </c>
      <c r="I357" s="18" t="n">
        <v>0</v>
      </c>
      <c r="J357" s="4" t="s">
        <v>76</v>
      </c>
      <c r="K357" s="4" t="s">
        <v>68</v>
      </c>
      <c r="L357" s="35" t="n">
        <f aca="false">G357*H357</f>
        <v>130</v>
      </c>
      <c r="M357" s="35" t="n">
        <f aca="false">L357*I357</f>
        <v>0</v>
      </c>
      <c r="N357" s="35" t="n">
        <f aca="false">L357-M357</f>
        <v>130</v>
      </c>
      <c r="O357" s="4" t="n">
        <f aca="false">MONTH(B357)</f>
        <v>3</v>
      </c>
      <c r="P357" s="4" t="str">
        <f aca="false">CHOOSE(WEEKDAY(B357,2),"Mon","Tue","Wed","Thu","Fri","Sat","Sun")</f>
        <v>Mon</v>
      </c>
      <c r="Q357" s="4" t="str">
        <f aca="false">IF(WEEKDAY(B357,2)&gt;5,"Weekend","Weekday")</f>
        <v>Weekday</v>
      </c>
      <c r="R357" s="4" t="str">
        <f aca="false">IF(C357&lt;11,"Morning (7-10)",IF(C357&lt;14,"Lunch (11-13)",IF(C357&lt;18,"Afternoon (14-17)","Evening (18-20)")))</f>
        <v>Morning (7-10)</v>
      </c>
      <c r="S357" s="4" t="str">
        <f aca="false">IF(AND(O357&gt;=3,O357&lt;=5),"Hot Dry (Mar-May)",IF(AND(O357&gt;=6,O357&lt;=11),"Rainy (Jun-Nov)","Cool Dry (Dec-Feb)"))</f>
        <v>Hot Dry (Mar-May)</v>
      </c>
      <c r="T357" s="4" t="str">
        <f aca="false">CHOOSE(O357,"Jan","Feb","Mar","Apr","May","Jun","Jul","Aug","Sep","Oct","Nov","Dec")</f>
        <v>Mar</v>
      </c>
    </row>
    <row r="358" customFormat="false" ht="15" hidden="false" customHeight="false" outlineLevel="0" collapsed="false">
      <c r="A358" s="4" t="s">
        <v>546</v>
      </c>
      <c r="B358" s="17" t="n">
        <v>45740</v>
      </c>
      <c r="C358" s="4" t="n">
        <v>13</v>
      </c>
      <c r="D358" s="4" t="s">
        <v>70</v>
      </c>
      <c r="E358" s="4" t="s">
        <v>74</v>
      </c>
      <c r="F358" s="4" t="s">
        <v>75</v>
      </c>
      <c r="G358" s="4" t="n">
        <v>1</v>
      </c>
      <c r="H358" s="34" t="n">
        <v>220</v>
      </c>
      <c r="I358" s="18" t="n">
        <v>0.05</v>
      </c>
      <c r="J358" s="4" t="s">
        <v>67</v>
      </c>
      <c r="K358" s="4" t="s">
        <v>82</v>
      </c>
      <c r="L358" s="35" t="n">
        <f aca="false">G358*H358</f>
        <v>220</v>
      </c>
      <c r="M358" s="35" t="n">
        <f aca="false">L358*I358</f>
        <v>11</v>
      </c>
      <c r="N358" s="35" t="n">
        <f aca="false">L358-M358</f>
        <v>209</v>
      </c>
      <c r="O358" s="4" t="n">
        <f aca="false">MONTH(B358)</f>
        <v>3</v>
      </c>
      <c r="P358" s="4" t="str">
        <f aca="false">CHOOSE(WEEKDAY(B358,2),"Mon","Tue","Wed","Thu","Fri","Sat","Sun")</f>
        <v>Mon</v>
      </c>
      <c r="Q358" s="4" t="str">
        <f aca="false">IF(WEEKDAY(B358,2)&gt;5,"Weekend","Weekday")</f>
        <v>Weekday</v>
      </c>
      <c r="R358" s="4" t="str">
        <f aca="false">IF(C358&lt;11,"Morning (7-10)",IF(C358&lt;14,"Lunch (11-13)",IF(C358&lt;18,"Afternoon (14-17)","Evening (18-20)")))</f>
        <v>Lunch (11-13)</v>
      </c>
      <c r="S358" s="4" t="str">
        <f aca="false">IF(AND(O358&gt;=3,O358&lt;=5),"Hot Dry (Mar-May)",IF(AND(O358&gt;=6,O358&lt;=11),"Rainy (Jun-Nov)","Cool Dry (Dec-Feb)"))</f>
        <v>Hot Dry (Mar-May)</v>
      </c>
      <c r="T358" s="4" t="str">
        <f aca="false">CHOOSE(O358,"Jan","Feb","Mar","Apr","May","Jun","Jul","Aug","Sep","Oct","Nov","Dec")</f>
        <v>Mar</v>
      </c>
    </row>
    <row r="359" customFormat="false" ht="15" hidden="false" customHeight="false" outlineLevel="0" collapsed="false">
      <c r="A359" s="4" t="s">
        <v>548</v>
      </c>
      <c r="B359" s="17" t="n">
        <v>45740</v>
      </c>
      <c r="C359" s="4" t="n">
        <v>16</v>
      </c>
      <c r="D359" s="4" t="s">
        <v>73</v>
      </c>
      <c r="E359" s="4" t="s">
        <v>99</v>
      </c>
      <c r="F359" s="4" t="s">
        <v>133</v>
      </c>
      <c r="G359" s="4" t="n">
        <v>1</v>
      </c>
      <c r="H359" s="34" t="n">
        <v>90</v>
      </c>
      <c r="I359" s="18" t="n">
        <v>0</v>
      </c>
      <c r="J359" s="4" t="s">
        <v>88</v>
      </c>
      <c r="K359" s="4" t="s">
        <v>77</v>
      </c>
      <c r="L359" s="35" t="n">
        <f aca="false">G359*H359</f>
        <v>90</v>
      </c>
      <c r="M359" s="35" t="n">
        <f aca="false">L359*I359</f>
        <v>0</v>
      </c>
      <c r="N359" s="35" t="n">
        <f aca="false">L359-M359</f>
        <v>90</v>
      </c>
      <c r="O359" s="4" t="n">
        <f aca="false">MONTH(B359)</f>
        <v>3</v>
      </c>
      <c r="P359" s="4" t="str">
        <f aca="false">CHOOSE(WEEKDAY(B359,2),"Mon","Tue","Wed","Thu","Fri","Sat","Sun")</f>
        <v>Mon</v>
      </c>
      <c r="Q359" s="4" t="str">
        <f aca="false">IF(WEEKDAY(B359,2)&gt;5,"Weekend","Weekday")</f>
        <v>Weekday</v>
      </c>
      <c r="R359" s="4" t="str">
        <f aca="false">IF(C359&lt;11,"Morning (7-10)",IF(C359&lt;14,"Lunch (11-13)",IF(C359&lt;18,"Afternoon (14-17)","Evening (18-20)")))</f>
        <v>Afternoon (14-17)</v>
      </c>
      <c r="S359" s="4" t="str">
        <f aca="false">IF(AND(O359&gt;=3,O359&lt;=5),"Hot Dry (Mar-May)",IF(AND(O359&gt;=6,O359&lt;=11),"Rainy (Jun-Nov)","Cool Dry (Dec-Feb)"))</f>
        <v>Hot Dry (Mar-May)</v>
      </c>
      <c r="T359" s="4" t="str">
        <f aca="false">CHOOSE(O359,"Jan","Feb","Mar","Apr","May","Jun","Jul","Aug","Sep","Oct","Nov","Dec")</f>
        <v>Mar</v>
      </c>
    </row>
    <row r="360" customFormat="false" ht="15" hidden="false" customHeight="false" outlineLevel="0" collapsed="false">
      <c r="A360" s="4" t="s">
        <v>549</v>
      </c>
      <c r="B360" s="17" t="n">
        <v>45740</v>
      </c>
      <c r="C360" s="4" t="n">
        <v>16</v>
      </c>
      <c r="D360" s="4" t="s">
        <v>70</v>
      </c>
      <c r="E360" s="4" t="s">
        <v>65</v>
      </c>
      <c r="F360" s="4" t="s">
        <v>121</v>
      </c>
      <c r="G360" s="4" t="n">
        <v>2</v>
      </c>
      <c r="H360" s="34" t="n">
        <v>170</v>
      </c>
      <c r="I360" s="18" t="n">
        <v>0.05</v>
      </c>
      <c r="J360" s="4" t="s">
        <v>67</v>
      </c>
      <c r="K360" s="4" t="s">
        <v>82</v>
      </c>
      <c r="L360" s="35" t="n">
        <f aca="false">G360*H360</f>
        <v>340</v>
      </c>
      <c r="M360" s="35" t="n">
        <f aca="false">L360*I360</f>
        <v>17</v>
      </c>
      <c r="N360" s="35" t="n">
        <f aca="false">L360-M360</f>
        <v>323</v>
      </c>
      <c r="O360" s="4" t="n">
        <f aca="false">MONTH(B360)</f>
        <v>3</v>
      </c>
      <c r="P360" s="4" t="str">
        <f aca="false">CHOOSE(WEEKDAY(B360,2),"Mon","Tue","Wed","Thu","Fri","Sat","Sun")</f>
        <v>Mon</v>
      </c>
      <c r="Q360" s="4" t="str">
        <f aca="false">IF(WEEKDAY(B360,2)&gt;5,"Weekend","Weekday")</f>
        <v>Weekday</v>
      </c>
      <c r="R360" s="4" t="str">
        <f aca="false">IF(C360&lt;11,"Morning (7-10)",IF(C360&lt;14,"Lunch (11-13)",IF(C360&lt;18,"Afternoon (14-17)","Evening (18-20)")))</f>
        <v>Afternoon (14-17)</v>
      </c>
      <c r="S360" s="4" t="str">
        <f aca="false">IF(AND(O360&gt;=3,O360&lt;=5),"Hot Dry (Mar-May)",IF(AND(O360&gt;=6,O360&lt;=11),"Rainy (Jun-Nov)","Cool Dry (Dec-Feb)"))</f>
        <v>Hot Dry (Mar-May)</v>
      </c>
      <c r="T360" s="4" t="str">
        <f aca="false">CHOOSE(O360,"Jan","Feb","Mar","Apr","May","Jun","Jul","Aug","Sep","Oct","Nov","Dec")</f>
        <v>Mar</v>
      </c>
    </row>
    <row r="361" customFormat="false" ht="15" hidden="false" customHeight="false" outlineLevel="0" collapsed="false">
      <c r="A361" s="4" t="s">
        <v>550</v>
      </c>
      <c r="B361" s="17" t="n">
        <v>45740</v>
      </c>
      <c r="C361" s="4" t="n">
        <v>18</v>
      </c>
      <c r="D361" s="4" t="s">
        <v>70</v>
      </c>
      <c r="E361" s="4" t="s">
        <v>65</v>
      </c>
      <c r="F361" s="4" t="s">
        <v>66</v>
      </c>
      <c r="G361" s="4" t="n">
        <v>1</v>
      </c>
      <c r="H361" s="34" t="n">
        <v>120</v>
      </c>
      <c r="I361" s="18" t="n">
        <v>0.05</v>
      </c>
      <c r="J361" s="4" t="s">
        <v>76</v>
      </c>
      <c r="K361" s="4" t="s">
        <v>82</v>
      </c>
      <c r="L361" s="35" t="n">
        <f aca="false">G361*H361</f>
        <v>120</v>
      </c>
      <c r="M361" s="35" t="n">
        <f aca="false">L361*I361</f>
        <v>6</v>
      </c>
      <c r="N361" s="35" t="n">
        <f aca="false">L361-M361</f>
        <v>114</v>
      </c>
      <c r="O361" s="4" t="n">
        <f aca="false">MONTH(B361)</f>
        <v>3</v>
      </c>
      <c r="P361" s="4" t="str">
        <f aca="false">CHOOSE(WEEKDAY(B361,2),"Mon","Tue","Wed","Thu","Fri","Sat","Sun")</f>
        <v>Mon</v>
      </c>
      <c r="Q361" s="4" t="str">
        <f aca="false">IF(WEEKDAY(B361,2)&gt;5,"Weekend","Weekday")</f>
        <v>Weekday</v>
      </c>
      <c r="R361" s="4" t="str">
        <f aca="false">IF(C361&lt;11,"Morning (7-10)",IF(C361&lt;14,"Lunch (11-13)",IF(C361&lt;18,"Afternoon (14-17)","Evening (18-20)")))</f>
        <v>Evening (18-20)</v>
      </c>
      <c r="S361" s="4" t="str">
        <f aca="false">IF(AND(O361&gt;=3,O361&lt;=5),"Hot Dry (Mar-May)",IF(AND(O361&gt;=6,O361&lt;=11),"Rainy (Jun-Nov)","Cool Dry (Dec-Feb)"))</f>
        <v>Hot Dry (Mar-May)</v>
      </c>
      <c r="T361" s="4" t="str">
        <f aca="false">CHOOSE(O361,"Jan","Feb","Mar","Apr","May","Jun","Jul","Aug","Sep","Oct","Nov","Dec")</f>
        <v>Mar</v>
      </c>
    </row>
    <row r="362" customFormat="false" ht="15" hidden="false" customHeight="false" outlineLevel="0" collapsed="false">
      <c r="A362" s="4" t="s">
        <v>551</v>
      </c>
      <c r="B362" s="17" t="n">
        <v>45741</v>
      </c>
      <c r="C362" s="4" t="n">
        <v>7</v>
      </c>
      <c r="D362" s="4" t="s">
        <v>70</v>
      </c>
      <c r="E362" s="4" t="s">
        <v>84</v>
      </c>
      <c r="F362" s="4" t="s">
        <v>114</v>
      </c>
      <c r="G362" s="4" t="n">
        <v>3</v>
      </c>
      <c r="H362" s="34" t="n">
        <v>85</v>
      </c>
      <c r="I362" s="18" t="n">
        <v>0.1</v>
      </c>
      <c r="J362" s="4" t="s">
        <v>81</v>
      </c>
      <c r="K362" s="4" t="s">
        <v>71</v>
      </c>
      <c r="L362" s="35" t="n">
        <f aca="false">G362*H362</f>
        <v>255</v>
      </c>
      <c r="M362" s="35" t="n">
        <f aca="false">L362*I362</f>
        <v>25.5</v>
      </c>
      <c r="N362" s="35" t="n">
        <f aca="false">L362-M362</f>
        <v>229.5</v>
      </c>
      <c r="O362" s="4" t="n">
        <f aca="false">MONTH(B362)</f>
        <v>3</v>
      </c>
      <c r="P362" s="4" t="str">
        <f aca="false">CHOOSE(WEEKDAY(B362,2),"Mon","Tue","Wed","Thu","Fri","Sat","Sun")</f>
        <v>Tue</v>
      </c>
      <c r="Q362" s="4" t="str">
        <f aca="false">IF(WEEKDAY(B362,2)&gt;5,"Weekend","Weekday")</f>
        <v>Weekday</v>
      </c>
      <c r="R362" s="4" t="str">
        <f aca="false">IF(C362&lt;11,"Morning (7-10)",IF(C362&lt;14,"Lunch (11-13)",IF(C362&lt;18,"Afternoon (14-17)","Evening (18-20)")))</f>
        <v>Morning (7-10)</v>
      </c>
      <c r="S362" s="4" t="str">
        <f aca="false">IF(AND(O362&gt;=3,O362&lt;=5),"Hot Dry (Mar-May)",IF(AND(O362&gt;=6,O362&lt;=11),"Rainy (Jun-Nov)","Cool Dry (Dec-Feb)"))</f>
        <v>Hot Dry (Mar-May)</v>
      </c>
      <c r="T362" s="4" t="str">
        <f aca="false">CHOOSE(O362,"Jan","Feb","Mar","Apr","May","Jun","Jul","Aug","Sep","Oct","Nov","Dec")</f>
        <v>Mar</v>
      </c>
    </row>
    <row r="363" customFormat="false" ht="15" hidden="false" customHeight="false" outlineLevel="0" collapsed="false">
      <c r="A363" s="4" t="s">
        <v>552</v>
      </c>
      <c r="B363" s="17" t="n">
        <v>45741</v>
      </c>
      <c r="C363" s="4" t="n">
        <v>7</v>
      </c>
      <c r="D363" s="4" t="s">
        <v>98</v>
      </c>
      <c r="E363" s="4" t="s">
        <v>65</v>
      </c>
      <c r="F363" s="4" t="s">
        <v>121</v>
      </c>
      <c r="G363" s="4" t="n">
        <v>4</v>
      </c>
      <c r="H363" s="34" t="n">
        <v>170</v>
      </c>
      <c r="I363" s="18" t="n">
        <v>0.2</v>
      </c>
      <c r="J363" s="4" t="s">
        <v>2289</v>
      </c>
      <c r="K363" s="4" t="s">
        <v>68</v>
      </c>
      <c r="L363" s="35" t="n">
        <f aca="false">G363*H363</f>
        <v>680</v>
      </c>
      <c r="M363" s="35" t="n">
        <f aca="false">L363*I363</f>
        <v>136</v>
      </c>
      <c r="N363" s="35" t="n">
        <f aca="false">L363-M363</f>
        <v>544</v>
      </c>
      <c r="O363" s="4" t="n">
        <f aca="false">MONTH(B363)</f>
        <v>3</v>
      </c>
      <c r="P363" s="4" t="str">
        <f aca="false">CHOOSE(WEEKDAY(B363,2),"Mon","Tue","Wed","Thu","Fri","Sat","Sun")</f>
        <v>Tue</v>
      </c>
      <c r="Q363" s="4" t="str">
        <f aca="false">IF(WEEKDAY(B363,2)&gt;5,"Weekend","Weekday")</f>
        <v>Weekday</v>
      </c>
      <c r="R363" s="4" t="str">
        <f aca="false">IF(C363&lt;11,"Morning (7-10)",IF(C363&lt;14,"Lunch (11-13)",IF(C363&lt;18,"Afternoon (14-17)","Evening (18-20)")))</f>
        <v>Morning (7-10)</v>
      </c>
      <c r="S363" s="4" t="str">
        <f aca="false">IF(AND(O363&gt;=3,O363&lt;=5),"Hot Dry (Mar-May)",IF(AND(O363&gt;=6,O363&lt;=11),"Rainy (Jun-Nov)","Cool Dry (Dec-Feb)"))</f>
        <v>Hot Dry (Mar-May)</v>
      </c>
      <c r="T363" s="4" t="str">
        <f aca="false">CHOOSE(O363,"Jan","Feb","Mar","Apr","May","Jun","Jul","Aug","Sep","Oct","Nov","Dec")</f>
        <v>Mar</v>
      </c>
    </row>
    <row r="364" customFormat="false" ht="15" hidden="false" customHeight="false" outlineLevel="0" collapsed="false">
      <c r="A364" s="4" t="s">
        <v>554</v>
      </c>
      <c r="B364" s="17" t="n">
        <v>45741</v>
      </c>
      <c r="C364" s="4" t="n">
        <v>9</v>
      </c>
      <c r="D364" s="4" t="s">
        <v>98</v>
      </c>
      <c r="E364" s="4" t="s">
        <v>65</v>
      </c>
      <c r="F364" s="4" t="s">
        <v>87</v>
      </c>
      <c r="G364" s="4" t="n">
        <v>1</v>
      </c>
      <c r="H364" s="34" t="n">
        <v>160</v>
      </c>
      <c r="I364" s="18" t="n">
        <v>0</v>
      </c>
      <c r="J364" s="4" t="s">
        <v>81</v>
      </c>
      <c r="K364" s="4" t="s">
        <v>68</v>
      </c>
      <c r="L364" s="35" t="n">
        <f aca="false">G364*H364</f>
        <v>160</v>
      </c>
      <c r="M364" s="35" t="n">
        <f aca="false">L364*I364</f>
        <v>0</v>
      </c>
      <c r="N364" s="35" t="n">
        <f aca="false">L364-M364</f>
        <v>160</v>
      </c>
      <c r="O364" s="4" t="n">
        <f aca="false">MONTH(B364)</f>
        <v>3</v>
      </c>
      <c r="P364" s="4" t="str">
        <f aca="false">CHOOSE(WEEKDAY(B364,2),"Mon","Tue","Wed","Thu","Fri","Sat","Sun")</f>
        <v>Tue</v>
      </c>
      <c r="Q364" s="4" t="str">
        <f aca="false">IF(WEEKDAY(B364,2)&gt;5,"Weekend","Weekday")</f>
        <v>Weekday</v>
      </c>
      <c r="R364" s="4" t="str">
        <f aca="false">IF(C364&lt;11,"Morning (7-10)",IF(C364&lt;14,"Lunch (11-13)",IF(C364&lt;18,"Afternoon (14-17)","Evening (18-20)")))</f>
        <v>Morning (7-10)</v>
      </c>
      <c r="S364" s="4" t="str">
        <f aca="false">IF(AND(O364&gt;=3,O364&lt;=5),"Hot Dry (Mar-May)",IF(AND(O364&gt;=6,O364&lt;=11),"Rainy (Jun-Nov)","Cool Dry (Dec-Feb)"))</f>
        <v>Hot Dry (Mar-May)</v>
      </c>
      <c r="T364" s="4" t="str">
        <f aca="false">CHOOSE(O364,"Jan","Feb","Mar","Apr","May","Jun","Jul","Aug","Sep","Oct","Nov","Dec")</f>
        <v>Mar</v>
      </c>
    </row>
    <row r="365" customFormat="false" ht="15" hidden="false" customHeight="false" outlineLevel="0" collapsed="false">
      <c r="A365" s="4" t="s">
        <v>556</v>
      </c>
      <c r="B365" s="17" t="n">
        <v>45741</v>
      </c>
      <c r="C365" s="4" t="n">
        <v>11</v>
      </c>
      <c r="D365" s="4" t="s">
        <v>64</v>
      </c>
      <c r="E365" s="4" t="s">
        <v>99</v>
      </c>
      <c r="F365" s="4" t="s">
        <v>100</v>
      </c>
      <c r="G365" s="4" t="n">
        <v>1</v>
      </c>
      <c r="H365" s="34" t="n">
        <v>110</v>
      </c>
      <c r="I365" s="18" t="n">
        <v>0</v>
      </c>
      <c r="J365" s="4" t="s">
        <v>81</v>
      </c>
      <c r="K365" s="4" t="s">
        <v>77</v>
      </c>
      <c r="L365" s="35" t="n">
        <f aca="false">G365*H365</f>
        <v>110</v>
      </c>
      <c r="M365" s="35" t="n">
        <f aca="false">L365*I365</f>
        <v>0</v>
      </c>
      <c r="N365" s="35" t="n">
        <f aca="false">L365-M365</f>
        <v>110</v>
      </c>
      <c r="O365" s="4" t="n">
        <f aca="false">MONTH(B365)</f>
        <v>3</v>
      </c>
      <c r="P365" s="4" t="str">
        <f aca="false">CHOOSE(WEEKDAY(B365,2),"Mon","Tue","Wed","Thu","Fri","Sat","Sun")</f>
        <v>Tue</v>
      </c>
      <c r="Q365" s="4" t="str">
        <f aca="false">IF(WEEKDAY(B365,2)&gt;5,"Weekend","Weekday")</f>
        <v>Weekday</v>
      </c>
      <c r="R365" s="4" t="str">
        <f aca="false">IF(C365&lt;11,"Morning (7-10)",IF(C365&lt;14,"Lunch (11-13)",IF(C365&lt;18,"Afternoon (14-17)","Evening (18-20)")))</f>
        <v>Lunch (11-13)</v>
      </c>
      <c r="S365" s="4" t="str">
        <f aca="false">IF(AND(O365&gt;=3,O365&lt;=5),"Hot Dry (Mar-May)",IF(AND(O365&gt;=6,O365&lt;=11),"Rainy (Jun-Nov)","Cool Dry (Dec-Feb)"))</f>
        <v>Hot Dry (Mar-May)</v>
      </c>
      <c r="T365" s="4" t="str">
        <f aca="false">CHOOSE(O365,"Jan","Feb","Mar","Apr","May","Jun","Jul","Aug","Sep","Oct","Nov","Dec")</f>
        <v>Mar</v>
      </c>
    </row>
    <row r="366" customFormat="false" ht="15" hidden="false" customHeight="false" outlineLevel="0" collapsed="false">
      <c r="A366" s="4" t="s">
        <v>557</v>
      </c>
      <c r="B366" s="17" t="n">
        <v>45741</v>
      </c>
      <c r="C366" s="4" t="n">
        <v>14</v>
      </c>
      <c r="D366" s="4" t="s">
        <v>64</v>
      </c>
      <c r="E366" s="4" t="s">
        <v>84</v>
      </c>
      <c r="F366" s="4" t="s">
        <v>117</v>
      </c>
      <c r="G366" s="4" t="n">
        <v>2</v>
      </c>
      <c r="H366" s="34" t="n">
        <v>95</v>
      </c>
      <c r="I366" s="18" t="n">
        <v>0</v>
      </c>
      <c r="J366" s="4" t="s">
        <v>76</v>
      </c>
      <c r="K366" s="4" t="s">
        <v>68</v>
      </c>
      <c r="L366" s="35" t="n">
        <f aca="false">G366*H366</f>
        <v>190</v>
      </c>
      <c r="M366" s="35" t="n">
        <f aca="false">L366*I366</f>
        <v>0</v>
      </c>
      <c r="N366" s="35" t="n">
        <f aca="false">L366-M366</f>
        <v>190</v>
      </c>
      <c r="O366" s="4" t="n">
        <f aca="false">MONTH(B366)</f>
        <v>3</v>
      </c>
      <c r="P366" s="4" t="str">
        <f aca="false">CHOOSE(WEEKDAY(B366,2),"Mon","Tue","Wed","Thu","Fri","Sat","Sun")</f>
        <v>Tue</v>
      </c>
      <c r="Q366" s="4" t="str">
        <f aca="false">IF(WEEKDAY(B366,2)&gt;5,"Weekend","Weekday")</f>
        <v>Weekday</v>
      </c>
      <c r="R366" s="4" t="str">
        <f aca="false">IF(C366&lt;11,"Morning (7-10)",IF(C366&lt;14,"Lunch (11-13)",IF(C366&lt;18,"Afternoon (14-17)","Evening (18-20)")))</f>
        <v>Afternoon (14-17)</v>
      </c>
      <c r="S366" s="4" t="str">
        <f aca="false">IF(AND(O366&gt;=3,O366&lt;=5),"Hot Dry (Mar-May)",IF(AND(O366&gt;=6,O366&lt;=11),"Rainy (Jun-Nov)","Cool Dry (Dec-Feb)"))</f>
        <v>Hot Dry (Mar-May)</v>
      </c>
      <c r="T366" s="4" t="str">
        <f aca="false">CHOOSE(O366,"Jan","Feb","Mar","Apr","May","Jun","Jul","Aug","Sep","Oct","Nov","Dec")</f>
        <v>Mar</v>
      </c>
    </row>
    <row r="367" customFormat="false" ht="15" hidden="false" customHeight="false" outlineLevel="0" collapsed="false">
      <c r="A367" s="4" t="s">
        <v>558</v>
      </c>
      <c r="B367" s="17" t="n">
        <v>45741</v>
      </c>
      <c r="C367" s="4" t="n">
        <v>14</v>
      </c>
      <c r="D367" s="4" t="s">
        <v>70</v>
      </c>
      <c r="E367" s="4" t="s">
        <v>99</v>
      </c>
      <c r="F367" s="4" t="s">
        <v>102</v>
      </c>
      <c r="G367" s="4" t="n">
        <v>1</v>
      </c>
      <c r="H367" s="34" t="n">
        <v>140</v>
      </c>
      <c r="I367" s="18" t="n">
        <v>0</v>
      </c>
      <c r="J367" s="4" t="s">
        <v>67</v>
      </c>
      <c r="K367" s="4" t="s">
        <v>77</v>
      </c>
      <c r="L367" s="35" t="n">
        <f aca="false">G367*H367</f>
        <v>140</v>
      </c>
      <c r="M367" s="35" t="n">
        <f aca="false">L367*I367</f>
        <v>0</v>
      </c>
      <c r="N367" s="35" t="n">
        <f aca="false">L367-M367</f>
        <v>140</v>
      </c>
      <c r="O367" s="4" t="n">
        <f aca="false">MONTH(B367)</f>
        <v>3</v>
      </c>
      <c r="P367" s="4" t="str">
        <f aca="false">CHOOSE(WEEKDAY(B367,2),"Mon","Tue","Wed","Thu","Fri","Sat","Sun")</f>
        <v>Tue</v>
      </c>
      <c r="Q367" s="4" t="str">
        <f aca="false">IF(WEEKDAY(B367,2)&gt;5,"Weekend","Weekday")</f>
        <v>Weekday</v>
      </c>
      <c r="R367" s="4" t="str">
        <f aca="false">IF(C367&lt;11,"Morning (7-10)",IF(C367&lt;14,"Lunch (11-13)",IF(C367&lt;18,"Afternoon (14-17)","Evening (18-20)")))</f>
        <v>Afternoon (14-17)</v>
      </c>
      <c r="S367" s="4" t="str">
        <f aca="false">IF(AND(O367&gt;=3,O367&lt;=5),"Hot Dry (Mar-May)",IF(AND(O367&gt;=6,O367&lt;=11),"Rainy (Jun-Nov)","Cool Dry (Dec-Feb)"))</f>
        <v>Hot Dry (Mar-May)</v>
      </c>
      <c r="T367" s="4" t="str">
        <f aca="false">CHOOSE(O367,"Jan","Feb","Mar","Apr","May","Jun","Jul","Aug","Sep","Oct","Nov","Dec")</f>
        <v>Mar</v>
      </c>
    </row>
    <row r="368" customFormat="false" ht="15" hidden="false" customHeight="false" outlineLevel="0" collapsed="false">
      <c r="A368" s="4" t="s">
        <v>559</v>
      </c>
      <c r="B368" s="17" t="n">
        <v>45741</v>
      </c>
      <c r="C368" s="4" t="n">
        <v>15</v>
      </c>
      <c r="D368" s="4" t="s">
        <v>70</v>
      </c>
      <c r="E368" s="4" t="s">
        <v>65</v>
      </c>
      <c r="F368" s="4" t="s">
        <v>94</v>
      </c>
      <c r="G368" s="4" t="n">
        <v>2</v>
      </c>
      <c r="H368" s="34" t="n">
        <v>150</v>
      </c>
      <c r="I368" s="18" t="n">
        <v>0.15</v>
      </c>
      <c r="J368" s="4" t="s">
        <v>67</v>
      </c>
      <c r="K368" s="4" t="s">
        <v>68</v>
      </c>
      <c r="L368" s="35" t="n">
        <f aca="false">G368*H368</f>
        <v>300</v>
      </c>
      <c r="M368" s="35" t="n">
        <f aca="false">L368*I368</f>
        <v>45</v>
      </c>
      <c r="N368" s="35" t="n">
        <f aca="false">L368-M368</f>
        <v>255</v>
      </c>
      <c r="O368" s="4" t="n">
        <f aca="false">MONTH(B368)</f>
        <v>3</v>
      </c>
      <c r="P368" s="4" t="str">
        <f aca="false">CHOOSE(WEEKDAY(B368,2),"Mon","Tue","Wed","Thu","Fri","Sat","Sun")</f>
        <v>Tue</v>
      </c>
      <c r="Q368" s="4" t="str">
        <f aca="false">IF(WEEKDAY(B368,2)&gt;5,"Weekend","Weekday")</f>
        <v>Weekday</v>
      </c>
      <c r="R368" s="4" t="str">
        <f aca="false">IF(C368&lt;11,"Morning (7-10)",IF(C368&lt;14,"Lunch (11-13)",IF(C368&lt;18,"Afternoon (14-17)","Evening (18-20)")))</f>
        <v>Afternoon (14-17)</v>
      </c>
      <c r="S368" s="4" t="str">
        <f aca="false">IF(AND(O368&gt;=3,O368&lt;=5),"Hot Dry (Mar-May)",IF(AND(O368&gt;=6,O368&lt;=11),"Rainy (Jun-Nov)","Cool Dry (Dec-Feb)"))</f>
        <v>Hot Dry (Mar-May)</v>
      </c>
      <c r="T368" s="4" t="str">
        <f aca="false">CHOOSE(O368,"Jan","Feb","Mar","Apr","May","Jun","Jul","Aug","Sep","Oct","Nov","Dec")</f>
        <v>Mar</v>
      </c>
    </row>
    <row r="369" customFormat="false" ht="15" hidden="false" customHeight="false" outlineLevel="0" collapsed="false">
      <c r="A369" s="4" t="s">
        <v>560</v>
      </c>
      <c r="B369" s="17" t="n">
        <v>45741</v>
      </c>
      <c r="C369" s="4" t="n">
        <v>17</v>
      </c>
      <c r="D369" s="4" t="s">
        <v>64</v>
      </c>
      <c r="E369" s="4" t="s">
        <v>84</v>
      </c>
      <c r="F369" s="4" t="s">
        <v>85</v>
      </c>
      <c r="G369" s="4" t="n">
        <v>1</v>
      </c>
      <c r="H369" s="34" t="n">
        <v>150</v>
      </c>
      <c r="I369" s="18" t="n">
        <v>0</v>
      </c>
      <c r="J369" s="4" t="s">
        <v>81</v>
      </c>
      <c r="K369" s="4" t="s">
        <v>77</v>
      </c>
      <c r="L369" s="35" t="n">
        <f aca="false">G369*H369</f>
        <v>150</v>
      </c>
      <c r="M369" s="35" t="n">
        <f aca="false">L369*I369</f>
        <v>0</v>
      </c>
      <c r="N369" s="35" t="n">
        <f aca="false">L369-M369</f>
        <v>150</v>
      </c>
      <c r="O369" s="4" t="n">
        <f aca="false">MONTH(B369)</f>
        <v>3</v>
      </c>
      <c r="P369" s="4" t="str">
        <f aca="false">CHOOSE(WEEKDAY(B369,2),"Mon","Tue","Wed","Thu","Fri","Sat","Sun")</f>
        <v>Tue</v>
      </c>
      <c r="Q369" s="4" t="str">
        <f aca="false">IF(WEEKDAY(B369,2)&gt;5,"Weekend","Weekday")</f>
        <v>Weekday</v>
      </c>
      <c r="R369" s="4" t="str">
        <f aca="false">IF(C369&lt;11,"Morning (7-10)",IF(C369&lt;14,"Lunch (11-13)",IF(C369&lt;18,"Afternoon (14-17)","Evening (18-20)")))</f>
        <v>Afternoon (14-17)</v>
      </c>
      <c r="S369" s="4" t="str">
        <f aca="false">IF(AND(O369&gt;=3,O369&lt;=5),"Hot Dry (Mar-May)",IF(AND(O369&gt;=6,O369&lt;=11),"Rainy (Jun-Nov)","Cool Dry (Dec-Feb)"))</f>
        <v>Hot Dry (Mar-May)</v>
      </c>
      <c r="T369" s="4" t="str">
        <f aca="false">CHOOSE(O369,"Jan","Feb","Mar","Apr","May","Jun","Jul","Aug","Sep","Oct","Nov","Dec")</f>
        <v>Mar</v>
      </c>
    </row>
    <row r="370" customFormat="false" ht="15" hidden="false" customHeight="false" outlineLevel="0" collapsed="false">
      <c r="A370" s="4" t="s">
        <v>561</v>
      </c>
      <c r="B370" s="17" t="n">
        <v>45742</v>
      </c>
      <c r="C370" s="4" t="n">
        <v>7</v>
      </c>
      <c r="D370" s="4" t="s">
        <v>73</v>
      </c>
      <c r="E370" s="4" t="s">
        <v>79</v>
      </c>
      <c r="F370" s="4" t="s">
        <v>135</v>
      </c>
      <c r="G370" s="4" t="n">
        <v>1</v>
      </c>
      <c r="H370" s="34" t="n">
        <v>130</v>
      </c>
      <c r="I370" s="18" t="n">
        <v>0</v>
      </c>
      <c r="J370" s="4" t="s">
        <v>67</v>
      </c>
      <c r="K370" s="4" t="s">
        <v>68</v>
      </c>
      <c r="L370" s="35" t="n">
        <f aca="false">G370*H370</f>
        <v>130</v>
      </c>
      <c r="M370" s="35" t="n">
        <f aca="false">L370*I370</f>
        <v>0</v>
      </c>
      <c r="N370" s="35" t="n">
        <f aca="false">L370-M370</f>
        <v>130</v>
      </c>
      <c r="O370" s="4" t="n">
        <f aca="false">MONTH(B370)</f>
        <v>3</v>
      </c>
      <c r="P370" s="4" t="str">
        <f aca="false">CHOOSE(WEEKDAY(B370,2),"Mon","Tue","Wed","Thu","Fri","Sat","Sun")</f>
        <v>Wed</v>
      </c>
      <c r="Q370" s="4" t="str">
        <f aca="false">IF(WEEKDAY(B370,2)&gt;5,"Weekend","Weekday")</f>
        <v>Weekday</v>
      </c>
      <c r="R370" s="4" t="str">
        <f aca="false">IF(C370&lt;11,"Morning (7-10)",IF(C370&lt;14,"Lunch (11-13)",IF(C370&lt;18,"Afternoon (14-17)","Evening (18-20)")))</f>
        <v>Morning (7-10)</v>
      </c>
      <c r="S370" s="4" t="str">
        <f aca="false">IF(AND(O370&gt;=3,O370&lt;=5),"Hot Dry (Mar-May)",IF(AND(O370&gt;=6,O370&lt;=11),"Rainy (Jun-Nov)","Cool Dry (Dec-Feb)"))</f>
        <v>Hot Dry (Mar-May)</v>
      </c>
      <c r="T370" s="4" t="str">
        <f aca="false">CHOOSE(O370,"Jan","Feb","Mar","Apr","May","Jun","Jul","Aug","Sep","Oct","Nov","Dec")</f>
        <v>Mar</v>
      </c>
    </row>
    <row r="371" customFormat="false" ht="15" hidden="false" customHeight="false" outlineLevel="0" collapsed="false">
      <c r="A371" s="4" t="s">
        <v>562</v>
      </c>
      <c r="B371" s="17" t="n">
        <v>45742</v>
      </c>
      <c r="C371" s="4" t="n">
        <v>8</v>
      </c>
      <c r="D371" s="4" t="s">
        <v>70</v>
      </c>
      <c r="E371" s="4" t="s">
        <v>65</v>
      </c>
      <c r="F371" s="4" t="s">
        <v>94</v>
      </c>
      <c r="G371" s="4" t="n">
        <v>2</v>
      </c>
      <c r="H371" s="34" t="n">
        <v>150</v>
      </c>
      <c r="I371" s="18" t="n">
        <v>0</v>
      </c>
      <c r="J371" s="4" t="s">
        <v>67</v>
      </c>
      <c r="K371" s="4" t="s">
        <v>77</v>
      </c>
      <c r="L371" s="35" t="n">
        <f aca="false">G371*H371</f>
        <v>300</v>
      </c>
      <c r="M371" s="35" t="n">
        <f aca="false">L371*I371</f>
        <v>0</v>
      </c>
      <c r="N371" s="35" t="n">
        <f aca="false">L371-M371</f>
        <v>300</v>
      </c>
      <c r="O371" s="4" t="n">
        <f aca="false">MONTH(B371)</f>
        <v>3</v>
      </c>
      <c r="P371" s="4" t="str">
        <f aca="false">CHOOSE(WEEKDAY(B371,2),"Mon","Tue","Wed","Thu","Fri","Sat","Sun")</f>
        <v>Wed</v>
      </c>
      <c r="Q371" s="4" t="str">
        <f aca="false">IF(WEEKDAY(B371,2)&gt;5,"Weekend","Weekday")</f>
        <v>Weekday</v>
      </c>
      <c r="R371" s="4" t="str">
        <f aca="false">IF(C371&lt;11,"Morning (7-10)",IF(C371&lt;14,"Lunch (11-13)",IF(C371&lt;18,"Afternoon (14-17)","Evening (18-20)")))</f>
        <v>Morning (7-10)</v>
      </c>
      <c r="S371" s="4" t="str">
        <f aca="false">IF(AND(O371&gt;=3,O371&lt;=5),"Hot Dry (Mar-May)",IF(AND(O371&gt;=6,O371&lt;=11),"Rainy (Jun-Nov)","Cool Dry (Dec-Feb)"))</f>
        <v>Hot Dry (Mar-May)</v>
      </c>
      <c r="T371" s="4" t="str">
        <f aca="false">CHOOSE(O371,"Jan","Feb","Mar","Apr","May","Jun","Jul","Aug","Sep","Oct","Nov","Dec")</f>
        <v>Mar</v>
      </c>
    </row>
    <row r="372" customFormat="false" ht="15" hidden="false" customHeight="false" outlineLevel="0" collapsed="false">
      <c r="A372" s="4" t="s">
        <v>563</v>
      </c>
      <c r="B372" s="17" t="n">
        <v>45742</v>
      </c>
      <c r="C372" s="4" t="n">
        <v>9</v>
      </c>
      <c r="D372" s="4" t="s">
        <v>98</v>
      </c>
      <c r="E372" s="4" t="s">
        <v>84</v>
      </c>
      <c r="F372" s="4" t="s">
        <v>85</v>
      </c>
      <c r="G372" s="4" t="n">
        <v>2</v>
      </c>
      <c r="H372" s="34" t="n">
        <v>150</v>
      </c>
      <c r="I372" s="18" t="n">
        <v>0.1</v>
      </c>
      <c r="J372" s="4" t="s">
        <v>81</v>
      </c>
      <c r="K372" s="4" t="s">
        <v>68</v>
      </c>
      <c r="L372" s="35" t="n">
        <f aca="false">G372*H372</f>
        <v>300</v>
      </c>
      <c r="M372" s="35" t="n">
        <f aca="false">L372*I372</f>
        <v>30</v>
      </c>
      <c r="N372" s="35" t="n">
        <f aca="false">L372-M372</f>
        <v>270</v>
      </c>
      <c r="O372" s="4" t="n">
        <f aca="false">MONTH(B372)</f>
        <v>3</v>
      </c>
      <c r="P372" s="4" t="str">
        <f aca="false">CHOOSE(WEEKDAY(B372,2),"Mon","Tue","Wed","Thu","Fri","Sat","Sun")</f>
        <v>Wed</v>
      </c>
      <c r="Q372" s="4" t="str">
        <f aca="false">IF(WEEKDAY(B372,2)&gt;5,"Weekend","Weekday")</f>
        <v>Weekday</v>
      </c>
      <c r="R372" s="4" t="str">
        <f aca="false">IF(C372&lt;11,"Morning (7-10)",IF(C372&lt;14,"Lunch (11-13)",IF(C372&lt;18,"Afternoon (14-17)","Evening (18-20)")))</f>
        <v>Morning (7-10)</v>
      </c>
      <c r="S372" s="4" t="str">
        <f aca="false">IF(AND(O372&gt;=3,O372&lt;=5),"Hot Dry (Mar-May)",IF(AND(O372&gt;=6,O372&lt;=11),"Rainy (Jun-Nov)","Cool Dry (Dec-Feb)"))</f>
        <v>Hot Dry (Mar-May)</v>
      </c>
      <c r="T372" s="4" t="str">
        <f aca="false">CHOOSE(O372,"Jan","Feb","Mar","Apr","May","Jun","Jul","Aug","Sep","Oct","Nov","Dec")</f>
        <v>Mar</v>
      </c>
    </row>
    <row r="373" customFormat="false" ht="15" hidden="false" customHeight="false" outlineLevel="0" collapsed="false">
      <c r="A373" s="4" t="s">
        <v>564</v>
      </c>
      <c r="B373" s="17" t="n">
        <v>45742</v>
      </c>
      <c r="C373" s="4" t="n">
        <v>11</v>
      </c>
      <c r="D373" s="4" t="s">
        <v>73</v>
      </c>
      <c r="E373" s="4" t="s">
        <v>65</v>
      </c>
      <c r="F373" s="4" t="s">
        <v>121</v>
      </c>
      <c r="G373" s="4" t="n">
        <v>1</v>
      </c>
      <c r="H373" s="34" t="n">
        <v>170</v>
      </c>
      <c r="I373" s="18" t="n">
        <v>0</v>
      </c>
      <c r="J373" s="4" t="s">
        <v>88</v>
      </c>
      <c r="K373" s="4" t="s">
        <v>2289</v>
      </c>
      <c r="L373" s="35" t="n">
        <f aca="false">G373*H373</f>
        <v>170</v>
      </c>
      <c r="M373" s="35" t="n">
        <f aca="false">L373*I373</f>
        <v>0</v>
      </c>
      <c r="N373" s="35" t="n">
        <f aca="false">L373-M373</f>
        <v>170</v>
      </c>
      <c r="O373" s="4" t="n">
        <f aca="false">MONTH(B373)</f>
        <v>3</v>
      </c>
      <c r="P373" s="4" t="str">
        <f aca="false">CHOOSE(WEEKDAY(B373,2),"Mon","Tue","Wed","Thu","Fri","Sat","Sun")</f>
        <v>Wed</v>
      </c>
      <c r="Q373" s="4" t="str">
        <f aca="false">IF(WEEKDAY(B373,2)&gt;5,"Weekend","Weekday")</f>
        <v>Weekday</v>
      </c>
      <c r="R373" s="4" t="str">
        <f aca="false">IF(C373&lt;11,"Morning (7-10)",IF(C373&lt;14,"Lunch (11-13)",IF(C373&lt;18,"Afternoon (14-17)","Evening (18-20)")))</f>
        <v>Lunch (11-13)</v>
      </c>
      <c r="S373" s="4" t="str">
        <f aca="false">IF(AND(O373&gt;=3,O373&lt;=5),"Hot Dry (Mar-May)",IF(AND(O373&gt;=6,O373&lt;=11),"Rainy (Jun-Nov)","Cool Dry (Dec-Feb)"))</f>
        <v>Hot Dry (Mar-May)</v>
      </c>
      <c r="T373" s="4" t="str">
        <f aca="false">CHOOSE(O373,"Jan","Feb","Mar","Apr","May","Jun","Jul","Aug","Sep","Oct","Nov","Dec")</f>
        <v>Mar</v>
      </c>
    </row>
    <row r="374" customFormat="false" ht="15" hidden="false" customHeight="false" outlineLevel="0" collapsed="false">
      <c r="A374" s="4" t="s">
        <v>565</v>
      </c>
      <c r="B374" s="17" t="n">
        <v>45742</v>
      </c>
      <c r="C374" s="4" t="n">
        <v>15</v>
      </c>
      <c r="D374" s="4" t="s">
        <v>70</v>
      </c>
      <c r="E374" s="4" t="s">
        <v>65</v>
      </c>
      <c r="F374" s="4" t="s">
        <v>94</v>
      </c>
      <c r="G374" s="4" t="n">
        <v>1</v>
      </c>
      <c r="H374" s="34" t="n">
        <v>150</v>
      </c>
      <c r="I374" s="18" t="n">
        <v>0.05</v>
      </c>
      <c r="J374" s="4" t="s">
        <v>67</v>
      </c>
      <c r="K374" s="4" t="s">
        <v>82</v>
      </c>
      <c r="L374" s="35" t="n">
        <f aca="false">G374*H374</f>
        <v>150</v>
      </c>
      <c r="M374" s="35" t="n">
        <f aca="false">L374*I374</f>
        <v>7.5</v>
      </c>
      <c r="N374" s="35" t="n">
        <f aca="false">L374-M374</f>
        <v>142.5</v>
      </c>
      <c r="O374" s="4" t="n">
        <f aca="false">MONTH(B374)</f>
        <v>3</v>
      </c>
      <c r="P374" s="4" t="str">
        <f aca="false">CHOOSE(WEEKDAY(B374,2),"Mon","Tue","Wed","Thu","Fri","Sat","Sun")</f>
        <v>Wed</v>
      </c>
      <c r="Q374" s="4" t="str">
        <f aca="false">IF(WEEKDAY(B374,2)&gt;5,"Weekend","Weekday")</f>
        <v>Weekday</v>
      </c>
      <c r="R374" s="4" t="str">
        <f aca="false">IF(C374&lt;11,"Morning (7-10)",IF(C374&lt;14,"Lunch (11-13)",IF(C374&lt;18,"Afternoon (14-17)","Evening (18-20)")))</f>
        <v>Afternoon (14-17)</v>
      </c>
      <c r="S374" s="4" t="str">
        <f aca="false">IF(AND(O374&gt;=3,O374&lt;=5),"Hot Dry (Mar-May)",IF(AND(O374&gt;=6,O374&lt;=11),"Rainy (Jun-Nov)","Cool Dry (Dec-Feb)"))</f>
        <v>Hot Dry (Mar-May)</v>
      </c>
      <c r="T374" s="4" t="str">
        <f aca="false">CHOOSE(O374,"Jan","Feb","Mar","Apr","May","Jun","Jul","Aug","Sep","Oct","Nov","Dec")</f>
        <v>Mar</v>
      </c>
    </row>
    <row r="375" customFormat="false" ht="15" hidden="false" customHeight="false" outlineLevel="0" collapsed="false">
      <c r="A375" s="4" t="s">
        <v>566</v>
      </c>
      <c r="B375" s="17" t="n">
        <v>45742</v>
      </c>
      <c r="C375" s="4" t="n">
        <v>15</v>
      </c>
      <c r="D375" s="4" t="s">
        <v>73</v>
      </c>
      <c r="E375" s="4" t="s">
        <v>84</v>
      </c>
      <c r="F375" s="4" t="s">
        <v>106</v>
      </c>
      <c r="G375" s="4" t="n">
        <v>2</v>
      </c>
      <c r="H375" s="34" t="n">
        <v>60</v>
      </c>
      <c r="I375" s="18" t="n">
        <v>0.15</v>
      </c>
      <c r="J375" s="4" t="s">
        <v>76</v>
      </c>
      <c r="K375" s="4" t="s">
        <v>82</v>
      </c>
      <c r="L375" s="35" t="n">
        <f aca="false">G375*H375</f>
        <v>120</v>
      </c>
      <c r="M375" s="35" t="n">
        <f aca="false">L375*I375</f>
        <v>18</v>
      </c>
      <c r="N375" s="35" t="n">
        <f aca="false">L375-M375</f>
        <v>102</v>
      </c>
      <c r="O375" s="4" t="n">
        <f aca="false">MONTH(B375)</f>
        <v>3</v>
      </c>
      <c r="P375" s="4" t="str">
        <f aca="false">CHOOSE(WEEKDAY(B375,2),"Mon","Tue","Wed","Thu","Fri","Sat","Sun")</f>
        <v>Wed</v>
      </c>
      <c r="Q375" s="4" t="str">
        <f aca="false">IF(WEEKDAY(B375,2)&gt;5,"Weekend","Weekday")</f>
        <v>Weekday</v>
      </c>
      <c r="R375" s="4" t="str">
        <f aca="false">IF(C375&lt;11,"Morning (7-10)",IF(C375&lt;14,"Lunch (11-13)",IF(C375&lt;18,"Afternoon (14-17)","Evening (18-20)")))</f>
        <v>Afternoon (14-17)</v>
      </c>
      <c r="S375" s="4" t="str">
        <f aca="false">IF(AND(O375&gt;=3,O375&lt;=5),"Hot Dry (Mar-May)",IF(AND(O375&gt;=6,O375&lt;=11),"Rainy (Jun-Nov)","Cool Dry (Dec-Feb)"))</f>
        <v>Hot Dry (Mar-May)</v>
      </c>
      <c r="T375" s="4" t="str">
        <f aca="false">CHOOSE(O375,"Jan","Feb","Mar","Apr","May","Jun","Jul","Aug","Sep","Oct","Nov","Dec")</f>
        <v>Mar</v>
      </c>
    </row>
    <row r="376" customFormat="false" ht="15" hidden="false" customHeight="false" outlineLevel="0" collapsed="false">
      <c r="A376" s="4" t="s">
        <v>567</v>
      </c>
      <c r="B376" s="17" t="n">
        <v>45742</v>
      </c>
      <c r="C376" s="4" t="n">
        <v>16</v>
      </c>
      <c r="D376" s="4" t="s">
        <v>70</v>
      </c>
      <c r="E376" s="4" t="s">
        <v>65</v>
      </c>
      <c r="F376" s="4" t="s">
        <v>66</v>
      </c>
      <c r="G376" s="4" t="n">
        <v>2</v>
      </c>
      <c r="H376" s="34" t="n">
        <v>120</v>
      </c>
      <c r="I376" s="18" t="n">
        <v>0.1</v>
      </c>
      <c r="J376" s="4" t="s">
        <v>81</v>
      </c>
      <c r="K376" s="4" t="s">
        <v>71</v>
      </c>
      <c r="L376" s="35" t="n">
        <f aca="false">G376*H376</f>
        <v>240</v>
      </c>
      <c r="M376" s="35" t="n">
        <f aca="false">L376*I376</f>
        <v>24</v>
      </c>
      <c r="N376" s="35" t="n">
        <f aca="false">L376-M376</f>
        <v>216</v>
      </c>
      <c r="O376" s="4" t="n">
        <f aca="false">MONTH(B376)</f>
        <v>3</v>
      </c>
      <c r="P376" s="4" t="str">
        <f aca="false">CHOOSE(WEEKDAY(B376,2),"Mon","Tue","Wed","Thu","Fri","Sat","Sun")</f>
        <v>Wed</v>
      </c>
      <c r="Q376" s="4" t="str">
        <f aca="false">IF(WEEKDAY(B376,2)&gt;5,"Weekend","Weekday")</f>
        <v>Weekday</v>
      </c>
      <c r="R376" s="4" t="str">
        <f aca="false">IF(C376&lt;11,"Morning (7-10)",IF(C376&lt;14,"Lunch (11-13)",IF(C376&lt;18,"Afternoon (14-17)","Evening (18-20)")))</f>
        <v>Afternoon (14-17)</v>
      </c>
      <c r="S376" s="4" t="str">
        <f aca="false">IF(AND(O376&gt;=3,O376&lt;=5),"Hot Dry (Mar-May)",IF(AND(O376&gt;=6,O376&lt;=11),"Rainy (Jun-Nov)","Cool Dry (Dec-Feb)"))</f>
        <v>Hot Dry (Mar-May)</v>
      </c>
      <c r="T376" s="4" t="str">
        <f aca="false">CHOOSE(O376,"Jan","Feb","Mar","Apr","May","Jun","Jul","Aug","Sep","Oct","Nov","Dec")</f>
        <v>Mar</v>
      </c>
    </row>
    <row r="377" customFormat="false" ht="15" hidden="false" customHeight="false" outlineLevel="0" collapsed="false">
      <c r="A377" s="4" t="s">
        <v>568</v>
      </c>
      <c r="B377" s="17" t="n">
        <v>45743</v>
      </c>
      <c r="C377" s="4" t="n">
        <v>9</v>
      </c>
      <c r="D377" s="4" t="s">
        <v>64</v>
      </c>
      <c r="E377" s="4" t="s">
        <v>99</v>
      </c>
      <c r="F377" s="4" t="s">
        <v>100</v>
      </c>
      <c r="G377" s="4" t="n">
        <v>1</v>
      </c>
      <c r="H377" s="34" t="n">
        <v>110</v>
      </c>
      <c r="I377" s="18" t="n">
        <v>0.05</v>
      </c>
      <c r="J377" s="4" t="s">
        <v>81</v>
      </c>
      <c r="K377" s="4" t="s">
        <v>82</v>
      </c>
      <c r="L377" s="35" t="n">
        <f aca="false">G377*H377</f>
        <v>110</v>
      </c>
      <c r="M377" s="35" t="n">
        <f aca="false">L377*I377</f>
        <v>5.5</v>
      </c>
      <c r="N377" s="35" t="n">
        <f aca="false">L377-M377</f>
        <v>104.5</v>
      </c>
      <c r="O377" s="4" t="n">
        <f aca="false">MONTH(B377)</f>
        <v>3</v>
      </c>
      <c r="P377" s="4" t="str">
        <f aca="false">CHOOSE(WEEKDAY(B377,2),"Mon","Tue","Wed","Thu","Fri","Sat","Sun")</f>
        <v>Thu</v>
      </c>
      <c r="Q377" s="4" t="str">
        <f aca="false">IF(WEEKDAY(B377,2)&gt;5,"Weekend","Weekday")</f>
        <v>Weekday</v>
      </c>
      <c r="R377" s="4" t="str">
        <f aca="false">IF(C377&lt;11,"Morning (7-10)",IF(C377&lt;14,"Lunch (11-13)",IF(C377&lt;18,"Afternoon (14-17)","Evening (18-20)")))</f>
        <v>Morning (7-10)</v>
      </c>
      <c r="S377" s="4" t="str">
        <f aca="false">IF(AND(O377&gt;=3,O377&lt;=5),"Hot Dry (Mar-May)",IF(AND(O377&gt;=6,O377&lt;=11),"Rainy (Jun-Nov)","Cool Dry (Dec-Feb)"))</f>
        <v>Hot Dry (Mar-May)</v>
      </c>
      <c r="T377" s="4" t="str">
        <f aca="false">CHOOSE(O377,"Jan","Feb","Mar","Apr","May","Jun","Jul","Aug","Sep","Oct","Nov","Dec")</f>
        <v>Mar</v>
      </c>
    </row>
    <row r="378" customFormat="false" ht="15" hidden="false" customHeight="false" outlineLevel="0" collapsed="false">
      <c r="A378" s="4" t="s">
        <v>569</v>
      </c>
      <c r="B378" s="17" t="n">
        <v>45743</v>
      </c>
      <c r="C378" s="4" t="n">
        <v>10</v>
      </c>
      <c r="D378" s="4" t="s">
        <v>70</v>
      </c>
      <c r="E378" s="4" t="s">
        <v>65</v>
      </c>
      <c r="F378" s="4" t="s">
        <v>87</v>
      </c>
      <c r="G378" s="4" t="n">
        <v>1</v>
      </c>
      <c r="H378" s="34" t="n">
        <v>160</v>
      </c>
      <c r="I378" s="18" t="n">
        <v>0.1</v>
      </c>
      <c r="J378" s="4" t="s">
        <v>112</v>
      </c>
      <c r="K378" s="4" t="s">
        <v>71</v>
      </c>
      <c r="L378" s="35" t="n">
        <f aca="false">G378*H378</f>
        <v>160</v>
      </c>
      <c r="M378" s="35" t="n">
        <f aca="false">L378*I378</f>
        <v>16</v>
      </c>
      <c r="N378" s="35" t="n">
        <f aca="false">L378-M378</f>
        <v>144</v>
      </c>
      <c r="O378" s="4" t="n">
        <f aca="false">MONTH(B378)</f>
        <v>3</v>
      </c>
      <c r="P378" s="4" t="str">
        <f aca="false">CHOOSE(WEEKDAY(B378,2),"Mon","Tue","Wed","Thu","Fri","Sat","Sun")</f>
        <v>Thu</v>
      </c>
      <c r="Q378" s="4" t="str">
        <f aca="false">IF(WEEKDAY(B378,2)&gt;5,"Weekend","Weekday")</f>
        <v>Weekday</v>
      </c>
      <c r="R378" s="4" t="str">
        <f aca="false">IF(C378&lt;11,"Morning (7-10)",IF(C378&lt;14,"Lunch (11-13)",IF(C378&lt;18,"Afternoon (14-17)","Evening (18-20)")))</f>
        <v>Morning (7-10)</v>
      </c>
      <c r="S378" s="4" t="str">
        <f aca="false">IF(AND(O378&gt;=3,O378&lt;=5),"Hot Dry (Mar-May)",IF(AND(O378&gt;=6,O378&lt;=11),"Rainy (Jun-Nov)","Cool Dry (Dec-Feb)"))</f>
        <v>Hot Dry (Mar-May)</v>
      </c>
      <c r="T378" s="4" t="str">
        <f aca="false">CHOOSE(O378,"Jan","Feb","Mar","Apr","May","Jun","Jul","Aug","Sep","Oct","Nov","Dec")</f>
        <v>Mar</v>
      </c>
    </row>
    <row r="379" customFormat="false" ht="15" hidden="false" customHeight="false" outlineLevel="0" collapsed="false">
      <c r="A379" s="4" t="s">
        <v>570</v>
      </c>
      <c r="B379" s="17" t="n">
        <v>45743</v>
      </c>
      <c r="C379" s="4" t="n">
        <v>12</v>
      </c>
      <c r="D379" s="4" t="s">
        <v>64</v>
      </c>
      <c r="E379" s="4" t="s">
        <v>74</v>
      </c>
      <c r="F379" s="4" t="s">
        <v>139</v>
      </c>
      <c r="G379" s="4" t="n">
        <v>1</v>
      </c>
      <c r="H379" s="34" t="n">
        <v>260</v>
      </c>
      <c r="I379" s="18" t="n">
        <v>0.05</v>
      </c>
      <c r="J379" s="4" t="s">
        <v>67</v>
      </c>
      <c r="K379" s="4" t="s">
        <v>82</v>
      </c>
      <c r="L379" s="35" t="n">
        <f aca="false">G379*H379</f>
        <v>260</v>
      </c>
      <c r="M379" s="35" t="n">
        <f aca="false">L379*I379</f>
        <v>13</v>
      </c>
      <c r="N379" s="35" t="n">
        <f aca="false">L379-M379</f>
        <v>247</v>
      </c>
      <c r="O379" s="4" t="n">
        <f aca="false">MONTH(B379)</f>
        <v>3</v>
      </c>
      <c r="P379" s="4" t="str">
        <f aca="false">CHOOSE(WEEKDAY(B379,2),"Mon","Tue","Wed","Thu","Fri","Sat","Sun")</f>
        <v>Thu</v>
      </c>
      <c r="Q379" s="4" t="str">
        <f aca="false">IF(WEEKDAY(B379,2)&gt;5,"Weekend","Weekday")</f>
        <v>Weekday</v>
      </c>
      <c r="R379" s="4" t="str">
        <f aca="false">IF(C379&lt;11,"Morning (7-10)",IF(C379&lt;14,"Lunch (11-13)",IF(C379&lt;18,"Afternoon (14-17)","Evening (18-20)")))</f>
        <v>Lunch (11-13)</v>
      </c>
      <c r="S379" s="4" t="str">
        <f aca="false">IF(AND(O379&gt;=3,O379&lt;=5),"Hot Dry (Mar-May)",IF(AND(O379&gt;=6,O379&lt;=11),"Rainy (Jun-Nov)","Cool Dry (Dec-Feb)"))</f>
        <v>Hot Dry (Mar-May)</v>
      </c>
      <c r="T379" s="4" t="str">
        <f aca="false">CHOOSE(O379,"Jan","Feb","Mar","Apr","May","Jun","Jul","Aug","Sep","Oct","Nov","Dec")</f>
        <v>Mar</v>
      </c>
    </row>
    <row r="380" customFormat="false" ht="15" hidden="false" customHeight="false" outlineLevel="0" collapsed="false">
      <c r="A380" s="4" t="s">
        <v>571</v>
      </c>
      <c r="B380" s="17" t="n">
        <v>45743</v>
      </c>
      <c r="C380" s="4" t="n">
        <v>12</v>
      </c>
      <c r="D380" s="4" t="s">
        <v>64</v>
      </c>
      <c r="E380" s="4" t="s">
        <v>65</v>
      </c>
      <c r="F380" s="4" t="s">
        <v>94</v>
      </c>
      <c r="G380" s="4" t="n">
        <v>1</v>
      </c>
      <c r="H380" s="34" t="n">
        <v>150</v>
      </c>
      <c r="I380" s="18" t="n">
        <v>0.1</v>
      </c>
      <c r="J380" s="4" t="s">
        <v>67</v>
      </c>
      <c r="K380" s="4" t="s">
        <v>71</v>
      </c>
      <c r="L380" s="35" t="n">
        <f aca="false">G380*H380</f>
        <v>150</v>
      </c>
      <c r="M380" s="35" t="n">
        <f aca="false">L380*I380</f>
        <v>15</v>
      </c>
      <c r="N380" s="35" t="n">
        <f aca="false">L380-M380</f>
        <v>135</v>
      </c>
      <c r="O380" s="4" t="n">
        <f aca="false">MONTH(B380)</f>
        <v>3</v>
      </c>
      <c r="P380" s="4" t="str">
        <f aca="false">CHOOSE(WEEKDAY(B380,2),"Mon","Tue","Wed","Thu","Fri","Sat","Sun")</f>
        <v>Thu</v>
      </c>
      <c r="Q380" s="4" t="str">
        <f aca="false">IF(WEEKDAY(B380,2)&gt;5,"Weekend","Weekday")</f>
        <v>Weekday</v>
      </c>
      <c r="R380" s="4" t="str">
        <f aca="false">IF(C380&lt;11,"Morning (7-10)",IF(C380&lt;14,"Lunch (11-13)",IF(C380&lt;18,"Afternoon (14-17)","Evening (18-20)")))</f>
        <v>Lunch (11-13)</v>
      </c>
      <c r="S380" s="4" t="str">
        <f aca="false">IF(AND(O380&gt;=3,O380&lt;=5),"Hot Dry (Mar-May)",IF(AND(O380&gt;=6,O380&lt;=11),"Rainy (Jun-Nov)","Cool Dry (Dec-Feb)"))</f>
        <v>Hot Dry (Mar-May)</v>
      </c>
      <c r="T380" s="4" t="str">
        <f aca="false">CHOOSE(O380,"Jan","Feb","Mar","Apr","May","Jun","Jul","Aug","Sep","Oct","Nov","Dec")</f>
        <v>Mar</v>
      </c>
    </row>
    <row r="381" customFormat="false" ht="15" hidden="false" customHeight="false" outlineLevel="0" collapsed="false">
      <c r="A381" s="4" t="s">
        <v>572</v>
      </c>
      <c r="B381" s="17" t="n">
        <v>45743</v>
      </c>
      <c r="C381" s="4" t="n">
        <v>13</v>
      </c>
      <c r="D381" s="4" t="s">
        <v>70</v>
      </c>
      <c r="E381" s="4" t="s">
        <v>65</v>
      </c>
      <c r="F381" s="4" t="s">
        <v>66</v>
      </c>
      <c r="G381" s="4" t="n">
        <v>1</v>
      </c>
      <c r="H381" s="34" t="n">
        <v>120</v>
      </c>
      <c r="I381" s="18" t="n">
        <v>0.05</v>
      </c>
      <c r="J381" s="4" t="s">
        <v>81</v>
      </c>
      <c r="K381" s="4" t="s">
        <v>82</v>
      </c>
      <c r="L381" s="35" t="n">
        <f aca="false">G381*H381</f>
        <v>120</v>
      </c>
      <c r="M381" s="35" t="n">
        <f aca="false">L381*I381</f>
        <v>6</v>
      </c>
      <c r="N381" s="35" t="n">
        <f aca="false">L381-M381</f>
        <v>114</v>
      </c>
      <c r="O381" s="4" t="n">
        <f aca="false">MONTH(B381)</f>
        <v>3</v>
      </c>
      <c r="P381" s="4" t="str">
        <f aca="false">CHOOSE(WEEKDAY(B381,2),"Mon","Tue","Wed","Thu","Fri","Sat","Sun")</f>
        <v>Thu</v>
      </c>
      <c r="Q381" s="4" t="str">
        <f aca="false">IF(WEEKDAY(B381,2)&gt;5,"Weekend","Weekday")</f>
        <v>Weekday</v>
      </c>
      <c r="R381" s="4" t="str">
        <f aca="false">IF(C381&lt;11,"Morning (7-10)",IF(C381&lt;14,"Lunch (11-13)",IF(C381&lt;18,"Afternoon (14-17)","Evening (18-20)")))</f>
        <v>Lunch (11-13)</v>
      </c>
      <c r="S381" s="4" t="str">
        <f aca="false">IF(AND(O381&gt;=3,O381&lt;=5),"Hot Dry (Mar-May)",IF(AND(O381&gt;=6,O381&lt;=11),"Rainy (Jun-Nov)","Cool Dry (Dec-Feb)"))</f>
        <v>Hot Dry (Mar-May)</v>
      </c>
      <c r="T381" s="4" t="str">
        <f aca="false">CHOOSE(O381,"Jan","Feb","Mar","Apr","May","Jun","Jul","Aug","Sep","Oct","Nov","Dec")</f>
        <v>Mar</v>
      </c>
    </row>
    <row r="382" customFormat="false" ht="15" hidden="false" customHeight="false" outlineLevel="0" collapsed="false">
      <c r="A382" s="4" t="s">
        <v>574</v>
      </c>
      <c r="B382" s="17" t="n">
        <v>45743</v>
      </c>
      <c r="C382" s="4" t="n">
        <v>17</v>
      </c>
      <c r="D382" s="4" t="s">
        <v>98</v>
      </c>
      <c r="E382" s="4" t="s">
        <v>79</v>
      </c>
      <c r="F382" s="4" t="s">
        <v>80</v>
      </c>
      <c r="G382" s="4" t="n">
        <v>3</v>
      </c>
      <c r="H382" s="34" t="n">
        <v>160</v>
      </c>
      <c r="I382" s="18" t="n">
        <v>0.1</v>
      </c>
      <c r="J382" s="4" t="s">
        <v>81</v>
      </c>
      <c r="K382" s="4" t="s">
        <v>71</v>
      </c>
      <c r="L382" s="35" t="n">
        <f aca="false">G382*H382</f>
        <v>480</v>
      </c>
      <c r="M382" s="35" t="n">
        <f aca="false">L382*I382</f>
        <v>48</v>
      </c>
      <c r="N382" s="35" t="n">
        <f aca="false">L382-M382</f>
        <v>432</v>
      </c>
      <c r="O382" s="4" t="n">
        <f aca="false">MONTH(B382)</f>
        <v>3</v>
      </c>
      <c r="P382" s="4" t="str">
        <f aca="false">CHOOSE(WEEKDAY(B382,2),"Mon","Tue","Wed","Thu","Fri","Sat","Sun")</f>
        <v>Thu</v>
      </c>
      <c r="Q382" s="4" t="str">
        <f aca="false">IF(WEEKDAY(B382,2)&gt;5,"Weekend","Weekday")</f>
        <v>Weekday</v>
      </c>
      <c r="R382" s="4" t="str">
        <f aca="false">IF(C382&lt;11,"Morning (7-10)",IF(C382&lt;14,"Lunch (11-13)",IF(C382&lt;18,"Afternoon (14-17)","Evening (18-20)")))</f>
        <v>Afternoon (14-17)</v>
      </c>
      <c r="S382" s="4" t="str">
        <f aca="false">IF(AND(O382&gt;=3,O382&lt;=5),"Hot Dry (Mar-May)",IF(AND(O382&gt;=6,O382&lt;=11),"Rainy (Jun-Nov)","Cool Dry (Dec-Feb)"))</f>
        <v>Hot Dry (Mar-May)</v>
      </c>
      <c r="T382" s="4" t="str">
        <f aca="false">CHOOSE(O382,"Jan","Feb","Mar","Apr","May","Jun","Jul","Aug","Sep","Oct","Nov","Dec")</f>
        <v>Mar</v>
      </c>
    </row>
    <row r="383" customFormat="false" ht="15" hidden="false" customHeight="false" outlineLevel="0" collapsed="false">
      <c r="A383" s="4" t="s">
        <v>575</v>
      </c>
      <c r="B383" s="17" t="n">
        <v>45743</v>
      </c>
      <c r="C383" s="4" t="n">
        <v>18</v>
      </c>
      <c r="D383" s="4" t="s">
        <v>64</v>
      </c>
      <c r="E383" s="4" t="s">
        <v>84</v>
      </c>
      <c r="F383" s="4" t="s">
        <v>85</v>
      </c>
      <c r="G383" s="4" t="n">
        <v>1</v>
      </c>
      <c r="H383" s="34" t="n">
        <v>150</v>
      </c>
      <c r="I383" s="18" t="n">
        <v>0</v>
      </c>
      <c r="J383" s="4" t="s">
        <v>81</v>
      </c>
      <c r="K383" s="4" t="s">
        <v>68</v>
      </c>
      <c r="L383" s="35" t="n">
        <f aca="false">G383*H383</f>
        <v>150</v>
      </c>
      <c r="M383" s="35" t="n">
        <f aca="false">L383*I383</f>
        <v>0</v>
      </c>
      <c r="N383" s="35" t="n">
        <f aca="false">L383-M383</f>
        <v>150</v>
      </c>
      <c r="O383" s="4" t="n">
        <f aca="false">MONTH(B383)</f>
        <v>3</v>
      </c>
      <c r="P383" s="4" t="str">
        <f aca="false">CHOOSE(WEEKDAY(B383,2),"Mon","Tue","Wed","Thu","Fri","Sat","Sun")</f>
        <v>Thu</v>
      </c>
      <c r="Q383" s="4" t="str">
        <f aca="false">IF(WEEKDAY(B383,2)&gt;5,"Weekend","Weekday")</f>
        <v>Weekday</v>
      </c>
      <c r="R383" s="4" t="str">
        <f aca="false">IF(C383&lt;11,"Morning (7-10)",IF(C383&lt;14,"Lunch (11-13)",IF(C383&lt;18,"Afternoon (14-17)","Evening (18-20)")))</f>
        <v>Evening (18-20)</v>
      </c>
      <c r="S383" s="4" t="str">
        <f aca="false">IF(AND(O383&gt;=3,O383&lt;=5),"Hot Dry (Mar-May)",IF(AND(O383&gt;=6,O383&lt;=11),"Rainy (Jun-Nov)","Cool Dry (Dec-Feb)"))</f>
        <v>Hot Dry (Mar-May)</v>
      </c>
      <c r="T383" s="4" t="str">
        <f aca="false">CHOOSE(O383,"Jan","Feb","Mar","Apr","May","Jun","Jul","Aug","Sep","Oct","Nov","Dec")</f>
        <v>Mar</v>
      </c>
    </row>
    <row r="384" customFormat="false" ht="15" hidden="false" customHeight="false" outlineLevel="0" collapsed="false">
      <c r="A384" s="4" t="s">
        <v>576</v>
      </c>
      <c r="B384" s="17" t="n">
        <v>45744</v>
      </c>
      <c r="C384" s="4" t="n">
        <v>8</v>
      </c>
      <c r="D384" s="4" t="s">
        <v>98</v>
      </c>
      <c r="E384" s="4" t="s">
        <v>65</v>
      </c>
      <c r="F384" s="4" t="s">
        <v>66</v>
      </c>
      <c r="G384" s="4" t="n">
        <v>1</v>
      </c>
      <c r="H384" s="34" t="n">
        <v>120</v>
      </c>
      <c r="I384" s="18" t="n">
        <v>0.2</v>
      </c>
      <c r="J384" s="4" t="s">
        <v>81</v>
      </c>
      <c r="K384" s="4" t="s">
        <v>71</v>
      </c>
      <c r="L384" s="35" t="n">
        <f aca="false">G384*H384</f>
        <v>120</v>
      </c>
      <c r="M384" s="35" t="n">
        <f aca="false">L384*I384</f>
        <v>24</v>
      </c>
      <c r="N384" s="35" t="n">
        <f aca="false">L384-M384</f>
        <v>96</v>
      </c>
      <c r="O384" s="4" t="n">
        <f aca="false">MONTH(B384)</f>
        <v>3</v>
      </c>
      <c r="P384" s="4" t="str">
        <f aca="false">CHOOSE(WEEKDAY(B384,2),"Mon","Tue","Wed","Thu","Fri","Sat","Sun")</f>
        <v>Fri</v>
      </c>
      <c r="Q384" s="4" t="str">
        <f aca="false">IF(WEEKDAY(B384,2)&gt;5,"Weekend","Weekday")</f>
        <v>Weekday</v>
      </c>
      <c r="R384" s="4" t="str">
        <f aca="false">IF(C384&lt;11,"Morning (7-10)",IF(C384&lt;14,"Lunch (11-13)",IF(C384&lt;18,"Afternoon (14-17)","Evening (18-20)")))</f>
        <v>Morning (7-10)</v>
      </c>
      <c r="S384" s="4" t="str">
        <f aca="false">IF(AND(O384&gt;=3,O384&lt;=5),"Hot Dry (Mar-May)",IF(AND(O384&gt;=6,O384&lt;=11),"Rainy (Jun-Nov)","Cool Dry (Dec-Feb)"))</f>
        <v>Hot Dry (Mar-May)</v>
      </c>
      <c r="T384" s="4" t="str">
        <f aca="false">CHOOSE(O384,"Jan","Feb","Mar","Apr","May","Jun","Jul","Aug","Sep","Oct","Nov","Dec")</f>
        <v>Mar</v>
      </c>
    </row>
    <row r="385" customFormat="false" ht="15" hidden="false" customHeight="false" outlineLevel="0" collapsed="false">
      <c r="A385" s="4" t="s">
        <v>577</v>
      </c>
      <c r="B385" s="17" t="n">
        <v>45744</v>
      </c>
      <c r="C385" s="4" t="n">
        <v>17</v>
      </c>
      <c r="D385" s="4" t="s">
        <v>70</v>
      </c>
      <c r="E385" s="4" t="s">
        <v>74</v>
      </c>
      <c r="F385" s="4" t="s">
        <v>75</v>
      </c>
      <c r="G385" s="4" t="n">
        <v>1</v>
      </c>
      <c r="H385" s="34" t="n">
        <v>220</v>
      </c>
      <c r="I385" s="18" t="n">
        <v>0.05</v>
      </c>
      <c r="J385" s="4" t="s">
        <v>67</v>
      </c>
      <c r="K385" s="4" t="s">
        <v>82</v>
      </c>
      <c r="L385" s="35" t="n">
        <f aca="false">G385*H385</f>
        <v>220</v>
      </c>
      <c r="M385" s="35" t="n">
        <f aca="false">L385*I385</f>
        <v>11</v>
      </c>
      <c r="N385" s="35" t="n">
        <f aca="false">L385-M385</f>
        <v>209</v>
      </c>
      <c r="O385" s="4" t="n">
        <f aca="false">MONTH(B385)</f>
        <v>3</v>
      </c>
      <c r="P385" s="4" t="str">
        <f aca="false">CHOOSE(WEEKDAY(B385,2),"Mon","Tue","Wed","Thu","Fri","Sat","Sun")</f>
        <v>Fri</v>
      </c>
      <c r="Q385" s="4" t="str">
        <f aca="false">IF(WEEKDAY(B385,2)&gt;5,"Weekend","Weekday")</f>
        <v>Weekday</v>
      </c>
      <c r="R385" s="4" t="str">
        <f aca="false">IF(C385&lt;11,"Morning (7-10)",IF(C385&lt;14,"Lunch (11-13)",IF(C385&lt;18,"Afternoon (14-17)","Evening (18-20)")))</f>
        <v>Afternoon (14-17)</v>
      </c>
      <c r="S385" s="4" t="str">
        <f aca="false">IF(AND(O385&gt;=3,O385&lt;=5),"Hot Dry (Mar-May)",IF(AND(O385&gt;=6,O385&lt;=11),"Rainy (Jun-Nov)","Cool Dry (Dec-Feb)"))</f>
        <v>Hot Dry (Mar-May)</v>
      </c>
      <c r="T385" s="4" t="str">
        <f aca="false">CHOOSE(O385,"Jan","Feb","Mar","Apr","May","Jun","Jul","Aug","Sep","Oct","Nov","Dec")</f>
        <v>Mar</v>
      </c>
    </row>
    <row r="386" customFormat="false" ht="15" hidden="false" customHeight="false" outlineLevel="0" collapsed="false">
      <c r="A386" s="4" t="s">
        <v>578</v>
      </c>
      <c r="B386" s="17" t="n">
        <v>45744</v>
      </c>
      <c r="C386" s="4" t="n">
        <v>20</v>
      </c>
      <c r="D386" s="4" t="s">
        <v>64</v>
      </c>
      <c r="E386" s="4" t="s">
        <v>84</v>
      </c>
      <c r="F386" s="4" t="s">
        <v>117</v>
      </c>
      <c r="G386" s="4" t="n">
        <v>1</v>
      </c>
      <c r="H386" s="34" t="n">
        <v>95</v>
      </c>
      <c r="I386" s="18" t="n">
        <v>0.05</v>
      </c>
      <c r="J386" s="4" t="s">
        <v>81</v>
      </c>
      <c r="K386" s="4" t="s">
        <v>82</v>
      </c>
      <c r="L386" s="35" t="n">
        <f aca="false">G386*H386</f>
        <v>95</v>
      </c>
      <c r="M386" s="35" t="n">
        <f aca="false">L386*I386</f>
        <v>4.75</v>
      </c>
      <c r="N386" s="35" t="n">
        <f aca="false">L386-M386</f>
        <v>90.25</v>
      </c>
      <c r="O386" s="4" t="n">
        <f aca="false">MONTH(B386)</f>
        <v>3</v>
      </c>
      <c r="P386" s="4" t="str">
        <f aca="false">CHOOSE(WEEKDAY(B386,2),"Mon","Tue","Wed","Thu","Fri","Sat","Sun")</f>
        <v>Fri</v>
      </c>
      <c r="Q386" s="4" t="str">
        <f aca="false">IF(WEEKDAY(B386,2)&gt;5,"Weekend","Weekday")</f>
        <v>Weekday</v>
      </c>
      <c r="R386" s="4" t="str">
        <f aca="false">IF(C386&lt;11,"Morning (7-10)",IF(C386&lt;14,"Lunch (11-13)",IF(C386&lt;18,"Afternoon (14-17)","Evening (18-20)")))</f>
        <v>Evening (18-20)</v>
      </c>
      <c r="S386" s="4" t="str">
        <f aca="false">IF(AND(O386&gt;=3,O386&lt;=5),"Hot Dry (Mar-May)",IF(AND(O386&gt;=6,O386&lt;=11),"Rainy (Jun-Nov)","Cool Dry (Dec-Feb)"))</f>
        <v>Hot Dry (Mar-May)</v>
      </c>
      <c r="T386" s="4" t="str">
        <f aca="false">CHOOSE(O386,"Jan","Feb","Mar","Apr","May","Jun","Jul","Aug","Sep","Oct","Nov","Dec")</f>
        <v>Mar</v>
      </c>
    </row>
    <row r="387" customFormat="false" ht="15" hidden="false" customHeight="false" outlineLevel="0" collapsed="false">
      <c r="A387" s="4" t="s">
        <v>580</v>
      </c>
      <c r="B387" s="17" t="n">
        <v>45745</v>
      </c>
      <c r="C387" s="4" t="n">
        <v>9</v>
      </c>
      <c r="D387" s="4" t="s">
        <v>73</v>
      </c>
      <c r="E387" s="4" t="s">
        <v>65</v>
      </c>
      <c r="F387" s="4" t="s">
        <v>66</v>
      </c>
      <c r="G387" s="4" t="n">
        <v>2</v>
      </c>
      <c r="H387" s="34" t="n">
        <v>120</v>
      </c>
      <c r="I387" s="18" t="n">
        <v>0.1</v>
      </c>
      <c r="J387" s="4" t="s">
        <v>81</v>
      </c>
      <c r="K387" s="4" t="s">
        <v>82</v>
      </c>
      <c r="L387" s="35" t="n">
        <f aca="false">G387*H387</f>
        <v>240</v>
      </c>
      <c r="M387" s="35" t="n">
        <f aca="false">L387*I387</f>
        <v>24</v>
      </c>
      <c r="N387" s="35" t="n">
        <f aca="false">L387-M387</f>
        <v>216</v>
      </c>
      <c r="O387" s="4" t="n">
        <f aca="false">MONTH(B387)</f>
        <v>3</v>
      </c>
      <c r="P387" s="4" t="str">
        <f aca="false">CHOOSE(WEEKDAY(B387,2),"Mon","Tue","Wed","Thu","Fri","Sat","Sun")</f>
        <v>Sat</v>
      </c>
      <c r="Q387" s="4" t="str">
        <f aca="false">IF(WEEKDAY(B387,2)&gt;5,"Weekend","Weekday")</f>
        <v>Weekend</v>
      </c>
      <c r="R387" s="4" t="str">
        <f aca="false">IF(C387&lt;11,"Morning (7-10)",IF(C387&lt;14,"Lunch (11-13)",IF(C387&lt;18,"Afternoon (14-17)","Evening (18-20)")))</f>
        <v>Morning (7-10)</v>
      </c>
      <c r="S387" s="4" t="str">
        <f aca="false">IF(AND(O387&gt;=3,O387&lt;=5),"Hot Dry (Mar-May)",IF(AND(O387&gt;=6,O387&lt;=11),"Rainy (Jun-Nov)","Cool Dry (Dec-Feb)"))</f>
        <v>Hot Dry (Mar-May)</v>
      </c>
      <c r="T387" s="4" t="str">
        <f aca="false">CHOOSE(O387,"Jan","Feb","Mar","Apr","May","Jun","Jul","Aug","Sep","Oct","Nov","Dec")</f>
        <v>Mar</v>
      </c>
    </row>
    <row r="388" customFormat="false" ht="15" hidden="false" customHeight="false" outlineLevel="0" collapsed="false">
      <c r="A388" s="4" t="s">
        <v>581</v>
      </c>
      <c r="B388" s="17" t="n">
        <v>45745</v>
      </c>
      <c r="C388" s="4" t="n">
        <v>10</v>
      </c>
      <c r="D388" s="4" t="s">
        <v>98</v>
      </c>
      <c r="E388" s="4" t="s">
        <v>99</v>
      </c>
      <c r="F388" s="4" t="s">
        <v>100</v>
      </c>
      <c r="G388" s="4" t="n">
        <v>1</v>
      </c>
      <c r="H388" s="34" t="n">
        <v>110</v>
      </c>
      <c r="I388" s="18" t="n">
        <v>0</v>
      </c>
      <c r="J388" s="4" t="s">
        <v>81</v>
      </c>
      <c r="K388" s="4" t="s">
        <v>68</v>
      </c>
      <c r="L388" s="35" t="n">
        <f aca="false">G388*H388</f>
        <v>110</v>
      </c>
      <c r="M388" s="35" t="n">
        <f aca="false">L388*I388</f>
        <v>0</v>
      </c>
      <c r="N388" s="35" t="n">
        <f aca="false">L388-M388</f>
        <v>110</v>
      </c>
      <c r="O388" s="4" t="n">
        <f aca="false">MONTH(B388)</f>
        <v>3</v>
      </c>
      <c r="P388" s="4" t="str">
        <f aca="false">CHOOSE(WEEKDAY(B388,2),"Mon","Tue","Wed","Thu","Fri","Sat","Sun")</f>
        <v>Sat</v>
      </c>
      <c r="Q388" s="4" t="str">
        <f aca="false">IF(WEEKDAY(B388,2)&gt;5,"Weekend","Weekday")</f>
        <v>Weekend</v>
      </c>
      <c r="R388" s="4" t="str">
        <f aca="false">IF(C388&lt;11,"Morning (7-10)",IF(C388&lt;14,"Lunch (11-13)",IF(C388&lt;18,"Afternoon (14-17)","Evening (18-20)")))</f>
        <v>Morning (7-10)</v>
      </c>
      <c r="S388" s="4" t="str">
        <f aca="false">IF(AND(O388&gt;=3,O388&lt;=5),"Hot Dry (Mar-May)",IF(AND(O388&gt;=6,O388&lt;=11),"Rainy (Jun-Nov)","Cool Dry (Dec-Feb)"))</f>
        <v>Hot Dry (Mar-May)</v>
      </c>
      <c r="T388" s="4" t="str">
        <f aca="false">CHOOSE(O388,"Jan","Feb","Mar","Apr","May","Jun","Jul","Aug","Sep","Oct","Nov","Dec")</f>
        <v>Mar</v>
      </c>
    </row>
    <row r="389" customFormat="false" ht="15" hidden="false" customHeight="false" outlineLevel="0" collapsed="false">
      <c r="A389" s="4" t="s">
        <v>582</v>
      </c>
      <c r="B389" s="17" t="n">
        <v>45745</v>
      </c>
      <c r="C389" s="4" t="n">
        <v>13</v>
      </c>
      <c r="D389" s="4" t="s">
        <v>73</v>
      </c>
      <c r="E389" s="4" t="s">
        <v>65</v>
      </c>
      <c r="F389" s="4" t="s">
        <v>87</v>
      </c>
      <c r="G389" s="4" t="n">
        <v>1</v>
      </c>
      <c r="H389" s="34" t="n">
        <v>160</v>
      </c>
      <c r="I389" s="18" t="n">
        <v>0</v>
      </c>
      <c r="J389" s="4" t="s">
        <v>112</v>
      </c>
      <c r="K389" s="4" t="s">
        <v>77</v>
      </c>
      <c r="L389" s="35" t="n">
        <f aca="false">G389*H389</f>
        <v>160</v>
      </c>
      <c r="M389" s="35" t="n">
        <f aca="false">L389*I389</f>
        <v>0</v>
      </c>
      <c r="N389" s="35" t="n">
        <f aca="false">L389-M389</f>
        <v>160</v>
      </c>
      <c r="O389" s="4" t="n">
        <f aca="false">MONTH(B389)</f>
        <v>3</v>
      </c>
      <c r="P389" s="4" t="str">
        <f aca="false">CHOOSE(WEEKDAY(B389,2),"Mon","Tue","Wed","Thu","Fri","Sat","Sun")</f>
        <v>Sat</v>
      </c>
      <c r="Q389" s="4" t="str">
        <f aca="false">IF(WEEKDAY(B389,2)&gt;5,"Weekend","Weekday")</f>
        <v>Weekend</v>
      </c>
      <c r="R389" s="4" t="str">
        <f aca="false">IF(C389&lt;11,"Morning (7-10)",IF(C389&lt;14,"Lunch (11-13)",IF(C389&lt;18,"Afternoon (14-17)","Evening (18-20)")))</f>
        <v>Lunch (11-13)</v>
      </c>
      <c r="S389" s="4" t="str">
        <f aca="false">IF(AND(O389&gt;=3,O389&lt;=5),"Hot Dry (Mar-May)",IF(AND(O389&gt;=6,O389&lt;=11),"Rainy (Jun-Nov)","Cool Dry (Dec-Feb)"))</f>
        <v>Hot Dry (Mar-May)</v>
      </c>
      <c r="T389" s="4" t="str">
        <f aca="false">CHOOSE(O389,"Jan","Feb","Mar","Apr","May","Jun","Jul","Aug","Sep","Oct","Nov","Dec")</f>
        <v>Mar</v>
      </c>
    </row>
    <row r="390" customFormat="false" ht="15" hidden="false" customHeight="false" outlineLevel="0" collapsed="false">
      <c r="A390" s="4" t="s">
        <v>583</v>
      </c>
      <c r="B390" s="17" t="n">
        <v>45745</v>
      </c>
      <c r="C390" s="4" t="n">
        <v>17</v>
      </c>
      <c r="D390" s="4" t="s">
        <v>98</v>
      </c>
      <c r="E390" s="4" t="s">
        <v>99</v>
      </c>
      <c r="F390" s="4" t="s">
        <v>109</v>
      </c>
      <c r="G390" s="4" t="n">
        <v>1</v>
      </c>
      <c r="H390" s="34" t="n">
        <v>130</v>
      </c>
      <c r="I390" s="18" t="n">
        <v>0.15</v>
      </c>
      <c r="J390" s="4" t="s">
        <v>67</v>
      </c>
      <c r="K390" s="4" t="s">
        <v>68</v>
      </c>
      <c r="L390" s="35" t="n">
        <f aca="false">G390*H390</f>
        <v>130</v>
      </c>
      <c r="M390" s="35" t="n">
        <f aca="false">L390*I390</f>
        <v>19.5</v>
      </c>
      <c r="N390" s="35" t="n">
        <f aca="false">L390-M390</f>
        <v>110.5</v>
      </c>
      <c r="O390" s="4" t="n">
        <f aca="false">MONTH(B390)</f>
        <v>3</v>
      </c>
      <c r="P390" s="4" t="str">
        <f aca="false">CHOOSE(WEEKDAY(B390,2),"Mon","Tue","Wed","Thu","Fri","Sat","Sun")</f>
        <v>Sat</v>
      </c>
      <c r="Q390" s="4" t="str">
        <f aca="false">IF(WEEKDAY(B390,2)&gt;5,"Weekend","Weekday")</f>
        <v>Weekend</v>
      </c>
      <c r="R390" s="4" t="str">
        <f aca="false">IF(C390&lt;11,"Morning (7-10)",IF(C390&lt;14,"Lunch (11-13)",IF(C390&lt;18,"Afternoon (14-17)","Evening (18-20)")))</f>
        <v>Afternoon (14-17)</v>
      </c>
      <c r="S390" s="4" t="str">
        <f aca="false">IF(AND(O390&gt;=3,O390&lt;=5),"Hot Dry (Mar-May)",IF(AND(O390&gt;=6,O390&lt;=11),"Rainy (Jun-Nov)","Cool Dry (Dec-Feb)"))</f>
        <v>Hot Dry (Mar-May)</v>
      </c>
      <c r="T390" s="4" t="str">
        <f aca="false">CHOOSE(O390,"Jan","Feb","Mar","Apr","May","Jun","Jul","Aug","Sep","Oct","Nov","Dec")</f>
        <v>Mar</v>
      </c>
    </row>
    <row r="391" customFormat="false" ht="15" hidden="false" customHeight="false" outlineLevel="0" collapsed="false">
      <c r="A391" s="4" t="s">
        <v>584</v>
      </c>
      <c r="B391" s="17" t="n">
        <v>45745</v>
      </c>
      <c r="C391" s="4" t="n">
        <v>19</v>
      </c>
      <c r="D391" s="4" t="s">
        <v>70</v>
      </c>
      <c r="E391" s="4" t="s">
        <v>65</v>
      </c>
      <c r="F391" s="4" t="s">
        <v>94</v>
      </c>
      <c r="G391" s="4" t="n">
        <v>1</v>
      </c>
      <c r="H391" s="34" t="n">
        <v>150</v>
      </c>
      <c r="I391" s="18" t="n">
        <v>0</v>
      </c>
      <c r="J391" s="4" t="s">
        <v>67</v>
      </c>
      <c r="K391" s="4" t="s">
        <v>77</v>
      </c>
      <c r="L391" s="35" t="n">
        <f aca="false">G391*H391</f>
        <v>150</v>
      </c>
      <c r="M391" s="35" t="n">
        <f aca="false">L391*I391</f>
        <v>0</v>
      </c>
      <c r="N391" s="35" t="n">
        <f aca="false">L391-M391</f>
        <v>150</v>
      </c>
      <c r="O391" s="4" t="n">
        <f aca="false">MONTH(B391)</f>
        <v>3</v>
      </c>
      <c r="P391" s="4" t="str">
        <f aca="false">CHOOSE(WEEKDAY(B391,2),"Mon","Tue","Wed","Thu","Fri","Sat","Sun")</f>
        <v>Sat</v>
      </c>
      <c r="Q391" s="4" t="str">
        <f aca="false">IF(WEEKDAY(B391,2)&gt;5,"Weekend","Weekday")</f>
        <v>Weekend</v>
      </c>
      <c r="R391" s="4" t="str">
        <f aca="false">IF(C391&lt;11,"Morning (7-10)",IF(C391&lt;14,"Lunch (11-13)",IF(C391&lt;18,"Afternoon (14-17)","Evening (18-20)")))</f>
        <v>Evening (18-20)</v>
      </c>
      <c r="S391" s="4" t="str">
        <f aca="false">IF(AND(O391&gt;=3,O391&lt;=5),"Hot Dry (Mar-May)",IF(AND(O391&gt;=6,O391&lt;=11),"Rainy (Jun-Nov)","Cool Dry (Dec-Feb)"))</f>
        <v>Hot Dry (Mar-May)</v>
      </c>
      <c r="T391" s="4" t="str">
        <f aca="false">CHOOSE(O391,"Jan","Feb","Mar","Apr","May","Jun","Jul","Aug","Sep","Oct","Nov","Dec")</f>
        <v>Mar</v>
      </c>
    </row>
    <row r="392" customFormat="false" ht="15" hidden="false" customHeight="false" outlineLevel="0" collapsed="false">
      <c r="A392" s="4" t="s">
        <v>586</v>
      </c>
      <c r="B392" s="17" t="n">
        <v>45746</v>
      </c>
      <c r="C392" s="4" t="n">
        <v>7</v>
      </c>
      <c r="D392" s="4" t="s">
        <v>64</v>
      </c>
      <c r="E392" s="4" t="s">
        <v>99</v>
      </c>
      <c r="F392" s="4" t="s">
        <v>100</v>
      </c>
      <c r="G392" s="4" t="n">
        <v>1</v>
      </c>
      <c r="H392" s="34" t="n">
        <v>110</v>
      </c>
      <c r="I392" s="18" t="n">
        <v>0</v>
      </c>
      <c r="J392" s="4" t="s">
        <v>76</v>
      </c>
      <c r="K392" s="4" t="s">
        <v>77</v>
      </c>
      <c r="L392" s="35" t="n">
        <f aca="false">G392*H392</f>
        <v>110</v>
      </c>
      <c r="M392" s="35" t="n">
        <f aca="false">L392*I392</f>
        <v>0</v>
      </c>
      <c r="N392" s="35" t="n">
        <f aca="false">L392-M392</f>
        <v>110</v>
      </c>
      <c r="O392" s="4" t="n">
        <f aca="false">MONTH(B392)</f>
        <v>3</v>
      </c>
      <c r="P392" s="4" t="str">
        <f aca="false">CHOOSE(WEEKDAY(B392,2),"Mon","Tue","Wed","Thu","Fri","Sat","Sun")</f>
        <v>Sun</v>
      </c>
      <c r="Q392" s="4" t="str">
        <f aca="false">IF(WEEKDAY(B392,2)&gt;5,"Weekend","Weekday")</f>
        <v>Weekend</v>
      </c>
      <c r="R392" s="4" t="str">
        <f aca="false">IF(C392&lt;11,"Morning (7-10)",IF(C392&lt;14,"Lunch (11-13)",IF(C392&lt;18,"Afternoon (14-17)","Evening (18-20)")))</f>
        <v>Morning (7-10)</v>
      </c>
      <c r="S392" s="4" t="str">
        <f aca="false">IF(AND(O392&gt;=3,O392&lt;=5),"Hot Dry (Mar-May)",IF(AND(O392&gt;=6,O392&lt;=11),"Rainy (Jun-Nov)","Cool Dry (Dec-Feb)"))</f>
        <v>Hot Dry (Mar-May)</v>
      </c>
      <c r="T392" s="4" t="str">
        <f aca="false">CHOOSE(O392,"Jan","Feb","Mar","Apr","May","Jun","Jul","Aug","Sep","Oct","Nov","Dec")</f>
        <v>Mar</v>
      </c>
    </row>
    <row r="393" customFormat="false" ht="15" hidden="false" customHeight="false" outlineLevel="0" collapsed="false">
      <c r="A393" s="4" t="s">
        <v>587</v>
      </c>
      <c r="B393" s="17" t="n">
        <v>45746</v>
      </c>
      <c r="C393" s="4" t="n">
        <v>9</v>
      </c>
      <c r="D393" s="4" t="s">
        <v>70</v>
      </c>
      <c r="E393" s="4" t="s">
        <v>65</v>
      </c>
      <c r="F393" s="4" t="s">
        <v>94</v>
      </c>
      <c r="G393" s="4" t="n">
        <v>2</v>
      </c>
      <c r="H393" s="34" t="n">
        <v>150</v>
      </c>
      <c r="I393" s="18" t="n">
        <v>0</v>
      </c>
      <c r="J393" s="4" t="s">
        <v>81</v>
      </c>
      <c r="K393" s="4" t="s">
        <v>77</v>
      </c>
      <c r="L393" s="35" t="n">
        <f aca="false">G393*H393</f>
        <v>300</v>
      </c>
      <c r="M393" s="35" t="n">
        <f aca="false">L393*I393</f>
        <v>0</v>
      </c>
      <c r="N393" s="35" t="n">
        <f aca="false">L393-M393</f>
        <v>300</v>
      </c>
      <c r="O393" s="4" t="n">
        <f aca="false">MONTH(B393)</f>
        <v>3</v>
      </c>
      <c r="P393" s="4" t="str">
        <f aca="false">CHOOSE(WEEKDAY(B393,2),"Mon","Tue","Wed","Thu","Fri","Sat","Sun")</f>
        <v>Sun</v>
      </c>
      <c r="Q393" s="4" t="str">
        <f aca="false">IF(WEEKDAY(B393,2)&gt;5,"Weekend","Weekday")</f>
        <v>Weekend</v>
      </c>
      <c r="R393" s="4" t="str">
        <f aca="false">IF(C393&lt;11,"Morning (7-10)",IF(C393&lt;14,"Lunch (11-13)",IF(C393&lt;18,"Afternoon (14-17)","Evening (18-20)")))</f>
        <v>Morning (7-10)</v>
      </c>
      <c r="S393" s="4" t="str">
        <f aca="false">IF(AND(O393&gt;=3,O393&lt;=5),"Hot Dry (Mar-May)",IF(AND(O393&gt;=6,O393&lt;=11),"Rainy (Jun-Nov)","Cool Dry (Dec-Feb)"))</f>
        <v>Hot Dry (Mar-May)</v>
      </c>
      <c r="T393" s="4" t="str">
        <f aca="false">CHOOSE(O393,"Jan","Feb","Mar","Apr","May","Jun","Jul","Aug","Sep","Oct","Nov","Dec")</f>
        <v>Mar</v>
      </c>
    </row>
    <row r="394" customFormat="false" ht="15" hidden="false" customHeight="false" outlineLevel="0" collapsed="false">
      <c r="A394" s="4" t="s">
        <v>588</v>
      </c>
      <c r="B394" s="17" t="n">
        <v>45746</v>
      </c>
      <c r="C394" s="4" t="n">
        <v>9</v>
      </c>
      <c r="D394" s="4" t="s">
        <v>70</v>
      </c>
      <c r="E394" s="4" t="s">
        <v>84</v>
      </c>
      <c r="F394" s="4" t="s">
        <v>114</v>
      </c>
      <c r="G394" s="4" t="n">
        <v>1</v>
      </c>
      <c r="H394" s="34" t="n">
        <v>85</v>
      </c>
      <c r="I394" s="18" t="n">
        <v>0.15</v>
      </c>
      <c r="J394" s="4" t="s">
        <v>81</v>
      </c>
      <c r="K394" s="4" t="s">
        <v>82</v>
      </c>
      <c r="L394" s="35" t="n">
        <f aca="false">G394*H394</f>
        <v>85</v>
      </c>
      <c r="M394" s="35" t="n">
        <f aca="false">L394*I394</f>
        <v>12.75</v>
      </c>
      <c r="N394" s="35" t="n">
        <f aca="false">L394-M394</f>
        <v>72.25</v>
      </c>
      <c r="O394" s="4" t="n">
        <f aca="false">MONTH(B394)</f>
        <v>3</v>
      </c>
      <c r="P394" s="4" t="str">
        <f aca="false">CHOOSE(WEEKDAY(B394,2),"Mon","Tue","Wed","Thu","Fri","Sat","Sun")</f>
        <v>Sun</v>
      </c>
      <c r="Q394" s="4" t="str">
        <f aca="false">IF(WEEKDAY(B394,2)&gt;5,"Weekend","Weekday")</f>
        <v>Weekend</v>
      </c>
      <c r="R394" s="4" t="str">
        <f aca="false">IF(C394&lt;11,"Morning (7-10)",IF(C394&lt;14,"Lunch (11-13)",IF(C394&lt;18,"Afternoon (14-17)","Evening (18-20)")))</f>
        <v>Morning (7-10)</v>
      </c>
      <c r="S394" s="4" t="str">
        <f aca="false">IF(AND(O394&gt;=3,O394&lt;=5),"Hot Dry (Mar-May)",IF(AND(O394&gt;=6,O394&lt;=11),"Rainy (Jun-Nov)","Cool Dry (Dec-Feb)"))</f>
        <v>Hot Dry (Mar-May)</v>
      </c>
      <c r="T394" s="4" t="str">
        <f aca="false">CHOOSE(O394,"Jan","Feb","Mar","Apr","May","Jun","Jul","Aug","Sep","Oct","Nov","Dec")</f>
        <v>Mar</v>
      </c>
    </row>
    <row r="395" customFormat="false" ht="15" hidden="false" customHeight="false" outlineLevel="0" collapsed="false">
      <c r="A395" s="4" t="s">
        <v>589</v>
      </c>
      <c r="B395" s="17" t="n">
        <v>45747</v>
      </c>
      <c r="C395" s="4" t="n">
        <v>10</v>
      </c>
      <c r="D395" s="4" t="s">
        <v>73</v>
      </c>
      <c r="E395" s="4" t="s">
        <v>79</v>
      </c>
      <c r="F395" s="4" t="s">
        <v>135</v>
      </c>
      <c r="G395" s="4" t="n">
        <v>3</v>
      </c>
      <c r="H395" s="34" t="n">
        <v>130</v>
      </c>
      <c r="I395" s="18" t="n">
        <v>0.05</v>
      </c>
      <c r="J395" s="4" t="s">
        <v>76</v>
      </c>
      <c r="K395" s="4" t="s">
        <v>82</v>
      </c>
      <c r="L395" s="35" t="n">
        <f aca="false">G395*H395</f>
        <v>390</v>
      </c>
      <c r="M395" s="35" t="n">
        <f aca="false">L395*I395</f>
        <v>19.5</v>
      </c>
      <c r="N395" s="35" t="n">
        <f aca="false">L395-M395</f>
        <v>370.5</v>
      </c>
      <c r="O395" s="4" t="n">
        <f aca="false">MONTH(B395)</f>
        <v>3</v>
      </c>
      <c r="P395" s="4" t="str">
        <f aca="false">CHOOSE(WEEKDAY(B395,2),"Mon","Tue","Wed","Thu","Fri","Sat","Sun")</f>
        <v>Mon</v>
      </c>
      <c r="Q395" s="4" t="str">
        <f aca="false">IF(WEEKDAY(B395,2)&gt;5,"Weekend","Weekday")</f>
        <v>Weekday</v>
      </c>
      <c r="R395" s="4" t="str">
        <f aca="false">IF(C395&lt;11,"Morning (7-10)",IF(C395&lt;14,"Lunch (11-13)",IF(C395&lt;18,"Afternoon (14-17)","Evening (18-20)")))</f>
        <v>Morning (7-10)</v>
      </c>
      <c r="S395" s="4" t="str">
        <f aca="false">IF(AND(O395&gt;=3,O395&lt;=5),"Hot Dry (Mar-May)",IF(AND(O395&gt;=6,O395&lt;=11),"Rainy (Jun-Nov)","Cool Dry (Dec-Feb)"))</f>
        <v>Hot Dry (Mar-May)</v>
      </c>
      <c r="T395" s="4" t="str">
        <f aca="false">CHOOSE(O395,"Jan","Feb","Mar","Apr","May","Jun","Jul","Aug","Sep","Oct","Nov","Dec")</f>
        <v>Mar</v>
      </c>
    </row>
    <row r="396" customFormat="false" ht="15" hidden="false" customHeight="false" outlineLevel="0" collapsed="false">
      <c r="A396" s="4" t="s">
        <v>590</v>
      </c>
      <c r="B396" s="17" t="n">
        <v>45747</v>
      </c>
      <c r="C396" s="4" t="n">
        <v>15</v>
      </c>
      <c r="D396" s="4" t="s">
        <v>70</v>
      </c>
      <c r="E396" s="4" t="s">
        <v>74</v>
      </c>
      <c r="F396" s="4" t="s">
        <v>139</v>
      </c>
      <c r="G396" s="4" t="n">
        <v>1</v>
      </c>
      <c r="H396" s="34" t="n">
        <v>260</v>
      </c>
      <c r="I396" s="18" t="n">
        <v>0</v>
      </c>
      <c r="J396" s="4" t="s">
        <v>67</v>
      </c>
      <c r="K396" s="4" t="s">
        <v>68</v>
      </c>
      <c r="L396" s="35" t="n">
        <f aca="false">G396*H396</f>
        <v>260</v>
      </c>
      <c r="M396" s="35" t="n">
        <f aca="false">L396*I396</f>
        <v>0</v>
      </c>
      <c r="N396" s="35" t="n">
        <f aca="false">L396-M396</f>
        <v>260</v>
      </c>
      <c r="O396" s="4" t="n">
        <f aca="false">MONTH(B396)</f>
        <v>3</v>
      </c>
      <c r="P396" s="4" t="str">
        <f aca="false">CHOOSE(WEEKDAY(B396,2),"Mon","Tue","Wed","Thu","Fri","Sat","Sun")</f>
        <v>Mon</v>
      </c>
      <c r="Q396" s="4" t="str">
        <f aca="false">IF(WEEKDAY(B396,2)&gt;5,"Weekend","Weekday")</f>
        <v>Weekday</v>
      </c>
      <c r="R396" s="4" t="str">
        <f aca="false">IF(C396&lt;11,"Morning (7-10)",IF(C396&lt;14,"Lunch (11-13)",IF(C396&lt;18,"Afternoon (14-17)","Evening (18-20)")))</f>
        <v>Afternoon (14-17)</v>
      </c>
      <c r="S396" s="4" t="str">
        <f aca="false">IF(AND(O396&gt;=3,O396&lt;=5),"Hot Dry (Mar-May)",IF(AND(O396&gt;=6,O396&lt;=11),"Rainy (Jun-Nov)","Cool Dry (Dec-Feb)"))</f>
        <v>Hot Dry (Mar-May)</v>
      </c>
      <c r="T396" s="4" t="str">
        <f aca="false">CHOOSE(O396,"Jan","Feb","Mar","Apr","May","Jun","Jul","Aug","Sep","Oct","Nov","Dec")</f>
        <v>Mar</v>
      </c>
    </row>
    <row r="397" customFormat="false" ht="15" hidden="false" customHeight="false" outlineLevel="0" collapsed="false">
      <c r="A397" s="4" t="s">
        <v>591</v>
      </c>
      <c r="B397" s="17" t="n">
        <v>45748</v>
      </c>
      <c r="C397" s="4" t="n">
        <v>8</v>
      </c>
      <c r="D397" s="4" t="s">
        <v>70</v>
      </c>
      <c r="E397" s="4" t="s">
        <v>65</v>
      </c>
      <c r="F397" s="4" t="s">
        <v>121</v>
      </c>
      <c r="G397" s="4" t="n">
        <v>2</v>
      </c>
      <c r="H397" s="34" t="n">
        <v>170</v>
      </c>
      <c r="I397" s="18" t="n">
        <v>0</v>
      </c>
      <c r="J397" s="4" t="s">
        <v>81</v>
      </c>
      <c r="K397" s="4" t="s">
        <v>68</v>
      </c>
      <c r="L397" s="35" t="n">
        <f aca="false">G397*H397</f>
        <v>340</v>
      </c>
      <c r="M397" s="35" t="n">
        <f aca="false">L397*I397</f>
        <v>0</v>
      </c>
      <c r="N397" s="35" t="n">
        <f aca="false">L397-M397</f>
        <v>340</v>
      </c>
      <c r="O397" s="4" t="n">
        <f aca="false">MONTH(B397)</f>
        <v>4</v>
      </c>
      <c r="P397" s="4" t="str">
        <f aca="false">CHOOSE(WEEKDAY(B397,2),"Mon","Tue","Wed","Thu","Fri","Sat","Sun")</f>
        <v>Tue</v>
      </c>
      <c r="Q397" s="4" t="str">
        <f aca="false">IF(WEEKDAY(B397,2)&gt;5,"Weekend","Weekday")</f>
        <v>Weekday</v>
      </c>
      <c r="R397" s="4" t="str">
        <f aca="false">IF(C397&lt;11,"Morning (7-10)",IF(C397&lt;14,"Lunch (11-13)",IF(C397&lt;18,"Afternoon (14-17)","Evening (18-20)")))</f>
        <v>Morning (7-10)</v>
      </c>
      <c r="S397" s="4" t="str">
        <f aca="false">IF(AND(O397&gt;=3,O397&lt;=5),"Hot Dry (Mar-May)",IF(AND(O397&gt;=6,O397&lt;=11),"Rainy (Jun-Nov)","Cool Dry (Dec-Feb)"))</f>
        <v>Hot Dry (Mar-May)</v>
      </c>
      <c r="T397" s="4" t="str">
        <f aca="false">CHOOSE(O397,"Jan","Feb","Mar","Apr","May","Jun","Jul","Aug","Sep","Oct","Nov","Dec")</f>
        <v>Apr</v>
      </c>
    </row>
    <row r="398" customFormat="false" ht="15" hidden="false" customHeight="false" outlineLevel="0" collapsed="false">
      <c r="A398" s="4" t="s">
        <v>592</v>
      </c>
      <c r="B398" s="17" t="n">
        <v>45748</v>
      </c>
      <c r="C398" s="4" t="n">
        <v>8</v>
      </c>
      <c r="D398" s="4" t="s">
        <v>64</v>
      </c>
      <c r="E398" s="4" t="s">
        <v>65</v>
      </c>
      <c r="F398" s="4" t="s">
        <v>121</v>
      </c>
      <c r="G398" s="4" t="n">
        <v>3</v>
      </c>
      <c r="H398" s="34" t="n">
        <v>170</v>
      </c>
      <c r="I398" s="18" t="n">
        <v>0</v>
      </c>
      <c r="J398" s="4" t="s">
        <v>88</v>
      </c>
      <c r="K398" s="4" t="s">
        <v>68</v>
      </c>
      <c r="L398" s="35" t="n">
        <f aca="false">G398*H398</f>
        <v>510</v>
      </c>
      <c r="M398" s="35" t="n">
        <f aca="false">L398*I398</f>
        <v>0</v>
      </c>
      <c r="N398" s="35" t="n">
        <f aca="false">L398-M398</f>
        <v>510</v>
      </c>
      <c r="O398" s="4" t="n">
        <f aca="false">MONTH(B398)</f>
        <v>4</v>
      </c>
      <c r="P398" s="4" t="str">
        <f aca="false">CHOOSE(WEEKDAY(B398,2),"Mon","Tue","Wed","Thu","Fri","Sat","Sun")</f>
        <v>Tue</v>
      </c>
      <c r="Q398" s="4" t="str">
        <f aca="false">IF(WEEKDAY(B398,2)&gt;5,"Weekend","Weekday")</f>
        <v>Weekday</v>
      </c>
      <c r="R398" s="4" t="str">
        <f aca="false">IF(C398&lt;11,"Morning (7-10)",IF(C398&lt;14,"Lunch (11-13)",IF(C398&lt;18,"Afternoon (14-17)","Evening (18-20)")))</f>
        <v>Morning (7-10)</v>
      </c>
      <c r="S398" s="4" t="str">
        <f aca="false">IF(AND(O398&gt;=3,O398&lt;=5),"Hot Dry (Mar-May)",IF(AND(O398&gt;=6,O398&lt;=11),"Rainy (Jun-Nov)","Cool Dry (Dec-Feb)"))</f>
        <v>Hot Dry (Mar-May)</v>
      </c>
      <c r="T398" s="4" t="str">
        <f aca="false">CHOOSE(O398,"Jan","Feb","Mar","Apr","May","Jun","Jul","Aug","Sep","Oct","Nov","Dec")</f>
        <v>Apr</v>
      </c>
    </row>
    <row r="399" customFormat="false" ht="15" hidden="false" customHeight="false" outlineLevel="0" collapsed="false">
      <c r="A399" s="4" t="s">
        <v>594</v>
      </c>
      <c r="B399" s="17" t="n">
        <v>45748</v>
      </c>
      <c r="C399" s="4" t="n">
        <v>14</v>
      </c>
      <c r="D399" s="4" t="s">
        <v>70</v>
      </c>
      <c r="E399" s="4" t="s">
        <v>99</v>
      </c>
      <c r="F399" s="4" t="s">
        <v>133</v>
      </c>
      <c r="G399" s="4" t="n">
        <v>1</v>
      </c>
      <c r="H399" s="34" t="n">
        <v>90</v>
      </c>
      <c r="I399" s="18" t="n">
        <v>0.05</v>
      </c>
      <c r="J399" s="4" t="s">
        <v>67</v>
      </c>
      <c r="K399" s="4" t="s">
        <v>82</v>
      </c>
      <c r="L399" s="35" t="n">
        <f aca="false">G399*H399</f>
        <v>90</v>
      </c>
      <c r="M399" s="35" t="n">
        <f aca="false">L399*I399</f>
        <v>4.5</v>
      </c>
      <c r="N399" s="35" t="n">
        <f aca="false">L399-M399</f>
        <v>85.5</v>
      </c>
      <c r="O399" s="4" t="n">
        <f aca="false">MONTH(B399)</f>
        <v>4</v>
      </c>
      <c r="P399" s="4" t="str">
        <f aca="false">CHOOSE(WEEKDAY(B399,2),"Mon","Tue","Wed","Thu","Fri","Sat","Sun")</f>
        <v>Tue</v>
      </c>
      <c r="Q399" s="4" t="str">
        <f aca="false">IF(WEEKDAY(B399,2)&gt;5,"Weekend","Weekday")</f>
        <v>Weekday</v>
      </c>
      <c r="R399" s="4" t="str">
        <f aca="false">IF(C399&lt;11,"Morning (7-10)",IF(C399&lt;14,"Lunch (11-13)",IF(C399&lt;18,"Afternoon (14-17)","Evening (18-20)")))</f>
        <v>Afternoon (14-17)</v>
      </c>
      <c r="S399" s="4" t="str">
        <f aca="false">IF(AND(O399&gt;=3,O399&lt;=5),"Hot Dry (Mar-May)",IF(AND(O399&gt;=6,O399&lt;=11),"Rainy (Jun-Nov)","Cool Dry (Dec-Feb)"))</f>
        <v>Hot Dry (Mar-May)</v>
      </c>
      <c r="T399" s="4" t="str">
        <f aca="false">CHOOSE(O399,"Jan","Feb","Mar","Apr","May","Jun","Jul","Aug","Sep","Oct","Nov","Dec")</f>
        <v>Apr</v>
      </c>
    </row>
    <row r="400" customFormat="false" ht="15" hidden="false" customHeight="false" outlineLevel="0" collapsed="false">
      <c r="A400" s="4" t="s">
        <v>595</v>
      </c>
      <c r="B400" s="17" t="n">
        <v>45748</v>
      </c>
      <c r="C400" s="4" t="n">
        <v>14</v>
      </c>
      <c r="D400" s="4" t="s">
        <v>70</v>
      </c>
      <c r="E400" s="4" t="s">
        <v>84</v>
      </c>
      <c r="F400" s="4" t="s">
        <v>85</v>
      </c>
      <c r="G400" s="4" t="n">
        <v>1</v>
      </c>
      <c r="H400" s="34" t="n">
        <v>150</v>
      </c>
      <c r="I400" s="18" t="n">
        <v>0.1</v>
      </c>
      <c r="J400" s="4" t="s">
        <v>81</v>
      </c>
      <c r="K400" s="4" t="s">
        <v>71</v>
      </c>
      <c r="L400" s="35" t="n">
        <f aca="false">G400*H400</f>
        <v>150</v>
      </c>
      <c r="M400" s="35" t="n">
        <f aca="false">L400*I400</f>
        <v>15</v>
      </c>
      <c r="N400" s="35" t="n">
        <f aca="false">L400-M400</f>
        <v>135</v>
      </c>
      <c r="O400" s="4" t="n">
        <f aca="false">MONTH(B400)</f>
        <v>4</v>
      </c>
      <c r="P400" s="4" t="str">
        <f aca="false">CHOOSE(WEEKDAY(B400,2),"Mon","Tue","Wed","Thu","Fri","Sat","Sun")</f>
        <v>Tue</v>
      </c>
      <c r="Q400" s="4" t="str">
        <f aca="false">IF(WEEKDAY(B400,2)&gt;5,"Weekend","Weekday")</f>
        <v>Weekday</v>
      </c>
      <c r="R400" s="4" t="str">
        <f aca="false">IF(C400&lt;11,"Morning (7-10)",IF(C400&lt;14,"Lunch (11-13)",IF(C400&lt;18,"Afternoon (14-17)","Evening (18-20)")))</f>
        <v>Afternoon (14-17)</v>
      </c>
      <c r="S400" s="4" t="str">
        <f aca="false">IF(AND(O400&gt;=3,O400&lt;=5),"Hot Dry (Mar-May)",IF(AND(O400&gt;=6,O400&lt;=11),"Rainy (Jun-Nov)","Cool Dry (Dec-Feb)"))</f>
        <v>Hot Dry (Mar-May)</v>
      </c>
      <c r="T400" s="4" t="str">
        <f aca="false">CHOOSE(O400,"Jan","Feb","Mar","Apr","May","Jun","Jul","Aug","Sep","Oct","Nov","Dec")</f>
        <v>Apr</v>
      </c>
    </row>
    <row r="401" customFormat="false" ht="15" hidden="false" customHeight="false" outlineLevel="0" collapsed="false">
      <c r="A401" s="4" t="s">
        <v>596</v>
      </c>
      <c r="B401" s="17" t="n">
        <v>45748</v>
      </c>
      <c r="C401" s="4" t="n">
        <v>15</v>
      </c>
      <c r="D401" s="4" t="s">
        <v>70</v>
      </c>
      <c r="E401" s="4" t="s">
        <v>65</v>
      </c>
      <c r="F401" s="4" t="s">
        <v>121</v>
      </c>
      <c r="G401" s="4" t="n">
        <v>3</v>
      </c>
      <c r="H401" s="34" t="n">
        <v>170</v>
      </c>
      <c r="I401" s="18" t="n">
        <v>0.05</v>
      </c>
      <c r="J401" s="4" t="s">
        <v>76</v>
      </c>
      <c r="K401" s="4" t="s">
        <v>82</v>
      </c>
      <c r="L401" s="35" t="n">
        <f aca="false">G401*H401</f>
        <v>510</v>
      </c>
      <c r="M401" s="35" t="n">
        <f aca="false">L401*I401</f>
        <v>25.5</v>
      </c>
      <c r="N401" s="35" t="n">
        <f aca="false">L401-M401</f>
        <v>484.5</v>
      </c>
      <c r="O401" s="4" t="n">
        <f aca="false">MONTH(B401)</f>
        <v>4</v>
      </c>
      <c r="P401" s="4" t="str">
        <f aca="false">CHOOSE(WEEKDAY(B401,2),"Mon","Tue","Wed","Thu","Fri","Sat","Sun")</f>
        <v>Tue</v>
      </c>
      <c r="Q401" s="4" t="str">
        <f aca="false">IF(WEEKDAY(B401,2)&gt;5,"Weekend","Weekday")</f>
        <v>Weekday</v>
      </c>
      <c r="R401" s="4" t="str">
        <f aca="false">IF(C401&lt;11,"Morning (7-10)",IF(C401&lt;14,"Lunch (11-13)",IF(C401&lt;18,"Afternoon (14-17)","Evening (18-20)")))</f>
        <v>Afternoon (14-17)</v>
      </c>
      <c r="S401" s="4" t="str">
        <f aca="false">IF(AND(O401&gt;=3,O401&lt;=5),"Hot Dry (Mar-May)",IF(AND(O401&gt;=6,O401&lt;=11),"Rainy (Jun-Nov)","Cool Dry (Dec-Feb)"))</f>
        <v>Hot Dry (Mar-May)</v>
      </c>
      <c r="T401" s="4" t="str">
        <f aca="false">CHOOSE(O401,"Jan","Feb","Mar","Apr","May","Jun","Jul","Aug","Sep","Oct","Nov","Dec")</f>
        <v>Apr</v>
      </c>
    </row>
    <row r="402" customFormat="false" ht="15" hidden="false" customHeight="false" outlineLevel="0" collapsed="false">
      <c r="A402" s="4" t="s">
        <v>597</v>
      </c>
      <c r="B402" s="17" t="n">
        <v>45748</v>
      </c>
      <c r="C402" s="4" t="n">
        <v>17</v>
      </c>
      <c r="D402" s="4" t="s">
        <v>64</v>
      </c>
      <c r="E402" s="4" t="s">
        <v>65</v>
      </c>
      <c r="F402" s="4" t="s">
        <v>66</v>
      </c>
      <c r="G402" s="4" t="n">
        <v>1</v>
      </c>
      <c r="H402" s="34" t="n">
        <v>120</v>
      </c>
      <c r="I402" s="18" t="n">
        <v>0.1</v>
      </c>
      <c r="J402" s="4" t="s">
        <v>81</v>
      </c>
      <c r="K402" s="4" t="s">
        <v>71</v>
      </c>
      <c r="L402" s="35" t="n">
        <f aca="false">G402*H402</f>
        <v>120</v>
      </c>
      <c r="M402" s="35" t="n">
        <f aca="false">L402*I402</f>
        <v>12</v>
      </c>
      <c r="N402" s="35" t="n">
        <f aca="false">L402-M402</f>
        <v>108</v>
      </c>
      <c r="O402" s="4" t="n">
        <f aca="false">MONTH(B402)</f>
        <v>4</v>
      </c>
      <c r="P402" s="4" t="str">
        <f aca="false">CHOOSE(WEEKDAY(B402,2),"Mon","Tue","Wed","Thu","Fri","Sat","Sun")</f>
        <v>Tue</v>
      </c>
      <c r="Q402" s="4" t="str">
        <f aca="false">IF(WEEKDAY(B402,2)&gt;5,"Weekend","Weekday")</f>
        <v>Weekday</v>
      </c>
      <c r="R402" s="4" t="str">
        <f aca="false">IF(C402&lt;11,"Morning (7-10)",IF(C402&lt;14,"Lunch (11-13)",IF(C402&lt;18,"Afternoon (14-17)","Evening (18-20)")))</f>
        <v>Afternoon (14-17)</v>
      </c>
      <c r="S402" s="4" t="str">
        <f aca="false">IF(AND(O402&gt;=3,O402&lt;=5),"Hot Dry (Mar-May)",IF(AND(O402&gt;=6,O402&lt;=11),"Rainy (Jun-Nov)","Cool Dry (Dec-Feb)"))</f>
        <v>Hot Dry (Mar-May)</v>
      </c>
      <c r="T402" s="4" t="str">
        <f aca="false">CHOOSE(O402,"Jan","Feb","Mar","Apr","May","Jun","Jul","Aug","Sep","Oct","Nov","Dec")</f>
        <v>Apr</v>
      </c>
    </row>
    <row r="403" customFormat="false" ht="15" hidden="false" customHeight="false" outlineLevel="0" collapsed="false">
      <c r="A403" s="4" t="s">
        <v>598</v>
      </c>
      <c r="B403" s="17" t="n">
        <v>45748</v>
      </c>
      <c r="C403" s="4" t="n">
        <v>19</v>
      </c>
      <c r="D403" s="4" t="s">
        <v>98</v>
      </c>
      <c r="E403" s="4" t="s">
        <v>99</v>
      </c>
      <c r="F403" s="4" t="s">
        <v>102</v>
      </c>
      <c r="G403" s="4" t="n">
        <v>1</v>
      </c>
      <c r="H403" s="34" t="n">
        <v>140</v>
      </c>
      <c r="I403" s="18" t="n">
        <v>0</v>
      </c>
      <c r="J403" s="4" t="s">
        <v>81</v>
      </c>
      <c r="K403" s="4" t="s">
        <v>77</v>
      </c>
      <c r="L403" s="35" t="n">
        <f aca="false">G403*H403</f>
        <v>140</v>
      </c>
      <c r="M403" s="35" t="n">
        <f aca="false">L403*I403</f>
        <v>0</v>
      </c>
      <c r="N403" s="35" t="n">
        <f aca="false">L403-M403</f>
        <v>140</v>
      </c>
      <c r="O403" s="4" t="n">
        <f aca="false">MONTH(B403)</f>
        <v>4</v>
      </c>
      <c r="P403" s="4" t="str">
        <f aca="false">CHOOSE(WEEKDAY(B403,2),"Mon","Tue","Wed","Thu","Fri","Sat","Sun")</f>
        <v>Tue</v>
      </c>
      <c r="Q403" s="4" t="str">
        <f aca="false">IF(WEEKDAY(B403,2)&gt;5,"Weekend","Weekday")</f>
        <v>Weekday</v>
      </c>
      <c r="R403" s="4" t="str">
        <f aca="false">IF(C403&lt;11,"Morning (7-10)",IF(C403&lt;14,"Lunch (11-13)",IF(C403&lt;18,"Afternoon (14-17)","Evening (18-20)")))</f>
        <v>Evening (18-20)</v>
      </c>
      <c r="S403" s="4" t="str">
        <f aca="false">IF(AND(O403&gt;=3,O403&lt;=5),"Hot Dry (Mar-May)",IF(AND(O403&gt;=6,O403&lt;=11),"Rainy (Jun-Nov)","Cool Dry (Dec-Feb)"))</f>
        <v>Hot Dry (Mar-May)</v>
      </c>
      <c r="T403" s="4" t="str">
        <f aca="false">CHOOSE(O403,"Jan","Feb","Mar","Apr","May","Jun","Jul","Aug","Sep","Oct","Nov","Dec")</f>
        <v>Apr</v>
      </c>
    </row>
    <row r="404" customFormat="false" ht="15" hidden="false" customHeight="false" outlineLevel="0" collapsed="false">
      <c r="A404" s="4" t="s">
        <v>599</v>
      </c>
      <c r="B404" s="17" t="n">
        <v>45749</v>
      </c>
      <c r="C404" s="4" t="n">
        <v>8</v>
      </c>
      <c r="D404" s="4" t="s">
        <v>64</v>
      </c>
      <c r="E404" s="4" t="s">
        <v>79</v>
      </c>
      <c r="F404" s="4" t="s">
        <v>80</v>
      </c>
      <c r="G404" s="4" t="n">
        <v>1</v>
      </c>
      <c r="H404" s="34" t="n">
        <v>160</v>
      </c>
      <c r="I404" s="18" t="n">
        <v>0.1</v>
      </c>
      <c r="J404" s="4" t="s">
        <v>81</v>
      </c>
      <c r="K404" s="4" t="s">
        <v>71</v>
      </c>
      <c r="L404" s="35" t="n">
        <f aca="false">G404*H404</f>
        <v>160</v>
      </c>
      <c r="M404" s="35" t="n">
        <f aca="false">L404*I404</f>
        <v>16</v>
      </c>
      <c r="N404" s="35" t="n">
        <f aca="false">L404-M404</f>
        <v>144</v>
      </c>
      <c r="O404" s="4" t="n">
        <f aca="false">MONTH(B404)</f>
        <v>4</v>
      </c>
      <c r="P404" s="4" t="str">
        <f aca="false">CHOOSE(WEEKDAY(B404,2),"Mon","Tue","Wed","Thu","Fri","Sat","Sun")</f>
        <v>Wed</v>
      </c>
      <c r="Q404" s="4" t="str">
        <f aca="false">IF(WEEKDAY(B404,2)&gt;5,"Weekend","Weekday")</f>
        <v>Weekday</v>
      </c>
      <c r="R404" s="4" t="str">
        <f aca="false">IF(C404&lt;11,"Morning (7-10)",IF(C404&lt;14,"Lunch (11-13)",IF(C404&lt;18,"Afternoon (14-17)","Evening (18-20)")))</f>
        <v>Morning (7-10)</v>
      </c>
      <c r="S404" s="4" t="str">
        <f aca="false">IF(AND(O404&gt;=3,O404&lt;=5),"Hot Dry (Mar-May)",IF(AND(O404&gt;=6,O404&lt;=11),"Rainy (Jun-Nov)","Cool Dry (Dec-Feb)"))</f>
        <v>Hot Dry (Mar-May)</v>
      </c>
      <c r="T404" s="4" t="str">
        <f aca="false">CHOOSE(O404,"Jan","Feb","Mar","Apr","May","Jun","Jul","Aug","Sep","Oct","Nov","Dec")</f>
        <v>Apr</v>
      </c>
    </row>
    <row r="405" customFormat="false" ht="15" hidden="false" customHeight="false" outlineLevel="0" collapsed="false">
      <c r="A405" s="4" t="s">
        <v>600</v>
      </c>
      <c r="B405" s="17" t="n">
        <v>45749</v>
      </c>
      <c r="C405" s="4" t="n">
        <v>10</v>
      </c>
      <c r="D405" s="4" t="s">
        <v>70</v>
      </c>
      <c r="E405" s="4" t="s">
        <v>65</v>
      </c>
      <c r="F405" s="4" t="s">
        <v>87</v>
      </c>
      <c r="G405" s="4" t="n">
        <v>1</v>
      </c>
      <c r="H405" s="34" t="n">
        <v>160</v>
      </c>
      <c r="I405" s="18" t="n">
        <v>0.1</v>
      </c>
      <c r="J405" s="4" t="s">
        <v>81</v>
      </c>
      <c r="K405" s="4" t="s">
        <v>71</v>
      </c>
      <c r="L405" s="35" t="n">
        <f aca="false">G405*H405</f>
        <v>160</v>
      </c>
      <c r="M405" s="35" t="n">
        <f aca="false">L405*I405</f>
        <v>16</v>
      </c>
      <c r="N405" s="35" t="n">
        <f aca="false">L405-M405</f>
        <v>144</v>
      </c>
      <c r="O405" s="4" t="n">
        <f aca="false">MONTH(B405)</f>
        <v>4</v>
      </c>
      <c r="P405" s="4" t="str">
        <f aca="false">CHOOSE(WEEKDAY(B405,2),"Mon","Tue","Wed","Thu","Fri","Sat","Sun")</f>
        <v>Wed</v>
      </c>
      <c r="Q405" s="4" t="str">
        <f aca="false">IF(WEEKDAY(B405,2)&gt;5,"Weekend","Weekday")</f>
        <v>Weekday</v>
      </c>
      <c r="R405" s="4" t="str">
        <f aca="false">IF(C405&lt;11,"Morning (7-10)",IF(C405&lt;14,"Lunch (11-13)",IF(C405&lt;18,"Afternoon (14-17)","Evening (18-20)")))</f>
        <v>Morning (7-10)</v>
      </c>
      <c r="S405" s="4" t="str">
        <f aca="false">IF(AND(O405&gt;=3,O405&lt;=5),"Hot Dry (Mar-May)",IF(AND(O405&gt;=6,O405&lt;=11),"Rainy (Jun-Nov)","Cool Dry (Dec-Feb)"))</f>
        <v>Hot Dry (Mar-May)</v>
      </c>
      <c r="T405" s="4" t="str">
        <f aca="false">CHOOSE(O405,"Jan","Feb","Mar","Apr","May","Jun","Jul","Aug","Sep","Oct","Nov","Dec")</f>
        <v>Apr</v>
      </c>
    </row>
    <row r="406" customFormat="false" ht="15" hidden="false" customHeight="false" outlineLevel="0" collapsed="false">
      <c r="A406" s="4" t="s">
        <v>601</v>
      </c>
      <c r="B406" s="17" t="n">
        <v>45749</v>
      </c>
      <c r="C406" s="4" t="n">
        <v>12</v>
      </c>
      <c r="D406" s="4" t="s">
        <v>98</v>
      </c>
      <c r="E406" s="4" t="s">
        <v>79</v>
      </c>
      <c r="F406" s="4" t="s">
        <v>148</v>
      </c>
      <c r="G406" s="4" t="n">
        <v>1</v>
      </c>
      <c r="H406" s="34" t="n">
        <v>120</v>
      </c>
      <c r="I406" s="18" t="n">
        <v>0</v>
      </c>
      <c r="J406" s="4" t="s">
        <v>76</v>
      </c>
      <c r="K406" s="4" t="s">
        <v>68</v>
      </c>
      <c r="L406" s="35" t="n">
        <f aca="false">G406*H406</f>
        <v>120</v>
      </c>
      <c r="M406" s="35" t="n">
        <f aca="false">L406*I406</f>
        <v>0</v>
      </c>
      <c r="N406" s="35" t="n">
        <f aca="false">L406-M406</f>
        <v>120</v>
      </c>
      <c r="O406" s="4" t="n">
        <f aca="false">MONTH(B406)</f>
        <v>4</v>
      </c>
      <c r="P406" s="4" t="str">
        <f aca="false">CHOOSE(WEEKDAY(B406,2),"Mon","Tue","Wed","Thu","Fri","Sat","Sun")</f>
        <v>Wed</v>
      </c>
      <c r="Q406" s="4" t="str">
        <f aca="false">IF(WEEKDAY(B406,2)&gt;5,"Weekend","Weekday")</f>
        <v>Weekday</v>
      </c>
      <c r="R406" s="4" t="str">
        <f aca="false">IF(C406&lt;11,"Morning (7-10)",IF(C406&lt;14,"Lunch (11-13)",IF(C406&lt;18,"Afternoon (14-17)","Evening (18-20)")))</f>
        <v>Lunch (11-13)</v>
      </c>
      <c r="S406" s="4" t="str">
        <f aca="false">IF(AND(O406&gt;=3,O406&lt;=5),"Hot Dry (Mar-May)",IF(AND(O406&gt;=6,O406&lt;=11),"Rainy (Jun-Nov)","Cool Dry (Dec-Feb)"))</f>
        <v>Hot Dry (Mar-May)</v>
      </c>
      <c r="T406" s="4" t="str">
        <f aca="false">CHOOSE(O406,"Jan","Feb","Mar","Apr","May","Jun","Jul","Aug","Sep","Oct","Nov","Dec")</f>
        <v>Apr</v>
      </c>
    </row>
    <row r="407" customFormat="false" ht="15" hidden="false" customHeight="false" outlineLevel="0" collapsed="false">
      <c r="A407" s="4" t="s">
        <v>602</v>
      </c>
      <c r="B407" s="17" t="n">
        <v>45749</v>
      </c>
      <c r="C407" s="4" t="n">
        <v>18</v>
      </c>
      <c r="D407" s="4" t="s">
        <v>64</v>
      </c>
      <c r="E407" s="4" t="s">
        <v>65</v>
      </c>
      <c r="F407" s="4" t="s">
        <v>87</v>
      </c>
      <c r="G407" s="4" t="n">
        <v>1</v>
      </c>
      <c r="H407" s="34" t="n">
        <v>160</v>
      </c>
      <c r="I407" s="18" t="n">
        <v>0.1</v>
      </c>
      <c r="J407" s="4" t="s">
        <v>112</v>
      </c>
      <c r="K407" s="4" t="s">
        <v>71</v>
      </c>
      <c r="L407" s="35" t="n">
        <f aca="false">G407*H407</f>
        <v>160</v>
      </c>
      <c r="M407" s="35" t="n">
        <f aca="false">L407*I407</f>
        <v>16</v>
      </c>
      <c r="N407" s="35" t="n">
        <f aca="false">L407-M407</f>
        <v>144</v>
      </c>
      <c r="O407" s="4" t="n">
        <f aca="false">MONTH(B407)</f>
        <v>4</v>
      </c>
      <c r="P407" s="4" t="str">
        <f aca="false">CHOOSE(WEEKDAY(B407,2),"Mon","Tue","Wed","Thu","Fri","Sat","Sun")</f>
        <v>Wed</v>
      </c>
      <c r="Q407" s="4" t="str">
        <f aca="false">IF(WEEKDAY(B407,2)&gt;5,"Weekend","Weekday")</f>
        <v>Weekday</v>
      </c>
      <c r="R407" s="4" t="str">
        <f aca="false">IF(C407&lt;11,"Morning (7-10)",IF(C407&lt;14,"Lunch (11-13)",IF(C407&lt;18,"Afternoon (14-17)","Evening (18-20)")))</f>
        <v>Evening (18-20)</v>
      </c>
      <c r="S407" s="4" t="str">
        <f aca="false">IF(AND(O407&gt;=3,O407&lt;=5),"Hot Dry (Mar-May)",IF(AND(O407&gt;=6,O407&lt;=11),"Rainy (Jun-Nov)","Cool Dry (Dec-Feb)"))</f>
        <v>Hot Dry (Mar-May)</v>
      </c>
      <c r="T407" s="4" t="str">
        <f aca="false">CHOOSE(O407,"Jan","Feb","Mar","Apr","May","Jun","Jul","Aug","Sep","Oct","Nov","Dec")</f>
        <v>Apr</v>
      </c>
    </row>
    <row r="408" customFormat="false" ht="15" hidden="false" customHeight="false" outlineLevel="0" collapsed="false">
      <c r="A408" s="4" t="s">
        <v>603</v>
      </c>
      <c r="B408" s="17" t="n">
        <v>45749</v>
      </c>
      <c r="C408" s="4" t="n">
        <v>19</v>
      </c>
      <c r="D408" s="4" t="s">
        <v>70</v>
      </c>
      <c r="E408" s="4" t="s">
        <v>65</v>
      </c>
      <c r="F408" s="4" t="s">
        <v>94</v>
      </c>
      <c r="G408" s="4" t="n">
        <v>3</v>
      </c>
      <c r="H408" s="34" t="n">
        <v>150</v>
      </c>
      <c r="I408" s="18" t="n">
        <v>0</v>
      </c>
      <c r="J408" s="4" t="s">
        <v>76</v>
      </c>
      <c r="K408" s="4" t="s">
        <v>68</v>
      </c>
      <c r="L408" s="35" t="n">
        <f aca="false">G408*H408</f>
        <v>450</v>
      </c>
      <c r="M408" s="35" t="n">
        <f aca="false">L408*I408</f>
        <v>0</v>
      </c>
      <c r="N408" s="35" t="n">
        <f aca="false">L408-M408</f>
        <v>450</v>
      </c>
      <c r="O408" s="4" t="n">
        <f aca="false">MONTH(B408)</f>
        <v>4</v>
      </c>
      <c r="P408" s="4" t="str">
        <f aca="false">CHOOSE(WEEKDAY(B408,2),"Mon","Tue","Wed","Thu","Fri","Sat","Sun")</f>
        <v>Wed</v>
      </c>
      <c r="Q408" s="4" t="str">
        <f aca="false">IF(WEEKDAY(B408,2)&gt;5,"Weekend","Weekday")</f>
        <v>Weekday</v>
      </c>
      <c r="R408" s="4" t="str">
        <f aca="false">IF(C408&lt;11,"Morning (7-10)",IF(C408&lt;14,"Lunch (11-13)",IF(C408&lt;18,"Afternoon (14-17)","Evening (18-20)")))</f>
        <v>Evening (18-20)</v>
      </c>
      <c r="S408" s="4" t="str">
        <f aca="false">IF(AND(O408&gt;=3,O408&lt;=5),"Hot Dry (Mar-May)",IF(AND(O408&gt;=6,O408&lt;=11),"Rainy (Jun-Nov)","Cool Dry (Dec-Feb)"))</f>
        <v>Hot Dry (Mar-May)</v>
      </c>
      <c r="T408" s="4" t="str">
        <f aca="false">CHOOSE(O408,"Jan","Feb","Mar","Apr","May","Jun","Jul","Aug","Sep","Oct","Nov","Dec")</f>
        <v>Apr</v>
      </c>
    </row>
    <row r="409" customFormat="false" ht="15" hidden="false" customHeight="false" outlineLevel="0" collapsed="false">
      <c r="A409" s="4" t="s">
        <v>604</v>
      </c>
      <c r="B409" s="17" t="n">
        <v>45750</v>
      </c>
      <c r="C409" s="4" t="n">
        <v>7</v>
      </c>
      <c r="D409" s="4" t="s">
        <v>70</v>
      </c>
      <c r="E409" s="4" t="s">
        <v>65</v>
      </c>
      <c r="F409" s="4" t="s">
        <v>94</v>
      </c>
      <c r="G409" s="4" t="n">
        <v>2</v>
      </c>
      <c r="H409" s="34" t="n">
        <v>150</v>
      </c>
      <c r="I409" s="18" t="n">
        <v>0</v>
      </c>
      <c r="J409" s="4" t="s">
        <v>81</v>
      </c>
      <c r="K409" s="4" t="s">
        <v>77</v>
      </c>
      <c r="L409" s="35" t="n">
        <f aca="false">G409*H409</f>
        <v>300</v>
      </c>
      <c r="M409" s="35" t="n">
        <f aca="false">L409*I409</f>
        <v>0</v>
      </c>
      <c r="N409" s="35" t="n">
        <f aca="false">L409-M409</f>
        <v>300</v>
      </c>
      <c r="O409" s="4" t="n">
        <f aca="false">MONTH(B409)</f>
        <v>4</v>
      </c>
      <c r="P409" s="4" t="str">
        <f aca="false">CHOOSE(WEEKDAY(B409,2),"Mon","Tue","Wed","Thu","Fri","Sat","Sun")</f>
        <v>Thu</v>
      </c>
      <c r="Q409" s="4" t="str">
        <f aca="false">IF(WEEKDAY(B409,2)&gt;5,"Weekend","Weekday")</f>
        <v>Weekday</v>
      </c>
      <c r="R409" s="4" t="str">
        <f aca="false">IF(C409&lt;11,"Morning (7-10)",IF(C409&lt;14,"Lunch (11-13)",IF(C409&lt;18,"Afternoon (14-17)","Evening (18-20)")))</f>
        <v>Morning (7-10)</v>
      </c>
      <c r="S409" s="4" t="str">
        <f aca="false">IF(AND(O409&gt;=3,O409&lt;=5),"Hot Dry (Mar-May)",IF(AND(O409&gt;=6,O409&lt;=11),"Rainy (Jun-Nov)","Cool Dry (Dec-Feb)"))</f>
        <v>Hot Dry (Mar-May)</v>
      </c>
      <c r="T409" s="4" t="str">
        <f aca="false">CHOOSE(O409,"Jan","Feb","Mar","Apr","May","Jun","Jul","Aug","Sep","Oct","Nov","Dec")</f>
        <v>Apr</v>
      </c>
    </row>
    <row r="410" customFormat="false" ht="15" hidden="false" customHeight="false" outlineLevel="0" collapsed="false">
      <c r="A410" s="4" t="s">
        <v>605</v>
      </c>
      <c r="B410" s="17" t="n">
        <v>45750</v>
      </c>
      <c r="C410" s="4" t="n">
        <v>8</v>
      </c>
      <c r="D410" s="4" t="s">
        <v>70</v>
      </c>
      <c r="E410" s="4" t="s">
        <v>84</v>
      </c>
      <c r="F410" s="4" t="s">
        <v>85</v>
      </c>
      <c r="G410" s="4" t="n">
        <v>3</v>
      </c>
      <c r="H410" s="34" t="n">
        <v>150</v>
      </c>
      <c r="I410" s="18" t="n">
        <v>0</v>
      </c>
      <c r="J410" s="4" t="s">
        <v>67</v>
      </c>
      <c r="K410" s="4" t="s">
        <v>68</v>
      </c>
      <c r="L410" s="35" t="n">
        <f aca="false">G410*H410</f>
        <v>450</v>
      </c>
      <c r="M410" s="35" t="n">
        <f aca="false">L410*I410</f>
        <v>0</v>
      </c>
      <c r="N410" s="35" t="n">
        <f aca="false">L410-M410</f>
        <v>450</v>
      </c>
      <c r="O410" s="4" t="n">
        <f aca="false">MONTH(B410)</f>
        <v>4</v>
      </c>
      <c r="P410" s="4" t="str">
        <f aca="false">CHOOSE(WEEKDAY(B410,2),"Mon","Tue","Wed","Thu","Fri","Sat","Sun")</f>
        <v>Thu</v>
      </c>
      <c r="Q410" s="4" t="str">
        <f aca="false">IF(WEEKDAY(B410,2)&gt;5,"Weekend","Weekday")</f>
        <v>Weekday</v>
      </c>
      <c r="R410" s="4" t="str">
        <f aca="false">IF(C410&lt;11,"Morning (7-10)",IF(C410&lt;14,"Lunch (11-13)",IF(C410&lt;18,"Afternoon (14-17)","Evening (18-20)")))</f>
        <v>Morning (7-10)</v>
      </c>
      <c r="S410" s="4" t="str">
        <f aca="false">IF(AND(O410&gt;=3,O410&lt;=5),"Hot Dry (Mar-May)",IF(AND(O410&gt;=6,O410&lt;=11),"Rainy (Jun-Nov)","Cool Dry (Dec-Feb)"))</f>
        <v>Hot Dry (Mar-May)</v>
      </c>
      <c r="T410" s="4" t="str">
        <f aca="false">CHOOSE(O410,"Jan","Feb","Mar","Apr","May","Jun","Jul","Aug","Sep","Oct","Nov","Dec")</f>
        <v>Apr</v>
      </c>
    </row>
    <row r="411" customFormat="false" ht="15" hidden="false" customHeight="false" outlineLevel="0" collapsed="false">
      <c r="A411" s="4" t="s">
        <v>606</v>
      </c>
      <c r="B411" s="17" t="n">
        <v>45750</v>
      </c>
      <c r="C411" s="4" t="n">
        <v>14</v>
      </c>
      <c r="D411" s="4" t="s">
        <v>98</v>
      </c>
      <c r="E411" s="4" t="s">
        <v>74</v>
      </c>
      <c r="F411" s="4" t="s">
        <v>91</v>
      </c>
      <c r="G411" s="4" t="n">
        <v>1</v>
      </c>
      <c r="H411" s="34" t="n">
        <v>200</v>
      </c>
      <c r="I411" s="18" t="n">
        <v>0.05</v>
      </c>
      <c r="J411" s="4" t="s">
        <v>81</v>
      </c>
      <c r="K411" s="4" t="s">
        <v>82</v>
      </c>
      <c r="L411" s="35" t="n">
        <f aca="false">G411*H411</f>
        <v>200</v>
      </c>
      <c r="M411" s="35" t="n">
        <f aca="false">L411*I411</f>
        <v>10</v>
      </c>
      <c r="N411" s="35" t="n">
        <f aca="false">L411-M411</f>
        <v>190</v>
      </c>
      <c r="O411" s="4" t="n">
        <f aca="false">MONTH(B411)</f>
        <v>4</v>
      </c>
      <c r="P411" s="4" t="str">
        <f aca="false">CHOOSE(WEEKDAY(B411,2),"Mon","Tue","Wed","Thu","Fri","Sat","Sun")</f>
        <v>Thu</v>
      </c>
      <c r="Q411" s="4" t="str">
        <f aca="false">IF(WEEKDAY(B411,2)&gt;5,"Weekend","Weekday")</f>
        <v>Weekday</v>
      </c>
      <c r="R411" s="4" t="str">
        <f aca="false">IF(C411&lt;11,"Morning (7-10)",IF(C411&lt;14,"Lunch (11-13)",IF(C411&lt;18,"Afternoon (14-17)","Evening (18-20)")))</f>
        <v>Afternoon (14-17)</v>
      </c>
      <c r="S411" s="4" t="str">
        <f aca="false">IF(AND(O411&gt;=3,O411&lt;=5),"Hot Dry (Mar-May)",IF(AND(O411&gt;=6,O411&lt;=11),"Rainy (Jun-Nov)","Cool Dry (Dec-Feb)"))</f>
        <v>Hot Dry (Mar-May)</v>
      </c>
      <c r="T411" s="4" t="str">
        <f aca="false">CHOOSE(O411,"Jan","Feb","Mar","Apr","May","Jun","Jul","Aug","Sep","Oct","Nov","Dec")</f>
        <v>Apr</v>
      </c>
    </row>
    <row r="412" customFormat="false" ht="15" hidden="false" customHeight="false" outlineLevel="0" collapsed="false">
      <c r="A412" s="4" t="s">
        <v>607</v>
      </c>
      <c r="B412" s="17" t="n">
        <v>45750</v>
      </c>
      <c r="C412" s="4" t="n">
        <v>15</v>
      </c>
      <c r="D412" s="4" t="s">
        <v>73</v>
      </c>
      <c r="E412" s="4" t="s">
        <v>74</v>
      </c>
      <c r="F412" s="4" t="s">
        <v>91</v>
      </c>
      <c r="G412" s="4" t="n">
        <v>1</v>
      </c>
      <c r="H412" s="34" t="n">
        <v>200</v>
      </c>
      <c r="I412" s="18" t="n">
        <v>0.05</v>
      </c>
      <c r="J412" s="4" t="s">
        <v>76</v>
      </c>
      <c r="K412" s="4" t="s">
        <v>82</v>
      </c>
      <c r="L412" s="35" t="n">
        <f aca="false">G412*H412</f>
        <v>200</v>
      </c>
      <c r="M412" s="35" t="n">
        <f aca="false">L412*I412</f>
        <v>10</v>
      </c>
      <c r="N412" s="35" t="n">
        <f aca="false">L412-M412</f>
        <v>190</v>
      </c>
      <c r="O412" s="4" t="n">
        <f aca="false">MONTH(B412)</f>
        <v>4</v>
      </c>
      <c r="P412" s="4" t="str">
        <f aca="false">CHOOSE(WEEKDAY(B412,2),"Mon","Tue","Wed","Thu","Fri","Sat","Sun")</f>
        <v>Thu</v>
      </c>
      <c r="Q412" s="4" t="str">
        <f aca="false">IF(WEEKDAY(B412,2)&gt;5,"Weekend","Weekday")</f>
        <v>Weekday</v>
      </c>
      <c r="R412" s="4" t="str">
        <f aca="false">IF(C412&lt;11,"Morning (7-10)",IF(C412&lt;14,"Lunch (11-13)",IF(C412&lt;18,"Afternoon (14-17)","Evening (18-20)")))</f>
        <v>Afternoon (14-17)</v>
      </c>
      <c r="S412" s="4" t="str">
        <f aca="false">IF(AND(O412&gt;=3,O412&lt;=5),"Hot Dry (Mar-May)",IF(AND(O412&gt;=6,O412&lt;=11),"Rainy (Jun-Nov)","Cool Dry (Dec-Feb)"))</f>
        <v>Hot Dry (Mar-May)</v>
      </c>
      <c r="T412" s="4" t="str">
        <f aca="false">CHOOSE(O412,"Jan","Feb","Mar","Apr","May","Jun","Jul","Aug","Sep","Oct","Nov","Dec")</f>
        <v>Apr</v>
      </c>
    </row>
    <row r="413" customFormat="false" ht="15" hidden="false" customHeight="false" outlineLevel="0" collapsed="false">
      <c r="A413" s="4" t="s">
        <v>608</v>
      </c>
      <c r="B413" s="17" t="n">
        <v>45750</v>
      </c>
      <c r="C413" s="4" t="n">
        <v>15</v>
      </c>
      <c r="D413" s="4" t="s">
        <v>98</v>
      </c>
      <c r="E413" s="4" t="s">
        <v>65</v>
      </c>
      <c r="F413" s="4" t="s">
        <v>66</v>
      </c>
      <c r="G413" s="4" t="n">
        <v>1</v>
      </c>
      <c r="H413" s="34" t="n">
        <v>120</v>
      </c>
      <c r="I413" s="18" t="n">
        <v>0.05</v>
      </c>
      <c r="J413" s="4" t="s">
        <v>81</v>
      </c>
      <c r="K413" s="4" t="s">
        <v>82</v>
      </c>
      <c r="L413" s="35" t="n">
        <f aca="false">G413*H413</f>
        <v>120</v>
      </c>
      <c r="M413" s="35" t="n">
        <f aca="false">L413*I413</f>
        <v>6</v>
      </c>
      <c r="N413" s="35" t="n">
        <f aca="false">L413-M413</f>
        <v>114</v>
      </c>
      <c r="O413" s="4" t="n">
        <f aca="false">MONTH(B413)</f>
        <v>4</v>
      </c>
      <c r="P413" s="4" t="str">
        <f aca="false">CHOOSE(WEEKDAY(B413,2),"Mon","Tue","Wed","Thu","Fri","Sat","Sun")</f>
        <v>Thu</v>
      </c>
      <c r="Q413" s="4" t="str">
        <f aca="false">IF(WEEKDAY(B413,2)&gt;5,"Weekend","Weekday")</f>
        <v>Weekday</v>
      </c>
      <c r="R413" s="4" t="str">
        <f aca="false">IF(C413&lt;11,"Morning (7-10)",IF(C413&lt;14,"Lunch (11-13)",IF(C413&lt;18,"Afternoon (14-17)","Evening (18-20)")))</f>
        <v>Afternoon (14-17)</v>
      </c>
      <c r="S413" s="4" t="str">
        <f aca="false">IF(AND(O413&gt;=3,O413&lt;=5),"Hot Dry (Mar-May)",IF(AND(O413&gt;=6,O413&lt;=11),"Rainy (Jun-Nov)","Cool Dry (Dec-Feb)"))</f>
        <v>Hot Dry (Mar-May)</v>
      </c>
      <c r="T413" s="4" t="str">
        <f aca="false">CHOOSE(O413,"Jan","Feb","Mar","Apr","May","Jun","Jul","Aug","Sep","Oct","Nov","Dec")</f>
        <v>Apr</v>
      </c>
    </row>
    <row r="414" customFormat="false" ht="15" hidden="false" customHeight="false" outlineLevel="0" collapsed="false">
      <c r="A414" s="4" t="s">
        <v>609</v>
      </c>
      <c r="B414" s="17" t="n">
        <v>45751</v>
      </c>
      <c r="C414" s="4" t="n">
        <v>7</v>
      </c>
      <c r="D414" s="4" t="s">
        <v>64</v>
      </c>
      <c r="E414" s="4" t="s">
        <v>99</v>
      </c>
      <c r="F414" s="4" t="s">
        <v>109</v>
      </c>
      <c r="G414" s="4" t="n">
        <v>1</v>
      </c>
      <c r="H414" s="34" t="n">
        <v>130</v>
      </c>
      <c r="I414" s="18" t="n">
        <v>0</v>
      </c>
      <c r="J414" s="4" t="s">
        <v>67</v>
      </c>
      <c r="K414" s="4" t="s">
        <v>77</v>
      </c>
      <c r="L414" s="35" t="n">
        <f aca="false">G414*H414</f>
        <v>130</v>
      </c>
      <c r="M414" s="35" t="n">
        <f aca="false">L414*I414</f>
        <v>0</v>
      </c>
      <c r="N414" s="35" t="n">
        <f aca="false">L414-M414</f>
        <v>130</v>
      </c>
      <c r="O414" s="4" t="n">
        <f aca="false">MONTH(B414)</f>
        <v>4</v>
      </c>
      <c r="P414" s="4" t="str">
        <f aca="false">CHOOSE(WEEKDAY(B414,2),"Mon","Tue","Wed","Thu","Fri","Sat","Sun")</f>
        <v>Fri</v>
      </c>
      <c r="Q414" s="4" t="str">
        <f aca="false">IF(WEEKDAY(B414,2)&gt;5,"Weekend","Weekday")</f>
        <v>Weekday</v>
      </c>
      <c r="R414" s="4" t="str">
        <f aca="false">IF(C414&lt;11,"Morning (7-10)",IF(C414&lt;14,"Lunch (11-13)",IF(C414&lt;18,"Afternoon (14-17)","Evening (18-20)")))</f>
        <v>Morning (7-10)</v>
      </c>
      <c r="S414" s="4" t="str">
        <f aca="false">IF(AND(O414&gt;=3,O414&lt;=5),"Hot Dry (Mar-May)",IF(AND(O414&gt;=6,O414&lt;=11),"Rainy (Jun-Nov)","Cool Dry (Dec-Feb)"))</f>
        <v>Hot Dry (Mar-May)</v>
      </c>
      <c r="T414" s="4" t="str">
        <f aca="false">CHOOSE(O414,"Jan","Feb","Mar","Apr","May","Jun","Jul","Aug","Sep","Oct","Nov","Dec")</f>
        <v>Apr</v>
      </c>
    </row>
    <row r="415" customFormat="false" ht="15" hidden="false" customHeight="false" outlineLevel="0" collapsed="false">
      <c r="A415" s="4" t="s">
        <v>610</v>
      </c>
      <c r="B415" s="17" t="n">
        <v>45751</v>
      </c>
      <c r="C415" s="4" t="n">
        <v>7</v>
      </c>
      <c r="D415" s="4" t="s">
        <v>98</v>
      </c>
      <c r="E415" s="4" t="s">
        <v>99</v>
      </c>
      <c r="F415" s="4" t="s">
        <v>100</v>
      </c>
      <c r="G415" s="4" t="n">
        <v>1</v>
      </c>
      <c r="H415" s="34" t="n">
        <v>110</v>
      </c>
      <c r="I415" s="18" t="n">
        <v>0</v>
      </c>
      <c r="J415" s="4" t="s">
        <v>88</v>
      </c>
      <c r="K415" s="4" t="s">
        <v>68</v>
      </c>
      <c r="L415" s="35" t="n">
        <f aca="false">G415*H415</f>
        <v>110</v>
      </c>
      <c r="M415" s="35" t="n">
        <f aca="false">L415*I415</f>
        <v>0</v>
      </c>
      <c r="N415" s="35" t="n">
        <f aca="false">L415-M415</f>
        <v>110</v>
      </c>
      <c r="O415" s="4" t="n">
        <f aca="false">MONTH(B415)</f>
        <v>4</v>
      </c>
      <c r="P415" s="4" t="str">
        <f aca="false">CHOOSE(WEEKDAY(B415,2),"Mon","Tue","Wed","Thu","Fri","Sat","Sun")</f>
        <v>Fri</v>
      </c>
      <c r="Q415" s="4" t="str">
        <f aca="false">IF(WEEKDAY(B415,2)&gt;5,"Weekend","Weekday")</f>
        <v>Weekday</v>
      </c>
      <c r="R415" s="4" t="str">
        <f aca="false">IF(C415&lt;11,"Morning (7-10)",IF(C415&lt;14,"Lunch (11-13)",IF(C415&lt;18,"Afternoon (14-17)","Evening (18-20)")))</f>
        <v>Morning (7-10)</v>
      </c>
      <c r="S415" s="4" t="str">
        <f aca="false">IF(AND(O415&gt;=3,O415&lt;=5),"Hot Dry (Mar-May)",IF(AND(O415&gt;=6,O415&lt;=11),"Rainy (Jun-Nov)","Cool Dry (Dec-Feb)"))</f>
        <v>Hot Dry (Mar-May)</v>
      </c>
      <c r="T415" s="4" t="str">
        <f aca="false">CHOOSE(O415,"Jan","Feb","Mar","Apr","May","Jun","Jul","Aug","Sep","Oct","Nov","Dec")</f>
        <v>Apr</v>
      </c>
    </row>
    <row r="416" customFormat="false" ht="15" hidden="false" customHeight="false" outlineLevel="0" collapsed="false">
      <c r="A416" s="4" t="s">
        <v>611</v>
      </c>
      <c r="B416" s="17" t="n">
        <v>45751</v>
      </c>
      <c r="C416" s="4" t="n">
        <v>14</v>
      </c>
      <c r="D416" s="4" t="s">
        <v>73</v>
      </c>
      <c r="E416" s="4" t="s">
        <v>99</v>
      </c>
      <c r="F416" s="4" t="s">
        <v>109</v>
      </c>
      <c r="G416" s="4" t="n">
        <v>1</v>
      </c>
      <c r="H416" s="34" t="n">
        <v>130</v>
      </c>
      <c r="I416" s="18" t="n">
        <v>0.05</v>
      </c>
      <c r="J416" s="4" t="s">
        <v>67</v>
      </c>
      <c r="K416" s="4" t="s">
        <v>82</v>
      </c>
      <c r="L416" s="35" t="n">
        <f aca="false">G416*H416</f>
        <v>130</v>
      </c>
      <c r="M416" s="35" t="n">
        <f aca="false">L416*I416</f>
        <v>6.5</v>
      </c>
      <c r="N416" s="35" t="n">
        <f aca="false">L416-M416</f>
        <v>123.5</v>
      </c>
      <c r="O416" s="4" t="n">
        <f aca="false">MONTH(B416)</f>
        <v>4</v>
      </c>
      <c r="P416" s="4" t="str">
        <f aca="false">CHOOSE(WEEKDAY(B416,2),"Mon","Tue","Wed","Thu","Fri","Sat","Sun")</f>
        <v>Fri</v>
      </c>
      <c r="Q416" s="4" t="str">
        <f aca="false">IF(WEEKDAY(B416,2)&gt;5,"Weekend","Weekday")</f>
        <v>Weekday</v>
      </c>
      <c r="R416" s="4" t="str">
        <f aca="false">IF(C416&lt;11,"Morning (7-10)",IF(C416&lt;14,"Lunch (11-13)",IF(C416&lt;18,"Afternoon (14-17)","Evening (18-20)")))</f>
        <v>Afternoon (14-17)</v>
      </c>
      <c r="S416" s="4" t="str">
        <f aca="false">IF(AND(O416&gt;=3,O416&lt;=5),"Hot Dry (Mar-May)",IF(AND(O416&gt;=6,O416&lt;=11),"Rainy (Jun-Nov)","Cool Dry (Dec-Feb)"))</f>
        <v>Hot Dry (Mar-May)</v>
      </c>
      <c r="T416" s="4" t="str">
        <f aca="false">CHOOSE(O416,"Jan","Feb","Mar","Apr","May","Jun","Jul","Aug","Sep","Oct","Nov","Dec")</f>
        <v>Apr</v>
      </c>
    </row>
    <row r="417" customFormat="false" ht="15" hidden="false" customHeight="false" outlineLevel="0" collapsed="false">
      <c r="A417" s="4" t="s">
        <v>612</v>
      </c>
      <c r="B417" s="17" t="n">
        <v>45752</v>
      </c>
      <c r="C417" s="4" t="n">
        <v>9</v>
      </c>
      <c r="D417" s="4" t="s">
        <v>64</v>
      </c>
      <c r="E417" s="4" t="s">
        <v>84</v>
      </c>
      <c r="F417" s="4" t="s">
        <v>117</v>
      </c>
      <c r="G417" s="4" t="n">
        <v>2</v>
      </c>
      <c r="H417" s="34" t="n">
        <v>95</v>
      </c>
      <c r="I417" s="18" t="n">
        <v>0</v>
      </c>
      <c r="J417" s="4" t="s">
        <v>88</v>
      </c>
      <c r="K417" s="4" t="s">
        <v>68</v>
      </c>
      <c r="L417" s="35" t="n">
        <f aca="false">G417*H417</f>
        <v>190</v>
      </c>
      <c r="M417" s="35" t="n">
        <f aca="false">L417*I417</f>
        <v>0</v>
      </c>
      <c r="N417" s="35" t="n">
        <f aca="false">L417-M417</f>
        <v>190</v>
      </c>
      <c r="O417" s="4" t="n">
        <f aca="false">MONTH(B417)</f>
        <v>4</v>
      </c>
      <c r="P417" s="4" t="str">
        <f aca="false">CHOOSE(WEEKDAY(B417,2),"Mon","Tue","Wed","Thu","Fri","Sat","Sun")</f>
        <v>Sat</v>
      </c>
      <c r="Q417" s="4" t="str">
        <f aca="false">IF(WEEKDAY(B417,2)&gt;5,"Weekend","Weekday")</f>
        <v>Weekend</v>
      </c>
      <c r="R417" s="4" t="str">
        <f aca="false">IF(C417&lt;11,"Morning (7-10)",IF(C417&lt;14,"Lunch (11-13)",IF(C417&lt;18,"Afternoon (14-17)","Evening (18-20)")))</f>
        <v>Morning (7-10)</v>
      </c>
      <c r="S417" s="4" t="str">
        <f aca="false">IF(AND(O417&gt;=3,O417&lt;=5),"Hot Dry (Mar-May)",IF(AND(O417&gt;=6,O417&lt;=11),"Rainy (Jun-Nov)","Cool Dry (Dec-Feb)"))</f>
        <v>Hot Dry (Mar-May)</v>
      </c>
      <c r="T417" s="4" t="str">
        <f aca="false">CHOOSE(O417,"Jan","Feb","Mar","Apr","May","Jun","Jul","Aug","Sep","Oct","Nov","Dec")</f>
        <v>Apr</v>
      </c>
    </row>
    <row r="418" customFormat="false" ht="15" hidden="false" customHeight="false" outlineLevel="0" collapsed="false">
      <c r="A418" s="4" t="s">
        <v>614</v>
      </c>
      <c r="B418" s="17" t="n">
        <v>45752</v>
      </c>
      <c r="C418" s="4" t="n">
        <v>12</v>
      </c>
      <c r="D418" s="4" t="s">
        <v>64</v>
      </c>
      <c r="E418" s="4" t="s">
        <v>65</v>
      </c>
      <c r="F418" s="4" t="s">
        <v>94</v>
      </c>
      <c r="G418" s="4" t="n">
        <v>1</v>
      </c>
      <c r="H418" s="34" t="n">
        <v>150</v>
      </c>
      <c r="I418" s="18" t="n">
        <v>0</v>
      </c>
      <c r="J418" s="4" t="s">
        <v>76</v>
      </c>
      <c r="K418" s="4" t="s">
        <v>68</v>
      </c>
      <c r="L418" s="35" t="n">
        <f aca="false">G418*H418</f>
        <v>150</v>
      </c>
      <c r="M418" s="35" t="n">
        <f aca="false">L418*I418</f>
        <v>0</v>
      </c>
      <c r="N418" s="35" t="n">
        <f aca="false">L418-M418</f>
        <v>150</v>
      </c>
      <c r="O418" s="4" t="n">
        <f aca="false">MONTH(B418)</f>
        <v>4</v>
      </c>
      <c r="P418" s="4" t="str">
        <f aca="false">CHOOSE(WEEKDAY(B418,2),"Mon","Tue","Wed","Thu","Fri","Sat","Sun")</f>
        <v>Sat</v>
      </c>
      <c r="Q418" s="4" t="str">
        <f aca="false">IF(WEEKDAY(B418,2)&gt;5,"Weekend","Weekday")</f>
        <v>Weekend</v>
      </c>
      <c r="R418" s="4" t="str">
        <f aca="false">IF(C418&lt;11,"Morning (7-10)",IF(C418&lt;14,"Lunch (11-13)",IF(C418&lt;18,"Afternoon (14-17)","Evening (18-20)")))</f>
        <v>Lunch (11-13)</v>
      </c>
      <c r="S418" s="4" t="str">
        <f aca="false">IF(AND(O418&gt;=3,O418&lt;=5),"Hot Dry (Mar-May)",IF(AND(O418&gt;=6,O418&lt;=11),"Rainy (Jun-Nov)","Cool Dry (Dec-Feb)"))</f>
        <v>Hot Dry (Mar-May)</v>
      </c>
      <c r="T418" s="4" t="str">
        <f aca="false">CHOOSE(O418,"Jan","Feb","Mar","Apr","May","Jun","Jul","Aug","Sep","Oct","Nov","Dec")</f>
        <v>Apr</v>
      </c>
    </row>
    <row r="419" customFormat="false" ht="15" hidden="false" customHeight="false" outlineLevel="0" collapsed="false">
      <c r="A419" s="4" t="s">
        <v>615</v>
      </c>
      <c r="B419" s="17" t="n">
        <v>45752</v>
      </c>
      <c r="C419" s="4" t="n">
        <v>13</v>
      </c>
      <c r="D419" s="4" t="s">
        <v>73</v>
      </c>
      <c r="E419" s="4" t="s">
        <v>74</v>
      </c>
      <c r="F419" s="4" t="s">
        <v>91</v>
      </c>
      <c r="G419" s="4" t="n">
        <v>4</v>
      </c>
      <c r="H419" s="34" t="n">
        <v>200</v>
      </c>
      <c r="I419" s="18" t="n">
        <v>0</v>
      </c>
      <c r="J419" s="4" t="s">
        <v>76</v>
      </c>
      <c r="K419" s="4" t="s">
        <v>77</v>
      </c>
      <c r="L419" s="35" t="n">
        <f aca="false">G419*H419</f>
        <v>800</v>
      </c>
      <c r="M419" s="35" t="n">
        <f aca="false">L419*I419</f>
        <v>0</v>
      </c>
      <c r="N419" s="35" t="n">
        <f aca="false">L419-M419</f>
        <v>800</v>
      </c>
      <c r="O419" s="4" t="n">
        <f aca="false">MONTH(B419)</f>
        <v>4</v>
      </c>
      <c r="P419" s="4" t="str">
        <f aca="false">CHOOSE(WEEKDAY(B419,2),"Mon","Tue","Wed","Thu","Fri","Sat","Sun")</f>
        <v>Sat</v>
      </c>
      <c r="Q419" s="4" t="str">
        <f aca="false">IF(WEEKDAY(B419,2)&gt;5,"Weekend","Weekday")</f>
        <v>Weekend</v>
      </c>
      <c r="R419" s="4" t="str">
        <f aca="false">IF(C419&lt;11,"Morning (7-10)",IF(C419&lt;14,"Lunch (11-13)",IF(C419&lt;18,"Afternoon (14-17)","Evening (18-20)")))</f>
        <v>Lunch (11-13)</v>
      </c>
      <c r="S419" s="4" t="str">
        <f aca="false">IF(AND(O419&gt;=3,O419&lt;=5),"Hot Dry (Mar-May)",IF(AND(O419&gt;=6,O419&lt;=11),"Rainy (Jun-Nov)","Cool Dry (Dec-Feb)"))</f>
        <v>Hot Dry (Mar-May)</v>
      </c>
      <c r="T419" s="4" t="str">
        <f aca="false">CHOOSE(O419,"Jan","Feb","Mar","Apr","May","Jun","Jul","Aug","Sep","Oct","Nov","Dec")</f>
        <v>Apr</v>
      </c>
    </row>
    <row r="420" customFormat="false" ht="15" hidden="false" customHeight="false" outlineLevel="0" collapsed="false">
      <c r="A420" s="4" t="s">
        <v>616</v>
      </c>
      <c r="B420" s="17" t="n">
        <v>45752</v>
      </c>
      <c r="C420" s="4" t="n">
        <v>15</v>
      </c>
      <c r="D420" s="4" t="s">
        <v>70</v>
      </c>
      <c r="E420" s="4" t="s">
        <v>74</v>
      </c>
      <c r="F420" s="4" t="s">
        <v>91</v>
      </c>
      <c r="G420" s="4" t="n">
        <v>1</v>
      </c>
      <c r="H420" s="34" t="n">
        <v>200</v>
      </c>
      <c r="I420" s="18" t="n">
        <v>0.05</v>
      </c>
      <c r="J420" s="4" t="s">
        <v>81</v>
      </c>
      <c r="K420" s="4" t="s">
        <v>82</v>
      </c>
      <c r="L420" s="35" t="n">
        <f aca="false">G420*H420</f>
        <v>200</v>
      </c>
      <c r="M420" s="35" t="n">
        <f aca="false">L420*I420</f>
        <v>10</v>
      </c>
      <c r="N420" s="35" t="n">
        <f aca="false">L420-M420</f>
        <v>190</v>
      </c>
      <c r="O420" s="4" t="n">
        <f aca="false">MONTH(B420)</f>
        <v>4</v>
      </c>
      <c r="P420" s="4" t="str">
        <f aca="false">CHOOSE(WEEKDAY(B420,2),"Mon","Tue","Wed","Thu","Fri","Sat","Sun")</f>
        <v>Sat</v>
      </c>
      <c r="Q420" s="4" t="str">
        <f aca="false">IF(WEEKDAY(B420,2)&gt;5,"Weekend","Weekday")</f>
        <v>Weekend</v>
      </c>
      <c r="R420" s="4" t="str">
        <f aca="false">IF(C420&lt;11,"Morning (7-10)",IF(C420&lt;14,"Lunch (11-13)",IF(C420&lt;18,"Afternoon (14-17)","Evening (18-20)")))</f>
        <v>Afternoon (14-17)</v>
      </c>
      <c r="S420" s="4" t="str">
        <f aca="false">IF(AND(O420&gt;=3,O420&lt;=5),"Hot Dry (Mar-May)",IF(AND(O420&gt;=6,O420&lt;=11),"Rainy (Jun-Nov)","Cool Dry (Dec-Feb)"))</f>
        <v>Hot Dry (Mar-May)</v>
      </c>
      <c r="T420" s="4" t="str">
        <f aca="false">CHOOSE(O420,"Jan","Feb","Mar","Apr","May","Jun","Jul","Aug","Sep","Oct","Nov","Dec")</f>
        <v>Apr</v>
      </c>
    </row>
    <row r="421" customFormat="false" ht="15" hidden="false" customHeight="false" outlineLevel="0" collapsed="false">
      <c r="A421" s="4" t="s">
        <v>618</v>
      </c>
      <c r="B421" s="17" t="n">
        <v>45753</v>
      </c>
      <c r="C421" s="4" t="n">
        <v>7</v>
      </c>
      <c r="D421" s="4" t="s">
        <v>64</v>
      </c>
      <c r="E421" s="4" t="s">
        <v>84</v>
      </c>
      <c r="F421" s="4" t="s">
        <v>106</v>
      </c>
      <c r="G421" s="4" t="n">
        <v>1</v>
      </c>
      <c r="H421" s="34" t="n">
        <v>60</v>
      </c>
      <c r="I421" s="18" t="n">
        <v>0.1</v>
      </c>
      <c r="J421" s="4" t="s">
        <v>81</v>
      </c>
      <c r="K421" s="4" t="s">
        <v>82</v>
      </c>
      <c r="L421" s="35" t="n">
        <f aca="false">G421*H421</f>
        <v>60</v>
      </c>
      <c r="M421" s="35" t="n">
        <f aca="false">L421*I421</f>
        <v>6</v>
      </c>
      <c r="N421" s="35" t="n">
        <f aca="false">L421-M421</f>
        <v>54</v>
      </c>
      <c r="O421" s="4" t="n">
        <f aca="false">MONTH(B421)</f>
        <v>4</v>
      </c>
      <c r="P421" s="4" t="str">
        <f aca="false">CHOOSE(WEEKDAY(B421,2),"Mon","Tue","Wed","Thu","Fri","Sat","Sun")</f>
        <v>Sun</v>
      </c>
      <c r="Q421" s="4" t="str">
        <f aca="false">IF(WEEKDAY(B421,2)&gt;5,"Weekend","Weekday")</f>
        <v>Weekend</v>
      </c>
      <c r="R421" s="4" t="str">
        <f aca="false">IF(C421&lt;11,"Morning (7-10)",IF(C421&lt;14,"Lunch (11-13)",IF(C421&lt;18,"Afternoon (14-17)","Evening (18-20)")))</f>
        <v>Morning (7-10)</v>
      </c>
      <c r="S421" s="4" t="str">
        <f aca="false">IF(AND(O421&gt;=3,O421&lt;=5),"Hot Dry (Mar-May)",IF(AND(O421&gt;=6,O421&lt;=11),"Rainy (Jun-Nov)","Cool Dry (Dec-Feb)"))</f>
        <v>Hot Dry (Mar-May)</v>
      </c>
      <c r="T421" s="4" t="str">
        <f aca="false">CHOOSE(O421,"Jan","Feb","Mar","Apr","May","Jun","Jul","Aug","Sep","Oct","Nov","Dec")</f>
        <v>Apr</v>
      </c>
    </row>
    <row r="422" customFormat="false" ht="15" hidden="false" customHeight="false" outlineLevel="0" collapsed="false">
      <c r="A422" s="4" t="s">
        <v>619</v>
      </c>
      <c r="B422" s="17" t="n">
        <v>45753</v>
      </c>
      <c r="C422" s="4" t="n">
        <v>8</v>
      </c>
      <c r="D422" s="4" t="s">
        <v>70</v>
      </c>
      <c r="E422" s="4" t="s">
        <v>65</v>
      </c>
      <c r="F422" s="4" t="s">
        <v>121</v>
      </c>
      <c r="G422" s="4" t="n">
        <v>1</v>
      </c>
      <c r="H422" s="34" t="n">
        <v>170</v>
      </c>
      <c r="I422" s="18" t="n">
        <v>0.05</v>
      </c>
      <c r="J422" s="4" t="s">
        <v>81</v>
      </c>
      <c r="K422" s="4" t="s">
        <v>82</v>
      </c>
      <c r="L422" s="35" t="n">
        <f aca="false">G422*H422</f>
        <v>170</v>
      </c>
      <c r="M422" s="35" t="n">
        <f aca="false">L422*I422</f>
        <v>8.5</v>
      </c>
      <c r="N422" s="35" t="n">
        <f aca="false">L422-M422</f>
        <v>161.5</v>
      </c>
      <c r="O422" s="4" t="n">
        <f aca="false">MONTH(B422)</f>
        <v>4</v>
      </c>
      <c r="P422" s="4" t="str">
        <f aca="false">CHOOSE(WEEKDAY(B422,2),"Mon","Tue","Wed","Thu","Fri","Sat","Sun")</f>
        <v>Sun</v>
      </c>
      <c r="Q422" s="4" t="str">
        <f aca="false">IF(WEEKDAY(B422,2)&gt;5,"Weekend","Weekday")</f>
        <v>Weekend</v>
      </c>
      <c r="R422" s="4" t="str">
        <f aca="false">IF(C422&lt;11,"Morning (7-10)",IF(C422&lt;14,"Lunch (11-13)",IF(C422&lt;18,"Afternoon (14-17)","Evening (18-20)")))</f>
        <v>Morning (7-10)</v>
      </c>
      <c r="S422" s="4" t="str">
        <f aca="false">IF(AND(O422&gt;=3,O422&lt;=5),"Hot Dry (Mar-May)",IF(AND(O422&gt;=6,O422&lt;=11),"Rainy (Jun-Nov)","Cool Dry (Dec-Feb)"))</f>
        <v>Hot Dry (Mar-May)</v>
      </c>
      <c r="T422" s="4" t="str">
        <f aca="false">CHOOSE(O422,"Jan","Feb","Mar","Apr","May","Jun","Jul","Aug","Sep","Oct","Nov","Dec")</f>
        <v>Apr</v>
      </c>
    </row>
    <row r="423" customFormat="false" ht="15" hidden="false" customHeight="false" outlineLevel="0" collapsed="false">
      <c r="A423" s="4" t="s">
        <v>620</v>
      </c>
      <c r="B423" s="17" t="n">
        <v>45753</v>
      </c>
      <c r="C423" s="4" t="n">
        <v>8</v>
      </c>
      <c r="D423" s="4" t="s">
        <v>70</v>
      </c>
      <c r="E423" s="4" t="s">
        <v>84</v>
      </c>
      <c r="F423" s="4" t="s">
        <v>117</v>
      </c>
      <c r="G423" s="4" t="n">
        <v>3</v>
      </c>
      <c r="H423" s="34" t="n">
        <v>95</v>
      </c>
      <c r="I423" s="18" t="n">
        <v>0</v>
      </c>
      <c r="J423" s="4" t="s">
        <v>81</v>
      </c>
      <c r="K423" s="4" t="s">
        <v>77</v>
      </c>
      <c r="L423" s="35" t="n">
        <f aca="false">G423*H423</f>
        <v>285</v>
      </c>
      <c r="M423" s="35" t="n">
        <f aca="false">L423*I423</f>
        <v>0</v>
      </c>
      <c r="N423" s="35" t="n">
        <f aca="false">L423-M423</f>
        <v>285</v>
      </c>
      <c r="O423" s="4" t="n">
        <f aca="false">MONTH(B423)</f>
        <v>4</v>
      </c>
      <c r="P423" s="4" t="str">
        <f aca="false">CHOOSE(WEEKDAY(B423,2),"Mon","Tue","Wed","Thu","Fri","Sat","Sun")</f>
        <v>Sun</v>
      </c>
      <c r="Q423" s="4" t="str">
        <f aca="false">IF(WEEKDAY(B423,2)&gt;5,"Weekend","Weekday")</f>
        <v>Weekend</v>
      </c>
      <c r="R423" s="4" t="str">
        <f aca="false">IF(C423&lt;11,"Morning (7-10)",IF(C423&lt;14,"Lunch (11-13)",IF(C423&lt;18,"Afternoon (14-17)","Evening (18-20)")))</f>
        <v>Morning (7-10)</v>
      </c>
      <c r="S423" s="4" t="str">
        <f aca="false">IF(AND(O423&gt;=3,O423&lt;=5),"Hot Dry (Mar-May)",IF(AND(O423&gt;=6,O423&lt;=11),"Rainy (Jun-Nov)","Cool Dry (Dec-Feb)"))</f>
        <v>Hot Dry (Mar-May)</v>
      </c>
      <c r="T423" s="4" t="str">
        <f aca="false">CHOOSE(O423,"Jan","Feb","Mar","Apr","May","Jun","Jul","Aug","Sep","Oct","Nov","Dec")</f>
        <v>Apr</v>
      </c>
    </row>
    <row r="424" customFormat="false" ht="15" hidden="false" customHeight="false" outlineLevel="0" collapsed="false">
      <c r="A424" s="4" t="s">
        <v>621</v>
      </c>
      <c r="B424" s="17" t="n">
        <v>45753</v>
      </c>
      <c r="C424" s="4" t="n">
        <v>8</v>
      </c>
      <c r="D424" s="4" t="s">
        <v>64</v>
      </c>
      <c r="E424" s="4" t="s">
        <v>84</v>
      </c>
      <c r="F424" s="4" t="s">
        <v>117</v>
      </c>
      <c r="G424" s="4" t="n">
        <v>2</v>
      </c>
      <c r="H424" s="34" t="n">
        <v>95</v>
      </c>
      <c r="I424" s="18" t="n">
        <v>0.15</v>
      </c>
      <c r="J424" s="4" t="s">
        <v>81</v>
      </c>
      <c r="K424" s="4" t="s">
        <v>77</v>
      </c>
      <c r="L424" s="35" t="n">
        <f aca="false">G424*H424</f>
        <v>190</v>
      </c>
      <c r="M424" s="35" t="n">
        <f aca="false">L424*I424</f>
        <v>28.5</v>
      </c>
      <c r="N424" s="35" t="n">
        <f aca="false">L424-M424</f>
        <v>161.5</v>
      </c>
      <c r="O424" s="4" t="n">
        <f aca="false">MONTH(B424)</f>
        <v>4</v>
      </c>
      <c r="P424" s="4" t="str">
        <f aca="false">CHOOSE(WEEKDAY(B424,2),"Mon","Tue","Wed","Thu","Fri","Sat","Sun")</f>
        <v>Sun</v>
      </c>
      <c r="Q424" s="4" t="str">
        <f aca="false">IF(WEEKDAY(B424,2)&gt;5,"Weekend","Weekday")</f>
        <v>Weekend</v>
      </c>
      <c r="R424" s="4" t="str">
        <f aca="false">IF(C424&lt;11,"Morning (7-10)",IF(C424&lt;14,"Lunch (11-13)",IF(C424&lt;18,"Afternoon (14-17)","Evening (18-20)")))</f>
        <v>Morning (7-10)</v>
      </c>
      <c r="S424" s="4" t="str">
        <f aca="false">IF(AND(O424&gt;=3,O424&lt;=5),"Hot Dry (Mar-May)",IF(AND(O424&gt;=6,O424&lt;=11),"Rainy (Jun-Nov)","Cool Dry (Dec-Feb)"))</f>
        <v>Hot Dry (Mar-May)</v>
      </c>
      <c r="T424" s="4" t="str">
        <f aca="false">CHOOSE(O424,"Jan","Feb","Mar","Apr","May","Jun","Jul","Aug","Sep","Oct","Nov","Dec")</f>
        <v>Apr</v>
      </c>
    </row>
    <row r="425" customFormat="false" ht="15" hidden="false" customHeight="false" outlineLevel="0" collapsed="false">
      <c r="A425" s="4" t="s">
        <v>622</v>
      </c>
      <c r="B425" s="17" t="n">
        <v>45753</v>
      </c>
      <c r="C425" s="4" t="n">
        <v>12</v>
      </c>
      <c r="D425" s="4" t="s">
        <v>98</v>
      </c>
      <c r="E425" s="4" t="s">
        <v>79</v>
      </c>
      <c r="F425" s="4" t="s">
        <v>135</v>
      </c>
      <c r="G425" s="4" t="n">
        <v>3</v>
      </c>
      <c r="H425" s="34" t="n">
        <v>130</v>
      </c>
      <c r="I425" s="18" t="n">
        <v>0.15</v>
      </c>
      <c r="J425" s="4" t="s">
        <v>88</v>
      </c>
      <c r="K425" s="4" t="s">
        <v>68</v>
      </c>
      <c r="L425" s="35" t="n">
        <f aca="false">G425*H425</f>
        <v>390</v>
      </c>
      <c r="M425" s="35" t="n">
        <f aca="false">L425*I425</f>
        <v>58.5</v>
      </c>
      <c r="N425" s="35" t="n">
        <f aca="false">L425-M425</f>
        <v>331.5</v>
      </c>
      <c r="O425" s="4" t="n">
        <f aca="false">MONTH(B425)</f>
        <v>4</v>
      </c>
      <c r="P425" s="4" t="str">
        <f aca="false">CHOOSE(WEEKDAY(B425,2),"Mon","Tue","Wed","Thu","Fri","Sat","Sun")</f>
        <v>Sun</v>
      </c>
      <c r="Q425" s="4" t="str">
        <f aca="false">IF(WEEKDAY(B425,2)&gt;5,"Weekend","Weekday")</f>
        <v>Weekend</v>
      </c>
      <c r="R425" s="4" t="str">
        <f aca="false">IF(C425&lt;11,"Morning (7-10)",IF(C425&lt;14,"Lunch (11-13)",IF(C425&lt;18,"Afternoon (14-17)","Evening (18-20)")))</f>
        <v>Lunch (11-13)</v>
      </c>
      <c r="S425" s="4" t="str">
        <f aca="false">IF(AND(O425&gt;=3,O425&lt;=5),"Hot Dry (Mar-May)",IF(AND(O425&gt;=6,O425&lt;=11),"Rainy (Jun-Nov)","Cool Dry (Dec-Feb)"))</f>
        <v>Hot Dry (Mar-May)</v>
      </c>
      <c r="T425" s="4" t="str">
        <f aca="false">CHOOSE(O425,"Jan","Feb","Mar","Apr","May","Jun","Jul","Aug","Sep","Oct","Nov","Dec")</f>
        <v>Apr</v>
      </c>
    </row>
    <row r="426" customFormat="false" ht="15" hidden="false" customHeight="false" outlineLevel="0" collapsed="false">
      <c r="A426" s="4" t="s">
        <v>623</v>
      </c>
      <c r="B426" s="17" t="n">
        <v>45753</v>
      </c>
      <c r="C426" s="4" t="n">
        <v>13</v>
      </c>
      <c r="D426" s="4" t="s">
        <v>98</v>
      </c>
      <c r="E426" s="4" t="s">
        <v>74</v>
      </c>
      <c r="F426" s="4" t="s">
        <v>139</v>
      </c>
      <c r="G426" s="4" t="n">
        <v>1</v>
      </c>
      <c r="H426" s="34" t="n">
        <v>260</v>
      </c>
      <c r="I426" s="18" t="n">
        <v>0</v>
      </c>
      <c r="J426" s="4" t="s">
        <v>76</v>
      </c>
      <c r="K426" s="4" t="s">
        <v>68</v>
      </c>
      <c r="L426" s="35" t="n">
        <f aca="false">G426*H426</f>
        <v>260</v>
      </c>
      <c r="M426" s="35" t="n">
        <f aca="false">L426*I426</f>
        <v>0</v>
      </c>
      <c r="N426" s="35" t="n">
        <f aca="false">L426-M426</f>
        <v>260</v>
      </c>
      <c r="O426" s="4" t="n">
        <f aca="false">MONTH(B426)</f>
        <v>4</v>
      </c>
      <c r="P426" s="4" t="str">
        <f aca="false">CHOOSE(WEEKDAY(B426,2),"Mon","Tue","Wed","Thu","Fri","Sat","Sun")</f>
        <v>Sun</v>
      </c>
      <c r="Q426" s="4" t="str">
        <f aca="false">IF(WEEKDAY(B426,2)&gt;5,"Weekend","Weekday")</f>
        <v>Weekend</v>
      </c>
      <c r="R426" s="4" t="str">
        <f aca="false">IF(C426&lt;11,"Morning (7-10)",IF(C426&lt;14,"Lunch (11-13)",IF(C426&lt;18,"Afternoon (14-17)","Evening (18-20)")))</f>
        <v>Lunch (11-13)</v>
      </c>
      <c r="S426" s="4" t="str">
        <f aca="false">IF(AND(O426&gt;=3,O426&lt;=5),"Hot Dry (Mar-May)",IF(AND(O426&gt;=6,O426&lt;=11),"Rainy (Jun-Nov)","Cool Dry (Dec-Feb)"))</f>
        <v>Hot Dry (Mar-May)</v>
      </c>
      <c r="T426" s="4" t="str">
        <f aca="false">CHOOSE(O426,"Jan","Feb","Mar","Apr","May","Jun","Jul","Aug","Sep","Oct","Nov","Dec")</f>
        <v>Apr</v>
      </c>
    </row>
    <row r="427" customFormat="false" ht="15" hidden="false" customHeight="false" outlineLevel="0" collapsed="false">
      <c r="A427" s="4" t="s">
        <v>624</v>
      </c>
      <c r="B427" s="17" t="n">
        <v>45753</v>
      </c>
      <c r="C427" s="4" t="n">
        <v>14</v>
      </c>
      <c r="D427" s="4" t="s">
        <v>73</v>
      </c>
      <c r="E427" s="4" t="s">
        <v>99</v>
      </c>
      <c r="F427" s="4" t="s">
        <v>102</v>
      </c>
      <c r="G427" s="4" t="n">
        <v>3</v>
      </c>
      <c r="H427" s="34" t="n">
        <v>140</v>
      </c>
      <c r="I427" s="18" t="n">
        <v>0.05</v>
      </c>
      <c r="J427" s="4" t="s">
        <v>81</v>
      </c>
      <c r="K427" s="4" t="s">
        <v>82</v>
      </c>
      <c r="L427" s="35" t="n">
        <f aca="false">G427*H427</f>
        <v>420</v>
      </c>
      <c r="M427" s="35" t="n">
        <f aca="false">L427*I427</f>
        <v>21</v>
      </c>
      <c r="N427" s="35" t="n">
        <f aca="false">L427-M427</f>
        <v>399</v>
      </c>
      <c r="O427" s="4" t="n">
        <f aca="false">MONTH(B427)</f>
        <v>4</v>
      </c>
      <c r="P427" s="4" t="str">
        <f aca="false">CHOOSE(WEEKDAY(B427,2),"Mon","Tue","Wed","Thu","Fri","Sat","Sun")</f>
        <v>Sun</v>
      </c>
      <c r="Q427" s="4" t="str">
        <f aca="false">IF(WEEKDAY(B427,2)&gt;5,"Weekend","Weekday")</f>
        <v>Weekend</v>
      </c>
      <c r="R427" s="4" t="str">
        <f aca="false">IF(C427&lt;11,"Morning (7-10)",IF(C427&lt;14,"Lunch (11-13)",IF(C427&lt;18,"Afternoon (14-17)","Evening (18-20)")))</f>
        <v>Afternoon (14-17)</v>
      </c>
      <c r="S427" s="4" t="str">
        <f aca="false">IF(AND(O427&gt;=3,O427&lt;=5),"Hot Dry (Mar-May)",IF(AND(O427&gt;=6,O427&lt;=11),"Rainy (Jun-Nov)","Cool Dry (Dec-Feb)"))</f>
        <v>Hot Dry (Mar-May)</v>
      </c>
      <c r="T427" s="4" t="str">
        <f aca="false">CHOOSE(O427,"Jan","Feb","Mar","Apr","May","Jun","Jul","Aug","Sep","Oct","Nov","Dec")</f>
        <v>Apr</v>
      </c>
    </row>
    <row r="428" customFormat="false" ht="15" hidden="false" customHeight="false" outlineLevel="0" collapsed="false">
      <c r="A428" s="4" t="s">
        <v>625</v>
      </c>
      <c r="B428" s="17" t="n">
        <v>45753</v>
      </c>
      <c r="C428" s="4" t="n">
        <v>16</v>
      </c>
      <c r="D428" s="4" t="s">
        <v>98</v>
      </c>
      <c r="E428" s="4" t="s">
        <v>84</v>
      </c>
      <c r="F428" s="4" t="s">
        <v>114</v>
      </c>
      <c r="G428" s="4" t="n">
        <v>1</v>
      </c>
      <c r="H428" s="34" t="n">
        <v>85</v>
      </c>
      <c r="I428" s="18" t="n">
        <v>0</v>
      </c>
      <c r="J428" s="4" t="s">
        <v>81</v>
      </c>
      <c r="K428" s="4" t="s">
        <v>77</v>
      </c>
      <c r="L428" s="35" t="n">
        <f aca="false">G428*H428</f>
        <v>85</v>
      </c>
      <c r="M428" s="35" t="n">
        <f aca="false">L428*I428</f>
        <v>0</v>
      </c>
      <c r="N428" s="35" t="n">
        <f aca="false">L428-M428</f>
        <v>85</v>
      </c>
      <c r="O428" s="4" t="n">
        <f aca="false">MONTH(B428)</f>
        <v>4</v>
      </c>
      <c r="P428" s="4" t="str">
        <f aca="false">CHOOSE(WEEKDAY(B428,2),"Mon","Tue","Wed","Thu","Fri","Sat","Sun")</f>
        <v>Sun</v>
      </c>
      <c r="Q428" s="4" t="str">
        <f aca="false">IF(WEEKDAY(B428,2)&gt;5,"Weekend","Weekday")</f>
        <v>Weekend</v>
      </c>
      <c r="R428" s="4" t="str">
        <f aca="false">IF(C428&lt;11,"Morning (7-10)",IF(C428&lt;14,"Lunch (11-13)",IF(C428&lt;18,"Afternoon (14-17)","Evening (18-20)")))</f>
        <v>Afternoon (14-17)</v>
      </c>
      <c r="S428" s="4" t="str">
        <f aca="false">IF(AND(O428&gt;=3,O428&lt;=5),"Hot Dry (Mar-May)",IF(AND(O428&gt;=6,O428&lt;=11),"Rainy (Jun-Nov)","Cool Dry (Dec-Feb)"))</f>
        <v>Hot Dry (Mar-May)</v>
      </c>
      <c r="T428" s="4" t="str">
        <f aca="false">CHOOSE(O428,"Jan","Feb","Mar","Apr","May","Jun","Jul","Aug","Sep","Oct","Nov","Dec")</f>
        <v>Apr</v>
      </c>
    </row>
    <row r="429" customFormat="false" ht="15" hidden="false" customHeight="false" outlineLevel="0" collapsed="false">
      <c r="A429" s="4" t="s">
        <v>626</v>
      </c>
      <c r="B429" s="17" t="n">
        <v>45754</v>
      </c>
      <c r="C429" s="4" t="n">
        <v>7</v>
      </c>
      <c r="D429" s="4" t="s">
        <v>73</v>
      </c>
      <c r="E429" s="4" t="s">
        <v>74</v>
      </c>
      <c r="F429" s="4" t="s">
        <v>91</v>
      </c>
      <c r="G429" s="4" t="n">
        <v>1</v>
      </c>
      <c r="H429" s="34" t="n">
        <v>200</v>
      </c>
      <c r="I429" s="18" t="n">
        <v>0</v>
      </c>
      <c r="J429" s="4" t="s">
        <v>112</v>
      </c>
      <c r="K429" s="4" t="s">
        <v>77</v>
      </c>
      <c r="L429" s="35" t="n">
        <f aca="false">G429*H429</f>
        <v>200</v>
      </c>
      <c r="M429" s="35" t="n">
        <f aca="false">L429*I429</f>
        <v>0</v>
      </c>
      <c r="N429" s="35" t="n">
        <f aca="false">L429-M429</f>
        <v>200</v>
      </c>
      <c r="O429" s="4" t="n">
        <f aca="false">MONTH(B429)</f>
        <v>4</v>
      </c>
      <c r="P429" s="4" t="str">
        <f aca="false">CHOOSE(WEEKDAY(B429,2),"Mon","Tue","Wed","Thu","Fri","Sat","Sun")</f>
        <v>Mon</v>
      </c>
      <c r="Q429" s="4" t="str">
        <f aca="false">IF(WEEKDAY(B429,2)&gt;5,"Weekend","Weekday")</f>
        <v>Weekday</v>
      </c>
      <c r="R429" s="4" t="str">
        <f aca="false">IF(C429&lt;11,"Morning (7-10)",IF(C429&lt;14,"Lunch (11-13)",IF(C429&lt;18,"Afternoon (14-17)","Evening (18-20)")))</f>
        <v>Morning (7-10)</v>
      </c>
      <c r="S429" s="4" t="str">
        <f aca="false">IF(AND(O429&gt;=3,O429&lt;=5),"Hot Dry (Mar-May)",IF(AND(O429&gt;=6,O429&lt;=11),"Rainy (Jun-Nov)","Cool Dry (Dec-Feb)"))</f>
        <v>Hot Dry (Mar-May)</v>
      </c>
      <c r="T429" s="4" t="str">
        <f aca="false">CHOOSE(O429,"Jan","Feb","Mar","Apr","May","Jun","Jul","Aug","Sep","Oct","Nov","Dec")</f>
        <v>Apr</v>
      </c>
    </row>
    <row r="430" customFormat="false" ht="15" hidden="false" customHeight="false" outlineLevel="0" collapsed="false">
      <c r="A430" s="4" t="s">
        <v>627</v>
      </c>
      <c r="B430" s="17" t="n">
        <v>45754</v>
      </c>
      <c r="C430" s="4" t="n">
        <v>8</v>
      </c>
      <c r="D430" s="4" t="s">
        <v>64</v>
      </c>
      <c r="E430" s="4" t="s">
        <v>65</v>
      </c>
      <c r="F430" s="4" t="s">
        <v>87</v>
      </c>
      <c r="G430" s="4" t="n">
        <v>1</v>
      </c>
      <c r="H430" s="34" t="n">
        <v>160</v>
      </c>
      <c r="I430" s="18" t="n">
        <v>0.05</v>
      </c>
      <c r="J430" s="4" t="s">
        <v>67</v>
      </c>
      <c r="K430" s="4" t="s">
        <v>82</v>
      </c>
      <c r="L430" s="35" t="n">
        <f aca="false">G430*H430</f>
        <v>160</v>
      </c>
      <c r="M430" s="35" t="n">
        <f aca="false">L430*I430</f>
        <v>8</v>
      </c>
      <c r="N430" s="35" t="n">
        <f aca="false">L430-M430</f>
        <v>152</v>
      </c>
      <c r="O430" s="4" t="n">
        <f aca="false">MONTH(B430)</f>
        <v>4</v>
      </c>
      <c r="P430" s="4" t="str">
        <f aca="false">CHOOSE(WEEKDAY(B430,2),"Mon","Tue","Wed","Thu","Fri","Sat","Sun")</f>
        <v>Mon</v>
      </c>
      <c r="Q430" s="4" t="str">
        <f aca="false">IF(WEEKDAY(B430,2)&gt;5,"Weekend","Weekday")</f>
        <v>Weekday</v>
      </c>
      <c r="R430" s="4" t="str">
        <f aca="false">IF(C430&lt;11,"Morning (7-10)",IF(C430&lt;14,"Lunch (11-13)",IF(C430&lt;18,"Afternoon (14-17)","Evening (18-20)")))</f>
        <v>Morning (7-10)</v>
      </c>
      <c r="S430" s="4" t="str">
        <f aca="false">IF(AND(O430&gt;=3,O430&lt;=5),"Hot Dry (Mar-May)",IF(AND(O430&gt;=6,O430&lt;=11),"Rainy (Jun-Nov)","Cool Dry (Dec-Feb)"))</f>
        <v>Hot Dry (Mar-May)</v>
      </c>
      <c r="T430" s="4" t="str">
        <f aca="false">CHOOSE(O430,"Jan","Feb","Mar","Apr","May","Jun","Jul","Aug","Sep","Oct","Nov","Dec")</f>
        <v>Apr</v>
      </c>
    </row>
    <row r="431" customFormat="false" ht="15" hidden="false" customHeight="false" outlineLevel="0" collapsed="false">
      <c r="A431" s="4" t="s">
        <v>628</v>
      </c>
      <c r="B431" s="17" t="n">
        <v>45754</v>
      </c>
      <c r="C431" s="4" t="n">
        <v>12</v>
      </c>
      <c r="D431" s="4" t="s">
        <v>64</v>
      </c>
      <c r="E431" s="4" t="s">
        <v>65</v>
      </c>
      <c r="F431" s="4" t="s">
        <v>121</v>
      </c>
      <c r="G431" s="4" t="n">
        <v>1</v>
      </c>
      <c r="H431" s="34" t="n">
        <v>170</v>
      </c>
      <c r="I431" s="18" t="n">
        <v>0</v>
      </c>
      <c r="J431" s="4" t="s">
        <v>67</v>
      </c>
      <c r="K431" s="4" t="s">
        <v>68</v>
      </c>
      <c r="L431" s="35" t="n">
        <f aca="false">G431*H431</f>
        <v>170</v>
      </c>
      <c r="M431" s="35" t="n">
        <f aca="false">L431*I431</f>
        <v>0</v>
      </c>
      <c r="N431" s="35" t="n">
        <f aca="false">L431-M431</f>
        <v>170</v>
      </c>
      <c r="O431" s="4" t="n">
        <f aca="false">MONTH(B431)</f>
        <v>4</v>
      </c>
      <c r="P431" s="4" t="str">
        <f aca="false">CHOOSE(WEEKDAY(B431,2),"Mon","Tue","Wed","Thu","Fri","Sat","Sun")</f>
        <v>Mon</v>
      </c>
      <c r="Q431" s="4" t="str">
        <f aca="false">IF(WEEKDAY(B431,2)&gt;5,"Weekend","Weekday")</f>
        <v>Weekday</v>
      </c>
      <c r="R431" s="4" t="str">
        <f aca="false">IF(C431&lt;11,"Morning (7-10)",IF(C431&lt;14,"Lunch (11-13)",IF(C431&lt;18,"Afternoon (14-17)","Evening (18-20)")))</f>
        <v>Lunch (11-13)</v>
      </c>
      <c r="S431" s="4" t="str">
        <f aca="false">IF(AND(O431&gt;=3,O431&lt;=5),"Hot Dry (Mar-May)",IF(AND(O431&gt;=6,O431&lt;=11),"Rainy (Jun-Nov)","Cool Dry (Dec-Feb)"))</f>
        <v>Hot Dry (Mar-May)</v>
      </c>
      <c r="T431" s="4" t="str">
        <f aca="false">CHOOSE(O431,"Jan","Feb","Mar","Apr","May","Jun","Jul","Aug","Sep","Oct","Nov","Dec")</f>
        <v>Apr</v>
      </c>
    </row>
    <row r="432" customFormat="false" ht="15" hidden="false" customHeight="false" outlineLevel="0" collapsed="false">
      <c r="A432" s="4" t="s">
        <v>629</v>
      </c>
      <c r="B432" s="17" t="n">
        <v>45754</v>
      </c>
      <c r="C432" s="4" t="n">
        <v>12</v>
      </c>
      <c r="D432" s="4" t="s">
        <v>64</v>
      </c>
      <c r="E432" s="4" t="s">
        <v>74</v>
      </c>
      <c r="F432" s="4" t="s">
        <v>75</v>
      </c>
      <c r="G432" s="4" t="n">
        <v>1</v>
      </c>
      <c r="H432" s="34" t="n">
        <v>220</v>
      </c>
      <c r="I432" s="18" t="n">
        <v>0.05</v>
      </c>
      <c r="J432" s="4" t="s">
        <v>112</v>
      </c>
      <c r="K432" s="4" t="s">
        <v>82</v>
      </c>
      <c r="L432" s="35" t="n">
        <f aca="false">G432*H432</f>
        <v>220</v>
      </c>
      <c r="M432" s="35" t="n">
        <f aca="false">L432*I432</f>
        <v>11</v>
      </c>
      <c r="N432" s="35" t="n">
        <f aca="false">L432-M432</f>
        <v>209</v>
      </c>
      <c r="O432" s="4" t="n">
        <f aca="false">MONTH(B432)</f>
        <v>4</v>
      </c>
      <c r="P432" s="4" t="str">
        <f aca="false">CHOOSE(WEEKDAY(B432,2),"Mon","Tue","Wed","Thu","Fri","Sat","Sun")</f>
        <v>Mon</v>
      </c>
      <c r="Q432" s="4" t="str">
        <f aca="false">IF(WEEKDAY(B432,2)&gt;5,"Weekend","Weekday")</f>
        <v>Weekday</v>
      </c>
      <c r="R432" s="4" t="str">
        <f aca="false">IF(C432&lt;11,"Morning (7-10)",IF(C432&lt;14,"Lunch (11-13)",IF(C432&lt;18,"Afternoon (14-17)","Evening (18-20)")))</f>
        <v>Lunch (11-13)</v>
      </c>
      <c r="S432" s="4" t="str">
        <f aca="false">IF(AND(O432&gt;=3,O432&lt;=5),"Hot Dry (Mar-May)",IF(AND(O432&gt;=6,O432&lt;=11),"Rainy (Jun-Nov)","Cool Dry (Dec-Feb)"))</f>
        <v>Hot Dry (Mar-May)</v>
      </c>
      <c r="T432" s="4" t="str">
        <f aca="false">CHOOSE(O432,"Jan","Feb","Mar","Apr","May","Jun","Jul","Aug","Sep","Oct","Nov","Dec")</f>
        <v>Apr</v>
      </c>
    </row>
    <row r="433" customFormat="false" ht="15" hidden="false" customHeight="false" outlineLevel="0" collapsed="false">
      <c r="A433" s="4" t="s">
        <v>630</v>
      </c>
      <c r="B433" s="17" t="n">
        <v>45754</v>
      </c>
      <c r="C433" s="4" t="n">
        <v>13</v>
      </c>
      <c r="D433" s="4" t="s">
        <v>98</v>
      </c>
      <c r="E433" s="4" t="s">
        <v>99</v>
      </c>
      <c r="F433" s="4" t="s">
        <v>102</v>
      </c>
      <c r="G433" s="4" t="n">
        <v>1</v>
      </c>
      <c r="H433" s="34" t="n">
        <v>140</v>
      </c>
      <c r="I433" s="18" t="n">
        <v>0.1</v>
      </c>
      <c r="J433" s="4" t="s">
        <v>81</v>
      </c>
      <c r="K433" s="4" t="s">
        <v>71</v>
      </c>
      <c r="L433" s="35" t="n">
        <f aca="false">G433*H433</f>
        <v>140</v>
      </c>
      <c r="M433" s="35" t="n">
        <f aca="false">L433*I433</f>
        <v>14</v>
      </c>
      <c r="N433" s="35" t="n">
        <f aca="false">L433-M433</f>
        <v>126</v>
      </c>
      <c r="O433" s="4" t="n">
        <f aca="false">MONTH(B433)</f>
        <v>4</v>
      </c>
      <c r="P433" s="4" t="str">
        <f aca="false">CHOOSE(WEEKDAY(B433,2),"Mon","Tue","Wed","Thu","Fri","Sat","Sun")</f>
        <v>Mon</v>
      </c>
      <c r="Q433" s="4" t="str">
        <f aca="false">IF(WEEKDAY(B433,2)&gt;5,"Weekend","Weekday")</f>
        <v>Weekday</v>
      </c>
      <c r="R433" s="4" t="str">
        <f aca="false">IF(C433&lt;11,"Morning (7-10)",IF(C433&lt;14,"Lunch (11-13)",IF(C433&lt;18,"Afternoon (14-17)","Evening (18-20)")))</f>
        <v>Lunch (11-13)</v>
      </c>
      <c r="S433" s="4" t="str">
        <f aca="false">IF(AND(O433&gt;=3,O433&lt;=5),"Hot Dry (Mar-May)",IF(AND(O433&gt;=6,O433&lt;=11),"Rainy (Jun-Nov)","Cool Dry (Dec-Feb)"))</f>
        <v>Hot Dry (Mar-May)</v>
      </c>
      <c r="T433" s="4" t="str">
        <f aca="false">CHOOSE(O433,"Jan","Feb","Mar","Apr","May","Jun","Jul","Aug","Sep","Oct","Nov","Dec")</f>
        <v>Apr</v>
      </c>
    </row>
    <row r="434" customFormat="false" ht="15" hidden="false" customHeight="false" outlineLevel="0" collapsed="false">
      <c r="A434" s="4" t="s">
        <v>632</v>
      </c>
      <c r="B434" s="17" t="n">
        <v>45754</v>
      </c>
      <c r="C434" s="4" t="n">
        <v>16</v>
      </c>
      <c r="D434" s="4" t="s">
        <v>70</v>
      </c>
      <c r="E434" s="4" t="s">
        <v>65</v>
      </c>
      <c r="F434" s="4" t="s">
        <v>94</v>
      </c>
      <c r="G434" s="4" t="n">
        <v>1</v>
      </c>
      <c r="H434" s="34" t="n">
        <v>150</v>
      </c>
      <c r="I434" s="18" t="n">
        <v>0</v>
      </c>
      <c r="J434" s="4" t="s">
        <v>76</v>
      </c>
      <c r="K434" s="4" t="s">
        <v>77</v>
      </c>
      <c r="L434" s="35" t="n">
        <f aca="false">G434*H434</f>
        <v>150</v>
      </c>
      <c r="M434" s="35" t="n">
        <f aca="false">L434*I434</f>
        <v>0</v>
      </c>
      <c r="N434" s="35" t="n">
        <f aca="false">L434-M434</f>
        <v>150</v>
      </c>
      <c r="O434" s="4" t="n">
        <f aca="false">MONTH(B434)</f>
        <v>4</v>
      </c>
      <c r="P434" s="4" t="str">
        <f aca="false">CHOOSE(WEEKDAY(B434,2),"Mon","Tue","Wed","Thu","Fri","Sat","Sun")</f>
        <v>Mon</v>
      </c>
      <c r="Q434" s="4" t="str">
        <f aca="false">IF(WEEKDAY(B434,2)&gt;5,"Weekend","Weekday")</f>
        <v>Weekday</v>
      </c>
      <c r="R434" s="4" t="str">
        <f aca="false">IF(C434&lt;11,"Morning (7-10)",IF(C434&lt;14,"Lunch (11-13)",IF(C434&lt;18,"Afternoon (14-17)","Evening (18-20)")))</f>
        <v>Afternoon (14-17)</v>
      </c>
      <c r="S434" s="4" t="str">
        <f aca="false">IF(AND(O434&gt;=3,O434&lt;=5),"Hot Dry (Mar-May)",IF(AND(O434&gt;=6,O434&lt;=11),"Rainy (Jun-Nov)","Cool Dry (Dec-Feb)"))</f>
        <v>Hot Dry (Mar-May)</v>
      </c>
      <c r="T434" s="4" t="str">
        <f aca="false">CHOOSE(O434,"Jan","Feb","Mar","Apr","May","Jun","Jul","Aug","Sep","Oct","Nov","Dec")</f>
        <v>Apr</v>
      </c>
    </row>
    <row r="435" customFormat="false" ht="15" hidden="false" customHeight="false" outlineLevel="0" collapsed="false">
      <c r="A435" s="4" t="s">
        <v>633</v>
      </c>
      <c r="B435" s="17" t="n">
        <v>45754</v>
      </c>
      <c r="C435" s="4" t="n">
        <v>17</v>
      </c>
      <c r="D435" s="4" t="s">
        <v>64</v>
      </c>
      <c r="E435" s="4" t="s">
        <v>99</v>
      </c>
      <c r="F435" s="4" t="s">
        <v>109</v>
      </c>
      <c r="G435" s="4" t="n">
        <v>1</v>
      </c>
      <c r="H435" s="34" t="n">
        <v>130</v>
      </c>
      <c r="I435" s="18" t="n">
        <v>0</v>
      </c>
      <c r="J435" s="4" t="s">
        <v>81</v>
      </c>
      <c r="K435" s="4" t="s">
        <v>68</v>
      </c>
      <c r="L435" s="35" t="n">
        <f aca="false">G435*H435</f>
        <v>130</v>
      </c>
      <c r="M435" s="35" t="n">
        <f aca="false">L435*I435</f>
        <v>0</v>
      </c>
      <c r="N435" s="35" t="n">
        <f aca="false">L435-M435</f>
        <v>130</v>
      </c>
      <c r="O435" s="4" t="n">
        <f aca="false">MONTH(B435)</f>
        <v>4</v>
      </c>
      <c r="P435" s="4" t="str">
        <f aca="false">CHOOSE(WEEKDAY(B435,2),"Mon","Tue","Wed","Thu","Fri","Sat","Sun")</f>
        <v>Mon</v>
      </c>
      <c r="Q435" s="4" t="str">
        <f aca="false">IF(WEEKDAY(B435,2)&gt;5,"Weekend","Weekday")</f>
        <v>Weekday</v>
      </c>
      <c r="R435" s="4" t="str">
        <f aca="false">IF(C435&lt;11,"Morning (7-10)",IF(C435&lt;14,"Lunch (11-13)",IF(C435&lt;18,"Afternoon (14-17)","Evening (18-20)")))</f>
        <v>Afternoon (14-17)</v>
      </c>
      <c r="S435" s="4" t="str">
        <f aca="false">IF(AND(O435&gt;=3,O435&lt;=5),"Hot Dry (Mar-May)",IF(AND(O435&gt;=6,O435&lt;=11),"Rainy (Jun-Nov)","Cool Dry (Dec-Feb)"))</f>
        <v>Hot Dry (Mar-May)</v>
      </c>
      <c r="T435" s="4" t="str">
        <f aca="false">CHOOSE(O435,"Jan","Feb","Mar","Apr","May","Jun","Jul","Aug","Sep","Oct","Nov","Dec")</f>
        <v>Apr</v>
      </c>
    </row>
    <row r="436" customFormat="false" ht="15" hidden="false" customHeight="false" outlineLevel="0" collapsed="false">
      <c r="A436" s="4" t="s">
        <v>634</v>
      </c>
      <c r="B436" s="17" t="n">
        <v>45755</v>
      </c>
      <c r="C436" s="4" t="n">
        <v>7</v>
      </c>
      <c r="D436" s="4" t="s">
        <v>98</v>
      </c>
      <c r="E436" s="4" t="s">
        <v>79</v>
      </c>
      <c r="F436" s="4" t="s">
        <v>135</v>
      </c>
      <c r="G436" s="4" t="n">
        <v>2</v>
      </c>
      <c r="H436" s="34" t="n">
        <v>130</v>
      </c>
      <c r="I436" s="18" t="n">
        <v>0</v>
      </c>
      <c r="J436" s="4" t="s">
        <v>76</v>
      </c>
      <c r="K436" s="4" t="s">
        <v>68</v>
      </c>
      <c r="L436" s="35" t="n">
        <f aca="false">G436*H436</f>
        <v>260</v>
      </c>
      <c r="M436" s="35" t="n">
        <f aca="false">L436*I436</f>
        <v>0</v>
      </c>
      <c r="N436" s="35" t="n">
        <f aca="false">L436-M436</f>
        <v>260</v>
      </c>
      <c r="O436" s="4" t="n">
        <f aca="false">MONTH(B436)</f>
        <v>4</v>
      </c>
      <c r="P436" s="4" t="str">
        <f aca="false">CHOOSE(WEEKDAY(B436,2),"Mon","Tue","Wed","Thu","Fri","Sat","Sun")</f>
        <v>Tue</v>
      </c>
      <c r="Q436" s="4" t="str">
        <f aca="false">IF(WEEKDAY(B436,2)&gt;5,"Weekend","Weekday")</f>
        <v>Weekday</v>
      </c>
      <c r="R436" s="4" t="str">
        <f aca="false">IF(C436&lt;11,"Morning (7-10)",IF(C436&lt;14,"Lunch (11-13)",IF(C436&lt;18,"Afternoon (14-17)","Evening (18-20)")))</f>
        <v>Morning (7-10)</v>
      </c>
      <c r="S436" s="4" t="str">
        <f aca="false">IF(AND(O436&gt;=3,O436&lt;=5),"Hot Dry (Mar-May)",IF(AND(O436&gt;=6,O436&lt;=11),"Rainy (Jun-Nov)","Cool Dry (Dec-Feb)"))</f>
        <v>Hot Dry (Mar-May)</v>
      </c>
      <c r="T436" s="4" t="str">
        <f aca="false">CHOOSE(O436,"Jan","Feb","Mar","Apr","May","Jun","Jul","Aug","Sep","Oct","Nov","Dec")</f>
        <v>Apr</v>
      </c>
    </row>
    <row r="437" customFormat="false" ht="15" hidden="false" customHeight="false" outlineLevel="0" collapsed="false">
      <c r="A437" s="4" t="s">
        <v>635</v>
      </c>
      <c r="B437" s="17" t="n">
        <v>45755</v>
      </c>
      <c r="C437" s="4" t="n">
        <v>11</v>
      </c>
      <c r="D437" s="4" t="s">
        <v>73</v>
      </c>
      <c r="E437" s="4" t="s">
        <v>65</v>
      </c>
      <c r="F437" s="4" t="s">
        <v>94</v>
      </c>
      <c r="G437" s="4" t="n">
        <v>1</v>
      </c>
      <c r="H437" s="34" t="n">
        <v>150</v>
      </c>
      <c r="I437" s="18" t="n">
        <v>0.15</v>
      </c>
      <c r="J437" s="4" t="s">
        <v>76</v>
      </c>
      <c r="K437" s="4" t="s">
        <v>82</v>
      </c>
      <c r="L437" s="35" t="n">
        <f aca="false">G437*H437</f>
        <v>150</v>
      </c>
      <c r="M437" s="35" t="n">
        <f aca="false">L437*I437</f>
        <v>22.5</v>
      </c>
      <c r="N437" s="35" t="n">
        <f aca="false">L437-M437</f>
        <v>127.5</v>
      </c>
      <c r="O437" s="4" t="n">
        <f aca="false">MONTH(B437)</f>
        <v>4</v>
      </c>
      <c r="P437" s="4" t="str">
        <f aca="false">CHOOSE(WEEKDAY(B437,2),"Mon","Tue","Wed","Thu","Fri","Sat","Sun")</f>
        <v>Tue</v>
      </c>
      <c r="Q437" s="4" t="str">
        <f aca="false">IF(WEEKDAY(B437,2)&gt;5,"Weekend","Weekday")</f>
        <v>Weekday</v>
      </c>
      <c r="R437" s="4" t="str">
        <f aca="false">IF(C437&lt;11,"Morning (7-10)",IF(C437&lt;14,"Lunch (11-13)",IF(C437&lt;18,"Afternoon (14-17)","Evening (18-20)")))</f>
        <v>Lunch (11-13)</v>
      </c>
      <c r="S437" s="4" t="str">
        <f aca="false">IF(AND(O437&gt;=3,O437&lt;=5),"Hot Dry (Mar-May)",IF(AND(O437&gt;=6,O437&lt;=11),"Rainy (Jun-Nov)","Cool Dry (Dec-Feb)"))</f>
        <v>Hot Dry (Mar-May)</v>
      </c>
      <c r="T437" s="4" t="str">
        <f aca="false">CHOOSE(O437,"Jan","Feb","Mar","Apr","May","Jun","Jul","Aug","Sep","Oct","Nov","Dec")</f>
        <v>Apr</v>
      </c>
    </row>
    <row r="438" customFormat="false" ht="15" hidden="false" customHeight="false" outlineLevel="0" collapsed="false">
      <c r="A438" s="4" t="s">
        <v>637</v>
      </c>
      <c r="B438" s="17" t="n">
        <v>45755</v>
      </c>
      <c r="C438" s="4" t="n">
        <v>13</v>
      </c>
      <c r="D438" s="4" t="s">
        <v>64</v>
      </c>
      <c r="E438" s="4" t="s">
        <v>74</v>
      </c>
      <c r="F438" s="4" t="s">
        <v>91</v>
      </c>
      <c r="G438" s="4" t="n">
        <v>1</v>
      </c>
      <c r="H438" s="34" t="n">
        <v>200</v>
      </c>
      <c r="I438" s="18" t="n">
        <v>0</v>
      </c>
      <c r="J438" s="4" t="s">
        <v>67</v>
      </c>
      <c r="K438" s="4" t="s">
        <v>77</v>
      </c>
      <c r="L438" s="35" t="n">
        <f aca="false">G438*H438</f>
        <v>200</v>
      </c>
      <c r="M438" s="35" t="n">
        <f aca="false">L438*I438</f>
        <v>0</v>
      </c>
      <c r="N438" s="35" t="n">
        <f aca="false">L438-M438</f>
        <v>200</v>
      </c>
      <c r="O438" s="4" t="n">
        <f aca="false">MONTH(B438)</f>
        <v>4</v>
      </c>
      <c r="P438" s="4" t="str">
        <f aca="false">CHOOSE(WEEKDAY(B438,2),"Mon","Tue","Wed","Thu","Fri","Sat","Sun")</f>
        <v>Tue</v>
      </c>
      <c r="Q438" s="4" t="str">
        <f aca="false">IF(WEEKDAY(B438,2)&gt;5,"Weekend","Weekday")</f>
        <v>Weekday</v>
      </c>
      <c r="R438" s="4" t="str">
        <f aca="false">IF(C438&lt;11,"Morning (7-10)",IF(C438&lt;14,"Lunch (11-13)",IF(C438&lt;18,"Afternoon (14-17)","Evening (18-20)")))</f>
        <v>Lunch (11-13)</v>
      </c>
      <c r="S438" s="4" t="str">
        <f aca="false">IF(AND(O438&gt;=3,O438&lt;=5),"Hot Dry (Mar-May)",IF(AND(O438&gt;=6,O438&lt;=11),"Rainy (Jun-Nov)","Cool Dry (Dec-Feb)"))</f>
        <v>Hot Dry (Mar-May)</v>
      </c>
      <c r="T438" s="4" t="str">
        <f aca="false">CHOOSE(O438,"Jan","Feb","Mar","Apr","May","Jun","Jul","Aug","Sep","Oct","Nov","Dec")</f>
        <v>Apr</v>
      </c>
    </row>
    <row r="439" customFormat="false" ht="15" hidden="false" customHeight="false" outlineLevel="0" collapsed="false">
      <c r="A439" s="4" t="s">
        <v>638</v>
      </c>
      <c r="B439" s="17" t="n">
        <v>45755</v>
      </c>
      <c r="C439" s="4" t="n">
        <v>13</v>
      </c>
      <c r="D439" s="4" t="s">
        <v>73</v>
      </c>
      <c r="E439" s="4" t="s">
        <v>74</v>
      </c>
      <c r="F439" s="4" t="s">
        <v>91</v>
      </c>
      <c r="G439" s="4" t="n">
        <v>2</v>
      </c>
      <c r="H439" s="34" t="n">
        <v>200</v>
      </c>
      <c r="I439" s="18" t="n">
        <v>0</v>
      </c>
      <c r="J439" s="4" t="s">
        <v>2289</v>
      </c>
      <c r="K439" s="4" t="s">
        <v>77</v>
      </c>
      <c r="L439" s="35" t="n">
        <f aca="false">G439*H439</f>
        <v>400</v>
      </c>
      <c r="M439" s="35" t="n">
        <f aca="false">L439*I439</f>
        <v>0</v>
      </c>
      <c r="N439" s="35" t="n">
        <f aca="false">L439-M439</f>
        <v>400</v>
      </c>
      <c r="O439" s="4" t="n">
        <f aca="false">MONTH(B439)</f>
        <v>4</v>
      </c>
      <c r="P439" s="4" t="str">
        <f aca="false">CHOOSE(WEEKDAY(B439,2),"Mon","Tue","Wed","Thu","Fri","Sat","Sun")</f>
        <v>Tue</v>
      </c>
      <c r="Q439" s="4" t="str">
        <f aca="false">IF(WEEKDAY(B439,2)&gt;5,"Weekend","Weekday")</f>
        <v>Weekday</v>
      </c>
      <c r="R439" s="4" t="str">
        <f aca="false">IF(C439&lt;11,"Morning (7-10)",IF(C439&lt;14,"Lunch (11-13)",IF(C439&lt;18,"Afternoon (14-17)","Evening (18-20)")))</f>
        <v>Lunch (11-13)</v>
      </c>
      <c r="S439" s="4" t="str">
        <f aca="false">IF(AND(O439&gt;=3,O439&lt;=5),"Hot Dry (Mar-May)",IF(AND(O439&gt;=6,O439&lt;=11),"Rainy (Jun-Nov)","Cool Dry (Dec-Feb)"))</f>
        <v>Hot Dry (Mar-May)</v>
      </c>
      <c r="T439" s="4" t="str">
        <f aca="false">CHOOSE(O439,"Jan","Feb","Mar","Apr","May","Jun","Jul","Aug","Sep","Oct","Nov","Dec")</f>
        <v>Apr</v>
      </c>
    </row>
    <row r="440" customFormat="false" ht="15" hidden="false" customHeight="false" outlineLevel="0" collapsed="false">
      <c r="A440" s="4" t="s">
        <v>640</v>
      </c>
      <c r="B440" s="17" t="n">
        <v>45755</v>
      </c>
      <c r="C440" s="4" t="n">
        <v>18</v>
      </c>
      <c r="D440" s="4" t="s">
        <v>70</v>
      </c>
      <c r="E440" s="4" t="s">
        <v>65</v>
      </c>
      <c r="F440" s="4" t="s">
        <v>121</v>
      </c>
      <c r="G440" s="4" t="n">
        <v>2</v>
      </c>
      <c r="H440" s="34" t="n">
        <v>170</v>
      </c>
      <c r="I440" s="18" t="n">
        <v>0</v>
      </c>
      <c r="J440" s="4" t="s">
        <v>81</v>
      </c>
      <c r="K440" s="4" t="s">
        <v>68</v>
      </c>
      <c r="L440" s="35" t="n">
        <f aca="false">G440*H440</f>
        <v>340</v>
      </c>
      <c r="M440" s="35" t="n">
        <f aca="false">L440*I440</f>
        <v>0</v>
      </c>
      <c r="N440" s="35" t="n">
        <f aca="false">L440-M440</f>
        <v>340</v>
      </c>
      <c r="O440" s="4" t="n">
        <f aca="false">MONTH(B440)</f>
        <v>4</v>
      </c>
      <c r="P440" s="4" t="str">
        <f aca="false">CHOOSE(WEEKDAY(B440,2),"Mon","Tue","Wed","Thu","Fri","Sat","Sun")</f>
        <v>Tue</v>
      </c>
      <c r="Q440" s="4" t="str">
        <f aca="false">IF(WEEKDAY(B440,2)&gt;5,"Weekend","Weekday")</f>
        <v>Weekday</v>
      </c>
      <c r="R440" s="4" t="str">
        <f aca="false">IF(C440&lt;11,"Morning (7-10)",IF(C440&lt;14,"Lunch (11-13)",IF(C440&lt;18,"Afternoon (14-17)","Evening (18-20)")))</f>
        <v>Evening (18-20)</v>
      </c>
      <c r="S440" s="4" t="str">
        <f aca="false">IF(AND(O440&gt;=3,O440&lt;=5),"Hot Dry (Mar-May)",IF(AND(O440&gt;=6,O440&lt;=11),"Rainy (Jun-Nov)","Cool Dry (Dec-Feb)"))</f>
        <v>Hot Dry (Mar-May)</v>
      </c>
      <c r="T440" s="4" t="str">
        <f aca="false">CHOOSE(O440,"Jan","Feb","Mar","Apr","May","Jun","Jul","Aug","Sep","Oct","Nov","Dec")</f>
        <v>Apr</v>
      </c>
    </row>
    <row r="441" customFormat="false" ht="15" hidden="false" customHeight="false" outlineLevel="0" collapsed="false">
      <c r="A441" s="4" t="s">
        <v>641</v>
      </c>
      <c r="B441" s="17" t="n">
        <v>45756</v>
      </c>
      <c r="C441" s="4" t="n">
        <v>7</v>
      </c>
      <c r="D441" s="4" t="s">
        <v>98</v>
      </c>
      <c r="E441" s="4" t="s">
        <v>65</v>
      </c>
      <c r="F441" s="4" t="s">
        <v>94</v>
      </c>
      <c r="G441" s="4" t="n">
        <v>2</v>
      </c>
      <c r="H441" s="34" t="n">
        <v>150</v>
      </c>
      <c r="I441" s="18" t="n">
        <v>0</v>
      </c>
      <c r="J441" s="4" t="s">
        <v>2289</v>
      </c>
      <c r="K441" s="4" t="s">
        <v>68</v>
      </c>
      <c r="L441" s="35" t="n">
        <f aca="false">G441*H441</f>
        <v>300</v>
      </c>
      <c r="M441" s="35" t="n">
        <f aca="false">L441*I441</f>
        <v>0</v>
      </c>
      <c r="N441" s="35" t="n">
        <f aca="false">L441-M441</f>
        <v>300</v>
      </c>
      <c r="O441" s="4" t="n">
        <f aca="false">MONTH(B441)</f>
        <v>4</v>
      </c>
      <c r="P441" s="4" t="str">
        <f aca="false">CHOOSE(WEEKDAY(B441,2),"Mon","Tue","Wed","Thu","Fri","Sat","Sun")</f>
        <v>Wed</v>
      </c>
      <c r="Q441" s="4" t="str">
        <f aca="false">IF(WEEKDAY(B441,2)&gt;5,"Weekend","Weekday")</f>
        <v>Weekday</v>
      </c>
      <c r="R441" s="4" t="str">
        <f aca="false">IF(C441&lt;11,"Morning (7-10)",IF(C441&lt;14,"Lunch (11-13)",IF(C441&lt;18,"Afternoon (14-17)","Evening (18-20)")))</f>
        <v>Morning (7-10)</v>
      </c>
      <c r="S441" s="4" t="str">
        <f aca="false">IF(AND(O441&gt;=3,O441&lt;=5),"Hot Dry (Mar-May)",IF(AND(O441&gt;=6,O441&lt;=11),"Rainy (Jun-Nov)","Cool Dry (Dec-Feb)"))</f>
        <v>Hot Dry (Mar-May)</v>
      </c>
      <c r="T441" s="4" t="str">
        <f aca="false">CHOOSE(O441,"Jan","Feb","Mar","Apr","May","Jun","Jul","Aug","Sep","Oct","Nov","Dec")</f>
        <v>Apr</v>
      </c>
    </row>
    <row r="442" customFormat="false" ht="15" hidden="false" customHeight="false" outlineLevel="0" collapsed="false">
      <c r="A442" s="4" t="s">
        <v>642</v>
      </c>
      <c r="B442" s="17" t="n">
        <v>45757</v>
      </c>
      <c r="C442" s="4" t="n">
        <v>11</v>
      </c>
      <c r="D442" s="4" t="s">
        <v>70</v>
      </c>
      <c r="E442" s="4" t="s">
        <v>84</v>
      </c>
      <c r="F442" s="4" t="s">
        <v>106</v>
      </c>
      <c r="G442" s="4" t="n">
        <v>2</v>
      </c>
      <c r="H442" s="34" t="n">
        <v>60</v>
      </c>
      <c r="I442" s="18" t="n">
        <v>0</v>
      </c>
      <c r="J442" s="4" t="s">
        <v>81</v>
      </c>
      <c r="K442" s="4" t="s">
        <v>68</v>
      </c>
      <c r="L442" s="35" t="n">
        <f aca="false">G442*H442</f>
        <v>120</v>
      </c>
      <c r="M442" s="35" t="n">
        <f aca="false">L442*I442</f>
        <v>0</v>
      </c>
      <c r="N442" s="35" t="n">
        <f aca="false">L442-M442</f>
        <v>120</v>
      </c>
      <c r="O442" s="4" t="n">
        <f aca="false">MONTH(B442)</f>
        <v>4</v>
      </c>
      <c r="P442" s="4" t="str">
        <f aca="false">CHOOSE(WEEKDAY(B442,2),"Mon","Tue","Wed","Thu","Fri","Sat","Sun")</f>
        <v>Thu</v>
      </c>
      <c r="Q442" s="4" t="str">
        <f aca="false">IF(WEEKDAY(B442,2)&gt;5,"Weekend","Weekday")</f>
        <v>Weekday</v>
      </c>
      <c r="R442" s="4" t="str">
        <f aca="false">IF(C442&lt;11,"Morning (7-10)",IF(C442&lt;14,"Lunch (11-13)",IF(C442&lt;18,"Afternoon (14-17)","Evening (18-20)")))</f>
        <v>Lunch (11-13)</v>
      </c>
      <c r="S442" s="4" t="str">
        <f aca="false">IF(AND(O442&gt;=3,O442&lt;=5),"Hot Dry (Mar-May)",IF(AND(O442&gt;=6,O442&lt;=11),"Rainy (Jun-Nov)","Cool Dry (Dec-Feb)"))</f>
        <v>Hot Dry (Mar-May)</v>
      </c>
      <c r="T442" s="4" t="str">
        <f aca="false">CHOOSE(O442,"Jan","Feb","Mar","Apr","May","Jun","Jul","Aug","Sep","Oct","Nov","Dec")</f>
        <v>Apr</v>
      </c>
    </row>
    <row r="443" customFormat="false" ht="15" hidden="false" customHeight="false" outlineLevel="0" collapsed="false">
      <c r="A443" s="4" t="s">
        <v>644</v>
      </c>
      <c r="B443" s="17" t="n">
        <v>45757</v>
      </c>
      <c r="C443" s="4" t="n">
        <v>12</v>
      </c>
      <c r="D443" s="4" t="s">
        <v>70</v>
      </c>
      <c r="E443" s="4" t="s">
        <v>99</v>
      </c>
      <c r="F443" s="4" t="s">
        <v>102</v>
      </c>
      <c r="G443" s="4" t="n">
        <v>3</v>
      </c>
      <c r="H443" s="34" t="n">
        <v>140</v>
      </c>
      <c r="I443" s="18" t="n">
        <v>0.2</v>
      </c>
      <c r="J443" s="4" t="s">
        <v>76</v>
      </c>
      <c r="K443" s="4" t="s">
        <v>82</v>
      </c>
      <c r="L443" s="35" t="n">
        <f aca="false">G443*H443</f>
        <v>420</v>
      </c>
      <c r="M443" s="35" t="n">
        <f aca="false">L443*I443</f>
        <v>84</v>
      </c>
      <c r="N443" s="35" t="n">
        <f aca="false">L443-M443</f>
        <v>336</v>
      </c>
      <c r="O443" s="4" t="n">
        <f aca="false">MONTH(B443)</f>
        <v>4</v>
      </c>
      <c r="P443" s="4" t="str">
        <f aca="false">CHOOSE(WEEKDAY(B443,2),"Mon","Tue","Wed","Thu","Fri","Sat","Sun")</f>
        <v>Thu</v>
      </c>
      <c r="Q443" s="4" t="str">
        <f aca="false">IF(WEEKDAY(B443,2)&gt;5,"Weekend","Weekday")</f>
        <v>Weekday</v>
      </c>
      <c r="R443" s="4" t="str">
        <f aca="false">IF(C443&lt;11,"Morning (7-10)",IF(C443&lt;14,"Lunch (11-13)",IF(C443&lt;18,"Afternoon (14-17)","Evening (18-20)")))</f>
        <v>Lunch (11-13)</v>
      </c>
      <c r="S443" s="4" t="str">
        <f aca="false">IF(AND(O443&gt;=3,O443&lt;=5),"Hot Dry (Mar-May)",IF(AND(O443&gt;=6,O443&lt;=11),"Rainy (Jun-Nov)","Cool Dry (Dec-Feb)"))</f>
        <v>Hot Dry (Mar-May)</v>
      </c>
      <c r="T443" s="4" t="str">
        <f aca="false">CHOOSE(O443,"Jan","Feb","Mar","Apr","May","Jun","Jul","Aug","Sep","Oct","Nov","Dec")</f>
        <v>Apr</v>
      </c>
    </row>
    <row r="444" customFormat="false" ht="15" hidden="false" customHeight="false" outlineLevel="0" collapsed="false">
      <c r="A444" s="4" t="s">
        <v>646</v>
      </c>
      <c r="B444" s="17" t="n">
        <v>45757</v>
      </c>
      <c r="C444" s="4" t="n">
        <v>12</v>
      </c>
      <c r="D444" s="4" t="s">
        <v>98</v>
      </c>
      <c r="E444" s="4" t="s">
        <v>65</v>
      </c>
      <c r="F444" s="4" t="s">
        <v>66</v>
      </c>
      <c r="G444" s="4" t="n">
        <v>1</v>
      </c>
      <c r="H444" s="34" t="n">
        <v>120</v>
      </c>
      <c r="I444" s="18" t="n">
        <v>0.1</v>
      </c>
      <c r="J444" s="4" t="s">
        <v>67</v>
      </c>
      <c r="K444" s="4" t="s">
        <v>71</v>
      </c>
      <c r="L444" s="35" t="n">
        <f aca="false">G444*H444</f>
        <v>120</v>
      </c>
      <c r="M444" s="35" t="n">
        <f aca="false">L444*I444</f>
        <v>12</v>
      </c>
      <c r="N444" s="35" t="n">
        <f aca="false">L444-M444</f>
        <v>108</v>
      </c>
      <c r="O444" s="4" t="n">
        <f aca="false">MONTH(B444)</f>
        <v>4</v>
      </c>
      <c r="P444" s="4" t="str">
        <f aca="false">CHOOSE(WEEKDAY(B444,2),"Mon","Tue","Wed","Thu","Fri","Sat","Sun")</f>
        <v>Thu</v>
      </c>
      <c r="Q444" s="4" t="str">
        <f aca="false">IF(WEEKDAY(B444,2)&gt;5,"Weekend","Weekday")</f>
        <v>Weekday</v>
      </c>
      <c r="R444" s="4" t="str">
        <f aca="false">IF(C444&lt;11,"Morning (7-10)",IF(C444&lt;14,"Lunch (11-13)",IF(C444&lt;18,"Afternoon (14-17)","Evening (18-20)")))</f>
        <v>Lunch (11-13)</v>
      </c>
      <c r="S444" s="4" t="str">
        <f aca="false">IF(AND(O444&gt;=3,O444&lt;=5),"Hot Dry (Mar-May)",IF(AND(O444&gt;=6,O444&lt;=11),"Rainy (Jun-Nov)","Cool Dry (Dec-Feb)"))</f>
        <v>Hot Dry (Mar-May)</v>
      </c>
      <c r="T444" s="4" t="str">
        <f aca="false">CHOOSE(O444,"Jan","Feb","Mar","Apr","May","Jun","Jul","Aug","Sep","Oct","Nov","Dec")</f>
        <v>Apr</v>
      </c>
    </row>
    <row r="445" customFormat="false" ht="15" hidden="false" customHeight="false" outlineLevel="0" collapsed="false">
      <c r="A445" s="4" t="s">
        <v>647</v>
      </c>
      <c r="B445" s="17" t="n">
        <v>45757</v>
      </c>
      <c r="C445" s="4" t="n">
        <v>16</v>
      </c>
      <c r="D445" s="4" t="s">
        <v>70</v>
      </c>
      <c r="E445" s="4" t="s">
        <v>74</v>
      </c>
      <c r="F445" s="4" t="s">
        <v>139</v>
      </c>
      <c r="G445" s="4" t="n">
        <v>2</v>
      </c>
      <c r="H445" s="34" t="n">
        <v>260</v>
      </c>
      <c r="I445" s="18" t="n">
        <v>0.05</v>
      </c>
      <c r="J445" s="4" t="s">
        <v>81</v>
      </c>
      <c r="K445" s="4" t="s">
        <v>82</v>
      </c>
      <c r="L445" s="35" t="n">
        <f aca="false">G445*H445</f>
        <v>520</v>
      </c>
      <c r="M445" s="35" t="n">
        <f aca="false">L445*I445</f>
        <v>26</v>
      </c>
      <c r="N445" s="35" t="n">
        <f aca="false">L445-M445</f>
        <v>494</v>
      </c>
      <c r="O445" s="4" t="n">
        <f aca="false">MONTH(B445)</f>
        <v>4</v>
      </c>
      <c r="P445" s="4" t="str">
        <f aca="false">CHOOSE(WEEKDAY(B445,2),"Mon","Tue","Wed","Thu","Fri","Sat","Sun")</f>
        <v>Thu</v>
      </c>
      <c r="Q445" s="4" t="str">
        <f aca="false">IF(WEEKDAY(B445,2)&gt;5,"Weekend","Weekday")</f>
        <v>Weekday</v>
      </c>
      <c r="R445" s="4" t="str">
        <f aca="false">IF(C445&lt;11,"Morning (7-10)",IF(C445&lt;14,"Lunch (11-13)",IF(C445&lt;18,"Afternoon (14-17)","Evening (18-20)")))</f>
        <v>Afternoon (14-17)</v>
      </c>
      <c r="S445" s="4" t="str">
        <f aca="false">IF(AND(O445&gt;=3,O445&lt;=5),"Hot Dry (Mar-May)",IF(AND(O445&gt;=6,O445&lt;=11),"Rainy (Jun-Nov)","Cool Dry (Dec-Feb)"))</f>
        <v>Hot Dry (Mar-May)</v>
      </c>
      <c r="T445" s="4" t="str">
        <f aca="false">CHOOSE(O445,"Jan","Feb","Mar","Apr","May","Jun","Jul","Aug","Sep","Oct","Nov","Dec")</f>
        <v>Apr</v>
      </c>
    </row>
    <row r="446" customFormat="false" ht="15" hidden="false" customHeight="false" outlineLevel="0" collapsed="false">
      <c r="A446" s="4" t="s">
        <v>648</v>
      </c>
      <c r="B446" s="17" t="n">
        <v>45757</v>
      </c>
      <c r="C446" s="4" t="n">
        <v>16</v>
      </c>
      <c r="D446" s="4" t="s">
        <v>70</v>
      </c>
      <c r="E446" s="4" t="s">
        <v>65</v>
      </c>
      <c r="F446" s="4" t="s">
        <v>121</v>
      </c>
      <c r="G446" s="4" t="n">
        <v>1</v>
      </c>
      <c r="H446" s="34" t="n">
        <v>170</v>
      </c>
      <c r="I446" s="18" t="n">
        <v>0</v>
      </c>
      <c r="J446" s="4" t="s">
        <v>76</v>
      </c>
      <c r="K446" s="4" t="s">
        <v>77</v>
      </c>
      <c r="L446" s="35" t="n">
        <f aca="false">G446*H446</f>
        <v>170</v>
      </c>
      <c r="M446" s="35" t="n">
        <f aca="false">L446*I446</f>
        <v>0</v>
      </c>
      <c r="N446" s="35" t="n">
        <f aca="false">L446-M446</f>
        <v>170</v>
      </c>
      <c r="O446" s="4" t="n">
        <f aca="false">MONTH(B446)</f>
        <v>4</v>
      </c>
      <c r="P446" s="4" t="str">
        <f aca="false">CHOOSE(WEEKDAY(B446,2),"Mon","Tue","Wed","Thu","Fri","Sat","Sun")</f>
        <v>Thu</v>
      </c>
      <c r="Q446" s="4" t="str">
        <f aca="false">IF(WEEKDAY(B446,2)&gt;5,"Weekend","Weekday")</f>
        <v>Weekday</v>
      </c>
      <c r="R446" s="4" t="str">
        <f aca="false">IF(C446&lt;11,"Morning (7-10)",IF(C446&lt;14,"Lunch (11-13)",IF(C446&lt;18,"Afternoon (14-17)","Evening (18-20)")))</f>
        <v>Afternoon (14-17)</v>
      </c>
      <c r="S446" s="4" t="str">
        <f aca="false">IF(AND(O446&gt;=3,O446&lt;=5),"Hot Dry (Mar-May)",IF(AND(O446&gt;=6,O446&lt;=11),"Rainy (Jun-Nov)","Cool Dry (Dec-Feb)"))</f>
        <v>Hot Dry (Mar-May)</v>
      </c>
      <c r="T446" s="4" t="str">
        <f aca="false">CHOOSE(O446,"Jan","Feb","Mar","Apr","May","Jun","Jul","Aug","Sep","Oct","Nov","Dec")</f>
        <v>Apr</v>
      </c>
    </row>
    <row r="447" customFormat="false" ht="15" hidden="false" customHeight="false" outlineLevel="0" collapsed="false">
      <c r="A447" s="4" t="s">
        <v>649</v>
      </c>
      <c r="B447" s="17" t="n">
        <v>45757</v>
      </c>
      <c r="C447" s="4" t="n">
        <v>17</v>
      </c>
      <c r="D447" s="4" t="s">
        <v>98</v>
      </c>
      <c r="E447" s="4" t="s">
        <v>65</v>
      </c>
      <c r="F447" s="4" t="s">
        <v>87</v>
      </c>
      <c r="G447" s="4" t="n">
        <v>1</v>
      </c>
      <c r="H447" s="34" t="n">
        <v>160</v>
      </c>
      <c r="I447" s="18" t="n">
        <v>0.05</v>
      </c>
      <c r="J447" s="4" t="s">
        <v>76</v>
      </c>
      <c r="K447" s="4" t="s">
        <v>82</v>
      </c>
      <c r="L447" s="35" t="n">
        <f aca="false">G447*H447</f>
        <v>160</v>
      </c>
      <c r="M447" s="35" t="n">
        <f aca="false">L447*I447</f>
        <v>8</v>
      </c>
      <c r="N447" s="35" t="n">
        <f aca="false">L447-M447</f>
        <v>152</v>
      </c>
      <c r="O447" s="4" t="n">
        <f aca="false">MONTH(B447)</f>
        <v>4</v>
      </c>
      <c r="P447" s="4" t="str">
        <f aca="false">CHOOSE(WEEKDAY(B447,2),"Mon","Tue","Wed","Thu","Fri","Sat","Sun")</f>
        <v>Thu</v>
      </c>
      <c r="Q447" s="4" t="str">
        <f aca="false">IF(WEEKDAY(B447,2)&gt;5,"Weekend","Weekday")</f>
        <v>Weekday</v>
      </c>
      <c r="R447" s="4" t="str">
        <f aca="false">IF(C447&lt;11,"Morning (7-10)",IF(C447&lt;14,"Lunch (11-13)",IF(C447&lt;18,"Afternoon (14-17)","Evening (18-20)")))</f>
        <v>Afternoon (14-17)</v>
      </c>
      <c r="S447" s="4" t="str">
        <f aca="false">IF(AND(O447&gt;=3,O447&lt;=5),"Hot Dry (Mar-May)",IF(AND(O447&gt;=6,O447&lt;=11),"Rainy (Jun-Nov)","Cool Dry (Dec-Feb)"))</f>
        <v>Hot Dry (Mar-May)</v>
      </c>
      <c r="T447" s="4" t="str">
        <f aca="false">CHOOSE(O447,"Jan","Feb","Mar","Apr","May","Jun","Jul","Aug","Sep","Oct","Nov","Dec")</f>
        <v>Apr</v>
      </c>
    </row>
    <row r="448" customFormat="false" ht="15" hidden="false" customHeight="false" outlineLevel="0" collapsed="false">
      <c r="A448" s="4" t="s">
        <v>651</v>
      </c>
      <c r="B448" s="17" t="n">
        <v>45758</v>
      </c>
      <c r="C448" s="4" t="n">
        <v>13</v>
      </c>
      <c r="D448" s="4" t="s">
        <v>64</v>
      </c>
      <c r="E448" s="4" t="s">
        <v>65</v>
      </c>
      <c r="F448" s="4" t="s">
        <v>87</v>
      </c>
      <c r="G448" s="4" t="n">
        <v>1</v>
      </c>
      <c r="H448" s="34" t="n">
        <v>160</v>
      </c>
      <c r="I448" s="18" t="n">
        <v>0</v>
      </c>
      <c r="J448" s="4" t="s">
        <v>81</v>
      </c>
      <c r="K448" s="4" t="s">
        <v>77</v>
      </c>
      <c r="L448" s="35" t="n">
        <f aca="false">G448*H448</f>
        <v>160</v>
      </c>
      <c r="M448" s="35" t="n">
        <f aca="false">L448*I448</f>
        <v>0</v>
      </c>
      <c r="N448" s="35" t="n">
        <f aca="false">L448-M448</f>
        <v>160</v>
      </c>
      <c r="O448" s="4" t="n">
        <f aca="false">MONTH(B448)</f>
        <v>4</v>
      </c>
      <c r="P448" s="4" t="str">
        <f aca="false">CHOOSE(WEEKDAY(B448,2),"Mon","Tue","Wed","Thu","Fri","Sat","Sun")</f>
        <v>Fri</v>
      </c>
      <c r="Q448" s="4" t="str">
        <f aca="false">IF(WEEKDAY(B448,2)&gt;5,"Weekend","Weekday")</f>
        <v>Weekday</v>
      </c>
      <c r="R448" s="4" t="str">
        <f aca="false">IF(C448&lt;11,"Morning (7-10)",IF(C448&lt;14,"Lunch (11-13)",IF(C448&lt;18,"Afternoon (14-17)","Evening (18-20)")))</f>
        <v>Lunch (11-13)</v>
      </c>
      <c r="S448" s="4" t="str">
        <f aca="false">IF(AND(O448&gt;=3,O448&lt;=5),"Hot Dry (Mar-May)",IF(AND(O448&gt;=6,O448&lt;=11),"Rainy (Jun-Nov)","Cool Dry (Dec-Feb)"))</f>
        <v>Hot Dry (Mar-May)</v>
      </c>
      <c r="T448" s="4" t="str">
        <f aca="false">CHOOSE(O448,"Jan","Feb","Mar","Apr","May","Jun","Jul","Aug","Sep","Oct","Nov","Dec")</f>
        <v>Apr</v>
      </c>
    </row>
    <row r="449" customFormat="false" ht="15" hidden="false" customHeight="false" outlineLevel="0" collapsed="false">
      <c r="A449" s="4" t="s">
        <v>652</v>
      </c>
      <c r="B449" s="17" t="n">
        <v>45758</v>
      </c>
      <c r="C449" s="4" t="n">
        <v>14</v>
      </c>
      <c r="D449" s="4" t="s">
        <v>70</v>
      </c>
      <c r="E449" s="4" t="s">
        <v>65</v>
      </c>
      <c r="F449" s="4" t="s">
        <v>94</v>
      </c>
      <c r="G449" s="4" t="n">
        <v>2</v>
      </c>
      <c r="H449" s="34" t="n">
        <v>150</v>
      </c>
      <c r="I449" s="18" t="n">
        <v>0.05</v>
      </c>
      <c r="J449" s="4" t="s">
        <v>76</v>
      </c>
      <c r="K449" s="4" t="s">
        <v>82</v>
      </c>
      <c r="L449" s="35" t="n">
        <f aca="false">G449*H449</f>
        <v>300</v>
      </c>
      <c r="M449" s="35" t="n">
        <f aca="false">L449*I449</f>
        <v>15</v>
      </c>
      <c r="N449" s="35" t="n">
        <f aca="false">L449-M449</f>
        <v>285</v>
      </c>
      <c r="O449" s="4" t="n">
        <f aca="false">MONTH(B449)</f>
        <v>4</v>
      </c>
      <c r="P449" s="4" t="str">
        <f aca="false">CHOOSE(WEEKDAY(B449,2),"Mon","Tue","Wed","Thu","Fri","Sat","Sun")</f>
        <v>Fri</v>
      </c>
      <c r="Q449" s="4" t="str">
        <f aca="false">IF(WEEKDAY(B449,2)&gt;5,"Weekend","Weekday")</f>
        <v>Weekday</v>
      </c>
      <c r="R449" s="4" t="str">
        <f aca="false">IF(C449&lt;11,"Morning (7-10)",IF(C449&lt;14,"Lunch (11-13)",IF(C449&lt;18,"Afternoon (14-17)","Evening (18-20)")))</f>
        <v>Afternoon (14-17)</v>
      </c>
      <c r="S449" s="4" t="str">
        <f aca="false">IF(AND(O449&gt;=3,O449&lt;=5),"Hot Dry (Mar-May)",IF(AND(O449&gt;=6,O449&lt;=11),"Rainy (Jun-Nov)","Cool Dry (Dec-Feb)"))</f>
        <v>Hot Dry (Mar-May)</v>
      </c>
      <c r="T449" s="4" t="str">
        <f aca="false">CHOOSE(O449,"Jan","Feb","Mar","Apr","May","Jun","Jul","Aug","Sep","Oct","Nov","Dec")</f>
        <v>Apr</v>
      </c>
    </row>
    <row r="450" customFormat="false" ht="15" hidden="false" customHeight="false" outlineLevel="0" collapsed="false">
      <c r="A450" s="4" t="s">
        <v>653</v>
      </c>
      <c r="B450" s="17" t="n">
        <v>45758</v>
      </c>
      <c r="C450" s="4" t="n">
        <v>15</v>
      </c>
      <c r="D450" s="4" t="s">
        <v>64</v>
      </c>
      <c r="E450" s="4" t="s">
        <v>84</v>
      </c>
      <c r="F450" s="4" t="s">
        <v>117</v>
      </c>
      <c r="G450" s="4" t="n">
        <v>1</v>
      </c>
      <c r="H450" s="34" t="n">
        <v>95</v>
      </c>
      <c r="I450" s="18" t="n">
        <v>0.1</v>
      </c>
      <c r="J450" s="4" t="s">
        <v>76</v>
      </c>
      <c r="K450" s="4" t="s">
        <v>82</v>
      </c>
      <c r="L450" s="35" t="n">
        <f aca="false">G450*H450</f>
        <v>95</v>
      </c>
      <c r="M450" s="35" t="n">
        <f aca="false">L450*I450</f>
        <v>9.5</v>
      </c>
      <c r="N450" s="35" t="n">
        <f aca="false">L450-M450</f>
        <v>85.5</v>
      </c>
      <c r="O450" s="4" t="n">
        <f aca="false">MONTH(B450)</f>
        <v>4</v>
      </c>
      <c r="P450" s="4" t="str">
        <f aca="false">CHOOSE(WEEKDAY(B450,2),"Mon","Tue","Wed","Thu","Fri","Sat","Sun")</f>
        <v>Fri</v>
      </c>
      <c r="Q450" s="4" t="str">
        <f aca="false">IF(WEEKDAY(B450,2)&gt;5,"Weekend","Weekday")</f>
        <v>Weekday</v>
      </c>
      <c r="R450" s="4" t="str">
        <f aca="false">IF(C450&lt;11,"Morning (7-10)",IF(C450&lt;14,"Lunch (11-13)",IF(C450&lt;18,"Afternoon (14-17)","Evening (18-20)")))</f>
        <v>Afternoon (14-17)</v>
      </c>
      <c r="S450" s="4" t="str">
        <f aca="false">IF(AND(O450&gt;=3,O450&lt;=5),"Hot Dry (Mar-May)",IF(AND(O450&gt;=6,O450&lt;=11),"Rainy (Jun-Nov)","Cool Dry (Dec-Feb)"))</f>
        <v>Hot Dry (Mar-May)</v>
      </c>
      <c r="T450" s="4" t="str">
        <f aca="false">CHOOSE(O450,"Jan","Feb","Mar","Apr","May","Jun","Jul","Aug","Sep","Oct","Nov","Dec")</f>
        <v>Apr</v>
      </c>
    </row>
    <row r="451" customFormat="false" ht="15" hidden="false" customHeight="false" outlineLevel="0" collapsed="false">
      <c r="A451" s="4" t="s">
        <v>654</v>
      </c>
      <c r="B451" s="17" t="n">
        <v>45758</v>
      </c>
      <c r="C451" s="4" t="n">
        <v>18</v>
      </c>
      <c r="D451" s="4" t="s">
        <v>64</v>
      </c>
      <c r="E451" s="4" t="s">
        <v>79</v>
      </c>
      <c r="F451" s="4" t="s">
        <v>80</v>
      </c>
      <c r="G451" s="4" t="n">
        <v>1</v>
      </c>
      <c r="H451" s="34" t="n">
        <v>160</v>
      </c>
      <c r="I451" s="18" t="n">
        <v>0</v>
      </c>
      <c r="J451" s="4" t="s">
        <v>88</v>
      </c>
      <c r="K451" s="4" t="s">
        <v>68</v>
      </c>
      <c r="L451" s="35" t="n">
        <f aca="false">G451*H451</f>
        <v>160</v>
      </c>
      <c r="M451" s="35" t="n">
        <f aca="false">L451*I451</f>
        <v>0</v>
      </c>
      <c r="N451" s="35" t="n">
        <f aca="false">L451-M451</f>
        <v>160</v>
      </c>
      <c r="O451" s="4" t="n">
        <f aca="false">MONTH(B451)</f>
        <v>4</v>
      </c>
      <c r="P451" s="4" t="str">
        <f aca="false">CHOOSE(WEEKDAY(B451,2),"Mon","Tue","Wed","Thu","Fri","Sat","Sun")</f>
        <v>Fri</v>
      </c>
      <c r="Q451" s="4" t="str">
        <f aca="false">IF(WEEKDAY(B451,2)&gt;5,"Weekend","Weekday")</f>
        <v>Weekday</v>
      </c>
      <c r="R451" s="4" t="str">
        <f aca="false">IF(C451&lt;11,"Morning (7-10)",IF(C451&lt;14,"Lunch (11-13)",IF(C451&lt;18,"Afternoon (14-17)","Evening (18-20)")))</f>
        <v>Evening (18-20)</v>
      </c>
      <c r="S451" s="4" t="str">
        <f aca="false">IF(AND(O451&gt;=3,O451&lt;=5),"Hot Dry (Mar-May)",IF(AND(O451&gt;=6,O451&lt;=11),"Rainy (Jun-Nov)","Cool Dry (Dec-Feb)"))</f>
        <v>Hot Dry (Mar-May)</v>
      </c>
      <c r="T451" s="4" t="str">
        <f aca="false">CHOOSE(O451,"Jan","Feb","Mar","Apr","May","Jun","Jul","Aug","Sep","Oct","Nov","Dec")</f>
        <v>Apr</v>
      </c>
    </row>
    <row r="452" customFormat="false" ht="15" hidden="false" customHeight="false" outlineLevel="0" collapsed="false">
      <c r="A452" s="4" t="s">
        <v>655</v>
      </c>
      <c r="B452" s="17" t="n">
        <v>45759</v>
      </c>
      <c r="C452" s="4" t="n">
        <v>12</v>
      </c>
      <c r="D452" s="4" t="s">
        <v>98</v>
      </c>
      <c r="E452" s="4" t="s">
        <v>65</v>
      </c>
      <c r="F452" s="4" t="s">
        <v>87</v>
      </c>
      <c r="G452" s="4" t="n">
        <v>4</v>
      </c>
      <c r="H452" s="34" t="n">
        <v>160</v>
      </c>
      <c r="I452" s="18" t="n">
        <v>0.1</v>
      </c>
      <c r="J452" s="4" t="s">
        <v>81</v>
      </c>
      <c r="K452" s="4" t="s">
        <v>77</v>
      </c>
      <c r="L452" s="35" t="n">
        <f aca="false">G452*H452</f>
        <v>640</v>
      </c>
      <c r="M452" s="35" t="n">
        <f aca="false">L452*I452</f>
        <v>64</v>
      </c>
      <c r="N452" s="35" t="n">
        <f aca="false">L452-M452</f>
        <v>576</v>
      </c>
      <c r="O452" s="4" t="n">
        <f aca="false">MONTH(B452)</f>
        <v>4</v>
      </c>
      <c r="P452" s="4" t="str">
        <f aca="false">CHOOSE(WEEKDAY(B452,2),"Mon","Tue","Wed","Thu","Fri","Sat","Sun")</f>
        <v>Sat</v>
      </c>
      <c r="Q452" s="4" t="str">
        <f aca="false">IF(WEEKDAY(B452,2)&gt;5,"Weekend","Weekday")</f>
        <v>Weekend</v>
      </c>
      <c r="R452" s="4" t="str">
        <f aca="false">IF(C452&lt;11,"Morning (7-10)",IF(C452&lt;14,"Lunch (11-13)",IF(C452&lt;18,"Afternoon (14-17)","Evening (18-20)")))</f>
        <v>Lunch (11-13)</v>
      </c>
      <c r="S452" s="4" t="str">
        <f aca="false">IF(AND(O452&gt;=3,O452&lt;=5),"Hot Dry (Mar-May)",IF(AND(O452&gt;=6,O452&lt;=11),"Rainy (Jun-Nov)","Cool Dry (Dec-Feb)"))</f>
        <v>Hot Dry (Mar-May)</v>
      </c>
      <c r="T452" s="4" t="str">
        <f aca="false">CHOOSE(O452,"Jan","Feb","Mar","Apr","May","Jun","Jul","Aug","Sep","Oct","Nov","Dec")</f>
        <v>Apr</v>
      </c>
    </row>
    <row r="453" customFormat="false" ht="15" hidden="false" customHeight="false" outlineLevel="0" collapsed="false">
      <c r="A453" s="4" t="s">
        <v>656</v>
      </c>
      <c r="B453" s="17" t="n">
        <v>45759</v>
      </c>
      <c r="C453" s="4" t="n">
        <v>16</v>
      </c>
      <c r="D453" s="4" t="s">
        <v>64</v>
      </c>
      <c r="E453" s="4" t="s">
        <v>99</v>
      </c>
      <c r="F453" s="4" t="s">
        <v>102</v>
      </c>
      <c r="G453" s="4" t="n">
        <v>1</v>
      </c>
      <c r="H453" s="34" t="n">
        <v>140</v>
      </c>
      <c r="I453" s="18" t="n">
        <v>0</v>
      </c>
      <c r="J453" s="4" t="s">
        <v>67</v>
      </c>
      <c r="K453" s="4" t="s">
        <v>68</v>
      </c>
      <c r="L453" s="35" t="n">
        <f aca="false">G453*H453</f>
        <v>140</v>
      </c>
      <c r="M453" s="35" t="n">
        <f aca="false">L453*I453</f>
        <v>0</v>
      </c>
      <c r="N453" s="35" t="n">
        <f aca="false">L453-M453</f>
        <v>140</v>
      </c>
      <c r="O453" s="4" t="n">
        <f aca="false">MONTH(B453)</f>
        <v>4</v>
      </c>
      <c r="P453" s="4" t="str">
        <f aca="false">CHOOSE(WEEKDAY(B453,2),"Mon","Tue","Wed","Thu","Fri","Sat","Sun")</f>
        <v>Sat</v>
      </c>
      <c r="Q453" s="4" t="str">
        <f aca="false">IF(WEEKDAY(B453,2)&gt;5,"Weekend","Weekday")</f>
        <v>Weekend</v>
      </c>
      <c r="R453" s="4" t="str">
        <f aca="false">IF(C453&lt;11,"Morning (7-10)",IF(C453&lt;14,"Lunch (11-13)",IF(C453&lt;18,"Afternoon (14-17)","Evening (18-20)")))</f>
        <v>Afternoon (14-17)</v>
      </c>
      <c r="S453" s="4" t="str">
        <f aca="false">IF(AND(O453&gt;=3,O453&lt;=5),"Hot Dry (Mar-May)",IF(AND(O453&gt;=6,O453&lt;=11),"Rainy (Jun-Nov)","Cool Dry (Dec-Feb)"))</f>
        <v>Hot Dry (Mar-May)</v>
      </c>
      <c r="T453" s="4" t="str">
        <f aca="false">CHOOSE(O453,"Jan","Feb","Mar","Apr","May","Jun","Jul","Aug","Sep","Oct","Nov","Dec")</f>
        <v>Apr</v>
      </c>
    </row>
    <row r="454" customFormat="false" ht="15" hidden="false" customHeight="false" outlineLevel="0" collapsed="false">
      <c r="A454" s="4" t="s">
        <v>657</v>
      </c>
      <c r="B454" s="17" t="n">
        <v>45760</v>
      </c>
      <c r="C454" s="4" t="n">
        <v>9</v>
      </c>
      <c r="D454" s="4" t="s">
        <v>70</v>
      </c>
      <c r="E454" s="4" t="s">
        <v>65</v>
      </c>
      <c r="F454" s="4" t="s">
        <v>94</v>
      </c>
      <c r="G454" s="4" t="n">
        <v>1</v>
      </c>
      <c r="H454" s="34" t="n">
        <v>150</v>
      </c>
      <c r="I454" s="18" t="n">
        <v>0.05</v>
      </c>
      <c r="J454" s="4" t="s">
        <v>81</v>
      </c>
      <c r="K454" s="4" t="s">
        <v>82</v>
      </c>
      <c r="L454" s="35" t="n">
        <f aca="false">G454*H454</f>
        <v>150</v>
      </c>
      <c r="M454" s="35" t="n">
        <f aca="false">L454*I454</f>
        <v>7.5</v>
      </c>
      <c r="N454" s="35" t="n">
        <f aca="false">L454-M454</f>
        <v>142.5</v>
      </c>
      <c r="O454" s="4" t="n">
        <f aca="false">MONTH(B454)</f>
        <v>4</v>
      </c>
      <c r="P454" s="4" t="str">
        <f aca="false">CHOOSE(WEEKDAY(B454,2),"Mon","Tue","Wed","Thu","Fri","Sat","Sun")</f>
        <v>Sun</v>
      </c>
      <c r="Q454" s="4" t="str">
        <f aca="false">IF(WEEKDAY(B454,2)&gt;5,"Weekend","Weekday")</f>
        <v>Weekend</v>
      </c>
      <c r="R454" s="4" t="str">
        <f aca="false">IF(C454&lt;11,"Morning (7-10)",IF(C454&lt;14,"Lunch (11-13)",IF(C454&lt;18,"Afternoon (14-17)","Evening (18-20)")))</f>
        <v>Morning (7-10)</v>
      </c>
      <c r="S454" s="4" t="str">
        <f aca="false">IF(AND(O454&gt;=3,O454&lt;=5),"Hot Dry (Mar-May)",IF(AND(O454&gt;=6,O454&lt;=11),"Rainy (Jun-Nov)","Cool Dry (Dec-Feb)"))</f>
        <v>Hot Dry (Mar-May)</v>
      </c>
      <c r="T454" s="4" t="str">
        <f aca="false">CHOOSE(O454,"Jan","Feb","Mar","Apr","May","Jun","Jul","Aug","Sep","Oct","Nov","Dec")</f>
        <v>Apr</v>
      </c>
    </row>
    <row r="455" customFormat="false" ht="15" hidden="false" customHeight="false" outlineLevel="0" collapsed="false">
      <c r="A455" s="4" t="s">
        <v>658</v>
      </c>
      <c r="B455" s="17" t="n">
        <v>45760</v>
      </c>
      <c r="C455" s="4" t="n">
        <v>15</v>
      </c>
      <c r="D455" s="4" t="s">
        <v>73</v>
      </c>
      <c r="E455" s="4" t="s">
        <v>65</v>
      </c>
      <c r="F455" s="4" t="s">
        <v>121</v>
      </c>
      <c r="G455" s="4" t="n">
        <v>1</v>
      </c>
      <c r="H455" s="34" t="n">
        <v>170</v>
      </c>
      <c r="I455" s="18" t="n">
        <v>0</v>
      </c>
      <c r="J455" s="4" t="s">
        <v>81</v>
      </c>
      <c r="K455" s="4" t="s">
        <v>68</v>
      </c>
      <c r="L455" s="35" t="n">
        <f aca="false">G455*H455</f>
        <v>170</v>
      </c>
      <c r="M455" s="35" t="n">
        <f aca="false">L455*I455</f>
        <v>0</v>
      </c>
      <c r="N455" s="35" t="n">
        <f aca="false">L455-M455</f>
        <v>170</v>
      </c>
      <c r="O455" s="4" t="n">
        <f aca="false">MONTH(B455)</f>
        <v>4</v>
      </c>
      <c r="P455" s="4" t="str">
        <f aca="false">CHOOSE(WEEKDAY(B455,2),"Mon","Tue","Wed","Thu","Fri","Sat","Sun")</f>
        <v>Sun</v>
      </c>
      <c r="Q455" s="4" t="str">
        <f aca="false">IF(WEEKDAY(B455,2)&gt;5,"Weekend","Weekday")</f>
        <v>Weekend</v>
      </c>
      <c r="R455" s="4" t="str">
        <f aca="false">IF(C455&lt;11,"Morning (7-10)",IF(C455&lt;14,"Lunch (11-13)",IF(C455&lt;18,"Afternoon (14-17)","Evening (18-20)")))</f>
        <v>Afternoon (14-17)</v>
      </c>
      <c r="S455" s="4" t="str">
        <f aca="false">IF(AND(O455&gt;=3,O455&lt;=5),"Hot Dry (Mar-May)",IF(AND(O455&gt;=6,O455&lt;=11),"Rainy (Jun-Nov)","Cool Dry (Dec-Feb)"))</f>
        <v>Hot Dry (Mar-May)</v>
      </c>
      <c r="T455" s="4" t="str">
        <f aca="false">CHOOSE(O455,"Jan","Feb","Mar","Apr","May","Jun","Jul","Aug","Sep","Oct","Nov","Dec")</f>
        <v>Apr</v>
      </c>
    </row>
    <row r="456" customFormat="false" ht="15" hidden="false" customHeight="false" outlineLevel="0" collapsed="false">
      <c r="A456" s="4" t="s">
        <v>659</v>
      </c>
      <c r="B456" s="17" t="n">
        <v>45760</v>
      </c>
      <c r="C456" s="4" t="n">
        <v>16</v>
      </c>
      <c r="D456" s="4" t="s">
        <v>73</v>
      </c>
      <c r="E456" s="4" t="s">
        <v>84</v>
      </c>
      <c r="F456" s="4" t="s">
        <v>117</v>
      </c>
      <c r="G456" s="4" t="n">
        <v>4</v>
      </c>
      <c r="H456" s="34" t="n">
        <v>95</v>
      </c>
      <c r="I456" s="18" t="n">
        <v>0</v>
      </c>
      <c r="J456" s="4" t="s">
        <v>76</v>
      </c>
      <c r="K456" s="4" t="s">
        <v>77</v>
      </c>
      <c r="L456" s="35" t="n">
        <f aca="false">G456*H456</f>
        <v>380</v>
      </c>
      <c r="M456" s="35" t="n">
        <f aca="false">L456*I456</f>
        <v>0</v>
      </c>
      <c r="N456" s="35" t="n">
        <f aca="false">L456-M456</f>
        <v>380</v>
      </c>
      <c r="O456" s="4" t="n">
        <f aca="false">MONTH(B456)</f>
        <v>4</v>
      </c>
      <c r="P456" s="4" t="str">
        <f aca="false">CHOOSE(WEEKDAY(B456,2),"Mon","Tue","Wed","Thu","Fri","Sat","Sun")</f>
        <v>Sun</v>
      </c>
      <c r="Q456" s="4" t="str">
        <f aca="false">IF(WEEKDAY(B456,2)&gt;5,"Weekend","Weekday")</f>
        <v>Weekend</v>
      </c>
      <c r="R456" s="4" t="str">
        <f aca="false">IF(C456&lt;11,"Morning (7-10)",IF(C456&lt;14,"Lunch (11-13)",IF(C456&lt;18,"Afternoon (14-17)","Evening (18-20)")))</f>
        <v>Afternoon (14-17)</v>
      </c>
      <c r="S456" s="4" t="str">
        <f aca="false">IF(AND(O456&gt;=3,O456&lt;=5),"Hot Dry (Mar-May)",IF(AND(O456&gt;=6,O456&lt;=11),"Rainy (Jun-Nov)","Cool Dry (Dec-Feb)"))</f>
        <v>Hot Dry (Mar-May)</v>
      </c>
      <c r="T456" s="4" t="str">
        <f aca="false">CHOOSE(O456,"Jan","Feb","Mar","Apr","May","Jun","Jul","Aug","Sep","Oct","Nov","Dec")</f>
        <v>Apr</v>
      </c>
    </row>
    <row r="457" customFormat="false" ht="15" hidden="false" customHeight="false" outlineLevel="0" collapsed="false">
      <c r="A457" s="4" t="s">
        <v>660</v>
      </c>
      <c r="B457" s="17" t="n">
        <v>45761</v>
      </c>
      <c r="C457" s="4" t="n">
        <v>9</v>
      </c>
      <c r="D457" s="4" t="s">
        <v>70</v>
      </c>
      <c r="E457" s="4" t="s">
        <v>65</v>
      </c>
      <c r="F457" s="4" t="s">
        <v>94</v>
      </c>
      <c r="G457" s="4" t="n">
        <v>2</v>
      </c>
      <c r="H457" s="34" t="n">
        <v>150</v>
      </c>
      <c r="I457" s="18" t="n">
        <v>0</v>
      </c>
      <c r="J457" s="4" t="s">
        <v>67</v>
      </c>
      <c r="K457" s="4" t="s">
        <v>68</v>
      </c>
      <c r="L457" s="35" t="n">
        <f aca="false">G457*H457</f>
        <v>300</v>
      </c>
      <c r="M457" s="35" t="n">
        <f aca="false">L457*I457</f>
        <v>0</v>
      </c>
      <c r="N457" s="35" t="n">
        <f aca="false">L457-M457</f>
        <v>300</v>
      </c>
      <c r="O457" s="4" t="n">
        <f aca="false">MONTH(B457)</f>
        <v>4</v>
      </c>
      <c r="P457" s="4" t="str">
        <f aca="false">CHOOSE(WEEKDAY(B457,2),"Mon","Tue","Wed","Thu","Fri","Sat","Sun")</f>
        <v>Mon</v>
      </c>
      <c r="Q457" s="4" t="str">
        <f aca="false">IF(WEEKDAY(B457,2)&gt;5,"Weekend","Weekday")</f>
        <v>Weekday</v>
      </c>
      <c r="R457" s="4" t="str">
        <f aca="false">IF(C457&lt;11,"Morning (7-10)",IF(C457&lt;14,"Lunch (11-13)",IF(C457&lt;18,"Afternoon (14-17)","Evening (18-20)")))</f>
        <v>Morning (7-10)</v>
      </c>
      <c r="S457" s="4" t="str">
        <f aca="false">IF(AND(O457&gt;=3,O457&lt;=5),"Hot Dry (Mar-May)",IF(AND(O457&gt;=6,O457&lt;=11),"Rainy (Jun-Nov)","Cool Dry (Dec-Feb)"))</f>
        <v>Hot Dry (Mar-May)</v>
      </c>
      <c r="T457" s="4" t="str">
        <f aca="false">CHOOSE(O457,"Jan","Feb","Mar","Apr","May","Jun","Jul","Aug","Sep","Oct","Nov","Dec")</f>
        <v>Apr</v>
      </c>
    </row>
    <row r="458" customFormat="false" ht="15" hidden="false" customHeight="false" outlineLevel="0" collapsed="false">
      <c r="A458" s="4" t="s">
        <v>661</v>
      </c>
      <c r="B458" s="17" t="n">
        <v>45761</v>
      </c>
      <c r="C458" s="4" t="n">
        <v>13</v>
      </c>
      <c r="D458" s="4" t="s">
        <v>64</v>
      </c>
      <c r="E458" s="4" t="s">
        <v>99</v>
      </c>
      <c r="F458" s="4" t="s">
        <v>102</v>
      </c>
      <c r="G458" s="4" t="n">
        <v>2</v>
      </c>
      <c r="H458" s="34" t="n">
        <v>140</v>
      </c>
      <c r="I458" s="18" t="n">
        <v>0.1</v>
      </c>
      <c r="J458" s="4" t="s">
        <v>112</v>
      </c>
      <c r="K458" s="4" t="s">
        <v>71</v>
      </c>
      <c r="L458" s="35" t="n">
        <f aca="false">G458*H458</f>
        <v>280</v>
      </c>
      <c r="M458" s="35" t="n">
        <f aca="false">L458*I458</f>
        <v>28</v>
      </c>
      <c r="N458" s="35" t="n">
        <f aca="false">L458-M458</f>
        <v>252</v>
      </c>
      <c r="O458" s="4" t="n">
        <f aca="false">MONTH(B458)</f>
        <v>4</v>
      </c>
      <c r="P458" s="4" t="str">
        <f aca="false">CHOOSE(WEEKDAY(B458,2),"Mon","Tue","Wed","Thu","Fri","Sat","Sun")</f>
        <v>Mon</v>
      </c>
      <c r="Q458" s="4" t="str">
        <f aca="false">IF(WEEKDAY(B458,2)&gt;5,"Weekend","Weekday")</f>
        <v>Weekday</v>
      </c>
      <c r="R458" s="4" t="str">
        <f aca="false">IF(C458&lt;11,"Morning (7-10)",IF(C458&lt;14,"Lunch (11-13)",IF(C458&lt;18,"Afternoon (14-17)","Evening (18-20)")))</f>
        <v>Lunch (11-13)</v>
      </c>
      <c r="S458" s="4" t="str">
        <f aca="false">IF(AND(O458&gt;=3,O458&lt;=5),"Hot Dry (Mar-May)",IF(AND(O458&gt;=6,O458&lt;=11),"Rainy (Jun-Nov)","Cool Dry (Dec-Feb)"))</f>
        <v>Hot Dry (Mar-May)</v>
      </c>
      <c r="T458" s="4" t="str">
        <f aca="false">CHOOSE(O458,"Jan","Feb","Mar","Apr","May","Jun","Jul","Aug","Sep","Oct","Nov","Dec")</f>
        <v>Apr</v>
      </c>
    </row>
    <row r="459" customFormat="false" ht="15" hidden="false" customHeight="false" outlineLevel="0" collapsed="false">
      <c r="A459" s="4" t="s">
        <v>662</v>
      </c>
      <c r="B459" s="17" t="n">
        <v>45761</v>
      </c>
      <c r="C459" s="4" t="n">
        <v>14</v>
      </c>
      <c r="D459" s="4" t="s">
        <v>98</v>
      </c>
      <c r="E459" s="4" t="s">
        <v>65</v>
      </c>
      <c r="F459" s="4" t="s">
        <v>94</v>
      </c>
      <c r="G459" s="4" t="n">
        <v>2</v>
      </c>
      <c r="H459" s="34" t="n">
        <v>150</v>
      </c>
      <c r="I459" s="18" t="n">
        <v>0.1</v>
      </c>
      <c r="J459" s="4" t="s">
        <v>81</v>
      </c>
      <c r="K459" s="4" t="s">
        <v>71</v>
      </c>
      <c r="L459" s="35" t="n">
        <f aca="false">G459*H459</f>
        <v>300</v>
      </c>
      <c r="M459" s="35" t="n">
        <f aca="false">L459*I459</f>
        <v>30</v>
      </c>
      <c r="N459" s="35" t="n">
        <f aca="false">L459-M459</f>
        <v>270</v>
      </c>
      <c r="O459" s="4" t="n">
        <f aca="false">MONTH(B459)</f>
        <v>4</v>
      </c>
      <c r="P459" s="4" t="str">
        <f aca="false">CHOOSE(WEEKDAY(B459,2),"Mon","Tue","Wed","Thu","Fri","Sat","Sun")</f>
        <v>Mon</v>
      </c>
      <c r="Q459" s="4" t="str">
        <f aca="false">IF(WEEKDAY(B459,2)&gt;5,"Weekend","Weekday")</f>
        <v>Weekday</v>
      </c>
      <c r="R459" s="4" t="str">
        <f aca="false">IF(C459&lt;11,"Morning (7-10)",IF(C459&lt;14,"Lunch (11-13)",IF(C459&lt;18,"Afternoon (14-17)","Evening (18-20)")))</f>
        <v>Afternoon (14-17)</v>
      </c>
      <c r="S459" s="4" t="str">
        <f aca="false">IF(AND(O459&gt;=3,O459&lt;=5),"Hot Dry (Mar-May)",IF(AND(O459&gt;=6,O459&lt;=11),"Rainy (Jun-Nov)","Cool Dry (Dec-Feb)"))</f>
        <v>Hot Dry (Mar-May)</v>
      </c>
      <c r="T459" s="4" t="str">
        <f aca="false">CHOOSE(O459,"Jan","Feb","Mar","Apr","May","Jun","Jul","Aug","Sep","Oct","Nov","Dec")</f>
        <v>Apr</v>
      </c>
    </row>
    <row r="460" customFormat="false" ht="15" hidden="false" customHeight="false" outlineLevel="0" collapsed="false">
      <c r="A460" s="4" t="s">
        <v>663</v>
      </c>
      <c r="B460" s="17" t="n">
        <v>45761</v>
      </c>
      <c r="C460" s="4" t="n">
        <v>15</v>
      </c>
      <c r="D460" s="4" t="s">
        <v>98</v>
      </c>
      <c r="E460" s="4" t="s">
        <v>65</v>
      </c>
      <c r="F460" s="4" t="s">
        <v>66</v>
      </c>
      <c r="G460" s="4" t="n">
        <v>1</v>
      </c>
      <c r="H460" s="34" t="n">
        <v>120</v>
      </c>
      <c r="I460" s="18" t="n">
        <v>0.1</v>
      </c>
      <c r="J460" s="4" t="s">
        <v>76</v>
      </c>
      <c r="K460" s="4" t="s">
        <v>71</v>
      </c>
      <c r="L460" s="35" t="n">
        <f aca="false">G460*H460</f>
        <v>120</v>
      </c>
      <c r="M460" s="35" t="n">
        <f aca="false">L460*I460</f>
        <v>12</v>
      </c>
      <c r="N460" s="35" t="n">
        <f aca="false">L460-M460</f>
        <v>108</v>
      </c>
      <c r="O460" s="4" t="n">
        <f aca="false">MONTH(B460)</f>
        <v>4</v>
      </c>
      <c r="P460" s="4" t="str">
        <f aca="false">CHOOSE(WEEKDAY(B460,2),"Mon","Tue","Wed","Thu","Fri","Sat","Sun")</f>
        <v>Mon</v>
      </c>
      <c r="Q460" s="4" t="str">
        <f aca="false">IF(WEEKDAY(B460,2)&gt;5,"Weekend","Weekday")</f>
        <v>Weekday</v>
      </c>
      <c r="R460" s="4" t="str">
        <f aca="false">IF(C460&lt;11,"Morning (7-10)",IF(C460&lt;14,"Lunch (11-13)",IF(C460&lt;18,"Afternoon (14-17)","Evening (18-20)")))</f>
        <v>Afternoon (14-17)</v>
      </c>
      <c r="S460" s="4" t="str">
        <f aca="false">IF(AND(O460&gt;=3,O460&lt;=5),"Hot Dry (Mar-May)",IF(AND(O460&gt;=6,O460&lt;=11),"Rainy (Jun-Nov)","Cool Dry (Dec-Feb)"))</f>
        <v>Hot Dry (Mar-May)</v>
      </c>
      <c r="T460" s="4" t="str">
        <f aca="false">CHOOSE(O460,"Jan","Feb","Mar","Apr","May","Jun","Jul","Aug","Sep","Oct","Nov","Dec")</f>
        <v>Apr</v>
      </c>
    </row>
    <row r="461" customFormat="false" ht="15" hidden="false" customHeight="false" outlineLevel="0" collapsed="false">
      <c r="A461" s="4" t="s">
        <v>664</v>
      </c>
      <c r="B461" s="17" t="n">
        <v>45761</v>
      </c>
      <c r="C461" s="4" t="n">
        <v>16</v>
      </c>
      <c r="D461" s="4" t="s">
        <v>70</v>
      </c>
      <c r="E461" s="4" t="s">
        <v>65</v>
      </c>
      <c r="F461" s="4" t="s">
        <v>87</v>
      </c>
      <c r="G461" s="4" t="n">
        <v>3</v>
      </c>
      <c r="H461" s="34" t="n">
        <v>160</v>
      </c>
      <c r="I461" s="18" t="n">
        <v>0.05</v>
      </c>
      <c r="J461" s="4" t="s">
        <v>76</v>
      </c>
      <c r="K461" s="4" t="s">
        <v>82</v>
      </c>
      <c r="L461" s="35" t="n">
        <f aca="false">G461*H461</f>
        <v>480</v>
      </c>
      <c r="M461" s="35" t="n">
        <f aca="false">L461*I461</f>
        <v>24</v>
      </c>
      <c r="N461" s="35" t="n">
        <f aca="false">L461-M461</f>
        <v>456</v>
      </c>
      <c r="O461" s="4" t="n">
        <f aca="false">MONTH(B461)</f>
        <v>4</v>
      </c>
      <c r="P461" s="4" t="str">
        <f aca="false">CHOOSE(WEEKDAY(B461,2),"Mon","Tue","Wed","Thu","Fri","Sat","Sun")</f>
        <v>Mon</v>
      </c>
      <c r="Q461" s="4" t="str">
        <f aca="false">IF(WEEKDAY(B461,2)&gt;5,"Weekend","Weekday")</f>
        <v>Weekday</v>
      </c>
      <c r="R461" s="4" t="str">
        <f aca="false">IF(C461&lt;11,"Morning (7-10)",IF(C461&lt;14,"Lunch (11-13)",IF(C461&lt;18,"Afternoon (14-17)","Evening (18-20)")))</f>
        <v>Afternoon (14-17)</v>
      </c>
      <c r="S461" s="4" t="str">
        <f aca="false">IF(AND(O461&gt;=3,O461&lt;=5),"Hot Dry (Mar-May)",IF(AND(O461&gt;=6,O461&lt;=11),"Rainy (Jun-Nov)","Cool Dry (Dec-Feb)"))</f>
        <v>Hot Dry (Mar-May)</v>
      </c>
      <c r="T461" s="4" t="str">
        <f aca="false">CHOOSE(O461,"Jan","Feb","Mar","Apr","May","Jun","Jul","Aug","Sep","Oct","Nov","Dec")</f>
        <v>Apr</v>
      </c>
    </row>
    <row r="462" customFormat="false" ht="15" hidden="false" customHeight="false" outlineLevel="0" collapsed="false">
      <c r="A462" s="4" t="s">
        <v>666</v>
      </c>
      <c r="B462" s="17" t="n">
        <v>45762</v>
      </c>
      <c r="C462" s="4" t="n">
        <v>8</v>
      </c>
      <c r="D462" s="4" t="s">
        <v>73</v>
      </c>
      <c r="E462" s="4" t="s">
        <v>65</v>
      </c>
      <c r="F462" s="4" t="s">
        <v>94</v>
      </c>
      <c r="G462" s="4" t="n">
        <v>1</v>
      </c>
      <c r="H462" s="34" t="n">
        <v>150</v>
      </c>
      <c r="I462" s="18" t="n">
        <v>0.2</v>
      </c>
      <c r="J462" s="4" t="s">
        <v>76</v>
      </c>
      <c r="K462" s="4" t="s">
        <v>68</v>
      </c>
      <c r="L462" s="35" t="n">
        <f aca="false">G462*H462</f>
        <v>150</v>
      </c>
      <c r="M462" s="35" t="n">
        <f aca="false">L462*I462</f>
        <v>30</v>
      </c>
      <c r="N462" s="35" t="n">
        <f aca="false">L462-M462</f>
        <v>120</v>
      </c>
      <c r="O462" s="4" t="n">
        <f aca="false">MONTH(B462)</f>
        <v>4</v>
      </c>
      <c r="P462" s="4" t="str">
        <f aca="false">CHOOSE(WEEKDAY(B462,2),"Mon","Tue","Wed","Thu","Fri","Sat","Sun")</f>
        <v>Tue</v>
      </c>
      <c r="Q462" s="4" t="str">
        <f aca="false">IF(WEEKDAY(B462,2)&gt;5,"Weekend","Weekday")</f>
        <v>Weekday</v>
      </c>
      <c r="R462" s="4" t="str">
        <f aca="false">IF(C462&lt;11,"Morning (7-10)",IF(C462&lt;14,"Lunch (11-13)",IF(C462&lt;18,"Afternoon (14-17)","Evening (18-20)")))</f>
        <v>Morning (7-10)</v>
      </c>
      <c r="S462" s="4" t="str">
        <f aca="false">IF(AND(O462&gt;=3,O462&lt;=5),"Hot Dry (Mar-May)",IF(AND(O462&gt;=6,O462&lt;=11),"Rainy (Jun-Nov)","Cool Dry (Dec-Feb)"))</f>
        <v>Hot Dry (Mar-May)</v>
      </c>
      <c r="T462" s="4" t="str">
        <f aca="false">CHOOSE(O462,"Jan","Feb","Mar","Apr","May","Jun","Jul","Aug","Sep","Oct","Nov","Dec")</f>
        <v>Apr</v>
      </c>
    </row>
    <row r="463" customFormat="false" ht="15" hidden="false" customHeight="false" outlineLevel="0" collapsed="false">
      <c r="A463" s="4" t="s">
        <v>667</v>
      </c>
      <c r="B463" s="17" t="n">
        <v>45762</v>
      </c>
      <c r="C463" s="4" t="n">
        <v>11</v>
      </c>
      <c r="D463" s="4" t="s">
        <v>73</v>
      </c>
      <c r="E463" s="4" t="s">
        <v>65</v>
      </c>
      <c r="F463" s="4" t="s">
        <v>94</v>
      </c>
      <c r="G463" s="4" t="n">
        <v>1</v>
      </c>
      <c r="H463" s="34" t="n">
        <v>150</v>
      </c>
      <c r="I463" s="18" t="n">
        <v>0</v>
      </c>
      <c r="J463" s="4" t="s">
        <v>81</v>
      </c>
      <c r="K463" s="4" t="s">
        <v>68</v>
      </c>
      <c r="L463" s="35" t="n">
        <f aca="false">G463*H463</f>
        <v>150</v>
      </c>
      <c r="M463" s="35" t="n">
        <f aca="false">L463*I463</f>
        <v>0</v>
      </c>
      <c r="N463" s="35" t="n">
        <f aca="false">L463-M463</f>
        <v>150</v>
      </c>
      <c r="O463" s="4" t="n">
        <f aca="false">MONTH(B463)</f>
        <v>4</v>
      </c>
      <c r="P463" s="4" t="str">
        <f aca="false">CHOOSE(WEEKDAY(B463,2),"Mon","Tue","Wed","Thu","Fri","Sat","Sun")</f>
        <v>Tue</v>
      </c>
      <c r="Q463" s="4" t="str">
        <f aca="false">IF(WEEKDAY(B463,2)&gt;5,"Weekend","Weekday")</f>
        <v>Weekday</v>
      </c>
      <c r="R463" s="4" t="str">
        <f aca="false">IF(C463&lt;11,"Morning (7-10)",IF(C463&lt;14,"Lunch (11-13)",IF(C463&lt;18,"Afternoon (14-17)","Evening (18-20)")))</f>
        <v>Lunch (11-13)</v>
      </c>
      <c r="S463" s="4" t="str">
        <f aca="false">IF(AND(O463&gt;=3,O463&lt;=5),"Hot Dry (Mar-May)",IF(AND(O463&gt;=6,O463&lt;=11),"Rainy (Jun-Nov)","Cool Dry (Dec-Feb)"))</f>
        <v>Hot Dry (Mar-May)</v>
      </c>
      <c r="T463" s="4" t="str">
        <f aca="false">CHOOSE(O463,"Jan","Feb","Mar","Apr","May","Jun","Jul","Aug","Sep","Oct","Nov","Dec")</f>
        <v>Apr</v>
      </c>
    </row>
    <row r="464" customFormat="false" ht="15" hidden="false" customHeight="false" outlineLevel="0" collapsed="false">
      <c r="A464" s="4" t="s">
        <v>668</v>
      </c>
      <c r="B464" s="17" t="n">
        <v>45762</v>
      </c>
      <c r="C464" s="4" t="n">
        <v>12</v>
      </c>
      <c r="D464" s="4" t="s">
        <v>73</v>
      </c>
      <c r="E464" s="4" t="s">
        <v>99</v>
      </c>
      <c r="F464" s="4" t="s">
        <v>102</v>
      </c>
      <c r="G464" s="4" t="n">
        <v>1</v>
      </c>
      <c r="H464" s="34" t="n">
        <v>140</v>
      </c>
      <c r="I464" s="18" t="n">
        <v>0.1</v>
      </c>
      <c r="J464" s="4" t="s">
        <v>2289</v>
      </c>
      <c r="K464" s="4" t="s">
        <v>71</v>
      </c>
      <c r="L464" s="35" t="n">
        <f aca="false">G464*H464</f>
        <v>140</v>
      </c>
      <c r="M464" s="35" t="n">
        <f aca="false">L464*I464</f>
        <v>14</v>
      </c>
      <c r="N464" s="35" t="n">
        <f aca="false">L464-M464</f>
        <v>126</v>
      </c>
      <c r="O464" s="4" t="n">
        <f aca="false">MONTH(B464)</f>
        <v>4</v>
      </c>
      <c r="P464" s="4" t="str">
        <f aca="false">CHOOSE(WEEKDAY(B464,2),"Mon","Tue","Wed","Thu","Fri","Sat","Sun")</f>
        <v>Tue</v>
      </c>
      <c r="Q464" s="4" t="str">
        <f aca="false">IF(WEEKDAY(B464,2)&gt;5,"Weekend","Weekday")</f>
        <v>Weekday</v>
      </c>
      <c r="R464" s="4" t="str">
        <f aca="false">IF(C464&lt;11,"Morning (7-10)",IF(C464&lt;14,"Lunch (11-13)",IF(C464&lt;18,"Afternoon (14-17)","Evening (18-20)")))</f>
        <v>Lunch (11-13)</v>
      </c>
      <c r="S464" s="4" t="str">
        <f aca="false">IF(AND(O464&gt;=3,O464&lt;=5),"Hot Dry (Mar-May)",IF(AND(O464&gt;=6,O464&lt;=11),"Rainy (Jun-Nov)","Cool Dry (Dec-Feb)"))</f>
        <v>Hot Dry (Mar-May)</v>
      </c>
      <c r="T464" s="4" t="str">
        <f aca="false">CHOOSE(O464,"Jan","Feb","Mar","Apr","May","Jun","Jul","Aug","Sep","Oct","Nov","Dec")</f>
        <v>Apr</v>
      </c>
    </row>
    <row r="465" customFormat="false" ht="15" hidden="false" customHeight="false" outlineLevel="0" collapsed="false">
      <c r="A465" s="4" t="s">
        <v>669</v>
      </c>
      <c r="B465" s="17" t="n">
        <v>45762</v>
      </c>
      <c r="C465" s="4" t="n">
        <v>13</v>
      </c>
      <c r="D465" s="4" t="s">
        <v>98</v>
      </c>
      <c r="E465" s="4" t="s">
        <v>79</v>
      </c>
      <c r="F465" s="4" t="s">
        <v>135</v>
      </c>
      <c r="G465" s="4" t="n">
        <v>1</v>
      </c>
      <c r="H465" s="34" t="n">
        <v>130</v>
      </c>
      <c r="I465" s="18" t="n">
        <v>0.1</v>
      </c>
      <c r="J465" s="4" t="s">
        <v>81</v>
      </c>
      <c r="K465" s="4" t="s">
        <v>71</v>
      </c>
      <c r="L465" s="35" t="n">
        <f aca="false">G465*H465</f>
        <v>130</v>
      </c>
      <c r="M465" s="35" t="n">
        <f aca="false">L465*I465</f>
        <v>13</v>
      </c>
      <c r="N465" s="35" t="n">
        <f aca="false">L465-M465</f>
        <v>117</v>
      </c>
      <c r="O465" s="4" t="n">
        <f aca="false">MONTH(B465)</f>
        <v>4</v>
      </c>
      <c r="P465" s="4" t="str">
        <f aca="false">CHOOSE(WEEKDAY(B465,2),"Mon","Tue","Wed","Thu","Fri","Sat","Sun")</f>
        <v>Tue</v>
      </c>
      <c r="Q465" s="4" t="str">
        <f aca="false">IF(WEEKDAY(B465,2)&gt;5,"Weekend","Weekday")</f>
        <v>Weekday</v>
      </c>
      <c r="R465" s="4" t="str">
        <f aca="false">IF(C465&lt;11,"Morning (7-10)",IF(C465&lt;14,"Lunch (11-13)",IF(C465&lt;18,"Afternoon (14-17)","Evening (18-20)")))</f>
        <v>Lunch (11-13)</v>
      </c>
      <c r="S465" s="4" t="str">
        <f aca="false">IF(AND(O465&gt;=3,O465&lt;=5),"Hot Dry (Mar-May)",IF(AND(O465&gt;=6,O465&lt;=11),"Rainy (Jun-Nov)","Cool Dry (Dec-Feb)"))</f>
        <v>Hot Dry (Mar-May)</v>
      </c>
      <c r="T465" s="4" t="str">
        <f aca="false">CHOOSE(O465,"Jan","Feb","Mar","Apr","May","Jun","Jul","Aug","Sep","Oct","Nov","Dec")</f>
        <v>Apr</v>
      </c>
    </row>
    <row r="466" customFormat="false" ht="15" hidden="false" customHeight="false" outlineLevel="0" collapsed="false">
      <c r="A466" s="4" t="s">
        <v>670</v>
      </c>
      <c r="B466" s="17" t="n">
        <v>45762</v>
      </c>
      <c r="C466" s="4" t="n">
        <v>13</v>
      </c>
      <c r="D466" s="4" t="s">
        <v>98</v>
      </c>
      <c r="E466" s="4" t="s">
        <v>65</v>
      </c>
      <c r="F466" s="4" t="s">
        <v>66</v>
      </c>
      <c r="G466" s="4" t="n">
        <v>2</v>
      </c>
      <c r="H466" s="34" t="n">
        <v>120</v>
      </c>
      <c r="I466" s="18" t="n">
        <v>0</v>
      </c>
      <c r="J466" s="4" t="s">
        <v>81</v>
      </c>
      <c r="K466" s="4" t="s">
        <v>68</v>
      </c>
      <c r="L466" s="35" t="n">
        <f aca="false">G466*H466</f>
        <v>240</v>
      </c>
      <c r="M466" s="35" t="n">
        <f aca="false">L466*I466</f>
        <v>0</v>
      </c>
      <c r="N466" s="35" t="n">
        <f aca="false">L466-M466</f>
        <v>240</v>
      </c>
      <c r="O466" s="4" t="n">
        <f aca="false">MONTH(B466)</f>
        <v>4</v>
      </c>
      <c r="P466" s="4" t="str">
        <f aca="false">CHOOSE(WEEKDAY(B466,2),"Mon","Tue","Wed","Thu","Fri","Sat","Sun")</f>
        <v>Tue</v>
      </c>
      <c r="Q466" s="4" t="str">
        <f aca="false">IF(WEEKDAY(B466,2)&gt;5,"Weekend","Weekday")</f>
        <v>Weekday</v>
      </c>
      <c r="R466" s="4" t="str">
        <f aca="false">IF(C466&lt;11,"Morning (7-10)",IF(C466&lt;14,"Lunch (11-13)",IF(C466&lt;18,"Afternoon (14-17)","Evening (18-20)")))</f>
        <v>Lunch (11-13)</v>
      </c>
      <c r="S466" s="4" t="str">
        <f aca="false">IF(AND(O466&gt;=3,O466&lt;=5),"Hot Dry (Mar-May)",IF(AND(O466&gt;=6,O466&lt;=11),"Rainy (Jun-Nov)","Cool Dry (Dec-Feb)"))</f>
        <v>Hot Dry (Mar-May)</v>
      </c>
      <c r="T466" s="4" t="str">
        <f aca="false">CHOOSE(O466,"Jan","Feb","Mar","Apr","May","Jun","Jul","Aug","Sep","Oct","Nov","Dec")</f>
        <v>Apr</v>
      </c>
    </row>
    <row r="467" customFormat="false" ht="15" hidden="false" customHeight="false" outlineLevel="0" collapsed="false">
      <c r="A467" s="4" t="s">
        <v>671</v>
      </c>
      <c r="B467" s="17" t="n">
        <v>45762</v>
      </c>
      <c r="C467" s="4" t="n">
        <v>14</v>
      </c>
      <c r="D467" s="4" t="s">
        <v>70</v>
      </c>
      <c r="E467" s="4" t="s">
        <v>99</v>
      </c>
      <c r="F467" s="4" t="s">
        <v>102</v>
      </c>
      <c r="G467" s="4" t="n">
        <v>2</v>
      </c>
      <c r="H467" s="34" t="n">
        <v>140</v>
      </c>
      <c r="I467" s="18" t="n">
        <v>0</v>
      </c>
      <c r="J467" s="4" t="s">
        <v>76</v>
      </c>
      <c r="K467" s="4" t="s">
        <v>68</v>
      </c>
      <c r="L467" s="35" t="n">
        <f aca="false">G467*H467</f>
        <v>280</v>
      </c>
      <c r="M467" s="35" t="n">
        <f aca="false">L467*I467</f>
        <v>0</v>
      </c>
      <c r="N467" s="35" t="n">
        <f aca="false">L467-M467</f>
        <v>280</v>
      </c>
      <c r="O467" s="4" t="n">
        <f aca="false">MONTH(B467)</f>
        <v>4</v>
      </c>
      <c r="P467" s="4" t="str">
        <f aca="false">CHOOSE(WEEKDAY(B467,2),"Mon","Tue","Wed","Thu","Fri","Sat","Sun")</f>
        <v>Tue</v>
      </c>
      <c r="Q467" s="4" t="str">
        <f aca="false">IF(WEEKDAY(B467,2)&gt;5,"Weekend","Weekday")</f>
        <v>Weekday</v>
      </c>
      <c r="R467" s="4" t="str">
        <f aca="false">IF(C467&lt;11,"Morning (7-10)",IF(C467&lt;14,"Lunch (11-13)",IF(C467&lt;18,"Afternoon (14-17)","Evening (18-20)")))</f>
        <v>Afternoon (14-17)</v>
      </c>
      <c r="S467" s="4" t="str">
        <f aca="false">IF(AND(O467&gt;=3,O467&lt;=5),"Hot Dry (Mar-May)",IF(AND(O467&gt;=6,O467&lt;=11),"Rainy (Jun-Nov)","Cool Dry (Dec-Feb)"))</f>
        <v>Hot Dry (Mar-May)</v>
      </c>
      <c r="T467" s="4" t="str">
        <f aca="false">CHOOSE(O467,"Jan","Feb","Mar","Apr","May","Jun","Jul","Aug","Sep","Oct","Nov","Dec")</f>
        <v>Apr</v>
      </c>
    </row>
    <row r="468" customFormat="false" ht="15" hidden="false" customHeight="false" outlineLevel="0" collapsed="false">
      <c r="A468" s="4" t="s">
        <v>672</v>
      </c>
      <c r="B468" s="17" t="n">
        <v>45762</v>
      </c>
      <c r="C468" s="4" t="n">
        <v>14</v>
      </c>
      <c r="D468" s="4" t="s">
        <v>70</v>
      </c>
      <c r="E468" s="4" t="s">
        <v>65</v>
      </c>
      <c r="F468" s="4" t="s">
        <v>94</v>
      </c>
      <c r="G468" s="4" t="n">
        <v>1</v>
      </c>
      <c r="H468" s="34" t="n">
        <v>150</v>
      </c>
      <c r="I468" s="18" t="n">
        <v>0</v>
      </c>
      <c r="J468" s="4" t="s">
        <v>67</v>
      </c>
      <c r="K468" s="4" t="s">
        <v>68</v>
      </c>
      <c r="L468" s="35" t="n">
        <f aca="false">G468*H468</f>
        <v>150</v>
      </c>
      <c r="M468" s="35" t="n">
        <f aca="false">L468*I468</f>
        <v>0</v>
      </c>
      <c r="N468" s="35" t="n">
        <f aca="false">L468-M468</f>
        <v>150</v>
      </c>
      <c r="O468" s="4" t="n">
        <f aca="false">MONTH(B468)</f>
        <v>4</v>
      </c>
      <c r="P468" s="4" t="str">
        <f aca="false">CHOOSE(WEEKDAY(B468,2),"Mon","Tue","Wed","Thu","Fri","Sat","Sun")</f>
        <v>Tue</v>
      </c>
      <c r="Q468" s="4" t="str">
        <f aca="false">IF(WEEKDAY(B468,2)&gt;5,"Weekend","Weekday")</f>
        <v>Weekday</v>
      </c>
      <c r="R468" s="4" t="str">
        <f aca="false">IF(C468&lt;11,"Morning (7-10)",IF(C468&lt;14,"Lunch (11-13)",IF(C468&lt;18,"Afternoon (14-17)","Evening (18-20)")))</f>
        <v>Afternoon (14-17)</v>
      </c>
      <c r="S468" s="4" t="str">
        <f aca="false">IF(AND(O468&gt;=3,O468&lt;=5),"Hot Dry (Mar-May)",IF(AND(O468&gt;=6,O468&lt;=11),"Rainy (Jun-Nov)","Cool Dry (Dec-Feb)"))</f>
        <v>Hot Dry (Mar-May)</v>
      </c>
      <c r="T468" s="4" t="str">
        <f aca="false">CHOOSE(O468,"Jan","Feb","Mar","Apr","May","Jun","Jul","Aug","Sep","Oct","Nov","Dec")</f>
        <v>Apr</v>
      </c>
    </row>
    <row r="469" customFormat="false" ht="15" hidden="false" customHeight="false" outlineLevel="0" collapsed="false">
      <c r="A469" s="4" t="s">
        <v>673</v>
      </c>
      <c r="B469" s="17" t="n">
        <v>45762</v>
      </c>
      <c r="C469" s="4" t="n">
        <v>16</v>
      </c>
      <c r="D469" s="4" t="s">
        <v>73</v>
      </c>
      <c r="E469" s="4" t="s">
        <v>65</v>
      </c>
      <c r="F469" s="4" t="s">
        <v>94</v>
      </c>
      <c r="G469" s="4" t="n">
        <v>3</v>
      </c>
      <c r="H469" s="34" t="n">
        <v>150</v>
      </c>
      <c r="I469" s="18" t="n">
        <v>0.1</v>
      </c>
      <c r="J469" s="4" t="s">
        <v>67</v>
      </c>
      <c r="K469" s="4" t="s">
        <v>71</v>
      </c>
      <c r="L469" s="35" t="n">
        <f aca="false">G469*H469</f>
        <v>450</v>
      </c>
      <c r="M469" s="35" t="n">
        <f aca="false">L469*I469</f>
        <v>45</v>
      </c>
      <c r="N469" s="35" t="n">
        <f aca="false">L469-M469</f>
        <v>405</v>
      </c>
      <c r="O469" s="4" t="n">
        <f aca="false">MONTH(B469)</f>
        <v>4</v>
      </c>
      <c r="P469" s="4" t="str">
        <f aca="false">CHOOSE(WEEKDAY(B469,2),"Mon","Tue","Wed","Thu","Fri","Sat","Sun")</f>
        <v>Tue</v>
      </c>
      <c r="Q469" s="4" t="str">
        <f aca="false">IF(WEEKDAY(B469,2)&gt;5,"Weekend","Weekday")</f>
        <v>Weekday</v>
      </c>
      <c r="R469" s="4" t="str">
        <f aca="false">IF(C469&lt;11,"Morning (7-10)",IF(C469&lt;14,"Lunch (11-13)",IF(C469&lt;18,"Afternoon (14-17)","Evening (18-20)")))</f>
        <v>Afternoon (14-17)</v>
      </c>
      <c r="S469" s="4" t="str">
        <f aca="false">IF(AND(O469&gt;=3,O469&lt;=5),"Hot Dry (Mar-May)",IF(AND(O469&gt;=6,O469&lt;=11),"Rainy (Jun-Nov)","Cool Dry (Dec-Feb)"))</f>
        <v>Hot Dry (Mar-May)</v>
      </c>
      <c r="T469" s="4" t="str">
        <f aca="false">CHOOSE(O469,"Jan","Feb","Mar","Apr","May","Jun","Jul","Aug","Sep","Oct","Nov","Dec")</f>
        <v>Apr</v>
      </c>
    </row>
    <row r="470" customFormat="false" ht="15" hidden="false" customHeight="false" outlineLevel="0" collapsed="false">
      <c r="A470" s="4" t="s">
        <v>674</v>
      </c>
      <c r="B470" s="17" t="n">
        <v>45762</v>
      </c>
      <c r="C470" s="4" t="n">
        <v>19</v>
      </c>
      <c r="D470" s="4" t="s">
        <v>64</v>
      </c>
      <c r="E470" s="4" t="s">
        <v>79</v>
      </c>
      <c r="F470" s="4" t="s">
        <v>80</v>
      </c>
      <c r="G470" s="4" t="n">
        <v>1</v>
      </c>
      <c r="H470" s="34" t="n">
        <v>160</v>
      </c>
      <c r="I470" s="18" t="n">
        <v>0</v>
      </c>
      <c r="J470" s="4" t="s">
        <v>81</v>
      </c>
      <c r="K470" s="4" t="s">
        <v>68</v>
      </c>
      <c r="L470" s="35" t="n">
        <f aca="false">G470*H470</f>
        <v>160</v>
      </c>
      <c r="M470" s="35" t="n">
        <f aca="false">L470*I470</f>
        <v>0</v>
      </c>
      <c r="N470" s="35" t="n">
        <f aca="false">L470-M470</f>
        <v>160</v>
      </c>
      <c r="O470" s="4" t="n">
        <f aca="false">MONTH(B470)</f>
        <v>4</v>
      </c>
      <c r="P470" s="4" t="str">
        <f aca="false">CHOOSE(WEEKDAY(B470,2),"Mon","Tue","Wed","Thu","Fri","Sat","Sun")</f>
        <v>Tue</v>
      </c>
      <c r="Q470" s="4" t="str">
        <f aca="false">IF(WEEKDAY(B470,2)&gt;5,"Weekend","Weekday")</f>
        <v>Weekday</v>
      </c>
      <c r="R470" s="4" t="str">
        <f aca="false">IF(C470&lt;11,"Morning (7-10)",IF(C470&lt;14,"Lunch (11-13)",IF(C470&lt;18,"Afternoon (14-17)","Evening (18-20)")))</f>
        <v>Evening (18-20)</v>
      </c>
      <c r="S470" s="4" t="str">
        <f aca="false">IF(AND(O470&gt;=3,O470&lt;=5),"Hot Dry (Mar-May)",IF(AND(O470&gt;=6,O470&lt;=11),"Rainy (Jun-Nov)","Cool Dry (Dec-Feb)"))</f>
        <v>Hot Dry (Mar-May)</v>
      </c>
      <c r="T470" s="4" t="str">
        <f aca="false">CHOOSE(O470,"Jan","Feb","Mar","Apr","May","Jun","Jul","Aug","Sep","Oct","Nov","Dec")</f>
        <v>Apr</v>
      </c>
    </row>
    <row r="471" customFormat="false" ht="15" hidden="false" customHeight="false" outlineLevel="0" collapsed="false">
      <c r="A471" s="4" t="s">
        <v>675</v>
      </c>
      <c r="B471" s="17" t="n">
        <v>45763</v>
      </c>
      <c r="C471" s="4" t="n">
        <v>8</v>
      </c>
      <c r="D471" s="4" t="s">
        <v>64</v>
      </c>
      <c r="E471" s="4" t="s">
        <v>65</v>
      </c>
      <c r="F471" s="4" t="s">
        <v>94</v>
      </c>
      <c r="G471" s="4" t="n">
        <v>1</v>
      </c>
      <c r="H471" s="34" t="n">
        <v>150</v>
      </c>
      <c r="I471" s="18" t="n">
        <v>0</v>
      </c>
      <c r="J471" s="4" t="s">
        <v>76</v>
      </c>
      <c r="K471" s="4" t="s">
        <v>77</v>
      </c>
      <c r="L471" s="35" t="n">
        <f aca="false">G471*H471</f>
        <v>150</v>
      </c>
      <c r="M471" s="35" t="n">
        <f aca="false">L471*I471</f>
        <v>0</v>
      </c>
      <c r="N471" s="35" t="n">
        <f aca="false">L471-M471</f>
        <v>150</v>
      </c>
      <c r="O471" s="4" t="n">
        <f aca="false">MONTH(B471)</f>
        <v>4</v>
      </c>
      <c r="P471" s="4" t="str">
        <f aca="false">CHOOSE(WEEKDAY(B471,2),"Mon","Tue","Wed","Thu","Fri","Sat","Sun")</f>
        <v>Wed</v>
      </c>
      <c r="Q471" s="4" t="str">
        <f aca="false">IF(WEEKDAY(B471,2)&gt;5,"Weekend","Weekday")</f>
        <v>Weekday</v>
      </c>
      <c r="R471" s="4" t="str">
        <f aca="false">IF(C471&lt;11,"Morning (7-10)",IF(C471&lt;14,"Lunch (11-13)",IF(C471&lt;18,"Afternoon (14-17)","Evening (18-20)")))</f>
        <v>Morning (7-10)</v>
      </c>
      <c r="S471" s="4" t="str">
        <f aca="false">IF(AND(O471&gt;=3,O471&lt;=5),"Hot Dry (Mar-May)",IF(AND(O471&gt;=6,O471&lt;=11),"Rainy (Jun-Nov)","Cool Dry (Dec-Feb)"))</f>
        <v>Hot Dry (Mar-May)</v>
      </c>
      <c r="T471" s="4" t="str">
        <f aca="false">CHOOSE(O471,"Jan","Feb","Mar","Apr","May","Jun","Jul","Aug","Sep","Oct","Nov","Dec")</f>
        <v>Apr</v>
      </c>
    </row>
    <row r="472" customFormat="false" ht="15" hidden="false" customHeight="false" outlineLevel="0" collapsed="false">
      <c r="A472" s="4" t="s">
        <v>676</v>
      </c>
      <c r="B472" s="17" t="n">
        <v>45763</v>
      </c>
      <c r="C472" s="4" t="n">
        <v>13</v>
      </c>
      <c r="D472" s="4" t="s">
        <v>64</v>
      </c>
      <c r="E472" s="4" t="s">
        <v>74</v>
      </c>
      <c r="F472" s="4" t="s">
        <v>91</v>
      </c>
      <c r="G472" s="4" t="n">
        <v>2</v>
      </c>
      <c r="H472" s="34" t="n">
        <v>200</v>
      </c>
      <c r="I472" s="18" t="n">
        <v>0.05</v>
      </c>
      <c r="J472" s="4" t="s">
        <v>76</v>
      </c>
      <c r="K472" s="4" t="s">
        <v>82</v>
      </c>
      <c r="L472" s="35" t="n">
        <f aca="false">G472*H472</f>
        <v>400</v>
      </c>
      <c r="M472" s="35" t="n">
        <f aca="false">L472*I472</f>
        <v>20</v>
      </c>
      <c r="N472" s="35" t="n">
        <f aca="false">L472-M472</f>
        <v>380</v>
      </c>
      <c r="O472" s="4" t="n">
        <f aca="false">MONTH(B472)</f>
        <v>4</v>
      </c>
      <c r="P472" s="4" t="str">
        <f aca="false">CHOOSE(WEEKDAY(B472,2),"Mon","Tue","Wed","Thu","Fri","Sat","Sun")</f>
        <v>Wed</v>
      </c>
      <c r="Q472" s="4" t="str">
        <f aca="false">IF(WEEKDAY(B472,2)&gt;5,"Weekend","Weekday")</f>
        <v>Weekday</v>
      </c>
      <c r="R472" s="4" t="str">
        <f aca="false">IF(C472&lt;11,"Morning (7-10)",IF(C472&lt;14,"Lunch (11-13)",IF(C472&lt;18,"Afternoon (14-17)","Evening (18-20)")))</f>
        <v>Lunch (11-13)</v>
      </c>
      <c r="S472" s="4" t="str">
        <f aca="false">IF(AND(O472&gt;=3,O472&lt;=5),"Hot Dry (Mar-May)",IF(AND(O472&gt;=6,O472&lt;=11),"Rainy (Jun-Nov)","Cool Dry (Dec-Feb)"))</f>
        <v>Hot Dry (Mar-May)</v>
      </c>
      <c r="T472" s="4" t="str">
        <f aca="false">CHOOSE(O472,"Jan","Feb","Mar","Apr","May","Jun","Jul","Aug","Sep","Oct","Nov","Dec")</f>
        <v>Apr</v>
      </c>
    </row>
    <row r="473" customFormat="false" ht="15" hidden="false" customHeight="false" outlineLevel="0" collapsed="false">
      <c r="A473" s="4" t="s">
        <v>677</v>
      </c>
      <c r="B473" s="17" t="n">
        <v>45763</v>
      </c>
      <c r="C473" s="4" t="n">
        <v>13</v>
      </c>
      <c r="D473" s="4" t="s">
        <v>73</v>
      </c>
      <c r="E473" s="4" t="s">
        <v>74</v>
      </c>
      <c r="F473" s="4" t="s">
        <v>75</v>
      </c>
      <c r="G473" s="4" t="n">
        <v>3</v>
      </c>
      <c r="H473" s="34" t="n">
        <v>220</v>
      </c>
      <c r="I473" s="18" t="n">
        <v>0</v>
      </c>
      <c r="J473" s="4" t="s">
        <v>112</v>
      </c>
      <c r="K473" s="4" t="s">
        <v>68</v>
      </c>
      <c r="L473" s="35" t="n">
        <f aca="false">G473*H473</f>
        <v>660</v>
      </c>
      <c r="M473" s="35" t="n">
        <f aca="false">L473*I473</f>
        <v>0</v>
      </c>
      <c r="N473" s="35" t="n">
        <f aca="false">L473-M473</f>
        <v>660</v>
      </c>
      <c r="O473" s="4" t="n">
        <f aca="false">MONTH(B473)</f>
        <v>4</v>
      </c>
      <c r="P473" s="4" t="str">
        <f aca="false">CHOOSE(WEEKDAY(B473,2),"Mon","Tue","Wed","Thu","Fri","Sat","Sun")</f>
        <v>Wed</v>
      </c>
      <c r="Q473" s="4" t="str">
        <f aca="false">IF(WEEKDAY(B473,2)&gt;5,"Weekend","Weekday")</f>
        <v>Weekday</v>
      </c>
      <c r="R473" s="4" t="str">
        <f aca="false">IF(C473&lt;11,"Morning (7-10)",IF(C473&lt;14,"Lunch (11-13)",IF(C473&lt;18,"Afternoon (14-17)","Evening (18-20)")))</f>
        <v>Lunch (11-13)</v>
      </c>
      <c r="S473" s="4" t="str">
        <f aca="false">IF(AND(O473&gt;=3,O473&lt;=5),"Hot Dry (Mar-May)",IF(AND(O473&gt;=6,O473&lt;=11),"Rainy (Jun-Nov)","Cool Dry (Dec-Feb)"))</f>
        <v>Hot Dry (Mar-May)</v>
      </c>
      <c r="T473" s="4" t="str">
        <f aca="false">CHOOSE(O473,"Jan","Feb","Mar","Apr","May","Jun","Jul","Aug","Sep","Oct","Nov","Dec")</f>
        <v>Apr</v>
      </c>
    </row>
    <row r="474" customFormat="false" ht="15" hidden="false" customHeight="false" outlineLevel="0" collapsed="false">
      <c r="A474" s="4" t="s">
        <v>678</v>
      </c>
      <c r="B474" s="17" t="n">
        <v>45763</v>
      </c>
      <c r="C474" s="4" t="n">
        <v>15</v>
      </c>
      <c r="D474" s="4" t="s">
        <v>70</v>
      </c>
      <c r="E474" s="4" t="s">
        <v>65</v>
      </c>
      <c r="F474" s="4" t="s">
        <v>94</v>
      </c>
      <c r="G474" s="4" t="n">
        <v>1</v>
      </c>
      <c r="H474" s="34" t="n">
        <v>150</v>
      </c>
      <c r="I474" s="18" t="n">
        <v>0</v>
      </c>
      <c r="J474" s="4" t="s">
        <v>2289</v>
      </c>
      <c r="K474" s="4" t="s">
        <v>68</v>
      </c>
      <c r="L474" s="35" t="n">
        <f aca="false">G474*H474</f>
        <v>150</v>
      </c>
      <c r="M474" s="35" t="n">
        <f aca="false">L474*I474</f>
        <v>0</v>
      </c>
      <c r="N474" s="35" t="n">
        <f aca="false">L474-M474</f>
        <v>150</v>
      </c>
      <c r="O474" s="4" t="n">
        <f aca="false">MONTH(B474)</f>
        <v>4</v>
      </c>
      <c r="P474" s="4" t="str">
        <f aca="false">CHOOSE(WEEKDAY(B474,2),"Mon","Tue","Wed","Thu","Fri","Sat","Sun")</f>
        <v>Wed</v>
      </c>
      <c r="Q474" s="4" t="str">
        <f aca="false">IF(WEEKDAY(B474,2)&gt;5,"Weekend","Weekday")</f>
        <v>Weekday</v>
      </c>
      <c r="R474" s="4" t="str">
        <f aca="false">IF(C474&lt;11,"Morning (7-10)",IF(C474&lt;14,"Lunch (11-13)",IF(C474&lt;18,"Afternoon (14-17)","Evening (18-20)")))</f>
        <v>Afternoon (14-17)</v>
      </c>
      <c r="S474" s="4" t="str">
        <f aca="false">IF(AND(O474&gt;=3,O474&lt;=5),"Hot Dry (Mar-May)",IF(AND(O474&gt;=6,O474&lt;=11),"Rainy (Jun-Nov)","Cool Dry (Dec-Feb)"))</f>
        <v>Hot Dry (Mar-May)</v>
      </c>
      <c r="T474" s="4" t="str">
        <f aca="false">CHOOSE(O474,"Jan","Feb","Mar","Apr","May","Jun","Jul","Aug","Sep","Oct","Nov","Dec")</f>
        <v>Apr</v>
      </c>
    </row>
    <row r="475" customFormat="false" ht="15" hidden="false" customHeight="false" outlineLevel="0" collapsed="false">
      <c r="A475" s="4" t="s">
        <v>680</v>
      </c>
      <c r="B475" s="17" t="n">
        <v>45763</v>
      </c>
      <c r="C475" s="4" t="n">
        <v>17</v>
      </c>
      <c r="D475" s="4" t="s">
        <v>70</v>
      </c>
      <c r="E475" s="4" t="s">
        <v>79</v>
      </c>
      <c r="F475" s="4" t="s">
        <v>80</v>
      </c>
      <c r="G475" s="4" t="n">
        <v>1</v>
      </c>
      <c r="H475" s="34" t="n">
        <v>160</v>
      </c>
      <c r="I475" s="18" t="n">
        <v>0</v>
      </c>
      <c r="J475" s="4" t="s">
        <v>67</v>
      </c>
      <c r="K475" s="4" t="s">
        <v>77</v>
      </c>
      <c r="L475" s="35" t="n">
        <f aca="false">G475*H475</f>
        <v>160</v>
      </c>
      <c r="M475" s="35" t="n">
        <f aca="false">L475*I475</f>
        <v>0</v>
      </c>
      <c r="N475" s="35" t="n">
        <f aca="false">L475-M475</f>
        <v>160</v>
      </c>
      <c r="O475" s="4" t="n">
        <f aca="false">MONTH(B475)</f>
        <v>4</v>
      </c>
      <c r="P475" s="4" t="str">
        <f aca="false">CHOOSE(WEEKDAY(B475,2),"Mon","Tue","Wed","Thu","Fri","Sat","Sun")</f>
        <v>Wed</v>
      </c>
      <c r="Q475" s="4" t="str">
        <f aca="false">IF(WEEKDAY(B475,2)&gt;5,"Weekend","Weekday")</f>
        <v>Weekday</v>
      </c>
      <c r="R475" s="4" t="str">
        <f aca="false">IF(C475&lt;11,"Morning (7-10)",IF(C475&lt;14,"Lunch (11-13)",IF(C475&lt;18,"Afternoon (14-17)","Evening (18-20)")))</f>
        <v>Afternoon (14-17)</v>
      </c>
      <c r="S475" s="4" t="str">
        <f aca="false">IF(AND(O475&gt;=3,O475&lt;=5),"Hot Dry (Mar-May)",IF(AND(O475&gt;=6,O475&lt;=11),"Rainy (Jun-Nov)","Cool Dry (Dec-Feb)"))</f>
        <v>Hot Dry (Mar-May)</v>
      </c>
      <c r="T475" s="4" t="str">
        <f aca="false">CHOOSE(O475,"Jan","Feb","Mar","Apr","May","Jun","Jul","Aug","Sep","Oct","Nov","Dec")</f>
        <v>Apr</v>
      </c>
    </row>
    <row r="476" customFormat="false" ht="15" hidden="false" customHeight="false" outlineLevel="0" collapsed="false">
      <c r="A476" s="4" t="s">
        <v>681</v>
      </c>
      <c r="B476" s="17" t="n">
        <v>45764</v>
      </c>
      <c r="C476" s="4" t="n">
        <v>8</v>
      </c>
      <c r="D476" s="4" t="s">
        <v>64</v>
      </c>
      <c r="E476" s="4" t="s">
        <v>79</v>
      </c>
      <c r="F476" s="4" t="s">
        <v>148</v>
      </c>
      <c r="G476" s="4" t="n">
        <v>2</v>
      </c>
      <c r="H476" s="34" t="n">
        <v>120</v>
      </c>
      <c r="I476" s="18" t="n">
        <v>0.15</v>
      </c>
      <c r="J476" s="4" t="s">
        <v>76</v>
      </c>
      <c r="K476" s="4" t="s">
        <v>68</v>
      </c>
      <c r="L476" s="35" t="n">
        <f aca="false">G476*H476</f>
        <v>240</v>
      </c>
      <c r="M476" s="35" t="n">
        <f aca="false">L476*I476</f>
        <v>36</v>
      </c>
      <c r="N476" s="35" t="n">
        <f aca="false">L476-M476</f>
        <v>204</v>
      </c>
      <c r="O476" s="4" t="n">
        <f aca="false">MONTH(B476)</f>
        <v>4</v>
      </c>
      <c r="P476" s="4" t="str">
        <f aca="false">CHOOSE(WEEKDAY(B476,2),"Mon","Tue","Wed","Thu","Fri","Sat","Sun")</f>
        <v>Thu</v>
      </c>
      <c r="Q476" s="4" t="str">
        <f aca="false">IF(WEEKDAY(B476,2)&gt;5,"Weekend","Weekday")</f>
        <v>Weekday</v>
      </c>
      <c r="R476" s="4" t="str">
        <f aca="false">IF(C476&lt;11,"Morning (7-10)",IF(C476&lt;14,"Lunch (11-13)",IF(C476&lt;18,"Afternoon (14-17)","Evening (18-20)")))</f>
        <v>Morning (7-10)</v>
      </c>
      <c r="S476" s="4" t="str">
        <f aca="false">IF(AND(O476&gt;=3,O476&lt;=5),"Hot Dry (Mar-May)",IF(AND(O476&gt;=6,O476&lt;=11),"Rainy (Jun-Nov)","Cool Dry (Dec-Feb)"))</f>
        <v>Hot Dry (Mar-May)</v>
      </c>
      <c r="T476" s="4" t="str">
        <f aca="false">CHOOSE(O476,"Jan","Feb","Mar","Apr","May","Jun","Jul","Aug","Sep","Oct","Nov","Dec")</f>
        <v>Apr</v>
      </c>
    </row>
    <row r="477" customFormat="false" ht="15" hidden="false" customHeight="false" outlineLevel="0" collapsed="false">
      <c r="A477" s="4" t="s">
        <v>682</v>
      </c>
      <c r="B477" s="17" t="n">
        <v>45764</v>
      </c>
      <c r="C477" s="4" t="n">
        <v>12</v>
      </c>
      <c r="D477" s="4" t="s">
        <v>64</v>
      </c>
      <c r="E477" s="4" t="s">
        <v>74</v>
      </c>
      <c r="F477" s="4" t="s">
        <v>139</v>
      </c>
      <c r="G477" s="4" t="n">
        <v>2</v>
      </c>
      <c r="H477" s="34" t="n">
        <v>260</v>
      </c>
      <c r="I477" s="18" t="n">
        <v>0</v>
      </c>
      <c r="J477" s="4" t="s">
        <v>67</v>
      </c>
      <c r="K477" s="4" t="s">
        <v>68</v>
      </c>
      <c r="L477" s="35" t="n">
        <f aca="false">G477*H477</f>
        <v>520</v>
      </c>
      <c r="M477" s="35" t="n">
        <f aca="false">L477*I477</f>
        <v>0</v>
      </c>
      <c r="N477" s="35" t="n">
        <f aca="false">L477-M477</f>
        <v>520</v>
      </c>
      <c r="O477" s="4" t="n">
        <f aca="false">MONTH(B477)</f>
        <v>4</v>
      </c>
      <c r="P477" s="4" t="str">
        <f aca="false">CHOOSE(WEEKDAY(B477,2),"Mon","Tue","Wed","Thu","Fri","Sat","Sun")</f>
        <v>Thu</v>
      </c>
      <c r="Q477" s="4" t="str">
        <f aca="false">IF(WEEKDAY(B477,2)&gt;5,"Weekend","Weekday")</f>
        <v>Weekday</v>
      </c>
      <c r="R477" s="4" t="str">
        <f aca="false">IF(C477&lt;11,"Morning (7-10)",IF(C477&lt;14,"Lunch (11-13)",IF(C477&lt;18,"Afternoon (14-17)","Evening (18-20)")))</f>
        <v>Lunch (11-13)</v>
      </c>
      <c r="S477" s="4" t="str">
        <f aca="false">IF(AND(O477&gt;=3,O477&lt;=5),"Hot Dry (Mar-May)",IF(AND(O477&gt;=6,O477&lt;=11),"Rainy (Jun-Nov)","Cool Dry (Dec-Feb)"))</f>
        <v>Hot Dry (Mar-May)</v>
      </c>
      <c r="T477" s="4" t="str">
        <f aca="false">CHOOSE(O477,"Jan","Feb","Mar","Apr","May","Jun","Jul","Aug","Sep","Oct","Nov","Dec")</f>
        <v>Apr</v>
      </c>
    </row>
    <row r="478" customFormat="false" ht="15" hidden="false" customHeight="false" outlineLevel="0" collapsed="false">
      <c r="A478" s="4" t="s">
        <v>683</v>
      </c>
      <c r="B478" s="17" t="n">
        <v>45764</v>
      </c>
      <c r="C478" s="4" t="n">
        <v>12</v>
      </c>
      <c r="D478" s="4" t="s">
        <v>70</v>
      </c>
      <c r="E478" s="4" t="s">
        <v>99</v>
      </c>
      <c r="F478" s="4" t="s">
        <v>102</v>
      </c>
      <c r="G478" s="4" t="n">
        <v>2</v>
      </c>
      <c r="H478" s="34" t="n">
        <v>140</v>
      </c>
      <c r="I478" s="18" t="n">
        <v>0.1</v>
      </c>
      <c r="J478" s="4" t="s">
        <v>76</v>
      </c>
      <c r="K478" s="4" t="s">
        <v>71</v>
      </c>
      <c r="L478" s="35" t="n">
        <f aca="false">G478*H478</f>
        <v>280</v>
      </c>
      <c r="M478" s="35" t="n">
        <f aca="false">L478*I478</f>
        <v>28</v>
      </c>
      <c r="N478" s="35" t="n">
        <f aca="false">L478-M478</f>
        <v>252</v>
      </c>
      <c r="O478" s="4" t="n">
        <f aca="false">MONTH(B478)</f>
        <v>4</v>
      </c>
      <c r="P478" s="4" t="str">
        <f aca="false">CHOOSE(WEEKDAY(B478,2),"Mon","Tue","Wed","Thu","Fri","Sat","Sun")</f>
        <v>Thu</v>
      </c>
      <c r="Q478" s="4" t="str">
        <f aca="false">IF(WEEKDAY(B478,2)&gt;5,"Weekend","Weekday")</f>
        <v>Weekday</v>
      </c>
      <c r="R478" s="4" t="str">
        <f aca="false">IF(C478&lt;11,"Morning (7-10)",IF(C478&lt;14,"Lunch (11-13)",IF(C478&lt;18,"Afternoon (14-17)","Evening (18-20)")))</f>
        <v>Lunch (11-13)</v>
      </c>
      <c r="S478" s="4" t="str">
        <f aca="false">IF(AND(O478&gt;=3,O478&lt;=5),"Hot Dry (Mar-May)",IF(AND(O478&gt;=6,O478&lt;=11),"Rainy (Jun-Nov)","Cool Dry (Dec-Feb)"))</f>
        <v>Hot Dry (Mar-May)</v>
      </c>
      <c r="T478" s="4" t="str">
        <f aca="false">CHOOSE(O478,"Jan","Feb","Mar","Apr","May","Jun","Jul","Aug","Sep","Oct","Nov","Dec")</f>
        <v>Apr</v>
      </c>
    </row>
    <row r="479" customFormat="false" ht="15" hidden="false" customHeight="false" outlineLevel="0" collapsed="false">
      <c r="A479" s="4" t="s">
        <v>684</v>
      </c>
      <c r="B479" s="17" t="n">
        <v>45764</v>
      </c>
      <c r="C479" s="4" t="n">
        <v>18</v>
      </c>
      <c r="D479" s="4" t="s">
        <v>64</v>
      </c>
      <c r="E479" s="4" t="s">
        <v>99</v>
      </c>
      <c r="F479" s="4" t="s">
        <v>109</v>
      </c>
      <c r="G479" s="4" t="n">
        <v>2</v>
      </c>
      <c r="H479" s="34" t="n">
        <v>130</v>
      </c>
      <c r="I479" s="18" t="n">
        <v>0</v>
      </c>
      <c r="J479" s="4" t="s">
        <v>76</v>
      </c>
      <c r="K479" s="4" t="s">
        <v>68</v>
      </c>
      <c r="L479" s="35" t="n">
        <f aca="false">G479*H479</f>
        <v>260</v>
      </c>
      <c r="M479" s="35" t="n">
        <f aca="false">L479*I479</f>
        <v>0</v>
      </c>
      <c r="N479" s="35" t="n">
        <f aca="false">L479-M479</f>
        <v>260</v>
      </c>
      <c r="O479" s="4" t="n">
        <f aca="false">MONTH(B479)</f>
        <v>4</v>
      </c>
      <c r="P479" s="4" t="str">
        <f aca="false">CHOOSE(WEEKDAY(B479,2),"Mon","Tue","Wed","Thu","Fri","Sat","Sun")</f>
        <v>Thu</v>
      </c>
      <c r="Q479" s="4" t="str">
        <f aca="false">IF(WEEKDAY(B479,2)&gt;5,"Weekend","Weekday")</f>
        <v>Weekday</v>
      </c>
      <c r="R479" s="4" t="str">
        <f aca="false">IF(C479&lt;11,"Morning (7-10)",IF(C479&lt;14,"Lunch (11-13)",IF(C479&lt;18,"Afternoon (14-17)","Evening (18-20)")))</f>
        <v>Evening (18-20)</v>
      </c>
      <c r="S479" s="4" t="str">
        <f aca="false">IF(AND(O479&gt;=3,O479&lt;=5),"Hot Dry (Mar-May)",IF(AND(O479&gt;=6,O479&lt;=11),"Rainy (Jun-Nov)","Cool Dry (Dec-Feb)"))</f>
        <v>Hot Dry (Mar-May)</v>
      </c>
      <c r="T479" s="4" t="str">
        <f aca="false">CHOOSE(O479,"Jan","Feb","Mar","Apr","May","Jun","Jul","Aug","Sep","Oct","Nov","Dec")</f>
        <v>Apr</v>
      </c>
    </row>
    <row r="480" customFormat="false" ht="15" hidden="false" customHeight="false" outlineLevel="0" collapsed="false">
      <c r="A480" s="4" t="s">
        <v>685</v>
      </c>
      <c r="B480" s="17" t="n">
        <v>45765</v>
      </c>
      <c r="C480" s="4" t="n">
        <v>8</v>
      </c>
      <c r="D480" s="4" t="s">
        <v>98</v>
      </c>
      <c r="E480" s="4" t="s">
        <v>84</v>
      </c>
      <c r="F480" s="4" t="s">
        <v>85</v>
      </c>
      <c r="G480" s="4" t="n">
        <v>1</v>
      </c>
      <c r="H480" s="34" t="n">
        <v>150</v>
      </c>
      <c r="I480" s="18" t="n">
        <v>0</v>
      </c>
      <c r="J480" s="4" t="s">
        <v>67</v>
      </c>
      <c r="K480" s="4" t="s">
        <v>77</v>
      </c>
      <c r="L480" s="35" t="n">
        <f aca="false">G480*H480</f>
        <v>150</v>
      </c>
      <c r="M480" s="35" t="n">
        <f aca="false">L480*I480</f>
        <v>0</v>
      </c>
      <c r="N480" s="35" t="n">
        <f aca="false">L480-M480</f>
        <v>150</v>
      </c>
      <c r="O480" s="4" t="n">
        <f aca="false">MONTH(B480)</f>
        <v>4</v>
      </c>
      <c r="P480" s="4" t="str">
        <f aca="false">CHOOSE(WEEKDAY(B480,2),"Mon","Tue","Wed","Thu","Fri","Sat","Sun")</f>
        <v>Fri</v>
      </c>
      <c r="Q480" s="4" t="str">
        <f aca="false">IF(WEEKDAY(B480,2)&gt;5,"Weekend","Weekday")</f>
        <v>Weekday</v>
      </c>
      <c r="R480" s="4" t="str">
        <f aca="false">IF(C480&lt;11,"Morning (7-10)",IF(C480&lt;14,"Lunch (11-13)",IF(C480&lt;18,"Afternoon (14-17)","Evening (18-20)")))</f>
        <v>Morning (7-10)</v>
      </c>
      <c r="S480" s="4" t="str">
        <f aca="false">IF(AND(O480&gt;=3,O480&lt;=5),"Hot Dry (Mar-May)",IF(AND(O480&gt;=6,O480&lt;=11),"Rainy (Jun-Nov)","Cool Dry (Dec-Feb)"))</f>
        <v>Hot Dry (Mar-May)</v>
      </c>
      <c r="T480" s="4" t="str">
        <f aca="false">CHOOSE(O480,"Jan","Feb","Mar","Apr","May","Jun","Jul","Aug","Sep","Oct","Nov","Dec")</f>
        <v>Apr</v>
      </c>
    </row>
    <row r="481" customFormat="false" ht="15" hidden="false" customHeight="false" outlineLevel="0" collapsed="false">
      <c r="A481" s="4" t="s">
        <v>686</v>
      </c>
      <c r="B481" s="17" t="n">
        <v>45765</v>
      </c>
      <c r="C481" s="4" t="n">
        <v>12</v>
      </c>
      <c r="D481" s="4" t="s">
        <v>70</v>
      </c>
      <c r="E481" s="4" t="s">
        <v>79</v>
      </c>
      <c r="F481" s="4" t="s">
        <v>80</v>
      </c>
      <c r="G481" s="4" t="n">
        <v>2</v>
      </c>
      <c r="H481" s="34" t="n">
        <v>160</v>
      </c>
      <c r="I481" s="18" t="n">
        <v>0</v>
      </c>
      <c r="J481" s="4" t="s">
        <v>81</v>
      </c>
      <c r="K481" s="4" t="s">
        <v>68</v>
      </c>
      <c r="L481" s="35" t="n">
        <f aca="false">G481*H481</f>
        <v>320</v>
      </c>
      <c r="M481" s="35" t="n">
        <f aca="false">L481*I481</f>
        <v>0</v>
      </c>
      <c r="N481" s="35" t="n">
        <f aca="false">L481-M481</f>
        <v>320</v>
      </c>
      <c r="O481" s="4" t="n">
        <f aca="false">MONTH(B481)</f>
        <v>4</v>
      </c>
      <c r="P481" s="4" t="str">
        <f aca="false">CHOOSE(WEEKDAY(B481,2),"Mon","Tue","Wed","Thu","Fri","Sat","Sun")</f>
        <v>Fri</v>
      </c>
      <c r="Q481" s="4" t="str">
        <f aca="false">IF(WEEKDAY(B481,2)&gt;5,"Weekend","Weekday")</f>
        <v>Weekday</v>
      </c>
      <c r="R481" s="4" t="str">
        <f aca="false">IF(C481&lt;11,"Morning (7-10)",IF(C481&lt;14,"Lunch (11-13)",IF(C481&lt;18,"Afternoon (14-17)","Evening (18-20)")))</f>
        <v>Lunch (11-13)</v>
      </c>
      <c r="S481" s="4" t="str">
        <f aca="false">IF(AND(O481&gt;=3,O481&lt;=5),"Hot Dry (Mar-May)",IF(AND(O481&gt;=6,O481&lt;=11),"Rainy (Jun-Nov)","Cool Dry (Dec-Feb)"))</f>
        <v>Hot Dry (Mar-May)</v>
      </c>
      <c r="T481" s="4" t="str">
        <f aca="false">CHOOSE(O481,"Jan","Feb","Mar","Apr","May","Jun","Jul","Aug","Sep","Oct","Nov","Dec")</f>
        <v>Apr</v>
      </c>
    </row>
    <row r="482" customFormat="false" ht="15" hidden="false" customHeight="false" outlineLevel="0" collapsed="false">
      <c r="A482" s="4" t="s">
        <v>687</v>
      </c>
      <c r="B482" s="17" t="n">
        <v>45765</v>
      </c>
      <c r="C482" s="4" t="n">
        <v>15</v>
      </c>
      <c r="D482" s="4" t="s">
        <v>64</v>
      </c>
      <c r="E482" s="4" t="s">
        <v>99</v>
      </c>
      <c r="F482" s="4" t="s">
        <v>100</v>
      </c>
      <c r="G482" s="4" t="n">
        <v>1</v>
      </c>
      <c r="H482" s="34" t="n">
        <v>110</v>
      </c>
      <c r="I482" s="18" t="n">
        <v>0.05</v>
      </c>
      <c r="J482" s="4" t="s">
        <v>112</v>
      </c>
      <c r="K482" s="4" t="s">
        <v>82</v>
      </c>
      <c r="L482" s="35" t="n">
        <f aca="false">G482*H482</f>
        <v>110</v>
      </c>
      <c r="M482" s="35" t="n">
        <f aca="false">L482*I482</f>
        <v>5.5</v>
      </c>
      <c r="N482" s="35" t="n">
        <f aca="false">L482-M482</f>
        <v>104.5</v>
      </c>
      <c r="O482" s="4" t="n">
        <f aca="false">MONTH(B482)</f>
        <v>4</v>
      </c>
      <c r="P482" s="4" t="str">
        <f aca="false">CHOOSE(WEEKDAY(B482,2),"Mon","Tue","Wed","Thu","Fri","Sat","Sun")</f>
        <v>Fri</v>
      </c>
      <c r="Q482" s="4" t="str">
        <f aca="false">IF(WEEKDAY(B482,2)&gt;5,"Weekend","Weekday")</f>
        <v>Weekday</v>
      </c>
      <c r="R482" s="4" t="str">
        <f aca="false">IF(C482&lt;11,"Morning (7-10)",IF(C482&lt;14,"Lunch (11-13)",IF(C482&lt;18,"Afternoon (14-17)","Evening (18-20)")))</f>
        <v>Afternoon (14-17)</v>
      </c>
      <c r="S482" s="4" t="str">
        <f aca="false">IF(AND(O482&gt;=3,O482&lt;=5),"Hot Dry (Mar-May)",IF(AND(O482&gt;=6,O482&lt;=11),"Rainy (Jun-Nov)","Cool Dry (Dec-Feb)"))</f>
        <v>Hot Dry (Mar-May)</v>
      </c>
      <c r="T482" s="4" t="str">
        <f aca="false">CHOOSE(O482,"Jan","Feb","Mar","Apr","May","Jun","Jul","Aug","Sep","Oct","Nov","Dec")</f>
        <v>Apr</v>
      </c>
    </row>
    <row r="483" customFormat="false" ht="15" hidden="false" customHeight="false" outlineLevel="0" collapsed="false">
      <c r="A483" s="4" t="s">
        <v>688</v>
      </c>
      <c r="B483" s="17" t="n">
        <v>45766</v>
      </c>
      <c r="C483" s="4" t="n">
        <v>7</v>
      </c>
      <c r="D483" s="4" t="s">
        <v>70</v>
      </c>
      <c r="E483" s="4" t="s">
        <v>65</v>
      </c>
      <c r="F483" s="4" t="s">
        <v>87</v>
      </c>
      <c r="G483" s="4" t="n">
        <v>1</v>
      </c>
      <c r="H483" s="34" t="n">
        <v>160</v>
      </c>
      <c r="I483" s="18" t="n">
        <v>0</v>
      </c>
      <c r="J483" s="4" t="s">
        <v>67</v>
      </c>
      <c r="K483" s="4" t="s">
        <v>77</v>
      </c>
      <c r="L483" s="35" t="n">
        <f aca="false">G483*H483</f>
        <v>160</v>
      </c>
      <c r="M483" s="35" t="n">
        <f aca="false">L483*I483</f>
        <v>0</v>
      </c>
      <c r="N483" s="35" t="n">
        <f aca="false">L483-M483</f>
        <v>160</v>
      </c>
      <c r="O483" s="4" t="n">
        <f aca="false">MONTH(B483)</f>
        <v>4</v>
      </c>
      <c r="P483" s="4" t="str">
        <f aca="false">CHOOSE(WEEKDAY(B483,2),"Mon","Tue","Wed","Thu","Fri","Sat","Sun")</f>
        <v>Sat</v>
      </c>
      <c r="Q483" s="4" t="str">
        <f aca="false">IF(WEEKDAY(B483,2)&gt;5,"Weekend","Weekday")</f>
        <v>Weekend</v>
      </c>
      <c r="R483" s="4" t="str">
        <f aca="false">IF(C483&lt;11,"Morning (7-10)",IF(C483&lt;14,"Lunch (11-13)",IF(C483&lt;18,"Afternoon (14-17)","Evening (18-20)")))</f>
        <v>Morning (7-10)</v>
      </c>
      <c r="S483" s="4" t="str">
        <f aca="false">IF(AND(O483&gt;=3,O483&lt;=5),"Hot Dry (Mar-May)",IF(AND(O483&gt;=6,O483&lt;=11),"Rainy (Jun-Nov)","Cool Dry (Dec-Feb)"))</f>
        <v>Hot Dry (Mar-May)</v>
      </c>
      <c r="T483" s="4" t="str">
        <f aca="false">CHOOSE(O483,"Jan","Feb","Mar","Apr","May","Jun","Jul","Aug","Sep","Oct","Nov","Dec")</f>
        <v>Apr</v>
      </c>
    </row>
    <row r="484" customFormat="false" ht="15" hidden="false" customHeight="false" outlineLevel="0" collapsed="false">
      <c r="A484" s="4" t="s">
        <v>689</v>
      </c>
      <c r="B484" s="17" t="n">
        <v>45766</v>
      </c>
      <c r="C484" s="4" t="n">
        <v>8</v>
      </c>
      <c r="D484" s="4" t="s">
        <v>73</v>
      </c>
      <c r="E484" s="4" t="s">
        <v>79</v>
      </c>
      <c r="F484" s="4" t="s">
        <v>80</v>
      </c>
      <c r="G484" s="4" t="n">
        <v>4</v>
      </c>
      <c r="H484" s="34" t="n">
        <v>160</v>
      </c>
      <c r="I484" s="18" t="n">
        <v>0</v>
      </c>
      <c r="J484" s="4" t="s">
        <v>112</v>
      </c>
      <c r="K484" s="4" t="s">
        <v>68</v>
      </c>
      <c r="L484" s="35" t="n">
        <f aca="false">G484*H484</f>
        <v>640</v>
      </c>
      <c r="M484" s="35" t="n">
        <f aca="false">L484*I484</f>
        <v>0</v>
      </c>
      <c r="N484" s="35" t="n">
        <f aca="false">L484-M484</f>
        <v>640</v>
      </c>
      <c r="O484" s="4" t="n">
        <f aca="false">MONTH(B484)</f>
        <v>4</v>
      </c>
      <c r="P484" s="4" t="str">
        <f aca="false">CHOOSE(WEEKDAY(B484,2),"Mon","Tue","Wed","Thu","Fri","Sat","Sun")</f>
        <v>Sat</v>
      </c>
      <c r="Q484" s="4" t="str">
        <f aca="false">IF(WEEKDAY(B484,2)&gt;5,"Weekend","Weekday")</f>
        <v>Weekend</v>
      </c>
      <c r="R484" s="4" t="str">
        <f aca="false">IF(C484&lt;11,"Morning (7-10)",IF(C484&lt;14,"Lunch (11-13)",IF(C484&lt;18,"Afternoon (14-17)","Evening (18-20)")))</f>
        <v>Morning (7-10)</v>
      </c>
      <c r="S484" s="4" t="str">
        <f aca="false">IF(AND(O484&gt;=3,O484&lt;=5),"Hot Dry (Mar-May)",IF(AND(O484&gt;=6,O484&lt;=11),"Rainy (Jun-Nov)","Cool Dry (Dec-Feb)"))</f>
        <v>Hot Dry (Mar-May)</v>
      </c>
      <c r="T484" s="4" t="str">
        <f aca="false">CHOOSE(O484,"Jan","Feb","Mar","Apr","May","Jun","Jul","Aug","Sep","Oct","Nov","Dec")</f>
        <v>Apr</v>
      </c>
    </row>
    <row r="485" customFormat="false" ht="15" hidden="false" customHeight="false" outlineLevel="0" collapsed="false">
      <c r="A485" s="4" t="s">
        <v>690</v>
      </c>
      <c r="B485" s="17" t="n">
        <v>45766</v>
      </c>
      <c r="C485" s="4" t="n">
        <v>10</v>
      </c>
      <c r="D485" s="4" t="s">
        <v>98</v>
      </c>
      <c r="E485" s="4" t="s">
        <v>84</v>
      </c>
      <c r="F485" s="4" t="s">
        <v>114</v>
      </c>
      <c r="G485" s="4" t="n">
        <v>2</v>
      </c>
      <c r="H485" s="34" t="n">
        <v>85</v>
      </c>
      <c r="I485" s="18" t="n">
        <v>0.15</v>
      </c>
      <c r="J485" s="4" t="s">
        <v>81</v>
      </c>
      <c r="K485" s="4" t="s">
        <v>82</v>
      </c>
      <c r="L485" s="35" t="n">
        <f aca="false">G485*H485</f>
        <v>170</v>
      </c>
      <c r="M485" s="35" t="n">
        <f aca="false">L485*I485</f>
        <v>25.5</v>
      </c>
      <c r="N485" s="35" t="n">
        <f aca="false">L485-M485</f>
        <v>144.5</v>
      </c>
      <c r="O485" s="4" t="n">
        <f aca="false">MONTH(B485)</f>
        <v>4</v>
      </c>
      <c r="P485" s="4" t="str">
        <f aca="false">CHOOSE(WEEKDAY(B485,2),"Mon","Tue","Wed","Thu","Fri","Sat","Sun")</f>
        <v>Sat</v>
      </c>
      <c r="Q485" s="4" t="str">
        <f aca="false">IF(WEEKDAY(B485,2)&gt;5,"Weekend","Weekday")</f>
        <v>Weekend</v>
      </c>
      <c r="R485" s="4" t="str">
        <f aca="false">IF(C485&lt;11,"Morning (7-10)",IF(C485&lt;14,"Lunch (11-13)",IF(C485&lt;18,"Afternoon (14-17)","Evening (18-20)")))</f>
        <v>Morning (7-10)</v>
      </c>
      <c r="S485" s="4" t="str">
        <f aca="false">IF(AND(O485&gt;=3,O485&lt;=5),"Hot Dry (Mar-May)",IF(AND(O485&gt;=6,O485&lt;=11),"Rainy (Jun-Nov)","Cool Dry (Dec-Feb)"))</f>
        <v>Hot Dry (Mar-May)</v>
      </c>
      <c r="T485" s="4" t="str">
        <f aca="false">CHOOSE(O485,"Jan","Feb","Mar","Apr","May","Jun","Jul","Aug","Sep","Oct","Nov","Dec")</f>
        <v>Apr</v>
      </c>
    </row>
    <row r="486" customFormat="false" ht="15" hidden="false" customHeight="false" outlineLevel="0" collapsed="false">
      <c r="A486" s="4" t="s">
        <v>691</v>
      </c>
      <c r="B486" s="17" t="n">
        <v>45766</v>
      </c>
      <c r="C486" s="4" t="n">
        <v>13</v>
      </c>
      <c r="D486" s="4" t="s">
        <v>98</v>
      </c>
      <c r="E486" s="4" t="s">
        <v>84</v>
      </c>
      <c r="F486" s="4" t="s">
        <v>106</v>
      </c>
      <c r="G486" s="4" t="n">
        <v>2</v>
      </c>
      <c r="H486" s="34" t="n">
        <v>60</v>
      </c>
      <c r="I486" s="18" t="n">
        <v>0</v>
      </c>
      <c r="J486" s="4" t="s">
        <v>76</v>
      </c>
      <c r="K486" s="4" t="s">
        <v>68</v>
      </c>
      <c r="L486" s="35" t="n">
        <f aca="false">G486*H486</f>
        <v>120</v>
      </c>
      <c r="M486" s="35" t="n">
        <f aca="false">L486*I486</f>
        <v>0</v>
      </c>
      <c r="N486" s="35" t="n">
        <f aca="false">L486-M486</f>
        <v>120</v>
      </c>
      <c r="O486" s="4" t="n">
        <f aca="false">MONTH(B486)</f>
        <v>4</v>
      </c>
      <c r="P486" s="4" t="str">
        <f aca="false">CHOOSE(WEEKDAY(B486,2),"Mon","Tue","Wed","Thu","Fri","Sat","Sun")</f>
        <v>Sat</v>
      </c>
      <c r="Q486" s="4" t="str">
        <f aca="false">IF(WEEKDAY(B486,2)&gt;5,"Weekend","Weekday")</f>
        <v>Weekend</v>
      </c>
      <c r="R486" s="4" t="str">
        <f aca="false">IF(C486&lt;11,"Morning (7-10)",IF(C486&lt;14,"Lunch (11-13)",IF(C486&lt;18,"Afternoon (14-17)","Evening (18-20)")))</f>
        <v>Lunch (11-13)</v>
      </c>
      <c r="S486" s="4" t="str">
        <f aca="false">IF(AND(O486&gt;=3,O486&lt;=5),"Hot Dry (Mar-May)",IF(AND(O486&gt;=6,O486&lt;=11),"Rainy (Jun-Nov)","Cool Dry (Dec-Feb)"))</f>
        <v>Hot Dry (Mar-May)</v>
      </c>
      <c r="T486" s="4" t="str">
        <f aca="false">CHOOSE(O486,"Jan","Feb","Mar","Apr","May","Jun","Jul","Aug","Sep","Oct","Nov","Dec")</f>
        <v>Apr</v>
      </c>
    </row>
    <row r="487" customFormat="false" ht="15" hidden="false" customHeight="false" outlineLevel="0" collapsed="false">
      <c r="A487" s="4" t="s">
        <v>692</v>
      </c>
      <c r="B487" s="17" t="n">
        <v>45766</v>
      </c>
      <c r="C487" s="4" t="n">
        <v>13</v>
      </c>
      <c r="D487" s="4" t="s">
        <v>98</v>
      </c>
      <c r="E487" s="4" t="s">
        <v>65</v>
      </c>
      <c r="F487" s="4" t="s">
        <v>94</v>
      </c>
      <c r="G487" s="4" t="n">
        <v>2</v>
      </c>
      <c r="H487" s="34" t="n">
        <v>150</v>
      </c>
      <c r="I487" s="18" t="n">
        <v>0.1</v>
      </c>
      <c r="J487" s="4" t="s">
        <v>67</v>
      </c>
      <c r="K487" s="4" t="s">
        <v>71</v>
      </c>
      <c r="L487" s="35" t="n">
        <f aca="false">G487*H487</f>
        <v>300</v>
      </c>
      <c r="M487" s="35" t="n">
        <f aca="false">L487*I487</f>
        <v>30</v>
      </c>
      <c r="N487" s="35" t="n">
        <f aca="false">L487-M487</f>
        <v>270</v>
      </c>
      <c r="O487" s="4" t="n">
        <f aca="false">MONTH(B487)</f>
        <v>4</v>
      </c>
      <c r="P487" s="4" t="str">
        <f aca="false">CHOOSE(WEEKDAY(B487,2),"Mon","Tue","Wed","Thu","Fri","Sat","Sun")</f>
        <v>Sat</v>
      </c>
      <c r="Q487" s="4" t="str">
        <f aca="false">IF(WEEKDAY(B487,2)&gt;5,"Weekend","Weekday")</f>
        <v>Weekend</v>
      </c>
      <c r="R487" s="4" t="str">
        <f aca="false">IF(C487&lt;11,"Morning (7-10)",IF(C487&lt;14,"Lunch (11-13)",IF(C487&lt;18,"Afternoon (14-17)","Evening (18-20)")))</f>
        <v>Lunch (11-13)</v>
      </c>
      <c r="S487" s="4" t="str">
        <f aca="false">IF(AND(O487&gt;=3,O487&lt;=5),"Hot Dry (Mar-May)",IF(AND(O487&gt;=6,O487&lt;=11),"Rainy (Jun-Nov)","Cool Dry (Dec-Feb)"))</f>
        <v>Hot Dry (Mar-May)</v>
      </c>
      <c r="T487" s="4" t="str">
        <f aca="false">CHOOSE(O487,"Jan","Feb","Mar","Apr","May","Jun","Jul","Aug","Sep","Oct","Nov","Dec")</f>
        <v>Apr</v>
      </c>
    </row>
    <row r="488" customFormat="false" ht="15" hidden="false" customHeight="false" outlineLevel="0" collapsed="false">
      <c r="A488" s="4" t="s">
        <v>693</v>
      </c>
      <c r="B488" s="17" t="n">
        <v>45766</v>
      </c>
      <c r="C488" s="4" t="n">
        <v>15</v>
      </c>
      <c r="D488" s="4" t="s">
        <v>73</v>
      </c>
      <c r="E488" s="4" t="s">
        <v>74</v>
      </c>
      <c r="F488" s="4" t="s">
        <v>139</v>
      </c>
      <c r="G488" s="4" t="n">
        <v>1</v>
      </c>
      <c r="H488" s="34" t="n">
        <v>260</v>
      </c>
      <c r="I488" s="18" t="n">
        <v>0.05</v>
      </c>
      <c r="J488" s="4" t="s">
        <v>81</v>
      </c>
      <c r="K488" s="4" t="s">
        <v>82</v>
      </c>
      <c r="L488" s="35" t="n">
        <f aca="false">G488*H488</f>
        <v>260</v>
      </c>
      <c r="M488" s="35" t="n">
        <f aca="false">L488*I488</f>
        <v>13</v>
      </c>
      <c r="N488" s="35" t="n">
        <f aca="false">L488-M488</f>
        <v>247</v>
      </c>
      <c r="O488" s="4" t="n">
        <f aca="false">MONTH(B488)</f>
        <v>4</v>
      </c>
      <c r="P488" s="4" t="str">
        <f aca="false">CHOOSE(WEEKDAY(B488,2),"Mon","Tue","Wed","Thu","Fri","Sat","Sun")</f>
        <v>Sat</v>
      </c>
      <c r="Q488" s="4" t="str">
        <f aca="false">IF(WEEKDAY(B488,2)&gt;5,"Weekend","Weekday")</f>
        <v>Weekend</v>
      </c>
      <c r="R488" s="4" t="str">
        <f aca="false">IF(C488&lt;11,"Morning (7-10)",IF(C488&lt;14,"Lunch (11-13)",IF(C488&lt;18,"Afternoon (14-17)","Evening (18-20)")))</f>
        <v>Afternoon (14-17)</v>
      </c>
      <c r="S488" s="4" t="str">
        <f aca="false">IF(AND(O488&gt;=3,O488&lt;=5),"Hot Dry (Mar-May)",IF(AND(O488&gt;=6,O488&lt;=11),"Rainy (Jun-Nov)","Cool Dry (Dec-Feb)"))</f>
        <v>Hot Dry (Mar-May)</v>
      </c>
      <c r="T488" s="4" t="str">
        <f aca="false">CHOOSE(O488,"Jan","Feb","Mar","Apr","May","Jun","Jul","Aug","Sep","Oct","Nov","Dec")</f>
        <v>Apr</v>
      </c>
    </row>
    <row r="489" customFormat="false" ht="15" hidden="false" customHeight="false" outlineLevel="0" collapsed="false">
      <c r="A489" s="4" t="s">
        <v>694</v>
      </c>
      <c r="B489" s="17" t="n">
        <v>45767</v>
      </c>
      <c r="C489" s="4" t="n">
        <v>10</v>
      </c>
      <c r="D489" s="4" t="s">
        <v>98</v>
      </c>
      <c r="E489" s="4" t="s">
        <v>65</v>
      </c>
      <c r="F489" s="4" t="s">
        <v>121</v>
      </c>
      <c r="G489" s="4" t="n">
        <v>2</v>
      </c>
      <c r="H489" s="34" t="n">
        <v>170</v>
      </c>
      <c r="I489" s="18" t="n">
        <v>0.15</v>
      </c>
      <c r="J489" s="4" t="s">
        <v>67</v>
      </c>
      <c r="K489" s="4" t="s">
        <v>77</v>
      </c>
      <c r="L489" s="35" t="n">
        <f aca="false">G489*H489</f>
        <v>340</v>
      </c>
      <c r="M489" s="35" t="n">
        <f aca="false">L489*I489</f>
        <v>51</v>
      </c>
      <c r="N489" s="35" t="n">
        <f aca="false">L489-M489</f>
        <v>289</v>
      </c>
      <c r="O489" s="4" t="n">
        <f aca="false">MONTH(B489)</f>
        <v>4</v>
      </c>
      <c r="P489" s="4" t="str">
        <f aca="false">CHOOSE(WEEKDAY(B489,2),"Mon","Tue","Wed","Thu","Fri","Sat","Sun")</f>
        <v>Sun</v>
      </c>
      <c r="Q489" s="4" t="str">
        <f aca="false">IF(WEEKDAY(B489,2)&gt;5,"Weekend","Weekday")</f>
        <v>Weekend</v>
      </c>
      <c r="R489" s="4" t="str">
        <f aca="false">IF(C489&lt;11,"Morning (7-10)",IF(C489&lt;14,"Lunch (11-13)",IF(C489&lt;18,"Afternoon (14-17)","Evening (18-20)")))</f>
        <v>Morning (7-10)</v>
      </c>
      <c r="S489" s="4" t="str">
        <f aca="false">IF(AND(O489&gt;=3,O489&lt;=5),"Hot Dry (Mar-May)",IF(AND(O489&gt;=6,O489&lt;=11),"Rainy (Jun-Nov)","Cool Dry (Dec-Feb)"))</f>
        <v>Hot Dry (Mar-May)</v>
      </c>
      <c r="T489" s="4" t="str">
        <f aca="false">CHOOSE(O489,"Jan","Feb","Mar","Apr","May","Jun","Jul","Aug","Sep","Oct","Nov","Dec")</f>
        <v>Apr</v>
      </c>
    </row>
    <row r="490" customFormat="false" ht="15" hidden="false" customHeight="false" outlineLevel="0" collapsed="false">
      <c r="A490" s="4" t="s">
        <v>695</v>
      </c>
      <c r="B490" s="17" t="n">
        <v>45767</v>
      </c>
      <c r="C490" s="4" t="n">
        <v>13</v>
      </c>
      <c r="D490" s="4" t="s">
        <v>64</v>
      </c>
      <c r="E490" s="4" t="s">
        <v>65</v>
      </c>
      <c r="F490" s="4" t="s">
        <v>66</v>
      </c>
      <c r="G490" s="4" t="n">
        <v>1</v>
      </c>
      <c r="H490" s="34" t="n">
        <v>120</v>
      </c>
      <c r="I490" s="18" t="n">
        <v>0.05</v>
      </c>
      <c r="J490" s="4" t="s">
        <v>81</v>
      </c>
      <c r="K490" s="4" t="s">
        <v>82</v>
      </c>
      <c r="L490" s="35" t="n">
        <f aca="false">G490*H490</f>
        <v>120</v>
      </c>
      <c r="M490" s="35" t="n">
        <f aca="false">L490*I490</f>
        <v>6</v>
      </c>
      <c r="N490" s="35" t="n">
        <f aca="false">L490-M490</f>
        <v>114</v>
      </c>
      <c r="O490" s="4" t="n">
        <f aca="false">MONTH(B490)</f>
        <v>4</v>
      </c>
      <c r="P490" s="4" t="str">
        <f aca="false">CHOOSE(WEEKDAY(B490,2),"Mon","Tue","Wed","Thu","Fri","Sat","Sun")</f>
        <v>Sun</v>
      </c>
      <c r="Q490" s="4" t="str">
        <f aca="false">IF(WEEKDAY(B490,2)&gt;5,"Weekend","Weekday")</f>
        <v>Weekend</v>
      </c>
      <c r="R490" s="4" t="str">
        <f aca="false">IF(C490&lt;11,"Morning (7-10)",IF(C490&lt;14,"Lunch (11-13)",IF(C490&lt;18,"Afternoon (14-17)","Evening (18-20)")))</f>
        <v>Lunch (11-13)</v>
      </c>
      <c r="S490" s="4" t="str">
        <f aca="false">IF(AND(O490&gt;=3,O490&lt;=5),"Hot Dry (Mar-May)",IF(AND(O490&gt;=6,O490&lt;=11),"Rainy (Jun-Nov)","Cool Dry (Dec-Feb)"))</f>
        <v>Hot Dry (Mar-May)</v>
      </c>
      <c r="T490" s="4" t="str">
        <f aca="false">CHOOSE(O490,"Jan","Feb","Mar","Apr","May","Jun","Jul","Aug","Sep","Oct","Nov","Dec")</f>
        <v>Apr</v>
      </c>
    </row>
    <row r="491" customFormat="false" ht="15" hidden="false" customHeight="false" outlineLevel="0" collapsed="false">
      <c r="A491" s="4" t="s">
        <v>696</v>
      </c>
      <c r="B491" s="17" t="n">
        <v>45767</v>
      </c>
      <c r="C491" s="4" t="n">
        <v>14</v>
      </c>
      <c r="D491" s="4" t="s">
        <v>64</v>
      </c>
      <c r="E491" s="4" t="s">
        <v>79</v>
      </c>
      <c r="F491" s="4" t="s">
        <v>80</v>
      </c>
      <c r="G491" s="4" t="n">
        <v>1</v>
      </c>
      <c r="H491" s="34" t="n">
        <v>160</v>
      </c>
      <c r="I491" s="18" t="n">
        <v>0</v>
      </c>
      <c r="J491" s="4" t="s">
        <v>76</v>
      </c>
      <c r="K491" s="4" t="s">
        <v>77</v>
      </c>
      <c r="L491" s="35" t="n">
        <f aca="false">G491*H491</f>
        <v>160</v>
      </c>
      <c r="M491" s="35" t="n">
        <f aca="false">L491*I491</f>
        <v>0</v>
      </c>
      <c r="N491" s="35" t="n">
        <f aca="false">L491-M491</f>
        <v>160</v>
      </c>
      <c r="O491" s="4" t="n">
        <f aca="false">MONTH(B491)</f>
        <v>4</v>
      </c>
      <c r="P491" s="4" t="str">
        <f aca="false">CHOOSE(WEEKDAY(B491,2),"Mon","Tue","Wed","Thu","Fri","Sat","Sun")</f>
        <v>Sun</v>
      </c>
      <c r="Q491" s="4" t="str">
        <f aca="false">IF(WEEKDAY(B491,2)&gt;5,"Weekend","Weekday")</f>
        <v>Weekend</v>
      </c>
      <c r="R491" s="4" t="str">
        <f aca="false">IF(C491&lt;11,"Morning (7-10)",IF(C491&lt;14,"Lunch (11-13)",IF(C491&lt;18,"Afternoon (14-17)","Evening (18-20)")))</f>
        <v>Afternoon (14-17)</v>
      </c>
      <c r="S491" s="4" t="str">
        <f aca="false">IF(AND(O491&gt;=3,O491&lt;=5),"Hot Dry (Mar-May)",IF(AND(O491&gt;=6,O491&lt;=11),"Rainy (Jun-Nov)","Cool Dry (Dec-Feb)"))</f>
        <v>Hot Dry (Mar-May)</v>
      </c>
      <c r="T491" s="4" t="str">
        <f aca="false">CHOOSE(O491,"Jan","Feb","Mar","Apr","May","Jun","Jul","Aug","Sep","Oct","Nov","Dec")</f>
        <v>Apr</v>
      </c>
    </row>
    <row r="492" customFormat="false" ht="15" hidden="false" customHeight="false" outlineLevel="0" collapsed="false">
      <c r="A492" s="4" t="s">
        <v>697</v>
      </c>
      <c r="B492" s="17" t="n">
        <v>45768</v>
      </c>
      <c r="C492" s="4" t="n">
        <v>7</v>
      </c>
      <c r="D492" s="4" t="s">
        <v>70</v>
      </c>
      <c r="E492" s="4" t="s">
        <v>79</v>
      </c>
      <c r="F492" s="4" t="s">
        <v>135</v>
      </c>
      <c r="G492" s="4" t="n">
        <v>1</v>
      </c>
      <c r="H492" s="34" t="n">
        <v>130</v>
      </c>
      <c r="I492" s="18" t="n">
        <v>0.2</v>
      </c>
      <c r="J492" s="4" t="s">
        <v>81</v>
      </c>
      <c r="K492" s="4" t="s">
        <v>68</v>
      </c>
      <c r="L492" s="35" t="n">
        <f aca="false">G492*H492</f>
        <v>130</v>
      </c>
      <c r="M492" s="35" t="n">
        <f aca="false">L492*I492</f>
        <v>26</v>
      </c>
      <c r="N492" s="35" t="n">
        <f aca="false">L492-M492</f>
        <v>104</v>
      </c>
      <c r="O492" s="4" t="n">
        <f aca="false">MONTH(B492)</f>
        <v>4</v>
      </c>
      <c r="P492" s="4" t="str">
        <f aca="false">CHOOSE(WEEKDAY(B492,2),"Mon","Tue","Wed","Thu","Fri","Sat","Sun")</f>
        <v>Mon</v>
      </c>
      <c r="Q492" s="4" t="str">
        <f aca="false">IF(WEEKDAY(B492,2)&gt;5,"Weekend","Weekday")</f>
        <v>Weekday</v>
      </c>
      <c r="R492" s="4" t="str">
        <f aca="false">IF(C492&lt;11,"Morning (7-10)",IF(C492&lt;14,"Lunch (11-13)",IF(C492&lt;18,"Afternoon (14-17)","Evening (18-20)")))</f>
        <v>Morning (7-10)</v>
      </c>
      <c r="S492" s="4" t="str">
        <f aca="false">IF(AND(O492&gt;=3,O492&lt;=5),"Hot Dry (Mar-May)",IF(AND(O492&gt;=6,O492&lt;=11),"Rainy (Jun-Nov)","Cool Dry (Dec-Feb)"))</f>
        <v>Hot Dry (Mar-May)</v>
      </c>
      <c r="T492" s="4" t="str">
        <f aca="false">CHOOSE(O492,"Jan","Feb","Mar","Apr","May","Jun","Jul","Aug","Sep","Oct","Nov","Dec")</f>
        <v>Apr</v>
      </c>
    </row>
    <row r="493" customFormat="false" ht="15" hidden="false" customHeight="false" outlineLevel="0" collapsed="false">
      <c r="A493" s="4" t="s">
        <v>698</v>
      </c>
      <c r="B493" s="17" t="n">
        <v>45768</v>
      </c>
      <c r="C493" s="4" t="n">
        <v>7</v>
      </c>
      <c r="D493" s="4" t="s">
        <v>98</v>
      </c>
      <c r="E493" s="4" t="s">
        <v>65</v>
      </c>
      <c r="F493" s="4" t="s">
        <v>94</v>
      </c>
      <c r="G493" s="4" t="n">
        <v>2</v>
      </c>
      <c r="H493" s="34" t="n">
        <v>150</v>
      </c>
      <c r="I493" s="18" t="n">
        <v>0.1</v>
      </c>
      <c r="J493" s="4" t="s">
        <v>67</v>
      </c>
      <c r="K493" s="4" t="s">
        <v>71</v>
      </c>
      <c r="L493" s="35" t="n">
        <f aca="false">G493*H493</f>
        <v>300</v>
      </c>
      <c r="M493" s="35" t="n">
        <f aca="false">L493*I493</f>
        <v>30</v>
      </c>
      <c r="N493" s="35" t="n">
        <f aca="false">L493-M493</f>
        <v>270</v>
      </c>
      <c r="O493" s="4" t="n">
        <f aca="false">MONTH(B493)</f>
        <v>4</v>
      </c>
      <c r="P493" s="4" t="str">
        <f aca="false">CHOOSE(WEEKDAY(B493,2),"Mon","Tue","Wed","Thu","Fri","Sat","Sun")</f>
        <v>Mon</v>
      </c>
      <c r="Q493" s="4" t="str">
        <f aca="false">IF(WEEKDAY(B493,2)&gt;5,"Weekend","Weekday")</f>
        <v>Weekday</v>
      </c>
      <c r="R493" s="4" t="str">
        <f aca="false">IF(C493&lt;11,"Morning (7-10)",IF(C493&lt;14,"Lunch (11-13)",IF(C493&lt;18,"Afternoon (14-17)","Evening (18-20)")))</f>
        <v>Morning (7-10)</v>
      </c>
      <c r="S493" s="4" t="str">
        <f aca="false">IF(AND(O493&gt;=3,O493&lt;=5),"Hot Dry (Mar-May)",IF(AND(O493&gt;=6,O493&lt;=11),"Rainy (Jun-Nov)","Cool Dry (Dec-Feb)"))</f>
        <v>Hot Dry (Mar-May)</v>
      </c>
      <c r="T493" s="4" t="str">
        <f aca="false">CHOOSE(O493,"Jan","Feb","Mar","Apr","May","Jun","Jul","Aug","Sep","Oct","Nov","Dec")</f>
        <v>Apr</v>
      </c>
    </row>
    <row r="494" customFormat="false" ht="15" hidden="false" customHeight="false" outlineLevel="0" collapsed="false">
      <c r="A494" s="4" t="s">
        <v>699</v>
      </c>
      <c r="B494" s="17" t="n">
        <v>45768</v>
      </c>
      <c r="C494" s="4" t="n">
        <v>15</v>
      </c>
      <c r="D494" s="4" t="s">
        <v>64</v>
      </c>
      <c r="E494" s="4" t="s">
        <v>84</v>
      </c>
      <c r="F494" s="4" t="s">
        <v>114</v>
      </c>
      <c r="G494" s="4" t="n">
        <v>3</v>
      </c>
      <c r="H494" s="34" t="n">
        <v>85</v>
      </c>
      <c r="I494" s="18" t="n">
        <v>0.05</v>
      </c>
      <c r="J494" s="4" t="s">
        <v>76</v>
      </c>
      <c r="K494" s="4" t="s">
        <v>82</v>
      </c>
      <c r="L494" s="35" t="n">
        <f aca="false">G494*H494</f>
        <v>255</v>
      </c>
      <c r="M494" s="35" t="n">
        <f aca="false">L494*I494</f>
        <v>12.75</v>
      </c>
      <c r="N494" s="35" t="n">
        <f aca="false">L494-M494</f>
        <v>242.25</v>
      </c>
      <c r="O494" s="4" t="n">
        <f aca="false">MONTH(B494)</f>
        <v>4</v>
      </c>
      <c r="P494" s="4" t="str">
        <f aca="false">CHOOSE(WEEKDAY(B494,2),"Mon","Tue","Wed","Thu","Fri","Sat","Sun")</f>
        <v>Mon</v>
      </c>
      <c r="Q494" s="4" t="str">
        <f aca="false">IF(WEEKDAY(B494,2)&gt;5,"Weekend","Weekday")</f>
        <v>Weekday</v>
      </c>
      <c r="R494" s="4" t="str">
        <f aca="false">IF(C494&lt;11,"Morning (7-10)",IF(C494&lt;14,"Lunch (11-13)",IF(C494&lt;18,"Afternoon (14-17)","Evening (18-20)")))</f>
        <v>Afternoon (14-17)</v>
      </c>
      <c r="S494" s="4" t="str">
        <f aca="false">IF(AND(O494&gt;=3,O494&lt;=5),"Hot Dry (Mar-May)",IF(AND(O494&gt;=6,O494&lt;=11),"Rainy (Jun-Nov)","Cool Dry (Dec-Feb)"))</f>
        <v>Hot Dry (Mar-May)</v>
      </c>
      <c r="T494" s="4" t="str">
        <f aca="false">CHOOSE(O494,"Jan","Feb","Mar","Apr","May","Jun","Jul","Aug","Sep","Oct","Nov","Dec")</f>
        <v>Apr</v>
      </c>
    </row>
    <row r="495" customFormat="false" ht="15" hidden="false" customHeight="false" outlineLevel="0" collapsed="false">
      <c r="A495" s="4" t="s">
        <v>700</v>
      </c>
      <c r="B495" s="17" t="n">
        <v>45768</v>
      </c>
      <c r="C495" s="4" t="n">
        <v>16</v>
      </c>
      <c r="D495" s="4" t="s">
        <v>64</v>
      </c>
      <c r="E495" s="4" t="s">
        <v>65</v>
      </c>
      <c r="F495" s="4" t="s">
        <v>121</v>
      </c>
      <c r="G495" s="4" t="n">
        <v>4</v>
      </c>
      <c r="H495" s="34" t="n">
        <v>170</v>
      </c>
      <c r="I495" s="18" t="n">
        <v>0.05</v>
      </c>
      <c r="J495" s="4" t="s">
        <v>67</v>
      </c>
      <c r="K495" s="4" t="s">
        <v>82</v>
      </c>
      <c r="L495" s="35" t="n">
        <f aca="false">G495*H495</f>
        <v>680</v>
      </c>
      <c r="M495" s="35" t="n">
        <f aca="false">L495*I495</f>
        <v>34</v>
      </c>
      <c r="N495" s="35" t="n">
        <f aca="false">L495-M495</f>
        <v>646</v>
      </c>
      <c r="O495" s="4" t="n">
        <f aca="false">MONTH(B495)</f>
        <v>4</v>
      </c>
      <c r="P495" s="4" t="str">
        <f aca="false">CHOOSE(WEEKDAY(B495,2),"Mon","Tue","Wed","Thu","Fri","Sat","Sun")</f>
        <v>Mon</v>
      </c>
      <c r="Q495" s="4" t="str">
        <f aca="false">IF(WEEKDAY(B495,2)&gt;5,"Weekend","Weekday")</f>
        <v>Weekday</v>
      </c>
      <c r="R495" s="4" t="str">
        <f aca="false">IF(C495&lt;11,"Morning (7-10)",IF(C495&lt;14,"Lunch (11-13)",IF(C495&lt;18,"Afternoon (14-17)","Evening (18-20)")))</f>
        <v>Afternoon (14-17)</v>
      </c>
      <c r="S495" s="4" t="str">
        <f aca="false">IF(AND(O495&gt;=3,O495&lt;=5),"Hot Dry (Mar-May)",IF(AND(O495&gt;=6,O495&lt;=11),"Rainy (Jun-Nov)","Cool Dry (Dec-Feb)"))</f>
        <v>Hot Dry (Mar-May)</v>
      </c>
      <c r="T495" s="4" t="str">
        <f aca="false">CHOOSE(O495,"Jan","Feb","Mar","Apr","May","Jun","Jul","Aug","Sep","Oct","Nov","Dec")</f>
        <v>Apr</v>
      </c>
    </row>
    <row r="496" customFormat="false" ht="15" hidden="false" customHeight="false" outlineLevel="0" collapsed="false">
      <c r="A496" s="4" t="s">
        <v>702</v>
      </c>
      <c r="B496" s="17" t="n">
        <v>45768</v>
      </c>
      <c r="C496" s="4" t="n">
        <v>16</v>
      </c>
      <c r="D496" s="4" t="s">
        <v>98</v>
      </c>
      <c r="E496" s="4" t="s">
        <v>65</v>
      </c>
      <c r="F496" s="4" t="s">
        <v>87</v>
      </c>
      <c r="G496" s="4" t="n">
        <v>1</v>
      </c>
      <c r="H496" s="34" t="n">
        <v>160</v>
      </c>
      <c r="I496" s="18" t="n">
        <v>0</v>
      </c>
      <c r="J496" s="4" t="s">
        <v>76</v>
      </c>
      <c r="K496" s="4" t="s">
        <v>71</v>
      </c>
      <c r="L496" s="35" t="n">
        <f aca="false">G496*H496</f>
        <v>160</v>
      </c>
      <c r="M496" s="35" t="n">
        <f aca="false">L496*I496</f>
        <v>0</v>
      </c>
      <c r="N496" s="35" t="n">
        <f aca="false">L496-M496</f>
        <v>160</v>
      </c>
      <c r="O496" s="4" t="n">
        <f aca="false">MONTH(B496)</f>
        <v>4</v>
      </c>
      <c r="P496" s="4" t="str">
        <f aca="false">CHOOSE(WEEKDAY(B496,2),"Mon","Tue","Wed","Thu","Fri","Sat","Sun")</f>
        <v>Mon</v>
      </c>
      <c r="Q496" s="4" t="str">
        <f aca="false">IF(WEEKDAY(B496,2)&gt;5,"Weekend","Weekday")</f>
        <v>Weekday</v>
      </c>
      <c r="R496" s="4" t="str">
        <f aca="false">IF(C496&lt;11,"Morning (7-10)",IF(C496&lt;14,"Lunch (11-13)",IF(C496&lt;18,"Afternoon (14-17)","Evening (18-20)")))</f>
        <v>Afternoon (14-17)</v>
      </c>
      <c r="S496" s="4" t="str">
        <f aca="false">IF(AND(O496&gt;=3,O496&lt;=5),"Hot Dry (Mar-May)",IF(AND(O496&gt;=6,O496&lt;=11),"Rainy (Jun-Nov)","Cool Dry (Dec-Feb)"))</f>
        <v>Hot Dry (Mar-May)</v>
      </c>
      <c r="T496" s="4" t="str">
        <f aca="false">CHOOSE(O496,"Jan","Feb","Mar","Apr","May","Jun","Jul","Aug","Sep","Oct","Nov","Dec")</f>
        <v>Apr</v>
      </c>
    </row>
    <row r="497" customFormat="false" ht="15" hidden="false" customHeight="false" outlineLevel="0" collapsed="false">
      <c r="A497" s="4" t="s">
        <v>703</v>
      </c>
      <c r="B497" s="17" t="n">
        <v>45769</v>
      </c>
      <c r="C497" s="4" t="n">
        <v>7</v>
      </c>
      <c r="D497" s="4" t="s">
        <v>70</v>
      </c>
      <c r="E497" s="4" t="s">
        <v>84</v>
      </c>
      <c r="F497" s="4" t="s">
        <v>114</v>
      </c>
      <c r="G497" s="4" t="n">
        <v>1</v>
      </c>
      <c r="H497" s="34" t="n">
        <v>85</v>
      </c>
      <c r="I497" s="18" t="n">
        <v>0</v>
      </c>
      <c r="J497" s="4" t="s">
        <v>67</v>
      </c>
      <c r="K497" s="4" t="s">
        <v>77</v>
      </c>
      <c r="L497" s="35" t="n">
        <f aca="false">G497*H497</f>
        <v>85</v>
      </c>
      <c r="M497" s="35" t="n">
        <f aca="false">L497*I497</f>
        <v>0</v>
      </c>
      <c r="N497" s="35" t="n">
        <f aca="false">L497-M497</f>
        <v>85</v>
      </c>
      <c r="O497" s="4" t="n">
        <f aca="false">MONTH(B497)</f>
        <v>4</v>
      </c>
      <c r="P497" s="4" t="str">
        <f aca="false">CHOOSE(WEEKDAY(B497,2),"Mon","Tue","Wed","Thu","Fri","Sat","Sun")</f>
        <v>Tue</v>
      </c>
      <c r="Q497" s="4" t="str">
        <f aca="false">IF(WEEKDAY(B497,2)&gt;5,"Weekend","Weekday")</f>
        <v>Weekday</v>
      </c>
      <c r="R497" s="4" t="str">
        <f aca="false">IF(C497&lt;11,"Morning (7-10)",IF(C497&lt;14,"Lunch (11-13)",IF(C497&lt;18,"Afternoon (14-17)","Evening (18-20)")))</f>
        <v>Morning (7-10)</v>
      </c>
      <c r="S497" s="4" t="str">
        <f aca="false">IF(AND(O497&gt;=3,O497&lt;=5),"Hot Dry (Mar-May)",IF(AND(O497&gt;=6,O497&lt;=11),"Rainy (Jun-Nov)","Cool Dry (Dec-Feb)"))</f>
        <v>Hot Dry (Mar-May)</v>
      </c>
      <c r="T497" s="4" t="str">
        <f aca="false">CHOOSE(O497,"Jan","Feb","Mar","Apr","May","Jun","Jul","Aug","Sep","Oct","Nov","Dec")</f>
        <v>Apr</v>
      </c>
    </row>
    <row r="498" customFormat="false" ht="15" hidden="false" customHeight="false" outlineLevel="0" collapsed="false">
      <c r="A498" s="4" t="s">
        <v>704</v>
      </c>
      <c r="B498" s="17" t="n">
        <v>45769</v>
      </c>
      <c r="C498" s="4" t="n">
        <v>8</v>
      </c>
      <c r="D498" s="4" t="s">
        <v>64</v>
      </c>
      <c r="E498" s="4" t="s">
        <v>65</v>
      </c>
      <c r="F498" s="4" t="s">
        <v>121</v>
      </c>
      <c r="G498" s="4" t="n">
        <v>1</v>
      </c>
      <c r="H498" s="34" t="n">
        <v>170</v>
      </c>
      <c r="I498" s="18" t="n">
        <v>0</v>
      </c>
      <c r="J498" s="4" t="s">
        <v>67</v>
      </c>
      <c r="K498" s="4" t="s">
        <v>77</v>
      </c>
      <c r="L498" s="35" t="n">
        <f aca="false">G498*H498</f>
        <v>170</v>
      </c>
      <c r="M498" s="35" t="n">
        <f aca="false">L498*I498</f>
        <v>0</v>
      </c>
      <c r="N498" s="35" t="n">
        <f aca="false">L498-M498</f>
        <v>170</v>
      </c>
      <c r="O498" s="4" t="n">
        <f aca="false">MONTH(B498)</f>
        <v>4</v>
      </c>
      <c r="P498" s="4" t="str">
        <f aca="false">CHOOSE(WEEKDAY(B498,2),"Mon","Tue","Wed","Thu","Fri","Sat","Sun")</f>
        <v>Tue</v>
      </c>
      <c r="Q498" s="4" t="str">
        <f aca="false">IF(WEEKDAY(B498,2)&gt;5,"Weekend","Weekday")</f>
        <v>Weekday</v>
      </c>
      <c r="R498" s="4" t="str">
        <f aca="false">IF(C498&lt;11,"Morning (7-10)",IF(C498&lt;14,"Lunch (11-13)",IF(C498&lt;18,"Afternoon (14-17)","Evening (18-20)")))</f>
        <v>Morning (7-10)</v>
      </c>
      <c r="S498" s="4" t="str">
        <f aca="false">IF(AND(O498&gt;=3,O498&lt;=5),"Hot Dry (Mar-May)",IF(AND(O498&gt;=6,O498&lt;=11),"Rainy (Jun-Nov)","Cool Dry (Dec-Feb)"))</f>
        <v>Hot Dry (Mar-May)</v>
      </c>
      <c r="T498" s="4" t="str">
        <f aca="false">CHOOSE(O498,"Jan","Feb","Mar","Apr","May","Jun","Jul","Aug","Sep","Oct","Nov","Dec")</f>
        <v>Apr</v>
      </c>
    </row>
    <row r="499" customFormat="false" ht="15" hidden="false" customHeight="false" outlineLevel="0" collapsed="false">
      <c r="A499" s="4" t="s">
        <v>706</v>
      </c>
      <c r="B499" s="17" t="n">
        <v>45769</v>
      </c>
      <c r="C499" s="4" t="n">
        <v>8</v>
      </c>
      <c r="D499" s="4" t="s">
        <v>98</v>
      </c>
      <c r="E499" s="4" t="s">
        <v>84</v>
      </c>
      <c r="F499" s="4" t="s">
        <v>85</v>
      </c>
      <c r="G499" s="4" t="n">
        <v>2</v>
      </c>
      <c r="H499" s="34" t="n">
        <v>150</v>
      </c>
      <c r="I499" s="18" t="n">
        <v>0</v>
      </c>
      <c r="J499" s="4" t="s">
        <v>67</v>
      </c>
      <c r="K499" s="4" t="s">
        <v>68</v>
      </c>
      <c r="L499" s="35" t="n">
        <f aca="false">G499*H499</f>
        <v>300</v>
      </c>
      <c r="M499" s="35" t="n">
        <f aca="false">L499*I499</f>
        <v>0</v>
      </c>
      <c r="N499" s="35" t="n">
        <f aca="false">L499-M499</f>
        <v>300</v>
      </c>
      <c r="O499" s="4" t="n">
        <f aca="false">MONTH(B499)</f>
        <v>4</v>
      </c>
      <c r="P499" s="4" t="str">
        <f aca="false">CHOOSE(WEEKDAY(B499,2),"Mon","Tue","Wed","Thu","Fri","Sat","Sun")</f>
        <v>Tue</v>
      </c>
      <c r="Q499" s="4" t="str">
        <f aca="false">IF(WEEKDAY(B499,2)&gt;5,"Weekend","Weekday")</f>
        <v>Weekday</v>
      </c>
      <c r="R499" s="4" t="str">
        <f aca="false">IF(C499&lt;11,"Morning (7-10)",IF(C499&lt;14,"Lunch (11-13)",IF(C499&lt;18,"Afternoon (14-17)","Evening (18-20)")))</f>
        <v>Morning (7-10)</v>
      </c>
      <c r="S499" s="4" t="str">
        <f aca="false">IF(AND(O499&gt;=3,O499&lt;=5),"Hot Dry (Mar-May)",IF(AND(O499&gt;=6,O499&lt;=11),"Rainy (Jun-Nov)","Cool Dry (Dec-Feb)"))</f>
        <v>Hot Dry (Mar-May)</v>
      </c>
      <c r="T499" s="4" t="str">
        <f aca="false">CHOOSE(O499,"Jan","Feb","Mar","Apr","May","Jun","Jul","Aug","Sep","Oct","Nov","Dec")</f>
        <v>Apr</v>
      </c>
    </row>
    <row r="500" customFormat="false" ht="15" hidden="false" customHeight="false" outlineLevel="0" collapsed="false">
      <c r="A500" s="4" t="s">
        <v>707</v>
      </c>
      <c r="B500" s="17" t="n">
        <v>45769</v>
      </c>
      <c r="C500" s="4" t="n">
        <v>9</v>
      </c>
      <c r="D500" s="4" t="s">
        <v>73</v>
      </c>
      <c r="E500" s="4" t="s">
        <v>74</v>
      </c>
      <c r="F500" s="4" t="s">
        <v>91</v>
      </c>
      <c r="G500" s="4" t="n">
        <v>1</v>
      </c>
      <c r="H500" s="34" t="n">
        <v>200</v>
      </c>
      <c r="I500" s="18" t="n">
        <v>0.1</v>
      </c>
      <c r="J500" s="4" t="s">
        <v>67</v>
      </c>
      <c r="K500" s="4" t="s">
        <v>71</v>
      </c>
      <c r="L500" s="35" t="n">
        <f aca="false">G500*H500</f>
        <v>200</v>
      </c>
      <c r="M500" s="35" t="n">
        <f aca="false">L500*I500</f>
        <v>20</v>
      </c>
      <c r="N500" s="35" t="n">
        <f aca="false">L500-M500</f>
        <v>180</v>
      </c>
      <c r="O500" s="4" t="n">
        <f aca="false">MONTH(B500)</f>
        <v>4</v>
      </c>
      <c r="P500" s="4" t="str">
        <f aca="false">CHOOSE(WEEKDAY(B500,2),"Mon","Tue","Wed","Thu","Fri","Sat","Sun")</f>
        <v>Tue</v>
      </c>
      <c r="Q500" s="4" t="str">
        <f aca="false">IF(WEEKDAY(B500,2)&gt;5,"Weekend","Weekday")</f>
        <v>Weekday</v>
      </c>
      <c r="R500" s="4" t="str">
        <f aca="false">IF(C500&lt;11,"Morning (7-10)",IF(C500&lt;14,"Lunch (11-13)",IF(C500&lt;18,"Afternoon (14-17)","Evening (18-20)")))</f>
        <v>Morning (7-10)</v>
      </c>
      <c r="S500" s="4" t="str">
        <f aca="false">IF(AND(O500&gt;=3,O500&lt;=5),"Hot Dry (Mar-May)",IF(AND(O500&gt;=6,O500&lt;=11),"Rainy (Jun-Nov)","Cool Dry (Dec-Feb)"))</f>
        <v>Hot Dry (Mar-May)</v>
      </c>
      <c r="T500" s="4" t="str">
        <f aca="false">CHOOSE(O500,"Jan","Feb","Mar","Apr","May","Jun","Jul","Aug","Sep","Oct","Nov","Dec")</f>
        <v>Apr</v>
      </c>
    </row>
    <row r="501" customFormat="false" ht="15" hidden="false" customHeight="false" outlineLevel="0" collapsed="false">
      <c r="A501" s="4" t="s">
        <v>709</v>
      </c>
      <c r="B501" s="17" t="n">
        <v>45769</v>
      </c>
      <c r="C501" s="4" t="n">
        <v>13</v>
      </c>
      <c r="D501" s="4" t="s">
        <v>70</v>
      </c>
      <c r="E501" s="4" t="s">
        <v>99</v>
      </c>
      <c r="F501" s="4" t="s">
        <v>133</v>
      </c>
      <c r="G501" s="4" t="n">
        <v>1</v>
      </c>
      <c r="H501" s="34" t="n">
        <v>90</v>
      </c>
      <c r="I501" s="18" t="n">
        <v>0.05</v>
      </c>
      <c r="J501" s="4" t="s">
        <v>112</v>
      </c>
      <c r="K501" s="4" t="s">
        <v>82</v>
      </c>
      <c r="L501" s="35" t="n">
        <f aca="false">G501*H501</f>
        <v>90</v>
      </c>
      <c r="M501" s="35" t="n">
        <f aca="false">L501*I501</f>
        <v>4.5</v>
      </c>
      <c r="N501" s="35" t="n">
        <f aca="false">L501-M501</f>
        <v>85.5</v>
      </c>
      <c r="O501" s="4" t="n">
        <f aca="false">MONTH(B501)</f>
        <v>4</v>
      </c>
      <c r="P501" s="4" t="str">
        <f aca="false">CHOOSE(WEEKDAY(B501,2),"Mon","Tue","Wed","Thu","Fri","Sat","Sun")</f>
        <v>Tue</v>
      </c>
      <c r="Q501" s="4" t="str">
        <f aca="false">IF(WEEKDAY(B501,2)&gt;5,"Weekend","Weekday")</f>
        <v>Weekday</v>
      </c>
      <c r="R501" s="4" t="str">
        <f aca="false">IF(C501&lt;11,"Morning (7-10)",IF(C501&lt;14,"Lunch (11-13)",IF(C501&lt;18,"Afternoon (14-17)","Evening (18-20)")))</f>
        <v>Lunch (11-13)</v>
      </c>
      <c r="S501" s="4" t="str">
        <f aca="false">IF(AND(O501&gt;=3,O501&lt;=5),"Hot Dry (Mar-May)",IF(AND(O501&gt;=6,O501&lt;=11),"Rainy (Jun-Nov)","Cool Dry (Dec-Feb)"))</f>
        <v>Hot Dry (Mar-May)</v>
      </c>
      <c r="T501" s="4" t="str">
        <f aca="false">CHOOSE(O501,"Jan","Feb","Mar","Apr","May","Jun","Jul","Aug","Sep","Oct","Nov","Dec")</f>
        <v>Apr</v>
      </c>
    </row>
    <row r="502" customFormat="false" ht="15" hidden="false" customHeight="false" outlineLevel="0" collapsed="false">
      <c r="A502" s="4" t="s">
        <v>710</v>
      </c>
      <c r="B502" s="17" t="n">
        <v>45769</v>
      </c>
      <c r="C502" s="4" t="n">
        <v>13</v>
      </c>
      <c r="D502" s="4" t="s">
        <v>73</v>
      </c>
      <c r="E502" s="4" t="s">
        <v>99</v>
      </c>
      <c r="F502" s="4" t="s">
        <v>133</v>
      </c>
      <c r="G502" s="4" t="n">
        <v>1</v>
      </c>
      <c r="H502" s="34" t="n">
        <v>90</v>
      </c>
      <c r="I502" s="18" t="n">
        <v>0.15</v>
      </c>
      <c r="J502" s="4" t="s">
        <v>67</v>
      </c>
      <c r="K502" s="4" t="s">
        <v>68</v>
      </c>
      <c r="L502" s="35" t="n">
        <f aca="false">G502*H502</f>
        <v>90</v>
      </c>
      <c r="M502" s="35" t="n">
        <f aca="false">L502*I502</f>
        <v>13.5</v>
      </c>
      <c r="N502" s="35" t="n">
        <f aca="false">L502-M502</f>
        <v>76.5</v>
      </c>
      <c r="O502" s="4" t="n">
        <f aca="false">MONTH(B502)</f>
        <v>4</v>
      </c>
      <c r="P502" s="4" t="str">
        <f aca="false">CHOOSE(WEEKDAY(B502,2),"Mon","Tue","Wed","Thu","Fri","Sat","Sun")</f>
        <v>Tue</v>
      </c>
      <c r="Q502" s="4" t="str">
        <f aca="false">IF(WEEKDAY(B502,2)&gt;5,"Weekend","Weekday")</f>
        <v>Weekday</v>
      </c>
      <c r="R502" s="4" t="str">
        <f aca="false">IF(C502&lt;11,"Morning (7-10)",IF(C502&lt;14,"Lunch (11-13)",IF(C502&lt;18,"Afternoon (14-17)","Evening (18-20)")))</f>
        <v>Lunch (11-13)</v>
      </c>
      <c r="S502" s="4" t="str">
        <f aca="false">IF(AND(O502&gt;=3,O502&lt;=5),"Hot Dry (Mar-May)",IF(AND(O502&gt;=6,O502&lt;=11),"Rainy (Jun-Nov)","Cool Dry (Dec-Feb)"))</f>
        <v>Hot Dry (Mar-May)</v>
      </c>
      <c r="T502" s="4" t="str">
        <f aca="false">CHOOSE(O502,"Jan","Feb","Mar","Apr","May","Jun","Jul","Aug","Sep","Oct","Nov","Dec")</f>
        <v>Apr</v>
      </c>
    </row>
    <row r="503" customFormat="false" ht="15" hidden="false" customHeight="false" outlineLevel="0" collapsed="false">
      <c r="A503" s="4" t="s">
        <v>712</v>
      </c>
      <c r="B503" s="17" t="n">
        <v>45769</v>
      </c>
      <c r="C503" s="4" t="n">
        <v>15</v>
      </c>
      <c r="D503" s="4" t="s">
        <v>70</v>
      </c>
      <c r="E503" s="4" t="s">
        <v>65</v>
      </c>
      <c r="F503" s="4" t="s">
        <v>87</v>
      </c>
      <c r="G503" s="4" t="n">
        <v>1</v>
      </c>
      <c r="H503" s="34" t="n">
        <v>160</v>
      </c>
      <c r="I503" s="18" t="n">
        <v>0.1</v>
      </c>
      <c r="J503" s="4" t="s">
        <v>112</v>
      </c>
      <c r="K503" s="4" t="s">
        <v>71</v>
      </c>
      <c r="L503" s="35" t="n">
        <f aca="false">G503*H503</f>
        <v>160</v>
      </c>
      <c r="M503" s="35" t="n">
        <f aca="false">L503*I503</f>
        <v>16</v>
      </c>
      <c r="N503" s="35" t="n">
        <f aca="false">L503-M503</f>
        <v>144</v>
      </c>
      <c r="O503" s="4" t="n">
        <f aca="false">MONTH(B503)</f>
        <v>4</v>
      </c>
      <c r="P503" s="4" t="str">
        <f aca="false">CHOOSE(WEEKDAY(B503,2),"Mon","Tue","Wed","Thu","Fri","Sat","Sun")</f>
        <v>Tue</v>
      </c>
      <c r="Q503" s="4" t="str">
        <f aca="false">IF(WEEKDAY(B503,2)&gt;5,"Weekend","Weekday")</f>
        <v>Weekday</v>
      </c>
      <c r="R503" s="4" t="str">
        <f aca="false">IF(C503&lt;11,"Morning (7-10)",IF(C503&lt;14,"Lunch (11-13)",IF(C503&lt;18,"Afternoon (14-17)","Evening (18-20)")))</f>
        <v>Afternoon (14-17)</v>
      </c>
      <c r="S503" s="4" t="str">
        <f aca="false">IF(AND(O503&gt;=3,O503&lt;=5),"Hot Dry (Mar-May)",IF(AND(O503&gt;=6,O503&lt;=11),"Rainy (Jun-Nov)","Cool Dry (Dec-Feb)"))</f>
        <v>Hot Dry (Mar-May)</v>
      </c>
      <c r="T503" s="4" t="str">
        <f aca="false">CHOOSE(O503,"Jan","Feb","Mar","Apr","May","Jun","Jul","Aug","Sep","Oct","Nov","Dec")</f>
        <v>Apr</v>
      </c>
    </row>
    <row r="504" customFormat="false" ht="15" hidden="false" customHeight="false" outlineLevel="0" collapsed="false">
      <c r="A504" s="4" t="s">
        <v>713</v>
      </c>
      <c r="B504" s="17" t="n">
        <v>45769</v>
      </c>
      <c r="C504" s="4" t="n">
        <v>18</v>
      </c>
      <c r="D504" s="4" t="s">
        <v>73</v>
      </c>
      <c r="E504" s="4" t="s">
        <v>65</v>
      </c>
      <c r="F504" s="4" t="s">
        <v>87</v>
      </c>
      <c r="G504" s="4" t="n">
        <v>1</v>
      </c>
      <c r="H504" s="34" t="n">
        <v>160</v>
      </c>
      <c r="I504" s="18" t="n">
        <v>0.1</v>
      </c>
      <c r="J504" s="4" t="s">
        <v>88</v>
      </c>
      <c r="K504" s="4" t="s">
        <v>82</v>
      </c>
      <c r="L504" s="35" t="n">
        <f aca="false">G504*H504</f>
        <v>160</v>
      </c>
      <c r="M504" s="35" t="n">
        <f aca="false">L504*I504</f>
        <v>16</v>
      </c>
      <c r="N504" s="35" t="n">
        <f aca="false">L504-M504</f>
        <v>144</v>
      </c>
      <c r="O504" s="4" t="n">
        <f aca="false">MONTH(B504)</f>
        <v>4</v>
      </c>
      <c r="P504" s="4" t="str">
        <f aca="false">CHOOSE(WEEKDAY(B504,2),"Mon","Tue","Wed","Thu","Fri","Sat","Sun")</f>
        <v>Tue</v>
      </c>
      <c r="Q504" s="4" t="str">
        <f aca="false">IF(WEEKDAY(B504,2)&gt;5,"Weekend","Weekday")</f>
        <v>Weekday</v>
      </c>
      <c r="R504" s="4" t="str">
        <f aca="false">IF(C504&lt;11,"Morning (7-10)",IF(C504&lt;14,"Lunch (11-13)",IF(C504&lt;18,"Afternoon (14-17)","Evening (18-20)")))</f>
        <v>Evening (18-20)</v>
      </c>
      <c r="S504" s="4" t="str">
        <f aca="false">IF(AND(O504&gt;=3,O504&lt;=5),"Hot Dry (Mar-May)",IF(AND(O504&gt;=6,O504&lt;=11),"Rainy (Jun-Nov)","Cool Dry (Dec-Feb)"))</f>
        <v>Hot Dry (Mar-May)</v>
      </c>
      <c r="T504" s="4" t="str">
        <f aca="false">CHOOSE(O504,"Jan","Feb","Mar","Apr","May","Jun","Jul","Aug","Sep","Oct","Nov","Dec")</f>
        <v>Apr</v>
      </c>
    </row>
    <row r="505" customFormat="false" ht="15" hidden="false" customHeight="false" outlineLevel="0" collapsed="false">
      <c r="A505" s="4" t="s">
        <v>716</v>
      </c>
      <c r="B505" s="17" t="n">
        <v>45770</v>
      </c>
      <c r="C505" s="4" t="n">
        <v>7</v>
      </c>
      <c r="D505" s="4" t="s">
        <v>73</v>
      </c>
      <c r="E505" s="4" t="s">
        <v>79</v>
      </c>
      <c r="F505" s="4" t="s">
        <v>148</v>
      </c>
      <c r="G505" s="4" t="n">
        <v>2</v>
      </c>
      <c r="H505" s="34" t="n">
        <v>120</v>
      </c>
      <c r="I505" s="18" t="n">
        <v>0.05</v>
      </c>
      <c r="J505" s="4" t="s">
        <v>81</v>
      </c>
      <c r="K505" s="4" t="s">
        <v>82</v>
      </c>
      <c r="L505" s="35" t="n">
        <f aca="false">G505*H505</f>
        <v>240</v>
      </c>
      <c r="M505" s="35" t="n">
        <f aca="false">L505*I505</f>
        <v>12</v>
      </c>
      <c r="N505" s="35" t="n">
        <f aca="false">L505-M505</f>
        <v>228</v>
      </c>
      <c r="O505" s="4" t="n">
        <f aca="false">MONTH(B505)</f>
        <v>4</v>
      </c>
      <c r="P505" s="4" t="str">
        <f aca="false">CHOOSE(WEEKDAY(B505,2),"Mon","Tue","Wed","Thu","Fri","Sat","Sun")</f>
        <v>Wed</v>
      </c>
      <c r="Q505" s="4" t="str">
        <f aca="false">IF(WEEKDAY(B505,2)&gt;5,"Weekend","Weekday")</f>
        <v>Weekday</v>
      </c>
      <c r="R505" s="4" t="str">
        <f aca="false">IF(C505&lt;11,"Morning (7-10)",IF(C505&lt;14,"Lunch (11-13)",IF(C505&lt;18,"Afternoon (14-17)","Evening (18-20)")))</f>
        <v>Morning (7-10)</v>
      </c>
      <c r="S505" s="4" t="str">
        <f aca="false">IF(AND(O505&gt;=3,O505&lt;=5),"Hot Dry (Mar-May)",IF(AND(O505&gt;=6,O505&lt;=11),"Rainy (Jun-Nov)","Cool Dry (Dec-Feb)"))</f>
        <v>Hot Dry (Mar-May)</v>
      </c>
      <c r="T505" s="4" t="str">
        <f aca="false">CHOOSE(O505,"Jan","Feb","Mar","Apr","May","Jun","Jul","Aug","Sep","Oct","Nov","Dec")</f>
        <v>Apr</v>
      </c>
    </row>
    <row r="506" customFormat="false" ht="15" hidden="false" customHeight="false" outlineLevel="0" collapsed="false">
      <c r="A506" s="4" t="s">
        <v>717</v>
      </c>
      <c r="B506" s="17" t="n">
        <v>45770</v>
      </c>
      <c r="C506" s="4" t="n">
        <v>8</v>
      </c>
      <c r="D506" s="4" t="s">
        <v>64</v>
      </c>
      <c r="E506" s="4" t="s">
        <v>79</v>
      </c>
      <c r="F506" s="4" t="s">
        <v>148</v>
      </c>
      <c r="G506" s="4" t="n">
        <v>2</v>
      </c>
      <c r="H506" s="34" t="n">
        <v>120</v>
      </c>
      <c r="I506" s="18" t="n">
        <v>0.2</v>
      </c>
      <c r="J506" s="4" t="s">
        <v>76</v>
      </c>
      <c r="K506" s="4" t="s">
        <v>68</v>
      </c>
      <c r="L506" s="35" t="n">
        <f aca="false">G506*H506</f>
        <v>240</v>
      </c>
      <c r="M506" s="35" t="n">
        <f aca="false">L506*I506</f>
        <v>48</v>
      </c>
      <c r="N506" s="35" t="n">
        <f aca="false">L506-M506</f>
        <v>192</v>
      </c>
      <c r="O506" s="4" t="n">
        <f aca="false">MONTH(B506)</f>
        <v>4</v>
      </c>
      <c r="P506" s="4" t="str">
        <f aca="false">CHOOSE(WEEKDAY(B506,2),"Mon","Tue","Wed","Thu","Fri","Sat","Sun")</f>
        <v>Wed</v>
      </c>
      <c r="Q506" s="4" t="str">
        <f aca="false">IF(WEEKDAY(B506,2)&gt;5,"Weekend","Weekday")</f>
        <v>Weekday</v>
      </c>
      <c r="R506" s="4" t="str">
        <f aca="false">IF(C506&lt;11,"Morning (7-10)",IF(C506&lt;14,"Lunch (11-13)",IF(C506&lt;18,"Afternoon (14-17)","Evening (18-20)")))</f>
        <v>Morning (7-10)</v>
      </c>
      <c r="S506" s="4" t="str">
        <f aca="false">IF(AND(O506&gt;=3,O506&lt;=5),"Hot Dry (Mar-May)",IF(AND(O506&gt;=6,O506&lt;=11),"Rainy (Jun-Nov)","Cool Dry (Dec-Feb)"))</f>
        <v>Hot Dry (Mar-May)</v>
      </c>
      <c r="T506" s="4" t="str">
        <f aca="false">CHOOSE(O506,"Jan","Feb","Mar","Apr","May","Jun","Jul","Aug","Sep","Oct","Nov","Dec")</f>
        <v>Apr</v>
      </c>
    </row>
    <row r="507" customFormat="false" ht="15" hidden="false" customHeight="false" outlineLevel="0" collapsed="false">
      <c r="A507" s="4" t="s">
        <v>719</v>
      </c>
      <c r="B507" s="17" t="n">
        <v>45770</v>
      </c>
      <c r="C507" s="4" t="n">
        <v>8</v>
      </c>
      <c r="D507" s="4" t="s">
        <v>73</v>
      </c>
      <c r="E507" s="4" t="s">
        <v>65</v>
      </c>
      <c r="F507" s="4" t="s">
        <v>121</v>
      </c>
      <c r="G507" s="4" t="n">
        <v>1</v>
      </c>
      <c r="H507" s="34" t="n">
        <v>170</v>
      </c>
      <c r="I507" s="18" t="n">
        <v>0.1</v>
      </c>
      <c r="J507" s="4" t="s">
        <v>88</v>
      </c>
      <c r="K507" s="4" t="s">
        <v>71</v>
      </c>
      <c r="L507" s="35" t="n">
        <f aca="false">G507*H507</f>
        <v>170</v>
      </c>
      <c r="M507" s="35" t="n">
        <f aca="false">L507*I507</f>
        <v>17</v>
      </c>
      <c r="N507" s="35" t="n">
        <f aca="false">L507-M507</f>
        <v>153</v>
      </c>
      <c r="O507" s="4" t="n">
        <f aca="false">MONTH(B507)</f>
        <v>4</v>
      </c>
      <c r="P507" s="4" t="str">
        <f aca="false">CHOOSE(WEEKDAY(B507,2),"Mon","Tue","Wed","Thu","Fri","Sat","Sun")</f>
        <v>Wed</v>
      </c>
      <c r="Q507" s="4" t="str">
        <f aca="false">IF(WEEKDAY(B507,2)&gt;5,"Weekend","Weekday")</f>
        <v>Weekday</v>
      </c>
      <c r="R507" s="4" t="str">
        <f aca="false">IF(C507&lt;11,"Morning (7-10)",IF(C507&lt;14,"Lunch (11-13)",IF(C507&lt;18,"Afternoon (14-17)","Evening (18-20)")))</f>
        <v>Morning (7-10)</v>
      </c>
      <c r="S507" s="4" t="str">
        <f aca="false">IF(AND(O507&gt;=3,O507&lt;=5),"Hot Dry (Mar-May)",IF(AND(O507&gt;=6,O507&lt;=11),"Rainy (Jun-Nov)","Cool Dry (Dec-Feb)"))</f>
        <v>Hot Dry (Mar-May)</v>
      </c>
      <c r="T507" s="4" t="str">
        <f aca="false">CHOOSE(O507,"Jan","Feb","Mar","Apr","May","Jun","Jul","Aug","Sep","Oct","Nov","Dec")</f>
        <v>Apr</v>
      </c>
    </row>
    <row r="508" customFormat="false" ht="15" hidden="false" customHeight="false" outlineLevel="0" collapsed="false">
      <c r="A508" s="4" t="s">
        <v>722</v>
      </c>
      <c r="B508" s="17" t="n">
        <v>45770</v>
      </c>
      <c r="C508" s="4" t="n">
        <v>13</v>
      </c>
      <c r="D508" s="4" t="s">
        <v>73</v>
      </c>
      <c r="E508" s="4" t="s">
        <v>65</v>
      </c>
      <c r="F508" s="4" t="s">
        <v>121</v>
      </c>
      <c r="G508" s="4" t="n">
        <v>2</v>
      </c>
      <c r="H508" s="34" t="n">
        <v>170</v>
      </c>
      <c r="I508" s="18" t="n">
        <v>0</v>
      </c>
      <c r="J508" s="4" t="s">
        <v>76</v>
      </c>
      <c r="K508" s="4" t="s">
        <v>68</v>
      </c>
      <c r="L508" s="35" t="n">
        <f aca="false">G508*H508</f>
        <v>340</v>
      </c>
      <c r="M508" s="35" t="n">
        <f aca="false">L508*I508</f>
        <v>0</v>
      </c>
      <c r="N508" s="35" t="n">
        <f aca="false">L508-M508</f>
        <v>340</v>
      </c>
      <c r="O508" s="4" t="n">
        <f aca="false">MONTH(B508)</f>
        <v>4</v>
      </c>
      <c r="P508" s="4" t="str">
        <f aca="false">CHOOSE(WEEKDAY(B508,2),"Mon","Tue","Wed","Thu","Fri","Sat","Sun")</f>
        <v>Wed</v>
      </c>
      <c r="Q508" s="4" t="str">
        <f aca="false">IF(WEEKDAY(B508,2)&gt;5,"Weekend","Weekday")</f>
        <v>Weekday</v>
      </c>
      <c r="R508" s="4" t="str">
        <f aca="false">IF(C508&lt;11,"Morning (7-10)",IF(C508&lt;14,"Lunch (11-13)",IF(C508&lt;18,"Afternoon (14-17)","Evening (18-20)")))</f>
        <v>Lunch (11-13)</v>
      </c>
      <c r="S508" s="4" t="str">
        <f aca="false">IF(AND(O508&gt;=3,O508&lt;=5),"Hot Dry (Mar-May)",IF(AND(O508&gt;=6,O508&lt;=11),"Rainy (Jun-Nov)","Cool Dry (Dec-Feb)"))</f>
        <v>Hot Dry (Mar-May)</v>
      </c>
      <c r="T508" s="4" t="str">
        <f aca="false">CHOOSE(O508,"Jan","Feb","Mar","Apr","May","Jun","Jul","Aug","Sep","Oct","Nov","Dec")</f>
        <v>Apr</v>
      </c>
    </row>
    <row r="509" customFormat="false" ht="15" hidden="false" customHeight="false" outlineLevel="0" collapsed="false">
      <c r="A509" s="4" t="s">
        <v>723</v>
      </c>
      <c r="B509" s="17" t="n">
        <v>45770</v>
      </c>
      <c r="C509" s="4" t="n">
        <v>14</v>
      </c>
      <c r="D509" s="4" t="s">
        <v>64</v>
      </c>
      <c r="E509" s="4" t="s">
        <v>65</v>
      </c>
      <c r="F509" s="4" t="s">
        <v>66</v>
      </c>
      <c r="G509" s="4" t="n">
        <v>1</v>
      </c>
      <c r="H509" s="34" t="n">
        <v>120</v>
      </c>
      <c r="I509" s="18" t="n">
        <v>0</v>
      </c>
      <c r="J509" s="4" t="s">
        <v>67</v>
      </c>
      <c r="K509" s="4" t="s">
        <v>68</v>
      </c>
      <c r="L509" s="35" t="n">
        <f aca="false">G509*H509</f>
        <v>120</v>
      </c>
      <c r="M509" s="35" t="n">
        <f aca="false">L509*I509</f>
        <v>0</v>
      </c>
      <c r="N509" s="35" t="n">
        <f aca="false">L509-M509</f>
        <v>120</v>
      </c>
      <c r="O509" s="4" t="n">
        <f aca="false">MONTH(B509)</f>
        <v>4</v>
      </c>
      <c r="P509" s="4" t="str">
        <f aca="false">CHOOSE(WEEKDAY(B509,2),"Mon","Tue","Wed","Thu","Fri","Sat","Sun")</f>
        <v>Wed</v>
      </c>
      <c r="Q509" s="4" t="str">
        <f aca="false">IF(WEEKDAY(B509,2)&gt;5,"Weekend","Weekday")</f>
        <v>Weekday</v>
      </c>
      <c r="R509" s="4" t="str">
        <f aca="false">IF(C509&lt;11,"Morning (7-10)",IF(C509&lt;14,"Lunch (11-13)",IF(C509&lt;18,"Afternoon (14-17)","Evening (18-20)")))</f>
        <v>Afternoon (14-17)</v>
      </c>
      <c r="S509" s="4" t="str">
        <f aca="false">IF(AND(O509&gt;=3,O509&lt;=5),"Hot Dry (Mar-May)",IF(AND(O509&gt;=6,O509&lt;=11),"Rainy (Jun-Nov)","Cool Dry (Dec-Feb)"))</f>
        <v>Hot Dry (Mar-May)</v>
      </c>
      <c r="T509" s="4" t="str">
        <f aca="false">CHOOSE(O509,"Jan","Feb","Mar","Apr","May","Jun","Jul","Aug","Sep","Oct","Nov","Dec")</f>
        <v>Apr</v>
      </c>
    </row>
    <row r="510" customFormat="false" ht="15" hidden="false" customHeight="false" outlineLevel="0" collapsed="false">
      <c r="A510" s="4" t="s">
        <v>724</v>
      </c>
      <c r="B510" s="17" t="n">
        <v>45770</v>
      </c>
      <c r="C510" s="4" t="n">
        <v>20</v>
      </c>
      <c r="D510" s="4" t="s">
        <v>64</v>
      </c>
      <c r="E510" s="4" t="s">
        <v>79</v>
      </c>
      <c r="F510" s="4" t="s">
        <v>148</v>
      </c>
      <c r="G510" s="4" t="n">
        <v>1</v>
      </c>
      <c r="H510" s="34" t="n">
        <v>120</v>
      </c>
      <c r="I510" s="18" t="n">
        <v>0</v>
      </c>
      <c r="J510" s="4" t="s">
        <v>67</v>
      </c>
      <c r="K510" s="4" t="s">
        <v>77</v>
      </c>
      <c r="L510" s="35" t="n">
        <f aca="false">G510*H510</f>
        <v>120</v>
      </c>
      <c r="M510" s="35" t="n">
        <f aca="false">L510*I510</f>
        <v>0</v>
      </c>
      <c r="N510" s="35" t="n">
        <f aca="false">L510-M510</f>
        <v>120</v>
      </c>
      <c r="O510" s="4" t="n">
        <f aca="false">MONTH(B510)</f>
        <v>4</v>
      </c>
      <c r="P510" s="4" t="str">
        <f aca="false">CHOOSE(WEEKDAY(B510,2),"Mon","Tue","Wed","Thu","Fri","Sat","Sun")</f>
        <v>Wed</v>
      </c>
      <c r="Q510" s="4" t="str">
        <f aca="false">IF(WEEKDAY(B510,2)&gt;5,"Weekend","Weekday")</f>
        <v>Weekday</v>
      </c>
      <c r="R510" s="4" t="str">
        <f aca="false">IF(C510&lt;11,"Morning (7-10)",IF(C510&lt;14,"Lunch (11-13)",IF(C510&lt;18,"Afternoon (14-17)","Evening (18-20)")))</f>
        <v>Evening (18-20)</v>
      </c>
      <c r="S510" s="4" t="str">
        <f aca="false">IF(AND(O510&gt;=3,O510&lt;=5),"Hot Dry (Mar-May)",IF(AND(O510&gt;=6,O510&lt;=11),"Rainy (Jun-Nov)","Cool Dry (Dec-Feb)"))</f>
        <v>Hot Dry (Mar-May)</v>
      </c>
      <c r="T510" s="4" t="str">
        <f aca="false">CHOOSE(O510,"Jan","Feb","Mar","Apr","May","Jun","Jul","Aug","Sep","Oct","Nov","Dec")</f>
        <v>Apr</v>
      </c>
    </row>
    <row r="511" customFormat="false" ht="15" hidden="false" customHeight="false" outlineLevel="0" collapsed="false">
      <c r="A511" s="4" t="s">
        <v>725</v>
      </c>
      <c r="B511" s="17" t="n">
        <v>45771</v>
      </c>
      <c r="C511" s="4" t="n">
        <v>7</v>
      </c>
      <c r="D511" s="4" t="s">
        <v>64</v>
      </c>
      <c r="E511" s="4" t="s">
        <v>99</v>
      </c>
      <c r="F511" s="4" t="s">
        <v>133</v>
      </c>
      <c r="G511" s="4" t="n">
        <v>1</v>
      </c>
      <c r="H511" s="34" t="n">
        <v>90</v>
      </c>
      <c r="I511" s="18" t="n">
        <v>0.1</v>
      </c>
      <c r="J511" s="4" t="s">
        <v>67</v>
      </c>
      <c r="K511" s="4" t="s">
        <v>82</v>
      </c>
      <c r="L511" s="35" t="n">
        <f aca="false">G511*H511</f>
        <v>90</v>
      </c>
      <c r="M511" s="35" t="n">
        <f aca="false">L511*I511</f>
        <v>9</v>
      </c>
      <c r="N511" s="35" t="n">
        <f aca="false">L511-M511</f>
        <v>81</v>
      </c>
      <c r="O511" s="4" t="n">
        <f aca="false">MONTH(B511)</f>
        <v>4</v>
      </c>
      <c r="P511" s="4" t="str">
        <f aca="false">CHOOSE(WEEKDAY(B511,2),"Mon","Tue","Wed","Thu","Fri","Sat","Sun")</f>
        <v>Thu</v>
      </c>
      <c r="Q511" s="4" t="str">
        <f aca="false">IF(WEEKDAY(B511,2)&gt;5,"Weekend","Weekday")</f>
        <v>Weekday</v>
      </c>
      <c r="R511" s="4" t="str">
        <f aca="false">IF(C511&lt;11,"Morning (7-10)",IF(C511&lt;14,"Lunch (11-13)",IF(C511&lt;18,"Afternoon (14-17)","Evening (18-20)")))</f>
        <v>Morning (7-10)</v>
      </c>
      <c r="S511" s="4" t="str">
        <f aca="false">IF(AND(O511&gt;=3,O511&lt;=5),"Hot Dry (Mar-May)",IF(AND(O511&gt;=6,O511&lt;=11),"Rainy (Jun-Nov)","Cool Dry (Dec-Feb)"))</f>
        <v>Hot Dry (Mar-May)</v>
      </c>
      <c r="T511" s="4" t="str">
        <f aca="false">CHOOSE(O511,"Jan","Feb","Mar","Apr","May","Jun","Jul","Aug","Sep","Oct","Nov","Dec")</f>
        <v>Apr</v>
      </c>
    </row>
    <row r="512" customFormat="false" ht="15" hidden="false" customHeight="false" outlineLevel="0" collapsed="false">
      <c r="A512" s="4" t="s">
        <v>726</v>
      </c>
      <c r="B512" s="17" t="n">
        <v>45771</v>
      </c>
      <c r="C512" s="4" t="n">
        <v>8</v>
      </c>
      <c r="D512" s="4" t="s">
        <v>98</v>
      </c>
      <c r="E512" s="4" t="s">
        <v>99</v>
      </c>
      <c r="F512" s="4" t="s">
        <v>100</v>
      </c>
      <c r="G512" s="4" t="n">
        <v>1</v>
      </c>
      <c r="H512" s="34" t="n">
        <v>110</v>
      </c>
      <c r="I512" s="18" t="n">
        <v>0</v>
      </c>
      <c r="J512" s="4" t="s">
        <v>2289</v>
      </c>
      <c r="K512" s="4" t="s">
        <v>68</v>
      </c>
      <c r="L512" s="35" t="n">
        <f aca="false">G512*H512</f>
        <v>110</v>
      </c>
      <c r="M512" s="35" t="n">
        <f aca="false">L512*I512</f>
        <v>0</v>
      </c>
      <c r="N512" s="35" t="n">
        <f aca="false">L512-M512</f>
        <v>110</v>
      </c>
      <c r="O512" s="4" t="n">
        <f aca="false">MONTH(B512)</f>
        <v>4</v>
      </c>
      <c r="P512" s="4" t="str">
        <f aca="false">CHOOSE(WEEKDAY(B512,2),"Mon","Tue","Wed","Thu","Fri","Sat","Sun")</f>
        <v>Thu</v>
      </c>
      <c r="Q512" s="4" t="str">
        <f aca="false">IF(WEEKDAY(B512,2)&gt;5,"Weekend","Weekday")</f>
        <v>Weekday</v>
      </c>
      <c r="R512" s="4" t="str">
        <f aca="false">IF(C512&lt;11,"Morning (7-10)",IF(C512&lt;14,"Lunch (11-13)",IF(C512&lt;18,"Afternoon (14-17)","Evening (18-20)")))</f>
        <v>Morning (7-10)</v>
      </c>
      <c r="S512" s="4" t="str">
        <f aca="false">IF(AND(O512&gt;=3,O512&lt;=5),"Hot Dry (Mar-May)",IF(AND(O512&gt;=6,O512&lt;=11),"Rainy (Jun-Nov)","Cool Dry (Dec-Feb)"))</f>
        <v>Hot Dry (Mar-May)</v>
      </c>
      <c r="T512" s="4" t="str">
        <f aca="false">CHOOSE(O512,"Jan","Feb","Mar","Apr","May","Jun","Jul","Aug","Sep","Oct","Nov","Dec")</f>
        <v>Apr</v>
      </c>
    </row>
    <row r="513" customFormat="false" ht="15" hidden="false" customHeight="false" outlineLevel="0" collapsed="false">
      <c r="A513" s="4" t="s">
        <v>727</v>
      </c>
      <c r="B513" s="17" t="n">
        <v>45771</v>
      </c>
      <c r="C513" s="4" t="n">
        <v>9</v>
      </c>
      <c r="D513" s="4" t="s">
        <v>73</v>
      </c>
      <c r="E513" s="4" t="s">
        <v>74</v>
      </c>
      <c r="F513" s="4" t="s">
        <v>139</v>
      </c>
      <c r="G513" s="4" t="n">
        <v>3</v>
      </c>
      <c r="H513" s="34" t="n">
        <v>260</v>
      </c>
      <c r="I513" s="18" t="n">
        <v>0.05</v>
      </c>
      <c r="J513" s="4" t="s">
        <v>76</v>
      </c>
      <c r="K513" s="4" t="s">
        <v>82</v>
      </c>
      <c r="L513" s="35" t="n">
        <f aca="false">G513*H513</f>
        <v>780</v>
      </c>
      <c r="M513" s="35" t="n">
        <f aca="false">L513*I513</f>
        <v>39</v>
      </c>
      <c r="N513" s="35" t="n">
        <f aca="false">L513-M513</f>
        <v>741</v>
      </c>
      <c r="O513" s="4" t="n">
        <f aca="false">MONTH(B513)</f>
        <v>4</v>
      </c>
      <c r="P513" s="4" t="str">
        <f aca="false">CHOOSE(WEEKDAY(B513,2),"Mon","Tue","Wed","Thu","Fri","Sat","Sun")</f>
        <v>Thu</v>
      </c>
      <c r="Q513" s="4" t="str">
        <f aca="false">IF(WEEKDAY(B513,2)&gt;5,"Weekend","Weekday")</f>
        <v>Weekday</v>
      </c>
      <c r="R513" s="4" t="str">
        <f aca="false">IF(C513&lt;11,"Morning (7-10)",IF(C513&lt;14,"Lunch (11-13)",IF(C513&lt;18,"Afternoon (14-17)","Evening (18-20)")))</f>
        <v>Morning (7-10)</v>
      </c>
      <c r="S513" s="4" t="str">
        <f aca="false">IF(AND(O513&gt;=3,O513&lt;=5),"Hot Dry (Mar-May)",IF(AND(O513&gt;=6,O513&lt;=11),"Rainy (Jun-Nov)","Cool Dry (Dec-Feb)"))</f>
        <v>Hot Dry (Mar-May)</v>
      </c>
      <c r="T513" s="4" t="str">
        <f aca="false">CHOOSE(O513,"Jan","Feb","Mar","Apr","May","Jun","Jul","Aug","Sep","Oct","Nov","Dec")</f>
        <v>Apr</v>
      </c>
    </row>
    <row r="514" customFormat="false" ht="15" hidden="false" customHeight="false" outlineLevel="0" collapsed="false">
      <c r="A514" s="4" t="s">
        <v>729</v>
      </c>
      <c r="B514" s="17" t="n">
        <v>45771</v>
      </c>
      <c r="C514" s="4" t="n">
        <v>12</v>
      </c>
      <c r="D514" s="4" t="s">
        <v>73</v>
      </c>
      <c r="E514" s="4" t="s">
        <v>99</v>
      </c>
      <c r="F514" s="4" t="s">
        <v>102</v>
      </c>
      <c r="G514" s="4" t="n">
        <v>1</v>
      </c>
      <c r="H514" s="34" t="n">
        <v>140</v>
      </c>
      <c r="I514" s="18" t="n">
        <v>0.15</v>
      </c>
      <c r="J514" s="4" t="s">
        <v>76</v>
      </c>
      <c r="K514" s="4" t="s">
        <v>68</v>
      </c>
      <c r="L514" s="35" t="n">
        <f aca="false">G514*H514</f>
        <v>140</v>
      </c>
      <c r="M514" s="35" t="n">
        <f aca="false">L514*I514</f>
        <v>21</v>
      </c>
      <c r="N514" s="35" t="n">
        <f aca="false">L514-M514</f>
        <v>119</v>
      </c>
      <c r="O514" s="4" t="n">
        <f aca="false">MONTH(B514)</f>
        <v>4</v>
      </c>
      <c r="P514" s="4" t="str">
        <f aca="false">CHOOSE(WEEKDAY(B514,2),"Mon","Tue","Wed","Thu","Fri","Sat","Sun")</f>
        <v>Thu</v>
      </c>
      <c r="Q514" s="4" t="str">
        <f aca="false">IF(WEEKDAY(B514,2)&gt;5,"Weekend","Weekday")</f>
        <v>Weekday</v>
      </c>
      <c r="R514" s="4" t="str">
        <f aca="false">IF(C514&lt;11,"Morning (7-10)",IF(C514&lt;14,"Lunch (11-13)",IF(C514&lt;18,"Afternoon (14-17)","Evening (18-20)")))</f>
        <v>Lunch (11-13)</v>
      </c>
      <c r="S514" s="4" t="str">
        <f aca="false">IF(AND(O514&gt;=3,O514&lt;=5),"Hot Dry (Mar-May)",IF(AND(O514&gt;=6,O514&lt;=11),"Rainy (Jun-Nov)","Cool Dry (Dec-Feb)"))</f>
        <v>Hot Dry (Mar-May)</v>
      </c>
      <c r="T514" s="4" t="str">
        <f aca="false">CHOOSE(O514,"Jan","Feb","Mar","Apr","May","Jun","Jul","Aug","Sep","Oct","Nov","Dec")</f>
        <v>Apr</v>
      </c>
    </row>
    <row r="515" customFormat="false" ht="15" hidden="false" customHeight="false" outlineLevel="0" collapsed="false">
      <c r="A515" s="4" t="s">
        <v>731</v>
      </c>
      <c r="B515" s="17" t="n">
        <v>45771</v>
      </c>
      <c r="C515" s="4" t="n">
        <v>14</v>
      </c>
      <c r="D515" s="4" t="s">
        <v>73</v>
      </c>
      <c r="E515" s="4" t="s">
        <v>65</v>
      </c>
      <c r="F515" s="4" t="s">
        <v>94</v>
      </c>
      <c r="G515" s="4" t="n">
        <v>1</v>
      </c>
      <c r="H515" s="34" t="n">
        <v>150</v>
      </c>
      <c r="I515" s="18" t="n">
        <v>0.1</v>
      </c>
      <c r="J515" s="4" t="s">
        <v>76</v>
      </c>
      <c r="K515" s="4" t="s">
        <v>71</v>
      </c>
      <c r="L515" s="35" t="n">
        <f aca="false">G515*H515</f>
        <v>150</v>
      </c>
      <c r="M515" s="35" t="n">
        <f aca="false">L515*I515</f>
        <v>15</v>
      </c>
      <c r="N515" s="35" t="n">
        <f aca="false">L515-M515</f>
        <v>135</v>
      </c>
      <c r="O515" s="4" t="n">
        <f aca="false">MONTH(B515)</f>
        <v>4</v>
      </c>
      <c r="P515" s="4" t="str">
        <f aca="false">CHOOSE(WEEKDAY(B515,2),"Mon","Tue","Wed","Thu","Fri","Sat","Sun")</f>
        <v>Thu</v>
      </c>
      <c r="Q515" s="4" t="str">
        <f aca="false">IF(WEEKDAY(B515,2)&gt;5,"Weekend","Weekday")</f>
        <v>Weekday</v>
      </c>
      <c r="R515" s="4" t="str">
        <f aca="false">IF(C515&lt;11,"Morning (7-10)",IF(C515&lt;14,"Lunch (11-13)",IF(C515&lt;18,"Afternoon (14-17)","Evening (18-20)")))</f>
        <v>Afternoon (14-17)</v>
      </c>
      <c r="S515" s="4" t="str">
        <f aca="false">IF(AND(O515&gt;=3,O515&lt;=5),"Hot Dry (Mar-May)",IF(AND(O515&gt;=6,O515&lt;=11),"Rainy (Jun-Nov)","Cool Dry (Dec-Feb)"))</f>
        <v>Hot Dry (Mar-May)</v>
      </c>
      <c r="T515" s="4" t="str">
        <f aca="false">CHOOSE(O515,"Jan","Feb","Mar","Apr","May","Jun","Jul","Aug","Sep","Oct","Nov","Dec")</f>
        <v>Apr</v>
      </c>
    </row>
    <row r="516" customFormat="false" ht="15" hidden="false" customHeight="false" outlineLevel="0" collapsed="false">
      <c r="A516" s="4" t="s">
        <v>732</v>
      </c>
      <c r="B516" s="17" t="n">
        <v>45771</v>
      </c>
      <c r="C516" s="4" t="n">
        <v>16</v>
      </c>
      <c r="D516" s="4" t="s">
        <v>98</v>
      </c>
      <c r="E516" s="4" t="s">
        <v>65</v>
      </c>
      <c r="F516" s="4" t="s">
        <v>121</v>
      </c>
      <c r="G516" s="4" t="n">
        <v>3</v>
      </c>
      <c r="H516" s="34" t="n">
        <v>170</v>
      </c>
      <c r="I516" s="18" t="n">
        <v>0.1</v>
      </c>
      <c r="J516" s="4" t="s">
        <v>76</v>
      </c>
      <c r="K516" s="4" t="s">
        <v>71</v>
      </c>
      <c r="L516" s="35" t="n">
        <f aca="false">G516*H516</f>
        <v>510</v>
      </c>
      <c r="M516" s="35" t="n">
        <f aca="false">L516*I516</f>
        <v>51</v>
      </c>
      <c r="N516" s="35" t="n">
        <f aca="false">L516-M516</f>
        <v>459</v>
      </c>
      <c r="O516" s="4" t="n">
        <f aca="false">MONTH(B516)</f>
        <v>4</v>
      </c>
      <c r="P516" s="4" t="str">
        <f aca="false">CHOOSE(WEEKDAY(B516,2),"Mon","Tue","Wed","Thu","Fri","Sat","Sun")</f>
        <v>Thu</v>
      </c>
      <c r="Q516" s="4" t="str">
        <f aca="false">IF(WEEKDAY(B516,2)&gt;5,"Weekend","Weekday")</f>
        <v>Weekday</v>
      </c>
      <c r="R516" s="4" t="str">
        <f aca="false">IF(C516&lt;11,"Morning (7-10)",IF(C516&lt;14,"Lunch (11-13)",IF(C516&lt;18,"Afternoon (14-17)","Evening (18-20)")))</f>
        <v>Afternoon (14-17)</v>
      </c>
      <c r="S516" s="4" t="str">
        <f aca="false">IF(AND(O516&gt;=3,O516&lt;=5),"Hot Dry (Mar-May)",IF(AND(O516&gt;=6,O516&lt;=11),"Rainy (Jun-Nov)","Cool Dry (Dec-Feb)"))</f>
        <v>Hot Dry (Mar-May)</v>
      </c>
      <c r="T516" s="4" t="str">
        <f aca="false">CHOOSE(O516,"Jan","Feb","Mar","Apr","May","Jun","Jul","Aug","Sep","Oct","Nov","Dec")</f>
        <v>Apr</v>
      </c>
    </row>
    <row r="517" customFormat="false" ht="15" hidden="false" customHeight="false" outlineLevel="0" collapsed="false">
      <c r="A517" s="4" t="s">
        <v>734</v>
      </c>
      <c r="B517" s="17" t="n">
        <v>45772</v>
      </c>
      <c r="C517" s="4" t="n">
        <v>7</v>
      </c>
      <c r="D517" s="4" t="s">
        <v>64</v>
      </c>
      <c r="E517" s="4" t="s">
        <v>84</v>
      </c>
      <c r="F517" s="4" t="s">
        <v>106</v>
      </c>
      <c r="G517" s="4" t="n">
        <v>2</v>
      </c>
      <c r="H517" s="34" t="n">
        <v>60</v>
      </c>
      <c r="I517" s="18" t="n">
        <v>0</v>
      </c>
      <c r="J517" s="4" t="s">
        <v>67</v>
      </c>
      <c r="K517" s="4" t="s">
        <v>77</v>
      </c>
      <c r="L517" s="35" t="n">
        <f aca="false">G517*H517</f>
        <v>120</v>
      </c>
      <c r="M517" s="35" t="n">
        <f aca="false">L517*I517</f>
        <v>0</v>
      </c>
      <c r="N517" s="35" t="n">
        <f aca="false">L517-M517</f>
        <v>120</v>
      </c>
      <c r="O517" s="4" t="n">
        <f aca="false">MONTH(B517)</f>
        <v>4</v>
      </c>
      <c r="P517" s="4" t="str">
        <f aca="false">CHOOSE(WEEKDAY(B517,2),"Mon","Tue","Wed","Thu","Fri","Sat","Sun")</f>
        <v>Fri</v>
      </c>
      <c r="Q517" s="4" t="str">
        <f aca="false">IF(WEEKDAY(B517,2)&gt;5,"Weekend","Weekday")</f>
        <v>Weekday</v>
      </c>
      <c r="R517" s="4" t="str">
        <f aca="false">IF(C517&lt;11,"Morning (7-10)",IF(C517&lt;14,"Lunch (11-13)",IF(C517&lt;18,"Afternoon (14-17)","Evening (18-20)")))</f>
        <v>Morning (7-10)</v>
      </c>
      <c r="S517" s="4" t="str">
        <f aca="false">IF(AND(O517&gt;=3,O517&lt;=5),"Hot Dry (Mar-May)",IF(AND(O517&gt;=6,O517&lt;=11),"Rainy (Jun-Nov)","Cool Dry (Dec-Feb)"))</f>
        <v>Hot Dry (Mar-May)</v>
      </c>
      <c r="T517" s="4" t="str">
        <f aca="false">CHOOSE(O517,"Jan","Feb","Mar","Apr","May","Jun","Jul","Aug","Sep","Oct","Nov","Dec")</f>
        <v>Apr</v>
      </c>
    </row>
    <row r="518" customFormat="false" ht="15" hidden="false" customHeight="false" outlineLevel="0" collapsed="false">
      <c r="A518" s="4" t="s">
        <v>735</v>
      </c>
      <c r="B518" s="17" t="n">
        <v>45772</v>
      </c>
      <c r="C518" s="4" t="n">
        <v>9</v>
      </c>
      <c r="D518" s="4" t="s">
        <v>64</v>
      </c>
      <c r="E518" s="4" t="s">
        <v>84</v>
      </c>
      <c r="F518" s="4" t="s">
        <v>106</v>
      </c>
      <c r="G518" s="4" t="n">
        <v>2</v>
      </c>
      <c r="H518" s="34" t="n">
        <v>60</v>
      </c>
      <c r="I518" s="18" t="n">
        <v>0.05</v>
      </c>
      <c r="J518" s="4" t="s">
        <v>67</v>
      </c>
      <c r="K518" s="4" t="s">
        <v>82</v>
      </c>
      <c r="L518" s="35" t="n">
        <f aca="false">G518*H518</f>
        <v>120</v>
      </c>
      <c r="M518" s="35" t="n">
        <f aca="false">L518*I518</f>
        <v>6</v>
      </c>
      <c r="N518" s="35" t="n">
        <f aca="false">L518-M518</f>
        <v>114</v>
      </c>
      <c r="O518" s="4" t="n">
        <f aca="false">MONTH(B518)</f>
        <v>4</v>
      </c>
      <c r="P518" s="4" t="str">
        <f aca="false">CHOOSE(WEEKDAY(B518,2),"Mon","Tue","Wed","Thu","Fri","Sat","Sun")</f>
        <v>Fri</v>
      </c>
      <c r="Q518" s="4" t="str">
        <f aca="false">IF(WEEKDAY(B518,2)&gt;5,"Weekend","Weekday")</f>
        <v>Weekday</v>
      </c>
      <c r="R518" s="4" t="str">
        <f aca="false">IF(C518&lt;11,"Morning (7-10)",IF(C518&lt;14,"Lunch (11-13)",IF(C518&lt;18,"Afternoon (14-17)","Evening (18-20)")))</f>
        <v>Morning (7-10)</v>
      </c>
      <c r="S518" s="4" t="str">
        <f aca="false">IF(AND(O518&gt;=3,O518&lt;=5),"Hot Dry (Mar-May)",IF(AND(O518&gt;=6,O518&lt;=11),"Rainy (Jun-Nov)","Cool Dry (Dec-Feb)"))</f>
        <v>Hot Dry (Mar-May)</v>
      </c>
      <c r="T518" s="4" t="str">
        <f aca="false">CHOOSE(O518,"Jan","Feb","Mar","Apr","May","Jun","Jul","Aug","Sep","Oct","Nov","Dec")</f>
        <v>Apr</v>
      </c>
    </row>
    <row r="519" customFormat="false" ht="15" hidden="false" customHeight="false" outlineLevel="0" collapsed="false">
      <c r="A519" s="4" t="s">
        <v>736</v>
      </c>
      <c r="B519" s="17" t="n">
        <v>45772</v>
      </c>
      <c r="C519" s="4" t="n">
        <v>12</v>
      </c>
      <c r="D519" s="4" t="s">
        <v>73</v>
      </c>
      <c r="E519" s="4" t="s">
        <v>84</v>
      </c>
      <c r="F519" s="4" t="s">
        <v>117</v>
      </c>
      <c r="G519" s="4" t="n">
        <v>4</v>
      </c>
      <c r="H519" s="34" t="n">
        <v>95</v>
      </c>
      <c r="I519" s="18" t="n">
        <v>0</v>
      </c>
      <c r="J519" s="4" t="s">
        <v>76</v>
      </c>
      <c r="K519" s="4" t="s">
        <v>68</v>
      </c>
      <c r="L519" s="35" t="n">
        <f aca="false">G519*H519</f>
        <v>380</v>
      </c>
      <c r="M519" s="35" t="n">
        <f aca="false">L519*I519</f>
        <v>0</v>
      </c>
      <c r="N519" s="35" t="n">
        <f aca="false">L519-M519</f>
        <v>380</v>
      </c>
      <c r="O519" s="4" t="n">
        <f aca="false">MONTH(B519)</f>
        <v>4</v>
      </c>
      <c r="P519" s="4" t="str">
        <f aca="false">CHOOSE(WEEKDAY(B519,2),"Mon","Tue","Wed","Thu","Fri","Sat","Sun")</f>
        <v>Fri</v>
      </c>
      <c r="Q519" s="4" t="str">
        <f aca="false">IF(WEEKDAY(B519,2)&gt;5,"Weekend","Weekday")</f>
        <v>Weekday</v>
      </c>
      <c r="R519" s="4" t="str">
        <f aca="false">IF(C519&lt;11,"Morning (7-10)",IF(C519&lt;14,"Lunch (11-13)",IF(C519&lt;18,"Afternoon (14-17)","Evening (18-20)")))</f>
        <v>Lunch (11-13)</v>
      </c>
      <c r="S519" s="4" t="str">
        <f aca="false">IF(AND(O519&gt;=3,O519&lt;=5),"Hot Dry (Mar-May)",IF(AND(O519&gt;=6,O519&lt;=11),"Rainy (Jun-Nov)","Cool Dry (Dec-Feb)"))</f>
        <v>Hot Dry (Mar-May)</v>
      </c>
      <c r="T519" s="4" t="str">
        <f aca="false">CHOOSE(O519,"Jan","Feb","Mar","Apr","May","Jun","Jul","Aug","Sep","Oct","Nov","Dec")</f>
        <v>Apr</v>
      </c>
    </row>
    <row r="520" customFormat="false" ht="15" hidden="false" customHeight="false" outlineLevel="0" collapsed="false">
      <c r="A520" s="4" t="s">
        <v>737</v>
      </c>
      <c r="B520" s="17" t="n">
        <v>45772</v>
      </c>
      <c r="C520" s="4" t="n">
        <v>15</v>
      </c>
      <c r="D520" s="4" t="s">
        <v>70</v>
      </c>
      <c r="E520" s="4" t="s">
        <v>74</v>
      </c>
      <c r="F520" s="4" t="s">
        <v>91</v>
      </c>
      <c r="G520" s="4" t="n">
        <v>1</v>
      </c>
      <c r="H520" s="34" t="n">
        <v>200</v>
      </c>
      <c r="I520" s="18" t="n">
        <v>0</v>
      </c>
      <c r="J520" s="4" t="s">
        <v>81</v>
      </c>
      <c r="K520" s="4" t="s">
        <v>68</v>
      </c>
      <c r="L520" s="35" t="n">
        <f aca="false">G520*H520</f>
        <v>200</v>
      </c>
      <c r="M520" s="35" t="n">
        <f aca="false">L520*I520</f>
        <v>0</v>
      </c>
      <c r="N520" s="35" t="n">
        <f aca="false">L520-M520</f>
        <v>200</v>
      </c>
      <c r="O520" s="4" t="n">
        <f aca="false">MONTH(B520)</f>
        <v>4</v>
      </c>
      <c r="P520" s="4" t="str">
        <f aca="false">CHOOSE(WEEKDAY(B520,2),"Mon","Tue","Wed","Thu","Fri","Sat","Sun")</f>
        <v>Fri</v>
      </c>
      <c r="Q520" s="4" t="str">
        <f aca="false">IF(WEEKDAY(B520,2)&gt;5,"Weekend","Weekday")</f>
        <v>Weekday</v>
      </c>
      <c r="R520" s="4" t="str">
        <f aca="false">IF(C520&lt;11,"Morning (7-10)",IF(C520&lt;14,"Lunch (11-13)",IF(C520&lt;18,"Afternoon (14-17)","Evening (18-20)")))</f>
        <v>Afternoon (14-17)</v>
      </c>
      <c r="S520" s="4" t="str">
        <f aca="false">IF(AND(O520&gt;=3,O520&lt;=5),"Hot Dry (Mar-May)",IF(AND(O520&gt;=6,O520&lt;=11),"Rainy (Jun-Nov)","Cool Dry (Dec-Feb)"))</f>
        <v>Hot Dry (Mar-May)</v>
      </c>
      <c r="T520" s="4" t="str">
        <f aca="false">CHOOSE(O520,"Jan","Feb","Mar","Apr","May","Jun","Jul","Aug","Sep","Oct","Nov","Dec")</f>
        <v>Apr</v>
      </c>
    </row>
    <row r="521" customFormat="false" ht="15" hidden="false" customHeight="false" outlineLevel="0" collapsed="false">
      <c r="A521" s="4" t="s">
        <v>739</v>
      </c>
      <c r="B521" s="17" t="n">
        <v>45772</v>
      </c>
      <c r="C521" s="4" t="n">
        <v>16</v>
      </c>
      <c r="D521" s="4" t="s">
        <v>73</v>
      </c>
      <c r="E521" s="4" t="s">
        <v>84</v>
      </c>
      <c r="F521" s="4" t="s">
        <v>106</v>
      </c>
      <c r="G521" s="4" t="n">
        <v>1</v>
      </c>
      <c r="H521" s="34" t="n">
        <v>60</v>
      </c>
      <c r="I521" s="18" t="n">
        <v>0</v>
      </c>
      <c r="J521" s="4" t="s">
        <v>67</v>
      </c>
      <c r="K521" s="4" t="s">
        <v>68</v>
      </c>
      <c r="L521" s="35" t="n">
        <f aca="false">G521*H521</f>
        <v>60</v>
      </c>
      <c r="M521" s="35" t="n">
        <f aca="false">L521*I521</f>
        <v>0</v>
      </c>
      <c r="N521" s="35" t="n">
        <f aca="false">L521-M521</f>
        <v>60</v>
      </c>
      <c r="O521" s="4" t="n">
        <f aca="false">MONTH(B521)</f>
        <v>4</v>
      </c>
      <c r="P521" s="4" t="str">
        <f aca="false">CHOOSE(WEEKDAY(B521,2),"Mon","Tue","Wed","Thu","Fri","Sat","Sun")</f>
        <v>Fri</v>
      </c>
      <c r="Q521" s="4" t="str">
        <f aca="false">IF(WEEKDAY(B521,2)&gt;5,"Weekend","Weekday")</f>
        <v>Weekday</v>
      </c>
      <c r="R521" s="4" t="str">
        <f aca="false">IF(C521&lt;11,"Morning (7-10)",IF(C521&lt;14,"Lunch (11-13)",IF(C521&lt;18,"Afternoon (14-17)","Evening (18-20)")))</f>
        <v>Afternoon (14-17)</v>
      </c>
      <c r="S521" s="4" t="str">
        <f aca="false">IF(AND(O521&gt;=3,O521&lt;=5),"Hot Dry (Mar-May)",IF(AND(O521&gt;=6,O521&lt;=11),"Rainy (Jun-Nov)","Cool Dry (Dec-Feb)"))</f>
        <v>Hot Dry (Mar-May)</v>
      </c>
      <c r="T521" s="4" t="str">
        <f aca="false">CHOOSE(O521,"Jan","Feb","Mar","Apr","May","Jun","Jul","Aug","Sep","Oct","Nov","Dec")</f>
        <v>Apr</v>
      </c>
    </row>
    <row r="522" customFormat="false" ht="15" hidden="false" customHeight="false" outlineLevel="0" collapsed="false">
      <c r="A522" s="4" t="s">
        <v>740</v>
      </c>
      <c r="B522" s="17" t="n">
        <v>45772</v>
      </c>
      <c r="C522" s="4" t="n">
        <v>16</v>
      </c>
      <c r="D522" s="4" t="s">
        <v>70</v>
      </c>
      <c r="E522" s="4" t="s">
        <v>84</v>
      </c>
      <c r="F522" s="4" t="s">
        <v>106</v>
      </c>
      <c r="G522" s="4" t="n">
        <v>3</v>
      </c>
      <c r="H522" s="34" t="n">
        <v>60</v>
      </c>
      <c r="I522" s="18" t="n">
        <v>0</v>
      </c>
      <c r="J522" s="4" t="s">
        <v>112</v>
      </c>
      <c r="K522" s="4" t="s">
        <v>77</v>
      </c>
      <c r="L522" s="35" t="n">
        <f aca="false">G522*H522</f>
        <v>180</v>
      </c>
      <c r="M522" s="35" t="n">
        <f aca="false">L522*I522</f>
        <v>0</v>
      </c>
      <c r="N522" s="35" t="n">
        <f aca="false">L522-M522</f>
        <v>180</v>
      </c>
      <c r="O522" s="4" t="n">
        <f aca="false">MONTH(B522)</f>
        <v>4</v>
      </c>
      <c r="P522" s="4" t="str">
        <f aca="false">CHOOSE(WEEKDAY(B522,2),"Mon","Tue","Wed","Thu","Fri","Sat","Sun")</f>
        <v>Fri</v>
      </c>
      <c r="Q522" s="4" t="str">
        <f aca="false">IF(WEEKDAY(B522,2)&gt;5,"Weekend","Weekday")</f>
        <v>Weekday</v>
      </c>
      <c r="R522" s="4" t="str">
        <f aca="false">IF(C522&lt;11,"Morning (7-10)",IF(C522&lt;14,"Lunch (11-13)",IF(C522&lt;18,"Afternoon (14-17)","Evening (18-20)")))</f>
        <v>Afternoon (14-17)</v>
      </c>
      <c r="S522" s="4" t="str">
        <f aca="false">IF(AND(O522&gt;=3,O522&lt;=5),"Hot Dry (Mar-May)",IF(AND(O522&gt;=6,O522&lt;=11),"Rainy (Jun-Nov)","Cool Dry (Dec-Feb)"))</f>
        <v>Hot Dry (Mar-May)</v>
      </c>
      <c r="T522" s="4" t="str">
        <f aca="false">CHOOSE(O522,"Jan","Feb","Mar","Apr","May","Jun","Jul","Aug","Sep","Oct","Nov","Dec")</f>
        <v>Apr</v>
      </c>
    </row>
    <row r="523" customFormat="false" ht="15" hidden="false" customHeight="false" outlineLevel="0" collapsed="false">
      <c r="A523" s="4" t="s">
        <v>741</v>
      </c>
      <c r="B523" s="17" t="n">
        <v>45773</v>
      </c>
      <c r="C523" s="4" t="n">
        <v>7</v>
      </c>
      <c r="D523" s="4" t="s">
        <v>98</v>
      </c>
      <c r="E523" s="4" t="s">
        <v>84</v>
      </c>
      <c r="F523" s="4" t="s">
        <v>106</v>
      </c>
      <c r="G523" s="4" t="n">
        <v>2</v>
      </c>
      <c r="H523" s="34" t="n">
        <v>60</v>
      </c>
      <c r="I523" s="18" t="n">
        <v>0.05</v>
      </c>
      <c r="J523" s="4" t="s">
        <v>81</v>
      </c>
      <c r="K523" s="4" t="s">
        <v>82</v>
      </c>
      <c r="L523" s="35" t="n">
        <f aca="false">G523*H523</f>
        <v>120</v>
      </c>
      <c r="M523" s="35" t="n">
        <f aca="false">L523*I523</f>
        <v>6</v>
      </c>
      <c r="N523" s="35" t="n">
        <f aca="false">L523-M523</f>
        <v>114</v>
      </c>
      <c r="O523" s="4" t="n">
        <f aca="false">MONTH(B523)</f>
        <v>4</v>
      </c>
      <c r="P523" s="4" t="str">
        <f aca="false">CHOOSE(WEEKDAY(B523,2),"Mon","Tue","Wed","Thu","Fri","Sat","Sun")</f>
        <v>Sat</v>
      </c>
      <c r="Q523" s="4" t="str">
        <f aca="false">IF(WEEKDAY(B523,2)&gt;5,"Weekend","Weekday")</f>
        <v>Weekend</v>
      </c>
      <c r="R523" s="4" t="str">
        <f aca="false">IF(C523&lt;11,"Morning (7-10)",IF(C523&lt;14,"Lunch (11-13)",IF(C523&lt;18,"Afternoon (14-17)","Evening (18-20)")))</f>
        <v>Morning (7-10)</v>
      </c>
      <c r="S523" s="4" t="str">
        <f aca="false">IF(AND(O523&gt;=3,O523&lt;=5),"Hot Dry (Mar-May)",IF(AND(O523&gt;=6,O523&lt;=11),"Rainy (Jun-Nov)","Cool Dry (Dec-Feb)"))</f>
        <v>Hot Dry (Mar-May)</v>
      </c>
      <c r="T523" s="4" t="str">
        <f aca="false">CHOOSE(O523,"Jan","Feb","Mar","Apr","May","Jun","Jul","Aug","Sep","Oct","Nov","Dec")</f>
        <v>Apr</v>
      </c>
    </row>
    <row r="524" customFormat="false" ht="15" hidden="false" customHeight="false" outlineLevel="0" collapsed="false">
      <c r="A524" s="4" t="s">
        <v>742</v>
      </c>
      <c r="B524" s="17" t="n">
        <v>45773</v>
      </c>
      <c r="C524" s="4" t="n">
        <v>8</v>
      </c>
      <c r="D524" s="4" t="s">
        <v>70</v>
      </c>
      <c r="E524" s="4" t="s">
        <v>84</v>
      </c>
      <c r="F524" s="4" t="s">
        <v>114</v>
      </c>
      <c r="G524" s="4" t="n">
        <v>1</v>
      </c>
      <c r="H524" s="34" t="n">
        <v>85</v>
      </c>
      <c r="I524" s="18" t="n">
        <v>0.05</v>
      </c>
      <c r="J524" s="4" t="s">
        <v>67</v>
      </c>
      <c r="K524" s="4" t="s">
        <v>82</v>
      </c>
      <c r="L524" s="35" t="n">
        <f aca="false">G524*H524</f>
        <v>85</v>
      </c>
      <c r="M524" s="35" t="n">
        <f aca="false">L524*I524</f>
        <v>4.25</v>
      </c>
      <c r="N524" s="35" t="n">
        <f aca="false">L524-M524</f>
        <v>80.75</v>
      </c>
      <c r="O524" s="4" t="n">
        <f aca="false">MONTH(B524)</f>
        <v>4</v>
      </c>
      <c r="P524" s="4" t="str">
        <f aca="false">CHOOSE(WEEKDAY(B524,2),"Mon","Tue","Wed","Thu","Fri","Sat","Sun")</f>
        <v>Sat</v>
      </c>
      <c r="Q524" s="4" t="str">
        <f aca="false">IF(WEEKDAY(B524,2)&gt;5,"Weekend","Weekday")</f>
        <v>Weekend</v>
      </c>
      <c r="R524" s="4" t="str">
        <f aca="false">IF(C524&lt;11,"Morning (7-10)",IF(C524&lt;14,"Lunch (11-13)",IF(C524&lt;18,"Afternoon (14-17)","Evening (18-20)")))</f>
        <v>Morning (7-10)</v>
      </c>
      <c r="S524" s="4" t="str">
        <f aca="false">IF(AND(O524&gt;=3,O524&lt;=5),"Hot Dry (Mar-May)",IF(AND(O524&gt;=6,O524&lt;=11),"Rainy (Jun-Nov)","Cool Dry (Dec-Feb)"))</f>
        <v>Hot Dry (Mar-May)</v>
      </c>
      <c r="T524" s="4" t="str">
        <f aca="false">CHOOSE(O524,"Jan","Feb","Mar","Apr","May","Jun","Jul","Aug","Sep","Oct","Nov","Dec")</f>
        <v>Apr</v>
      </c>
    </row>
    <row r="525" customFormat="false" ht="15" hidden="false" customHeight="false" outlineLevel="0" collapsed="false">
      <c r="A525" s="4" t="s">
        <v>744</v>
      </c>
      <c r="B525" s="17" t="n">
        <v>45773</v>
      </c>
      <c r="C525" s="4" t="n">
        <v>9</v>
      </c>
      <c r="D525" s="4" t="s">
        <v>98</v>
      </c>
      <c r="E525" s="4" t="s">
        <v>84</v>
      </c>
      <c r="F525" s="4" t="s">
        <v>106</v>
      </c>
      <c r="G525" s="4" t="n">
        <v>4</v>
      </c>
      <c r="H525" s="34" t="n">
        <v>60</v>
      </c>
      <c r="I525" s="18" t="n">
        <v>0.1</v>
      </c>
      <c r="J525" s="4" t="s">
        <v>81</v>
      </c>
      <c r="K525" s="4" t="s">
        <v>71</v>
      </c>
      <c r="L525" s="35" t="n">
        <f aca="false">G525*H525</f>
        <v>240</v>
      </c>
      <c r="M525" s="35" t="n">
        <f aca="false">L525*I525</f>
        <v>24</v>
      </c>
      <c r="N525" s="35" t="n">
        <f aca="false">L525-M525</f>
        <v>216</v>
      </c>
      <c r="O525" s="4" t="n">
        <f aca="false">MONTH(B525)</f>
        <v>4</v>
      </c>
      <c r="P525" s="4" t="str">
        <f aca="false">CHOOSE(WEEKDAY(B525,2),"Mon","Tue","Wed","Thu","Fri","Sat","Sun")</f>
        <v>Sat</v>
      </c>
      <c r="Q525" s="4" t="str">
        <f aca="false">IF(WEEKDAY(B525,2)&gt;5,"Weekend","Weekday")</f>
        <v>Weekend</v>
      </c>
      <c r="R525" s="4" t="str">
        <f aca="false">IF(C525&lt;11,"Morning (7-10)",IF(C525&lt;14,"Lunch (11-13)",IF(C525&lt;18,"Afternoon (14-17)","Evening (18-20)")))</f>
        <v>Morning (7-10)</v>
      </c>
      <c r="S525" s="4" t="str">
        <f aca="false">IF(AND(O525&gt;=3,O525&lt;=5),"Hot Dry (Mar-May)",IF(AND(O525&gt;=6,O525&lt;=11),"Rainy (Jun-Nov)","Cool Dry (Dec-Feb)"))</f>
        <v>Hot Dry (Mar-May)</v>
      </c>
      <c r="T525" s="4" t="str">
        <f aca="false">CHOOSE(O525,"Jan","Feb","Mar","Apr","May","Jun","Jul","Aug","Sep","Oct","Nov","Dec")</f>
        <v>Apr</v>
      </c>
    </row>
    <row r="526" customFormat="false" ht="15" hidden="false" customHeight="false" outlineLevel="0" collapsed="false">
      <c r="A526" s="4" t="s">
        <v>746</v>
      </c>
      <c r="B526" s="17" t="n">
        <v>45773</v>
      </c>
      <c r="C526" s="4" t="n">
        <v>10</v>
      </c>
      <c r="D526" s="4" t="s">
        <v>70</v>
      </c>
      <c r="E526" s="4" t="s">
        <v>65</v>
      </c>
      <c r="F526" s="4" t="s">
        <v>121</v>
      </c>
      <c r="G526" s="4" t="n">
        <v>1</v>
      </c>
      <c r="H526" s="34" t="n">
        <v>170</v>
      </c>
      <c r="I526" s="18" t="n">
        <v>0.1</v>
      </c>
      <c r="J526" s="4" t="s">
        <v>67</v>
      </c>
      <c r="K526" s="4" t="s">
        <v>71</v>
      </c>
      <c r="L526" s="35" t="n">
        <f aca="false">G526*H526</f>
        <v>170</v>
      </c>
      <c r="M526" s="35" t="n">
        <f aca="false">L526*I526</f>
        <v>17</v>
      </c>
      <c r="N526" s="35" t="n">
        <f aca="false">L526-M526</f>
        <v>153</v>
      </c>
      <c r="O526" s="4" t="n">
        <f aca="false">MONTH(B526)</f>
        <v>4</v>
      </c>
      <c r="P526" s="4" t="str">
        <f aca="false">CHOOSE(WEEKDAY(B526,2),"Mon","Tue","Wed","Thu","Fri","Sat","Sun")</f>
        <v>Sat</v>
      </c>
      <c r="Q526" s="4" t="str">
        <f aca="false">IF(WEEKDAY(B526,2)&gt;5,"Weekend","Weekday")</f>
        <v>Weekend</v>
      </c>
      <c r="R526" s="4" t="str">
        <f aca="false">IF(C526&lt;11,"Morning (7-10)",IF(C526&lt;14,"Lunch (11-13)",IF(C526&lt;18,"Afternoon (14-17)","Evening (18-20)")))</f>
        <v>Morning (7-10)</v>
      </c>
      <c r="S526" s="4" t="str">
        <f aca="false">IF(AND(O526&gt;=3,O526&lt;=5),"Hot Dry (Mar-May)",IF(AND(O526&gt;=6,O526&lt;=11),"Rainy (Jun-Nov)","Cool Dry (Dec-Feb)"))</f>
        <v>Hot Dry (Mar-May)</v>
      </c>
      <c r="T526" s="4" t="str">
        <f aca="false">CHOOSE(O526,"Jan","Feb","Mar","Apr","May","Jun","Jul","Aug","Sep","Oct","Nov","Dec")</f>
        <v>Apr</v>
      </c>
    </row>
    <row r="527" customFormat="false" ht="15" hidden="false" customHeight="false" outlineLevel="0" collapsed="false">
      <c r="A527" s="4" t="s">
        <v>748</v>
      </c>
      <c r="B527" s="17" t="n">
        <v>45773</v>
      </c>
      <c r="C527" s="4" t="n">
        <v>15</v>
      </c>
      <c r="D527" s="4" t="s">
        <v>70</v>
      </c>
      <c r="E527" s="4" t="s">
        <v>65</v>
      </c>
      <c r="F527" s="4" t="s">
        <v>121</v>
      </c>
      <c r="G527" s="4" t="n">
        <v>1</v>
      </c>
      <c r="H527" s="34" t="n">
        <v>170</v>
      </c>
      <c r="I527" s="18" t="n">
        <v>0.05</v>
      </c>
      <c r="J527" s="4" t="s">
        <v>67</v>
      </c>
      <c r="K527" s="4" t="s">
        <v>82</v>
      </c>
      <c r="L527" s="35" t="n">
        <f aca="false">G527*H527</f>
        <v>170</v>
      </c>
      <c r="M527" s="35" t="n">
        <f aca="false">L527*I527</f>
        <v>8.5</v>
      </c>
      <c r="N527" s="35" t="n">
        <f aca="false">L527-M527</f>
        <v>161.5</v>
      </c>
      <c r="O527" s="4" t="n">
        <f aca="false">MONTH(B527)</f>
        <v>4</v>
      </c>
      <c r="P527" s="4" t="str">
        <f aca="false">CHOOSE(WEEKDAY(B527,2),"Mon","Tue","Wed","Thu","Fri","Sat","Sun")</f>
        <v>Sat</v>
      </c>
      <c r="Q527" s="4" t="str">
        <f aca="false">IF(WEEKDAY(B527,2)&gt;5,"Weekend","Weekday")</f>
        <v>Weekend</v>
      </c>
      <c r="R527" s="4" t="str">
        <f aca="false">IF(C527&lt;11,"Morning (7-10)",IF(C527&lt;14,"Lunch (11-13)",IF(C527&lt;18,"Afternoon (14-17)","Evening (18-20)")))</f>
        <v>Afternoon (14-17)</v>
      </c>
      <c r="S527" s="4" t="str">
        <f aca="false">IF(AND(O527&gt;=3,O527&lt;=5),"Hot Dry (Mar-May)",IF(AND(O527&gt;=6,O527&lt;=11),"Rainy (Jun-Nov)","Cool Dry (Dec-Feb)"))</f>
        <v>Hot Dry (Mar-May)</v>
      </c>
      <c r="T527" s="4" t="str">
        <f aca="false">CHOOSE(O527,"Jan","Feb","Mar","Apr","May","Jun","Jul","Aug","Sep","Oct","Nov","Dec")</f>
        <v>Apr</v>
      </c>
    </row>
    <row r="528" customFormat="false" ht="15" hidden="false" customHeight="false" outlineLevel="0" collapsed="false">
      <c r="A528" s="4" t="s">
        <v>749</v>
      </c>
      <c r="B528" s="17" t="n">
        <v>45774</v>
      </c>
      <c r="C528" s="4" t="n">
        <v>8</v>
      </c>
      <c r="D528" s="4" t="s">
        <v>70</v>
      </c>
      <c r="E528" s="4" t="s">
        <v>84</v>
      </c>
      <c r="F528" s="4" t="s">
        <v>114</v>
      </c>
      <c r="G528" s="4" t="n">
        <v>1</v>
      </c>
      <c r="H528" s="34" t="n">
        <v>85</v>
      </c>
      <c r="I528" s="18" t="n">
        <v>0</v>
      </c>
      <c r="J528" s="4" t="s">
        <v>81</v>
      </c>
      <c r="K528" s="4" t="s">
        <v>68</v>
      </c>
      <c r="L528" s="35" t="n">
        <f aca="false">G528*H528</f>
        <v>85</v>
      </c>
      <c r="M528" s="35" t="n">
        <f aca="false">L528*I528</f>
        <v>0</v>
      </c>
      <c r="N528" s="35" t="n">
        <f aca="false">L528-M528</f>
        <v>85</v>
      </c>
      <c r="O528" s="4" t="n">
        <f aca="false">MONTH(B528)</f>
        <v>4</v>
      </c>
      <c r="P528" s="4" t="str">
        <f aca="false">CHOOSE(WEEKDAY(B528,2),"Mon","Tue","Wed","Thu","Fri","Sat","Sun")</f>
        <v>Sun</v>
      </c>
      <c r="Q528" s="4" t="str">
        <f aca="false">IF(WEEKDAY(B528,2)&gt;5,"Weekend","Weekday")</f>
        <v>Weekend</v>
      </c>
      <c r="R528" s="4" t="str">
        <f aca="false">IF(C528&lt;11,"Morning (7-10)",IF(C528&lt;14,"Lunch (11-13)",IF(C528&lt;18,"Afternoon (14-17)","Evening (18-20)")))</f>
        <v>Morning (7-10)</v>
      </c>
      <c r="S528" s="4" t="str">
        <f aca="false">IF(AND(O528&gt;=3,O528&lt;=5),"Hot Dry (Mar-May)",IF(AND(O528&gt;=6,O528&lt;=11),"Rainy (Jun-Nov)","Cool Dry (Dec-Feb)"))</f>
        <v>Hot Dry (Mar-May)</v>
      </c>
      <c r="T528" s="4" t="str">
        <f aca="false">CHOOSE(O528,"Jan","Feb","Mar","Apr","May","Jun","Jul","Aug","Sep","Oct","Nov","Dec")</f>
        <v>Apr</v>
      </c>
    </row>
    <row r="529" customFormat="false" ht="15" hidden="false" customHeight="false" outlineLevel="0" collapsed="false">
      <c r="A529" s="4" t="s">
        <v>750</v>
      </c>
      <c r="B529" s="17" t="n">
        <v>45774</v>
      </c>
      <c r="C529" s="4" t="n">
        <v>9</v>
      </c>
      <c r="D529" s="4" t="s">
        <v>70</v>
      </c>
      <c r="E529" s="4" t="s">
        <v>65</v>
      </c>
      <c r="F529" s="4" t="s">
        <v>121</v>
      </c>
      <c r="G529" s="4" t="n">
        <v>3</v>
      </c>
      <c r="H529" s="34" t="n">
        <v>170</v>
      </c>
      <c r="I529" s="18" t="n">
        <v>0.1</v>
      </c>
      <c r="J529" s="4" t="s">
        <v>81</v>
      </c>
      <c r="K529" s="4" t="s">
        <v>82</v>
      </c>
      <c r="L529" s="35" t="n">
        <f aca="false">G529*H529</f>
        <v>510</v>
      </c>
      <c r="M529" s="35" t="n">
        <f aca="false">L529*I529</f>
        <v>51</v>
      </c>
      <c r="N529" s="35" t="n">
        <f aca="false">L529-M529</f>
        <v>459</v>
      </c>
      <c r="O529" s="4" t="n">
        <f aca="false">MONTH(B529)</f>
        <v>4</v>
      </c>
      <c r="P529" s="4" t="str">
        <f aca="false">CHOOSE(WEEKDAY(B529,2),"Mon","Tue","Wed","Thu","Fri","Sat","Sun")</f>
        <v>Sun</v>
      </c>
      <c r="Q529" s="4" t="str">
        <f aca="false">IF(WEEKDAY(B529,2)&gt;5,"Weekend","Weekday")</f>
        <v>Weekend</v>
      </c>
      <c r="R529" s="4" t="str">
        <f aca="false">IF(C529&lt;11,"Morning (7-10)",IF(C529&lt;14,"Lunch (11-13)",IF(C529&lt;18,"Afternoon (14-17)","Evening (18-20)")))</f>
        <v>Morning (7-10)</v>
      </c>
      <c r="S529" s="4" t="str">
        <f aca="false">IF(AND(O529&gt;=3,O529&lt;=5),"Hot Dry (Mar-May)",IF(AND(O529&gt;=6,O529&lt;=11),"Rainy (Jun-Nov)","Cool Dry (Dec-Feb)"))</f>
        <v>Hot Dry (Mar-May)</v>
      </c>
      <c r="T529" s="4" t="str">
        <f aca="false">CHOOSE(O529,"Jan","Feb","Mar","Apr","May","Jun","Jul","Aug","Sep","Oct","Nov","Dec")</f>
        <v>Apr</v>
      </c>
    </row>
    <row r="530" customFormat="false" ht="15" hidden="false" customHeight="false" outlineLevel="0" collapsed="false">
      <c r="A530" s="4" t="s">
        <v>751</v>
      </c>
      <c r="B530" s="17" t="n">
        <v>45774</v>
      </c>
      <c r="C530" s="4" t="n">
        <v>9</v>
      </c>
      <c r="D530" s="4" t="s">
        <v>70</v>
      </c>
      <c r="E530" s="4" t="s">
        <v>79</v>
      </c>
      <c r="F530" s="4" t="s">
        <v>148</v>
      </c>
      <c r="G530" s="4" t="n">
        <v>3</v>
      </c>
      <c r="H530" s="34" t="n">
        <v>120</v>
      </c>
      <c r="I530" s="18" t="n">
        <v>0.1</v>
      </c>
      <c r="J530" s="4" t="s">
        <v>67</v>
      </c>
      <c r="K530" s="4" t="s">
        <v>68</v>
      </c>
      <c r="L530" s="35" t="n">
        <f aca="false">G530*H530</f>
        <v>360</v>
      </c>
      <c r="M530" s="35" t="n">
        <f aca="false">L530*I530</f>
        <v>36</v>
      </c>
      <c r="N530" s="35" t="n">
        <f aca="false">L530-M530</f>
        <v>324</v>
      </c>
      <c r="O530" s="4" t="n">
        <f aca="false">MONTH(B530)</f>
        <v>4</v>
      </c>
      <c r="P530" s="4" t="str">
        <f aca="false">CHOOSE(WEEKDAY(B530,2),"Mon","Tue","Wed","Thu","Fri","Sat","Sun")</f>
        <v>Sun</v>
      </c>
      <c r="Q530" s="4" t="str">
        <f aca="false">IF(WEEKDAY(B530,2)&gt;5,"Weekend","Weekday")</f>
        <v>Weekend</v>
      </c>
      <c r="R530" s="4" t="str">
        <f aca="false">IF(C530&lt;11,"Morning (7-10)",IF(C530&lt;14,"Lunch (11-13)",IF(C530&lt;18,"Afternoon (14-17)","Evening (18-20)")))</f>
        <v>Morning (7-10)</v>
      </c>
      <c r="S530" s="4" t="str">
        <f aca="false">IF(AND(O530&gt;=3,O530&lt;=5),"Hot Dry (Mar-May)",IF(AND(O530&gt;=6,O530&lt;=11),"Rainy (Jun-Nov)","Cool Dry (Dec-Feb)"))</f>
        <v>Hot Dry (Mar-May)</v>
      </c>
      <c r="T530" s="4" t="str">
        <f aca="false">CHOOSE(O530,"Jan","Feb","Mar","Apr","May","Jun","Jul","Aug","Sep","Oct","Nov","Dec")</f>
        <v>Apr</v>
      </c>
    </row>
    <row r="531" customFormat="false" ht="15" hidden="false" customHeight="false" outlineLevel="0" collapsed="false">
      <c r="A531" s="4" t="s">
        <v>752</v>
      </c>
      <c r="B531" s="17" t="n">
        <v>45774</v>
      </c>
      <c r="C531" s="4" t="n">
        <v>16</v>
      </c>
      <c r="D531" s="4" t="s">
        <v>98</v>
      </c>
      <c r="E531" s="4" t="s">
        <v>74</v>
      </c>
      <c r="F531" s="4" t="s">
        <v>139</v>
      </c>
      <c r="G531" s="4" t="n">
        <v>1</v>
      </c>
      <c r="H531" s="34" t="n">
        <v>260</v>
      </c>
      <c r="I531" s="18" t="n">
        <v>0</v>
      </c>
      <c r="J531" s="4" t="s">
        <v>112</v>
      </c>
      <c r="K531" s="4" t="s">
        <v>68</v>
      </c>
      <c r="L531" s="35" t="n">
        <f aca="false">G531*H531</f>
        <v>260</v>
      </c>
      <c r="M531" s="35" t="n">
        <f aca="false">L531*I531</f>
        <v>0</v>
      </c>
      <c r="N531" s="35" t="n">
        <f aca="false">L531-M531</f>
        <v>260</v>
      </c>
      <c r="O531" s="4" t="n">
        <f aca="false">MONTH(B531)</f>
        <v>4</v>
      </c>
      <c r="P531" s="4" t="str">
        <f aca="false">CHOOSE(WEEKDAY(B531,2),"Mon","Tue","Wed","Thu","Fri","Sat","Sun")</f>
        <v>Sun</v>
      </c>
      <c r="Q531" s="4" t="str">
        <f aca="false">IF(WEEKDAY(B531,2)&gt;5,"Weekend","Weekday")</f>
        <v>Weekend</v>
      </c>
      <c r="R531" s="4" t="str">
        <f aca="false">IF(C531&lt;11,"Morning (7-10)",IF(C531&lt;14,"Lunch (11-13)",IF(C531&lt;18,"Afternoon (14-17)","Evening (18-20)")))</f>
        <v>Afternoon (14-17)</v>
      </c>
      <c r="S531" s="4" t="str">
        <f aca="false">IF(AND(O531&gt;=3,O531&lt;=5),"Hot Dry (Mar-May)",IF(AND(O531&gt;=6,O531&lt;=11),"Rainy (Jun-Nov)","Cool Dry (Dec-Feb)"))</f>
        <v>Hot Dry (Mar-May)</v>
      </c>
      <c r="T531" s="4" t="str">
        <f aca="false">CHOOSE(O531,"Jan","Feb","Mar","Apr","May","Jun","Jul","Aug","Sep","Oct","Nov","Dec")</f>
        <v>Apr</v>
      </c>
    </row>
    <row r="532" customFormat="false" ht="15" hidden="false" customHeight="false" outlineLevel="0" collapsed="false">
      <c r="A532" s="4" t="s">
        <v>755</v>
      </c>
      <c r="B532" s="17" t="n">
        <v>45775</v>
      </c>
      <c r="C532" s="4" t="n">
        <v>9</v>
      </c>
      <c r="D532" s="4" t="s">
        <v>73</v>
      </c>
      <c r="E532" s="4" t="s">
        <v>65</v>
      </c>
      <c r="F532" s="4" t="s">
        <v>87</v>
      </c>
      <c r="G532" s="4" t="n">
        <v>2</v>
      </c>
      <c r="H532" s="34" t="n">
        <v>160</v>
      </c>
      <c r="I532" s="18" t="n">
        <v>0.1</v>
      </c>
      <c r="J532" s="4" t="s">
        <v>76</v>
      </c>
      <c r="K532" s="4" t="s">
        <v>71</v>
      </c>
      <c r="L532" s="35" t="n">
        <f aca="false">G532*H532</f>
        <v>320</v>
      </c>
      <c r="M532" s="35" t="n">
        <f aca="false">L532*I532</f>
        <v>32</v>
      </c>
      <c r="N532" s="35" t="n">
        <f aca="false">L532-M532</f>
        <v>288</v>
      </c>
      <c r="O532" s="4" t="n">
        <f aca="false">MONTH(B532)</f>
        <v>4</v>
      </c>
      <c r="P532" s="4" t="str">
        <f aca="false">CHOOSE(WEEKDAY(B532,2),"Mon","Tue","Wed","Thu","Fri","Sat","Sun")</f>
        <v>Mon</v>
      </c>
      <c r="Q532" s="4" t="str">
        <f aca="false">IF(WEEKDAY(B532,2)&gt;5,"Weekend","Weekday")</f>
        <v>Weekday</v>
      </c>
      <c r="R532" s="4" t="str">
        <f aca="false">IF(C532&lt;11,"Morning (7-10)",IF(C532&lt;14,"Lunch (11-13)",IF(C532&lt;18,"Afternoon (14-17)","Evening (18-20)")))</f>
        <v>Morning (7-10)</v>
      </c>
      <c r="S532" s="4" t="str">
        <f aca="false">IF(AND(O532&gt;=3,O532&lt;=5),"Hot Dry (Mar-May)",IF(AND(O532&gt;=6,O532&lt;=11),"Rainy (Jun-Nov)","Cool Dry (Dec-Feb)"))</f>
        <v>Hot Dry (Mar-May)</v>
      </c>
      <c r="T532" s="4" t="str">
        <f aca="false">CHOOSE(O532,"Jan","Feb","Mar","Apr","May","Jun","Jul","Aug","Sep","Oct","Nov","Dec")</f>
        <v>Apr</v>
      </c>
    </row>
    <row r="533" customFormat="false" ht="15" hidden="false" customHeight="false" outlineLevel="0" collapsed="false">
      <c r="A533" s="4" t="s">
        <v>756</v>
      </c>
      <c r="B533" s="17" t="n">
        <v>45775</v>
      </c>
      <c r="C533" s="4" t="n">
        <v>9</v>
      </c>
      <c r="D533" s="4" t="s">
        <v>70</v>
      </c>
      <c r="E533" s="4" t="s">
        <v>65</v>
      </c>
      <c r="F533" s="4" t="s">
        <v>121</v>
      </c>
      <c r="G533" s="4" t="n">
        <v>2</v>
      </c>
      <c r="H533" s="34" t="n">
        <v>170</v>
      </c>
      <c r="I533" s="18" t="n">
        <v>0.15</v>
      </c>
      <c r="J533" s="4" t="s">
        <v>76</v>
      </c>
      <c r="K533" s="4" t="s">
        <v>82</v>
      </c>
      <c r="L533" s="35" t="n">
        <f aca="false">G533*H533</f>
        <v>340</v>
      </c>
      <c r="M533" s="35" t="n">
        <f aca="false">L533*I533</f>
        <v>51</v>
      </c>
      <c r="N533" s="35" t="n">
        <f aca="false">L533-M533</f>
        <v>289</v>
      </c>
      <c r="O533" s="4" t="n">
        <f aca="false">MONTH(B533)</f>
        <v>4</v>
      </c>
      <c r="P533" s="4" t="str">
        <f aca="false">CHOOSE(WEEKDAY(B533,2),"Mon","Tue","Wed","Thu","Fri","Sat","Sun")</f>
        <v>Mon</v>
      </c>
      <c r="Q533" s="4" t="str">
        <f aca="false">IF(WEEKDAY(B533,2)&gt;5,"Weekend","Weekday")</f>
        <v>Weekday</v>
      </c>
      <c r="R533" s="4" t="str">
        <f aca="false">IF(C533&lt;11,"Morning (7-10)",IF(C533&lt;14,"Lunch (11-13)",IF(C533&lt;18,"Afternoon (14-17)","Evening (18-20)")))</f>
        <v>Morning (7-10)</v>
      </c>
      <c r="S533" s="4" t="str">
        <f aca="false">IF(AND(O533&gt;=3,O533&lt;=5),"Hot Dry (Mar-May)",IF(AND(O533&gt;=6,O533&lt;=11),"Rainy (Jun-Nov)","Cool Dry (Dec-Feb)"))</f>
        <v>Hot Dry (Mar-May)</v>
      </c>
      <c r="T533" s="4" t="str">
        <f aca="false">CHOOSE(O533,"Jan","Feb","Mar","Apr","May","Jun","Jul","Aug","Sep","Oct","Nov","Dec")</f>
        <v>Apr</v>
      </c>
    </row>
    <row r="534" customFormat="false" ht="15" hidden="false" customHeight="false" outlineLevel="0" collapsed="false">
      <c r="A534" s="4" t="s">
        <v>757</v>
      </c>
      <c r="B534" s="17" t="n">
        <v>45775</v>
      </c>
      <c r="C534" s="4" t="n">
        <v>11</v>
      </c>
      <c r="D534" s="4" t="s">
        <v>73</v>
      </c>
      <c r="E534" s="4" t="s">
        <v>74</v>
      </c>
      <c r="F534" s="4" t="s">
        <v>91</v>
      </c>
      <c r="G534" s="4" t="n">
        <v>2</v>
      </c>
      <c r="H534" s="34" t="n">
        <v>200</v>
      </c>
      <c r="I534" s="18" t="n">
        <v>0.1</v>
      </c>
      <c r="J534" s="4" t="s">
        <v>67</v>
      </c>
      <c r="K534" s="4" t="s">
        <v>71</v>
      </c>
      <c r="L534" s="35" t="n">
        <f aca="false">G534*H534</f>
        <v>400</v>
      </c>
      <c r="M534" s="35" t="n">
        <f aca="false">L534*I534</f>
        <v>40</v>
      </c>
      <c r="N534" s="35" t="n">
        <f aca="false">L534-M534</f>
        <v>360</v>
      </c>
      <c r="O534" s="4" t="n">
        <f aca="false">MONTH(B534)</f>
        <v>4</v>
      </c>
      <c r="P534" s="4" t="str">
        <f aca="false">CHOOSE(WEEKDAY(B534,2),"Mon","Tue","Wed","Thu","Fri","Sat","Sun")</f>
        <v>Mon</v>
      </c>
      <c r="Q534" s="4" t="str">
        <f aca="false">IF(WEEKDAY(B534,2)&gt;5,"Weekend","Weekday")</f>
        <v>Weekday</v>
      </c>
      <c r="R534" s="4" t="str">
        <f aca="false">IF(C534&lt;11,"Morning (7-10)",IF(C534&lt;14,"Lunch (11-13)",IF(C534&lt;18,"Afternoon (14-17)","Evening (18-20)")))</f>
        <v>Lunch (11-13)</v>
      </c>
      <c r="S534" s="4" t="str">
        <f aca="false">IF(AND(O534&gt;=3,O534&lt;=5),"Hot Dry (Mar-May)",IF(AND(O534&gt;=6,O534&lt;=11),"Rainy (Jun-Nov)","Cool Dry (Dec-Feb)"))</f>
        <v>Hot Dry (Mar-May)</v>
      </c>
      <c r="T534" s="4" t="str">
        <f aca="false">CHOOSE(O534,"Jan","Feb","Mar","Apr","May","Jun","Jul","Aug","Sep","Oct","Nov","Dec")</f>
        <v>Apr</v>
      </c>
    </row>
    <row r="535" customFormat="false" ht="15" hidden="false" customHeight="false" outlineLevel="0" collapsed="false">
      <c r="A535" s="4" t="s">
        <v>758</v>
      </c>
      <c r="B535" s="17" t="n">
        <v>45775</v>
      </c>
      <c r="C535" s="4" t="n">
        <v>13</v>
      </c>
      <c r="D535" s="4" t="s">
        <v>70</v>
      </c>
      <c r="E535" s="4" t="s">
        <v>65</v>
      </c>
      <c r="F535" s="4" t="s">
        <v>94</v>
      </c>
      <c r="G535" s="4" t="n">
        <v>2</v>
      </c>
      <c r="H535" s="34" t="n">
        <v>150</v>
      </c>
      <c r="I535" s="18" t="n">
        <v>0</v>
      </c>
      <c r="J535" s="4" t="s">
        <v>112</v>
      </c>
      <c r="K535" s="4" t="s">
        <v>71</v>
      </c>
      <c r="L535" s="35" t="n">
        <f aca="false">G535*H535</f>
        <v>300</v>
      </c>
      <c r="M535" s="35" t="n">
        <f aca="false">L535*I535</f>
        <v>0</v>
      </c>
      <c r="N535" s="35" t="n">
        <f aca="false">L535-M535</f>
        <v>300</v>
      </c>
      <c r="O535" s="4" t="n">
        <f aca="false">MONTH(B535)</f>
        <v>4</v>
      </c>
      <c r="P535" s="4" t="str">
        <f aca="false">CHOOSE(WEEKDAY(B535,2),"Mon","Tue","Wed","Thu","Fri","Sat","Sun")</f>
        <v>Mon</v>
      </c>
      <c r="Q535" s="4" t="str">
        <f aca="false">IF(WEEKDAY(B535,2)&gt;5,"Weekend","Weekday")</f>
        <v>Weekday</v>
      </c>
      <c r="R535" s="4" t="str">
        <f aca="false">IF(C535&lt;11,"Morning (7-10)",IF(C535&lt;14,"Lunch (11-13)",IF(C535&lt;18,"Afternoon (14-17)","Evening (18-20)")))</f>
        <v>Lunch (11-13)</v>
      </c>
      <c r="S535" s="4" t="str">
        <f aca="false">IF(AND(O535&gt;=3,O535&lt;=5),"Hot Dry (Mar-May)",IF(AND(O535&gt;=6,O535&lt;=11),"Rainy (Jun-Nov)","Cool Dry (Dec-Feb)"))</f>
        <v>Hot Dry (Mar-May)</v>
      </c>
      <c r="T535" s="4" t="str">
        <f aca="false">CHOOSE(O535,"Jan","Feb","Mar","Apr","May","Jun","Jul","Aug","Sep","Oct","Nov","Dec")</f>
        <v>Apr</v>
      </c>
    </row>
    <row r="536" customFormat="false" ht="15" hidden="false" customHeight="false" outlineLevel="0" collapsed="false">
      <c r="A536" s="4" t="s">
        <v>759</v>
      </c>
      <c r="B536" s="17" t="n">
        <v>45775</v>
      </c>
      <c r="C536" s="4" t="n">
        <v>17</v>
      </c>
      <c r="D536" s="4" t="s">
        <v>98</v>
      </c>
      <c r="E536" s="4" t="s">
        <v>65</v>
      </c>
      <c r="F536" s="4" t="s">
        <v>121</v>
      </c>
      <c r="G536" s="4" t="n">
        <v>2</v>
      </c>
      <c r="H536" s="34" t="n">
        <v>170</v>
      </c>
      <c r="I536" s="18" t="n">
        <v>0</v>
      </c>
      <c r="J536" s="4" t="s">
        <v>76</v>
      </c>
      <c r="K536" s="4" t="s">
        <v>68</v>
      </c>
      <c r="L536" s="35" t="n">
        <f aca="false">G536*H536</f>
        <v>340</v>
      </c>
      <c r="M536" s="35" t="n">
        <f aca="false">L536*I536</f>
        <v>0</v>
      </c>
      <c r="N536" s="35" t="n">
        <f aca="false">L536-M536</f>
        <v>340</v>
      </c>
      <c r="O536" s="4" t="n">
        <f aca="false">MONTH(B536)</f>
        <v>4</v>
      </c>
      <c r="P536" s="4" t="str">
        <f aca="false">CHOOSE(WEEKDAY(B536,2),"Mon","Tue","Wed","Thu","Fri","Sat","Sun")</f>
        <v>Mon</v>
      </c>
      <c r="Q536" s="4" t="str">
        <f aca="false">IF(WEEKDAY(B536,2)&gt;5,"Weekend","Weekday")</f>
        <v>Weekday</v>
      </c>
      <c r="R536" s="4" t="str">
        <f aca="false">IF(C536&lt;11,"Morning (7-10)",IF(C536&lt;14,"Lunch (11-13)",IF(C536&lt;18,"Afternoon (14-17)","Evening (18-20)")))</f>
        <v>Afternoon (14-17)</v>
      </c>
      <c r="S536" s="4" t="str">
        <f aca="false">IF(AND(O536&gt;=3,O536&lt;=5),"Hot Dry (Mar-May)",IF(AND(O536&gt;=6,O536&lt;=11),"Rainy (Jun-Nov)","Cool Dry (Dec-Feb)"))</f>
        <v>Hot Dry (Mar-May)</v>
      </c>
      <c r="T536" s="4" t="str">
        <f aca="false">CHOOSE(O536,"Jan","Feb","Mar","Apr","May","Jun","Jul","Aug","Sep","Oct","Nov","Dec")</f>
        <v>Apr</v>
      </c>
    </row>
    <row r="537" customFormat="false" ht="15" hidden="false" customHeight="false" outlineLevel="0" collapsed="false">
      <c r="A537" s="4" t="s">
        <v>760</v>
      </c>
      <c r="B537" s="17" t="n">
        <v>45776</v>
      </c>
      <c r="C537" s="4" t="n">
        <v>7</v>
      </c>
      <c r="D537" s="4" t="s">
        <v>64</v>
      </c>
      <c r="E537" s="4" t="s">
        <v>99</v>
      </c>
      <c r="F537" s="4" t="s">
        <v>109</v>
      </c>
      <c r="G537" s="4" t="n">
        <v>1</v>
      </c>
      <c r="H537" s="34" t="n">
        <v>130</v>
      </c>
      <c r="I537" s="18" t="n">
        <v>0</v>
      </c>
      <c r="J537" s="4" t="s">
        <v>81</v>
      </c>
      <c r="K537" s="4" t="s">
        <v>68</v>
      </c>
      <c r="L537" s="35" t="n">
        <f aca="false">G537*H537</f>
        <v>130</v>
      </c>
      <c r="M537" s="35" t="n">
        <f aca="false">L537*I537</f>
        <v>0</v>
      </c>
      <c r="N537" s="35" t="n">
        <f aca="false">L537-M537</f>
        <v>130</v>
      </c>
      <c r="O537" s="4" t="n">
        <f aca="false">MONTH(B537)</f>
        <v>4</v>
      </c>
      <c r="P537" s="4" t="str">
        <f aca="false">CHOOSE(WEEKDAY(B537,2),"Mon","Tue","Wed","Thu","Fri","Sat","Sun")</f>
        <v>Tue</v>
      </c>
      <c r="Q537" s="4" t="str">
        <f aca="false">IF(WEEKDAY(B537,2)&gt;5,"Weekend","Weekday")</f>
        <v>Weekday</v>
      </c>
      <c r="R537" s="4" t="str">
        <f aca="false">IF(C537&lt;11,"Morning (7-10)",IF(C537&lt;14,"Lunch (11-13)",IF(C537&lt;18,"Afternoon (14-17)","Evening (18-20)")))</f>
        <v>Morning (7-10)</v>
      </c>
      <c r="S537" s="4" t="str">
        <f aca="false">IF(AND(O537&gt;=3,O537&lt;=5),"Hot Dry (Mar-May)",IF(AND(O537&gt;=6,O537&lt;=11),"Rainy (Jun-Nov)","Cool Dry (Dec-Feb)"))</f>
        <v>Hot Dry (Mar-May)</v>
      </c>
      <c r="T537" s="4" t="str">
        <f aca="false">CHOOSE(O537,"Jan","Feb","Mar","Apr","May","Jun","Jul","Aug","Sep","Oct","Nov","Dec")</f>
        <v>Apr</v>
      </c>
    </row>
    <row r="538" customFormat="false" ht="15" hidden="false" customHeight="false" outlineLevel="0" collapsed="false">
      <c r="A538" s="4" t="s">
        <v>763</v>
      </c>
      <c r="B538" s="17" t="n">
        <v>45776</v>
      </c>
      <c r="C538" s="4" t="n">
        <v>10</v>
      </c>
      <c r="D538" s="4" t="s">
        <v>70</v>
      </c>
      <c r="E538" s="4" t="s">
        <v>84</v>
      </c>
      <c r="F538" s="4" t="s">
        <v>117</v>
      </c>
      <c r="G538" s="4" t="n">
        <v>1</v>
      </c>
      <c r="H538" s="34" t="n">
        <v>95</v>
      </c>
      <c r="I538" s="18" t="n">
        <v>0</v>
      </c>
      <c r="J538" s="4" t="s">
        <v>88</v>
      </c>
      <c r="K538" s="4" t="s">
        <v>77</v>
      </c>
      <c r="L538" s="35" t="n">
        <f aca="false">G538*H538</f>
        <v>95</v>
      </c>
      <c r="M538" s="35" t="n">
        <f aca="false">L538*I538</f>
        <v>0</v>
      </c>
      <c r="N538" s="35" t="n">
        <f aca="false">L538-M538</f>
        <v>95</v>
      </c>
      <c r="O538" s="4" t="n">
        <f aca="false">MONTH(B538)</f>
        <v>4</v>
      </c>
      <c r="P538" s="4" t="str">
        <f aca="false">CHOOSE(WEEKDAY(B538,2),"Mon","Tue","Wed","Thu","Fri","Sat","Sun")</f>
        <v>Tue</v>
      </c>
      <c r="Q538" s="4" t="str">
        <f aca="false">IF(WEEKDAY(B538,2)&gt;5,"Weekend","Weekday")</f>
        <v>Weekday</v>
      </c>
      <c r="R538" s="4" t="str">
        <f aca="false">IF(C538&lt;11,"Morning (7-10)",IF(C538&lt;14,"Lunch (11-13)",IF(C538&lt;18,"Afternoon (14-17)","Evening (18-20)")))</f>
        <v>Morning (7-10)</v>
      </c>
      <c r="S538" s="4" t="str">
        <f aca="false">IF(AND(O538&gt;=3,O538&lt;=5),"Hot Dry (Mar-May)",IF(AND(O538&gt;=6,O538&lt;=11),"Rainy (Jun-Nov)","Cool Dry (Dec-Feb)"))</f>
        <v>Hot Dry (Mar-May)</v>
      </c>
      <c r="T538" s="4" t="str">
        <f aca="false">CHOOSE(O538,"Jan","Feb","Mar","Apr","May","Jun","Jul","Aug","Sep","Oct","Nov","Dec")</f>
        <v>Apr</v>
      </c>
    </row>
    <row r="539" customFormat="false" ht="15" hidden="false" customHeight="false" outlineLevel="0" collapsed="false">
      <c r="A539" s="4" t="s">
        <v>764</v>
      </c>
      <c r="B539" s="17" t="n">
        <v>45776</v>
      </c>
      <c r="C539" s="4" t="n">
        <v>12</v>
      </c>
      <c r="D539" s="4" t="s">
        <v>64</v>
      </c>
      <c r="E539" s="4" t="s">
        <v>65</v>
      </c>
      <c r="F539" s="4" t="s">
        <v>66</v>
      </c>
      <c r="G539" s="4" t="n">
        <v>1</v>
      </c>
      <c r="H539" s="34" t="n">
        <v>120</v>
      </c>
      <c r="I539" s="18" t="n">
        <v>0</v>
      </c>
      <c r="J539" s="4" t="s">
        <v>81</v>
      </c>
      <c r="K539" s="4" t="s">
        <v>68</v>
      </c>
      <c r="L539" s="35" t="n">
        <f aca="false">G539*H539</f>
        <v>120</v>
      </c>
      <c r="M539" s="35" t="n">
        <f aca="false">L539*I539</f>
        <v>0</v>
      </c>
      <c r="N539" s="35" t="n">
        <f aca="false">L539-M539</f>
        <v>120</v>
      </c>
      <c r="O539" s="4" t="n">
        <f aca="false">MONTH(B539)</f>
        <v>4</v>
      </c>
      <c r="P539" s="4" t="str">
        <f aca="false">CHOOSE(WEEKDAY(B539,2),"Mon","Tue","Wed","Thu","Fri","Sat","Sun")</f>
        <v>Tue</v>
      </c>
      <c r="Q539" s="4" t="str">
        <f aca="false">IF(WEEKDAY(B539,2)&gt;5,"Weekend","Weekday")</f>
        <v>Weekday</v>
      </c>
      <c r="R539" s="4" t="str">
        <f aca="false">IF(C539&lt;11,"Morning (7-10)",IF(C539&lt;14,"Lunch (11-13)",IF(C539&lt;18,"Afternoon (14-17)","Evening (18-20)")))</f>
        <v>Lunch (11-13)</v>
      </c>
      <c r="S539" s="4" t="str">
        <f aca="false">IF(AND(O539&gt;=3,O539&lt;=5),"Hot Dry (Mar-May)",IF(AND(O539&gt;=6,O539&lt;=11),"Rainy (Jun-Nov)","Cool Dry (Dec-Feb)"))</f>
        <v>Hot Dry (Mar-May)</v>
      </c>
      <c r="T539" s="4" t="str">
        <f aca="false">CHOOSE(O539,"Jan","Feb","Mar","Apr","May","Jun","Jul","Aug","Sep","Oct","Nov","Dec")</f>
        <v>Apr</v>
      </c>
    </row>
    <row r="540" customFormat="false" ht="15" hidden="false" customHeight="false" outlineLevel="0" collapsed="false">
      <c r="A540" s="4" t="s">
        <v>765</v>
      </c>
      <c r="B540" s="17" t="n">
        <v>45776</v>
      </c>
      <c r="C540" s="4" t="n">
        <v>12</v>
      </c>
      <c r="D540" s="4" t="s">
        <v>73</v>
      </c>
      <c r="E540" s="4" t="s">
        <v>74</v>
      </c>
      <c r="F540" s="4" t="s">
        <v>75</v>
      </c>
      <c r="G540" s="4" t="n">
        <v>1</v>
      </c>
      <c r="H540" s="34" t="n">
        <v>220</v>
      </c>
      <c r="I540" s="18" t="n">
        <v>0.05</v>
      </c>
      <c r="J540" s="4" t="s">
        <v>88</v>
      </c>
      <c r="K540" s="4" t="s">
        <v>82</v>
      </c>
      <c r="L540" s="35" t="n">
        <f aca="false">G540*H540</f>
        <v>220</v>
      </c>
      <c r="M540" s="35" t="n">
        <f aca="false">L540*I540</f>
        <v>11</v>
      </c>
      <c r="N540" s="35" t="n">
        <f aca="false">L540-M540</f>
        <v>209</v>
      </c>
      <c r="O540" s="4" t="n">
        <f aca="false">MONTH(B540)</f>
        <v>4</v>
      </c>
      <c r="P540" s="4" t="str">
        <f aca="false">CHOOSE(WEEKDAY(B540,2),"Mon","Tue","Wed","Thu","Fri","Sat","Sun")</f>
        <v>Tue</v>
      </c>
      <c r="Q540" s="4" t="str">
        <f aca="false">IF(WEEKDAY(B540,2)&gt;5,"Weekend","Weekday")</f>
        <v>Weekday</v>
      </c>
      <c r="R540" s="4" t="str">
        <f aca="false">IF(C540&lt;11,"Morning (7-10)",IF(C540&lt;14,"Lunch (11-13)",IF(C540&lt;18,"Afternoon (14-17)","Evening (18-20)")))</f>
        <v>Lunch (11-13)</v>
      </c>
      <c r="S540" s="4" t="str">
        <f aca="false">IF(AND(O540&gt;=3,O540&lt;=5),"Hot Dry (Mar-May)",IF(AND(O540&gt;=6,O540&lt;=11),"Rainy (Jun-Nov)","Cool Dry (Dec-Feb)"))</f>
        <v>Hot Dry (Mar-May)</v>
      </c>
      <c r="T540" s="4" t="str">
        <f aca="false">CHOOSE(O540,"Jan","Feb","Mar","Apr","May","Jun","Jul","Aug","Sep","Oct","Nov","Dec")</f>
        <v>Apr</v>
      </c>
    </row>
    <row r="541" customFormat="false" ht="15" hidden="false" customHeight="false" outlineLevel="0" collapsed="false">
      <c r="A541" s="4" t="s">
        <v>767</v>
      </c>
      <c r="B541" s="17" t="n">
        <v>45776</v>
      </c>
      <c r="C541" s="4" t="n">
        <v>16</v>
      </c>
      <c r="D541" s="4" t="s">
        <v>98</v>
      </c>
      <c r="E541" s="4" t="s">
        <v>65</v>
      </c>
      <c r="F541" s="4" t="s">
        <v>121</v>
      </c>
      <c r="G541" s="4" t="n">
        <v>2</v>
      </c>
      <c r="H541" s="34" t="n">
        <v>170</v>
      </c>
      <c r="I541" s="18" t="n">
        <v>0.1</v>
      </c>
      <c r="J541" s="4" t="s">
        <v>88</v>
      </c>
      <c r="K541" s="4" t="s">
        <v>71</v>
      </c>
      <c r="L541" s="35" t="n">
        <f aca="false">G541*H541</f>
        <v>340</v>
      </c>
      <c r="M541" s="35" t="n">
        <f aca="false">L541*I541</f>
        <v>34</v>
      </c>
      <c r="N541" s="35" t="n">
        <f aca="false">L541-M541</f>
        <v>306</v>
      </c>
      <c r="O541" s="4" t="n">
        <f aca="false">MONTH(B541)</f>
        <v>4</v>
      </c>
      <c r="P541" s="4" t="str">
        <f aca="false">CHOOSE(WEEKDAY(B541,2),"Mon","Tue","Wed","Thu","Fri","Sat","Sun")</f>
        <v>Tue</v>
      </c>
      <c r="Q541" s="4" t="str">
        <f aca="false">IF(WEEKDAY(B541,2)&gt;5,"Weekend","Weekday")</f>
        <v>Weekday</v>
      </c>
      <c r="R541" s="4" t="str">
        <f aca="false">IF(C541&lt;11,"Morning (7-10)",IF(C541&lt;14,"Lunch (11-13)",IF(C541&lt;18,"Afternoon (14-17)","Evening (18-20)")))</f>
        <v>Afternoon (14-17)</v>
      </c>
      <c r="S541" s="4" t="str">
        <f aca="false">IF(AND(O541&gt;=3,O541&lt;=5),"Hot Dry (Mar-May)",IF(AND(O541&gt;=6,O541&lt;=11),"Rainy (Jun-Nov)","Cool Dry (Dec-Feb)"))</f>
        <v>Hot Dry (Mar-May)</v>
      </c>
      <c r="T541" s="4" t="str">
        <f aca="false">CHOOSE(O541,"Jan","Feb","Mar","Apr","May","Jun","Jul","Aug","Sep","Oct","Nov","Dec")</f>
        <v>Apr</v>
      </c>
    </row>
    <row r="542" customFormat="false" ht="15" hidden="false" customHeight="false" outlineLevel="0" collapsed="false">
      <c r="A542" s="4" t="s">
        <v>768</v>
      </c>
      <c r="B542" s="17" t="n">
        <v>45777</v>
      </c>
      <c r="C542" s="4" t="n">
        <v>8</v>
      </c>
      <c r="D542" s="4" t="s">
        <v>70</v>
      </c>
      <c r="E542" s="4" t="s">
        <v>65</v>
      </c>
      <c r="F542" s="4" t="s">
        <v>94</v>
      </c>
      <c r="G542" s="4" t="n">
        <v>1</v>
      </c>
      <c r="H542" s="34" t="n">
        <v>150</v>
      </c>
      <c r="I542" s="18" t="n">
        <v>0</v>
      </c>
      <c r="J542" s="4" t="s">
        <v>81</v>
      </c>
      <c r="K542" s="4" t="s">
        <v>68</v>
      </c>
      <c r="L542" s="35" t="n">
        <f aca="false">G542*H542</f>
        <v>150</v>
      </c>
      <c r="M542" s="35" t="n">
        <f aca="false">L542*I542</f>
        <v>0</v>
      </c>
      <c r="N542" s="35" t="n">
        <f aca="false">L542-M542</f>
        <v>150</v>
      </c>
      <c r="O542" s="4" t="n">
        <f aca="false">MONTH(B542)</f>
        <v>4</v>
      </c>
      <c r="P542" s="4" t="str">
        <f aca="false">CHOOSE(WEEKDAY(B542,2),"Mon","Tue","Wed","Thu","Fri","Sat","Sun")</f>
        <v>Wed</v>
      </c>
      <c r="Q542" s="4" t="str">
        <f aca="false">IF(WEEKDAY(B542,2)&gt;5,"Weekend","Weekday")</f>
        <v>Weekday</v>
      </c>
      <c r="R542" s="4" t="str">
        <f aca="false">IF(C542&lt;11,"Morning (7-10)",IF(C542&lt;14,"Lunch (11-13)",IF(C542&lt;18,"Afternoon (14-17)","Evening (18-20)")))</f>
        <v>Morning (7-10)</v>
      </c>
      <c r="S542" s="4" t="str">
        <f aca="false">IF(AND(O542&gt;=3,O542&lt;=5),"Hot Dry (Mar-May)",IF(AND(O542&gt;=6,O542&lt;=11),"Rainy (Jun-Nov)","Cool Dry (Dec-Feb)"))</f>
        <v>Hot Dry (Mar-May)</v>
      </c>
      <c r="T542" s="4" t="str">
        <f aca="false">CHOOSE(O542,"Jan","Feb","Mar","Apr","May","Jun","Jul","Aug","Sep","Oct","Nov","Dec")</f>
        <v>Apr</v>
      </c>
    </row>
    <row r="543" customFormat="false" ht="15" hidden="false" customHeight="false" outlineLevel="0" collapsed="false">
      <c r="A543" s="4" t="s">
        <v>769</v>
      </c>
      <c r="B543" s="17" t="n">
        <v>45777</v>
      </c>
      <c r="C543" s="4" t="n">
        <v>8</v>
      </c>
      <c r="D543" s="4" t="s">
        <v>98</v>
      </c>
      <c r="E543" s="4" t="s">
        <v>65</v>
      </c>
      <c r="F543" s="4" t="s">
        <v>87</v>
      </c>
      <c r="G543" s="4" t="n">
        <v>1</v>
      </c>
      <c r="H543" s="34" t="n">
        <v>160</v>
      </c>
      <c r="I543" s="18" t="n">
        <v>0</v>
      </c>
      <c r="J543" s="4" t="s">
        <v>76</v>
      </c>
      <c r="K543" s="4" t="s">
        <v>77</v>
      </c>
      <c r="L543" s="35" t="n">
        <f aca="false">G543*H543</f>
        <v>160</v>
      </c>
      <c r="M543" s="35" t="n">
        <f aca="false">L543*I543</f>
        <v>0</v>
      </c>
      <c r="N543" s="35" t="n">
        <f aca="false">L543-M543</f>
        <v>160</v>
      </c>
      <c r="O543" s="4" t="n">
        <f aca="false">MONTH(B543)</f>
        <v>4</v>
      </c>
      <c r="P543" s="4" t="str">
        <f aca="false">CHOOSE(WEEKDAY(B543,2),"Mon","Tue","Wed","Thu","Fri","Sat","Sun")</f>
        <v>Wed</v>
      </c>
      <c r="Q543" s="4" t="str">
        <f aca="false">IF(WEEKDAY(B543,2)&gt;5,"Weekend","Weekday")</f>
        <v>Weekday</v>
      </c>
      <c r="R543" s="4" t="str">
        <f aca="false">IF(C543&lt;11,"Morning (7-10)",IF(C543&lt;14,"Lunch (11-13)",IF(C543&lt;18,"Afternoon (14-17)","Evening (18-20)")))</f>
        <v>Morning (7-10)</v>
      </c>
      <c r="S543" s="4" t="str">
        <f aca="false">IF(AND(O543&gt;=3,O543&lt;=5),"Hot Dry (Mar-May)",IF(AND(O543&gt;=6,O543&lt;=11),"Rainy (Jun-Nov)","Cool Dry (Dec-Feb)"))</f>
        <v>Hot Dry (Mar-May)</v>
      </c>
      <c r="T543" s="4" t="str">
        <f aca="false">CHOOSE(O543,"Jan","Feb","Mar","Apr","May","Jun","Jul","Aug","Sep","Oct","Nov","Dec")</f>
        <v>Apr</v>
      </c>
    </row>
    <row r="544" customFormat="false" ht="15" hidden="false" customHeight="false" outlineLevel="0" collapsed="false">
      <c r="A544" s="4" t="s">
        <v>770</v>
      </c>
      <c r="B544" s="17" t="n">
        <v>45777</v>
      </c>
      <c r="C544" s="4" t="n">
        <v>11</v>
      </c>
      <c r="D544" s="4" t="s">
        <v>98</v>
      </c>
      <c r="E544" s="4" t="s">
        <v>84</v>
      </c>
      <c r="F544" s="4" t="s">
        <v>117</v>
      </c>
      <c r="G544" s="4" t="n">
        <v>1</v>
      </c>
      <c r="H544" s="34" t="n">
        <v>95</v>
      </c>
      <c r="I544" s="18" t="n">
        <v>0.2</v>
      </c>
      <c r="J544" s="4" t="s">
        <v>112</v>
      </c>
      <c r="K544" s="4" t="s">
        <v>77</v>
      </c>
      <c r="L544" s="35" t="n">
        <f aca="false">G544*H544</f>
        <v>95</v>
      </c>
      <c r="M544" s="35" t="n">
        <f aca="false">L544*I544</f>
        <v>19</v>
      </c>
      <c r="N544" s="35" t="n">
        <f aca="false">L544-M544</f>
        <v>76</v>
      </c>
      <c r="O544" s="4" t="n">
        <f aca="false">MONTH(B544)</f>
        <v>4</v>
      </c>
      <c r="P544" s="4" t="str">
        <f aca="false">CHOOSE(WEEKDAY(B544,2),"Mon","Tue","Wed","Thu","Fri","Sat","Sun")</f>
        <v>Wed</v>
      </c>
      <c r="Q544" s="4" t="str">
        <f aca="false">IF(WEEKDAY(B544,2)&gt;5,"Weekend","Weekday")</f>
        <v>Weekday</v>
      </c>
      <c r="R544" s="4" t="str">
        <f aca="false">IF(C544&lt;11,"Morning (7-10)",IF(C544&lt;14,"Lunch (11-13)",IF(C544&lt;18,"Afternoon (14-17)","Evening (18-20)")))</f>
        <v>Lunch (11-13)</v>
      </c>
      <c r="S544" s="4" t="str">
        <f aca="false">IF(AND(O544&gt;=3,O544&lt;=5),"Hot Dry (Mar-May)",IF(AND(O544&gt;=6,O544&lt;=11),"Rainy (Jun-Nov)","Cool Dry (Dec-Feb)"))</f>
        <v>Hot Dry (Mar-May)</v>
      </c>
      <c r="T544" s="4" t="str">
        <f aca="false">CHOOSE(O544,"Jan","Feb","Mar","Apr","May","Jun","Jul","Aug","Sep","Oct","Nov","Dec")</f>
        <v>Apr</v>
      </c>
    </row>
    <row r="545" customFormat="false" ht="15" hidden="false" customHeight="false" outlineLevel="0" collapsed="false">
      <c r="A545" s="4" t="s">
        <v>771</v>
      </c>
      <c r="B545" s="17" t="n">
        <v>45777</v>
      </c>
      <c r="C545" s="4" t="n">
        <v>14</v>
      </c>
      <c r="D545" s="4" t="s">
        <v>98</v>
      </c>
      <c r="E545" s="4" t="s">
        <v>65</v>
      </c>
      <c r="F545" s="4" t="s">
        <v>121</v>
      </c>
      <c r="G545" s="4" t="n">
        <v>1</v>
      </c>
      <c r="H545" s="34" t="n">
        <v>170</v>
      </c>
      <c r="I545" s="18" t="n">
        <v>0</v>
      </c>
      <c r="J545" s="4" t="s">
        <v>112</v>
      </c>
      <c r="K545" s="4" t="s">
        <v>68</v>
      </c>
      <c r="L545" s="35" t="n">
        <f aca="false">G545*H545</f>
        <v>170</v>
      </c>
      <c r="M545" s="35" t="n">
        <f aca="false">L545*I545</f>
        <v>0</v>
      </c>
      <c r="N545" s="35" t="n">
        <f aca="false">L545-M545</f>
        <v>170</v>
      </c>
      <c r="O545" s="4" t="n">
        <f aca="false">MONTH(B545)</f>
        <v>4</v>
      </c>
      <c r="P545" s="4" t="str">
        <f aca="false">CHOOSE(WEEKDAY(B545,2),"Mon","Tue","Wed","Thu","Fri","Sat","Sun")</f>
        <v>Wed</v>
      </c>
      <c r="Q545" s="4" t="str">
        <f aca="false">IF(WEEKDAY(B545,2)&gt;5,"Weekend","Weekday")</f>
        <v>Weekday</v>
      </c>
      <c r="R545" s="4" t="str">
        <f aca="false">IF(C545&lt;11,"Morning (7-10)",IF(C545&lt;14,"Lunch (11-13)",IF(C545&lt;18,"Afternoon (14-17)","Evening (18-20)")))</f>
        <v>Afternoon (14-17)</v>
      </c>
      <c r="S545" s="4" t="str">
        <f aca="false">IF(AND(O545&gt;=3,O545&lt;=5),"Hot Dry (Mar-May)",IF(AND(O545&gt;=6,O545&lt;=11),"Rainy (Jun-Nov)","Cool Dry (Dec-Feb)"))</f>
        <v>Hot Dry (Mar-May)</v>
      </c>
      <c r="T545" s="4" t="str">
        <f aca="false">CHOOSE(O545,"Jan","Feb","Mar","Apr","May","Jun","Jul","Aug","Sep","Oct","Nov","Dec")</f>
        <v>Apr</v>
      </c>
    </row>
    <row r="546" customFormat="false" ht="15" hidden="false" customHeight="false" outlineLevel="0" collapsed="false">
      <c r="A546" s="4" t="s">
        <v>772</v>
      </c>
      <c r="B546" s="17" t="n">
        <v>45777</v>
      </c>
      <c r="C546" s="4" t="n">
        <v>15</v>
      </c>
      <c r="D546" s="4" t="s">
        <v>70</v>
      </c>
      <c r="E546" s="4" t="s">
        <v>65</v>
      </c>
      <c r="F546" s="4" t="s">
        <v>66</v>
      </c>
      <c r="G546" s="4" t="n">
        <v>2</v>
      </c>
      <c r="H546" s="34" t="n">
        <v>120</v>
      </c>
      <c r="I546" s="18" t="n">
        <v>0</v>
      </c>
      <c r="J546" s="4" t="s">
        <v>76</v>
      </c>
      <c r="K546" s="4" t="s">
        <v>77</v>
      </c>
      <c r="L546" s="35" t="n">
        <f aca="false">G546*H546</f>
        <v>240</v>
      </c>
      <c r="M546" s="35" t="n">
        <f aca="false">L546*I546</f>
        <v>0</v>
      </c>
      <c r="N546" s="35" t="n">
        <f aca="false">L546-M546</f>
        <v>240</v>
      </c>
      <c r="O546" s="4" t="n">
        <f aca="false">MONTH(B546)</f>
        <v>4</v>
      </c>
      <c r="P546" s="4" t="str">
        <f aca="false">CHOOSE(WEEKDAY(B546,2),"Mon","Tue","Wed","Thu","Fri","Sat","Sun")</f>
        <v>Wed</v>
      </c>
      <c r="Q546" s="4" t="str">
        <f aca="false">IF(WEEKDAY(B546,2)&gt;5,"Weekend","Weekday")</f>
        <v>Weekday</v>
      </c>
      <c r="R546" s="4" t="str">
        <f aca="false">IF(C546&lt;11,"Morning (7-10)",IF(C546&lt;14,"Lunch (11-13)",IF(C546&lt;18,"Afternoon (14-17)","Evening (18-20)")))</f>
        <v>Afternoon (14-17)</v>
      </c>
      <c r="S546" s="4" t="str">
        <f aca="false">IF(AND(O546&gt;=3,O546&lt;=5),"Hot Dry (Mar-May)",IF(AND(O546&gt;=6,O546&lt;=11),"Rainy (Jun-Nov)","Cool Dry (Dec-Feb)"))</f>
        <v>Hot Dry (Mar-May)</v>
      </c>
      <c r="T546" s="4" t="str">
        <f aca="false">CHOOSE(O546,"Jan","Feb","Mar","Apr","May","Jun","Jul","Aug","Sep","Oct","Nov","Dec")</f>
        <v>Apr</v>
      </c>
    </row>
    <row r="547" customFormat="false" ht="15" hidden="false" customHeight="false" outlineLevel="0" collapsed="false">
      <c r="A547" s="4" t="s">
        <v>773</v>
      </c>
      <c r="B547" s="17" t="n">
        <v>45777</v>
      </c>
      <c r="C547" s="4" t="n">
        <v>17</v>
      </c>
      <c r="D547" s="4" t="s">
        <v>70</v>
      </c>
      <c r="E547" s="4" t="s">
        <v>99</v>
      </c>
      <c r="F547" s="4" t="s">
        <v>102</v>
      </c>
      <c r="G547" s="4" t="n">
        <v>4</v>
      </c>
      <c r="H547" s="34" t="n">
        <v>140</v>
      </c>
      <c r="I547" s="18" t="n">
        <v>0</v>
      </c>
      <c r="J547" s="4" t="s">
        <v>76</v>
      </c>
      <c r="K547" s="4" t="s">
        <v>68</v>
      </c>
      <c r="L547" s="35" t="n">
        <f aca="false">G547*H547</f>
        <v>560</v>
      </c>
      <c r="M547" s="35" t="n">
        <f aca="false">L547*I547</f>
        <v>0</v>
      </c>
      <c r="N547" s="35" t="n">
        <f aca="false">L547-M547</f>
        <v>560</v>
      </c>
      <c r="O547" s="4" t="n">
        <f aca="false">MONTH(B547)</f>
        <v>4</v>
      </c>
      <c r="P547" s="4" t="str">
        <f aca="false">CHOOSE(WEEKDAY(B547,2),"Mon","Tue","Wed","Thu","Fri","Sat","Sun")</f>
        <v>Wed</v>
      </c>
      <c r="Q547" s="4" t="str">
        <f aca="false">IF(WEEKDAY(B547,2)&gt;5,"Weekend","Weekday")</f>
        <v>Weekday</v>
      </c>
      <c r="R547" s="4" t="str">
        <f aca="false">IF(C547&lt;11,"Morning (7-10)",IF(C547&lt;14,"Lunch (11-13)",IF(C547&lt;18,"Afternoon (14-17)","Evening (18-20)")))</f>
        <v>Afternoon (14-17)</v>
      </c>
      <c r="S547" s="4" t="str">
        <f aca="false">IF(AND(O547&gt;=3,O547&lt;=5),"Hot Dry (Mar-May)",IF(AND(O547&gt;=6,O547&lt;=11),"Rainy (Jun-Nov)","Cool Dry (Dec-Feb)"))</f>
        <v>Hot Dry (Mar-May)</v>
      </c>
      <c r="T547" s="4" t="str">
        <f aca="false">CHOOSE(O547,"Jan","Feb","Mar","Apr","May","Jun","Jul","Aug","Sep","Oct","Nov","Dec")</f>
        <v>Apr</v>
      </c>
    </row>
    <row r="548" customFormat="false" ht="15" hidden="false" customHeight="false" outlineLevel="0" collapsed="false">
      <c r="A548" s="4" t="s">
        <v>775</v>
      </c>
      <c r="B548" s="17" t="n">
        <v>45777</v>
      </c>
      <c r="C548" s="4" t="n">
        <v>17</v>
      </c>
      <c r="D548" s="4" t="s">
        <v>98</v>
      </c>
      <c r="E548" s="4" t="s">
        <v>79</v>
      </c>
      <c r="F548" s="4" t="s">
        <v>135</v>
      </c>
      <c r="G548" s="4" t="n">
        <v>1</v>
      </c>
      <c r="H548" s="34" t="n">
        <v>130</v>
      </c>
      <c r="I548" s="18" t="n">
        <v>0</v>
      </c>
      <c r="J548" s="4" t="s">
        <v>76</v>
      </c>
      <c r="K548" s="4" t="s">
        <v>68</v>
      </c>
      <c r="L548" s="35" t="n">
        <f aca="false">G548*H548</f>
        <v>130</v>
      </c>
      <c r="M548" s="35" t="n">
        <f aca="false">L548*I548</f>
        <v>0</v>
      </c>
      <c r="N548" s="35" t="n">
        <f aca="false">L548-M548</f>
        <v>130</v>
      </c>
      <c r="O548" s="4" t="n">
        <f aca="false">MONTH(B548)</f>
        <v>4</v>
      </c>
      <c r="P548" s="4" t="str">
        <f aca="false">CHOOSE(WEEKDAY(B548,2),"Mon","Tue","Wed","Thu","Fri","Sat","Sun")</f>
        <v>Wed</v>
      </c>
      <c r="Q548" s="4" t="str">
        <f aca="false">IF(WEEKDAY(B548,2)&gt;5,"Weekend","Weekday")</f>
        <v>Weekday</v>
      </c>
      <c r="R548" s="4" t="str">
        <f aca="false">IF(C548&lt;11,"Morning (7-10)",IF(C548&lt;14,"Lunch (11-13)",IF(C548&lt;18,"Afternoon (14-17)","Evening (18-20)")))</f>
        <v>Afternoon (14-17)</v>
      </c>
      <c r="S548" s="4" t="str">
        <f aca="false">IF(AND(O548&gt;=3,O548&lt;=5),"Hot Dry (Mar-May)",IF(AND(O548&gt;=6,O548&lt;=11),"Rainy (Jun-Nov)","Cool Dry (Dec-Feb)"))</f>
        <v>Hot Dry (Mar-May)</v>
      </c>
      <c r="T548" s="4" t="str">
        <f aca="false">CHOOSE(O548,"Jan","Feb","Mar","Apr","May","Jun","Jul","Aug","Sep","Oct","Nov","Dec")</f>
        <v>Apr</v>
      </c>
    </row>
    <row r="549" customFormat="false" ht="15" hidden="false" customHeight="false" outlineLevel="0" collapsed="false">
      <c r="A549" s="4" t="s">
        <v>776</v>
      </c>
      <c r="B549" s="17" t="n">
        <v>45777</v>
      </c>
      <c r="C549" s="4" t="n">
        <v>19</v>
      </c>
      <c r="D549" s="4" t="s">
        <v>73</v>
      </c>
      <c r="E549" s="4" t="s">
        <v>99</v>
      </c>
      <c r="F549" s="4" t="s">
        <v>100</v>
      </c>
      <c r="G549" s="4" t="n">
        <v>1</v>
      </c>
      <c r="H549" s="34" t="n">
        <v>110</v>
      </c>
      <c r="I549" s="18" t="n">
        <v>0</v>
      </c>
      <c r="J549" s="4" t="s">
        <v>67</v>
      </c>
      <c r="K549" s="4" t="s">
        <v>82</v>
      </c>
      <c r="L549" s="35" t="n">
        <f aca="false">G549*H549</f>
        <v>110</v>
      </c>
      <c r="M549" s="35" t="n">
        <f aca="false">L549*I549</f>
        <v>0</v>
      </c>
      <c r="N549" s="35" t="n">
        <f aca="false">L549-M549</f>
        <v>110</v>
      </c>
      <c r="O549" s="4" t="n">
        <f aca="false">MONTH(B549)</f>
        <v>4</v>
      </c>
      <c r="P549" s="4" t="str">
        <f aca="false">CHOOSE(WEEKDAY(B549,2),"Mon","Tue","Wed","Thu","Fri","Sat","Sun")</f>
        <v>Wed</v>
      </c>
      <c r="Q549" s="4" t="str">
        <f aca="false">IF(WEEKDAY(B549,2)&gt;5,"Weekend","Weekday")</f>
        <v>Weekday</v>
      </c>
      <c r="R549" s="4" t="str">
        <f aca="false">IF(C549&lt;11,"Morning (7-10)",IF(C549&lt;14,"Lunch (11-13)",IF(C549&lt;18,"Afternoon (14-17)","Evening (18-20)")))</f>
        <v>Evening (18-20)</v>
      </c>
      <c r="S549" s="4" t="str">
        <f aca="false">IF(AND(O549&gt;=3,O549&lt;=5),"Hot Dry (Mar-May)",IF(AND(O549&gt;=6,O549&lt;=11),"Rainy (Jun-Nov)","Cool Dry (Dec-Feb)"))</f>
        <v>Hot Dry (Mar-May)</v>
      </c>
      <c r="T549" s="4" t="str">
        <f aca="false">CHOOSE(O549,"Jan","Feb","Mar","Apr","May","Jun","Jul","Aug","Sep","Oct","Nov","Dec")</f>
        <v>Apr</v>
      </c>
    </row>
    <row r="550" customFormat="false" ht="15" hidden="false" customHeight="false" outlineLevel="0" collapsed="false">
      <c r="A550" s="4" t="s">
        <v>777</v>
      </c>
      <c r="B550" s="17" t="n">
        <v>45777</v>
      </c>
      <c r="C550" s="4" t="n">
        <v>20</v>
      </c>
      <c r="D550" s="4" t="s">
        <v>64</v>
      </c>
      <c r="E550" s="4" t="s">
        <v>79</v>
      </c>
      <c r="F550" s="4" t="s">
        <v>80</v>
      </c>
      <c r="G550" s="4" t="n">
        <v>2</v>
      </c>
      <c r="H550" s="34" t="n">
        <v>160</v>
      </c>
      <c r="I550" s="18" t="n">
        <v>0.1</v>
      </c>
      <c r="J550" s="4" t="s">
        <v>67</v>
      </c>
      <c r="K550" s="4" t="s">
        <v>82</v>
      </c>
      <c r="L550" s="35" t="n">
        <f aca="false">G550*H550</f>
        <v>320</v>
      </c>
      <c r="M550" s="35" t="n">
        <f aca="false">L550*I550</f>
        <v>32</v>
      </c>
      <c r="N550" s="35" t="n">
        <f aca="false">L550-M550</f>
        <v>288</v>
      </c>
      <c r="O550" s="4" t="n">
        <f aca="false">MONTH(B550)</f>
        <v>4</v>
      </c>
      <c r="P550" s="4" t="str">
        <f aca="false">CHOOSE(WEEKDAY(B550,2),"Mon","Tue","Wed","Thu","Fri","Sat","Sun")</f>
        <v>Wed</v>
      </c>
      <c r="Q550" s="4" t="str">
        <f aca="false">IF(WEEKDAY(B550,2)&gt;5,"Weekend","Weekday")</f>
        <v>Weekday</v>
      </c>
      <c r="R550" s="4" t="str">
        <f aca="false">IF(C550&lt;11,"Morning (7-10)",IF(C550&lt;14,"Lunch (11-13)",IF(C550&lt;18,"Afternoon (14-17)","Evening (18-20)")))</f>
        <v>Evening (18-20)</v>
      </c>
      <c r="S550" s="4" t="str">
        <f aca="false">IF(AND(O550&gt;=3,O550&lt;=5),"Hot Dry (Mar-May)",IF(AND(O550&gt;=6,O550&lt;=11),"Rainy (Jun-Nov)","Cool Dry (Dec-Feb)"))</f>
        <v>Hot Dry (Mar-May)</v>
      </c>
      <c r="T550" s="4" t="str">
        <f aca="false">CHOOSE(O550,"Jan","Feb","Mar","Apr","May","Jun","Jul","Aug","Sep","Oct","Nov","Dec")</f>
        <v>Apr</v>
      </c>
    </row>
    <row r="551" customFormat="false" ht="15" hidden="false" customHeight="false" outlineLevel="0" collapsed="false">
      <c r="A551" s="4" t="s">
        <v>778</v>
      </c>
      <c r="B551" s="17" t="n">
        <v>45778</v>
      </c>
      <c r="C551" s="4" t="n">
        <v>8</v>
      </c>
      <c r="D551" s="4" t="s">
        <v>64</v>
      </c>
      <c r="E551" s="4" t="s">
        <v>99</v>
      </c>
      <c r="F551" s="4" t="s">
        <v>133</v>
      </c>
      <c r="G551" s="4" t="n">
        <v>1</v>
      </c>
      <c r="H551" s="34" t="n">
        <v>90</v>
      </c>
      <c r="I551" s="18" t="n">
        <v>0</v>
      </c>
      <c r="J551" s="4" t="s">
        <v>81</v>
      </c>
      <c r="K551" s="4" t="s">
        <v>68</v>
      </c>
      <c r="L551" s="35" t="n">
        <f aca="false">G551*H551</f>
        <v>90</v>
      </c>
      <c r="M551" s="35" t="n">
        <f aca="false">L551*I551</f>
        <v>0</v>
      </c>
      <c r="N551" s="35" t="n">
        <f aca="false">L551-M551</f>
        <v>90</v>
      </c>
      <c r="O551" s="4" t="n">
        <f aca="false">MONTH(B551)</f>
        <v>5</v>
      </c>
      <c r="P551" s="4" t="str">
        <f aca="false">CHOOSE(WEEKDAY(B551,2),"Mon","Tue","Wed","Thu","Fri","Sat","Sun")</f>
        <v>Thu</v>
      </c>
      <c r="Q551" s="4" t="str">
        <f aca="false">IF(WEEKDAY(B551,2)&gt;5,"Weekend","Weekday")</f>
        <v>Weekday</v>
      </c>
      <c r="R551" s="4" t="str">
        <f aca="false">IF(C551&lt;11,"Morning (7-10)",IF(C551&lt;14,"Lunch (11-13)",IF(C551&lt;18,"Afternoon (14-17)","Evening (18-20)")))</f>
        <v>Morning (7-10)</v>
      </c>
      <c r="S551" s="4" t="str">
        <f aca="false">IF(AND(O551&gt;=3,O551&lt;=5),"Hot Dry (Mar-May)",IF(AND(O551&gt;=6,O551&lt;=11),"Rainy (Jun-Nov)","Cool Dry (Dec-Feb)"))</f>
        <v>Hot Dry (Mar-May)</v>
      </c>
      <c r="T551" s="4" t="str">
        <f aca="false">CHOOSE(O551,"Jan","Feb","Mar","Apr","May","Jun","Jul","Aug","Sep","Oct","Nov","Dec")</f>
        <v>May</v>
      </c>
    </row>
    <row r="552" customFormat="false" ht="15" hidden="false" customHeight="false" outlineLevel="0" collapsed="false">
      <c r="A552" s="4" t="s">
        <v>780</v>
      </c>
      <c r="B552" s="17" t="n">
        <v>45778</v>
      </c>
      <c r="C552" s="4" t="n">
        <v>10</v>
      </c>
      <c r="D552" s="4" t="s">
        <v>64</v>
      </c>
      <c r="E552" s="4" t="s">
        <v>65</v>
      </c>
      <c r="F552" s="4" t="s">
        <v>121</v>
      </c>
      <c r="G552" s="4" t="n">
        <v>1</v>
      </c>
      <c r="H552" s="34" t="n">
        <v>170</v>
      </c>
      <c r="I552" s="18" t="n">
        <v>0</v>
      </c>
      <c r="J552" s="4" t="s">
        <v>67</v>
      </c>
      <c r="K552" s="4" t="s">
        <v>77</v>
      </c>
      <c r="L552" s="35" t="n">
        <f aca="false">G552*H552</f>
        <v>170</v>
      </c>
      <c r="M552" s="35" t="n">
        <f aca="false">L552*I552</f>
        <v>0</v>
      </c>
      <c r="N552" s="35" t="n">
        <f aca="false">L552-M552</f>
        <v>170</v>
      </c>
      <c r="O552" s="4" t="n">
        <f aca="false">MONTH(B552)</f>
        <v>5</v>
      </c>
      <c r="P552" s="4" t="str">
        <f aca="false">CHOOSE(WEEKDAY(B552,2),"Mon","Tue","Wed","Thu","Fri","Sat","Sun")</f>
        <v>Thu</v>
      </c>
      <c r="Q552" s="4" t="str">
        <f aca="false">IF(WEEKDAY(B552,2)&gt;5,"Weekend","Weekday")</f>
        <v>Weekday</v>
      </c>
      <c r="R552" s="4" t="str">
        <f aca="false">IF(C552&lt;11,"Morning (7-10)",IF(C552&lt;14,"Lunch (11-13)",IF(C552&lt;18,"Afternoon (14-17)","Evening (18-20)")))</f>
        <v>Morning (7-10)</v>
      </c>
      <c r="S552" s="4" t="str">
        <f aca="false">IF(AND(O552&gt;=3,O552&lt;=5),"Hot Dry (Mar-May)",IF(AND(O552&gt;=6,O552&lt;=11),"Rainy (Jun-Nov)","Cool Dry (Dec-Feb)"))</f>
        <v>Hot Dry (Mar-May)</v>
      </c>
      <c r="T552" s="4" t="str">
        <f aca="false">CHOOSE(O552,"Jan","Feb","Mar","Apr","May","Jun","Jul","Aug","Sep","Oct","Nov","Dec")</f>
        <v>May</v>
      </c>
    </row>
    <row r="553" customFormat="false" ht="15" hidden="false" customHeight="false" outlineLevel="0" collapsed="false">
      <c r="A553" s="4" t="s">
        <v>781</v>
      </c>
      <c r="B553" s="17" t="n">
        <v>45778</v>
      </c>
      <c r="C553" s="4" t="n">
        <v>11</v>
      </c>
      <c r="D553" s="4" t="s">
        <v>70</v>
      </c>
      <c r="E553" s="4" t="s">
        <v>84</v>
      </c>
      <c r="F553" s="4" t="s">
        <v>85</v>
      </c>
      <c r="G553" s="4" t="n">
        <v>2</v>
      </c>
      <c r="H553" s="34" t="n">
        <v>150</v>
      </c>
      <c r="I553" s="18" t="n">
        <v>0</v>
      </c>
      <c r="J553" s="4" t="s">
        <v>112</v>
      </c>
      <c r="K553" s="4" t="s">
        <v>68</v>
      </c>
      <c r="L553" s="35" t="n">
        <f aca="false">G553*H553</f>
        <v>300</v>
      </c>
      <c r="M553" s="35" t="n">
        <f aca="false">L553*I553</f>
        <v>0</v>
      </c>
      <c r="N553" s="35" t="n">
        <f aca="false">L553-M553</f>
        <v>300</v>
      </c>
      <c r="O553" s="4" t="n">
        <f aca="false">MONTH(B553)</f>
        <v>5</v>
      </c>
      <c r="P553" s="4" t="str">
        <f aca="false">CHOOSE(WEEKDAY(B553,2),"Mon","Tue","Wed","Thu","Fri","Sat","Sun")</f>
        <v>Thu</v>
      </c>
      <c r="Q553" s="4" t="str">
        <f aca="false">IF(WEEKDAY(B553,2)&gt;5,"Weekend","Weekday")</f>
        <v>Weekday</v>
      </c>
      <c r="R553" s="4" t="str">
        <f aca="false">IF(C553&lt;11,"Morning (7-10)",IF(C553&lt;14,"Lunch (11-13)",IF(C553&lt;18,"Afternoon (14-17)","Evening (18-20)")))</f>
        <v>Lunch (11-13)</v>
      </c>
      <c r="S553" s="4" t="str">
        <f aca="false">IF(AND(O553&gt;=3,O553&lt;=5),"Hot Dry (Mar-May)",IF(AND(O553&gt;=6,O553&lt;=11),"Rainy (Jun-Nov)","Cool Dry (Dec-Feb)"))</f>
        <v>Hot Dry (Mar-May)</v>
      </c>
      <c r="T553" s="4" t="str">
        <f aca="false">CHOOSE(O553,"Jan","Feb","Mar","Apr","May","Jun","Jul","Aug","Sep","Oct","Nov","Dec")</f>
        <v>May</v>
      </c>
    </row>
    <row r="554" customFormat="false" ht="15" hidden="false" customHeight="false" outlineLevel="0" collapsed="false">
      <c r="A554" s="4" t="s">
        <v>782</v>
      </c>
      <c r="B554" s="17" t="n">
        <v>45778</v>
      </c>
      <c r="C554" s="4" t="n">
        <v>12</v>
      </c>
      <c r="D554" s="4" t="s">
        <v>73</v>
      </c>
      <c r="E554" s="4" t="s">
        <v>74</v>
      </c>
      <c r="F554" s="4" t="s">
        <v>75</v>
      </c>
      <c r="G554" s="4" t="n">
        <v>1</v>
      </c>
      <c r="H554" s="34" t="n">
        <v>220</v>
      </c>
      <c r="I554" s="18" t="n">
        <v>0.1</v>
      </c>
      <c r="J554" s="4" t="s">
        <v>81</v>
      </c>
      <c r="K554" s="4" t="s">
        <v>71</v>
      </c>
      <c r="L554" s="35" t="n">
        <f aca="false">G554*H554</f>
        <v>220</v>
      </c>
      <c r="M554" s="35" t="n">
        <f aca="false">L554*I554</f>
        <v>22</v>
      </c>
      <c r="N554" s="35" t="n">
        <f aca="false">L554-M554</f>
        <v>198</v>
      </c>
      <c r="O554" s="4" t="n">
        <f aca="false">MONTH(B554)</f>
        <v>5</v>
      </c>
      <c r="P554" s="4" t="str">
        <f aca="false">CHOOSE(WEEKDAY(B554,2),"Mon","Tue","Wed","Thu","Fri","Sat","Sun")</f>
        <v>Thu</v>
      </c>
      <c r="Q554" s="4" t="str">
        <f aca="false">IF(WEEKDAY(B554,2)&gt;5,"Weekend","Weekday")</f>
        <v>Weekday</v>
      </c>
      <c r="R554" s="4" t="str">
        <f aca="false">IF(C554&lt;11,"Morning (7-10)",IF(C554&lt;14,"Lunch (11-13)",IF(C554&lt;18,"Afternoon (14-17)","Evening (18-20)")))</f>
        <v>Lunch (11-13)</v>
      </c>
      <c r="S554" s="4" t="str">
        <f aca="false">IF(AND(O554&gt;=3,O554&lt;=5),"Hot Dry (Mar-May)",IF(AND(O554&gt;=6,O554&lt;=11),"Rainy (Jun-Nov)","Cool Dry (Dec-Feb)"))</f>
        <v>Hot Dry (Mar-May)</v>
      </c>
      <c r="T554" s="4" t="str">
        <f aca="false">CHOOSE(O554,"Jan","Feb","Mar","Apr","May","Jun","Jul","Aug","Sep","Oct","Nov","Dec")</f>
        <v>May</v>
      </c>
    </row>
    <row r="555" customFormat="false" ht="15" hidden="false" customHeight="false" outlineLevel="0" collapsed="false">
      <c r="A555" s="4" t="s">
        <v>783</v>
      </c>
      <c r="B555" s="17" t="n">
        <v>45778</v>
      </c>
      <c r="C555" s="4" t="n">
        <v>14</v>
      </c>
      <c r="D555" s="4" t="s">
        <v>64</v>
      </c>
      <c r="E555" s="4" t="s">
        <v>79</v>
      </c>
      <c r="F555" s="4" t="s">
        <v>148</v>
      </c>
      <c r="G555" s="4" t="n">
        <v>2</v>
      </c>
      <c r="H555" s="34" t="n">
        <v>120</v>
      </c>
      <c r="I555" s="18" t="n">
        <v>0.15</v>
      </c>
      <c r="J555" s="4" t="s">
        <v>76</v>
      </c>
      <c r="K555" s="4" t="s">
        <v>82</v>
      </c>
      <c r="L555" s="35" t="n">
        <f aca="false">G555*H555</f>
        <v>240</v>
      </c>
      <c r="M555" s="35" t="n">
        <f aca="false">L555*I555</f>
        <v>36</v>
      </c>
      <c r="N555" s="35" t="n">
        <f aca="false">L555-M555</f>
        <v>204</v>
      </c>
      <c r="O555" s="4" t="n">
        <f aca="false">MONTH(B555)</f>
        <v>5</v>
      </c>
      <c r="P555" s="4" t="str">
        <f aca="false">CHOOSE(WEEKDAY(B555,2),"Mon","Tue","Wed","Thu","Fri","Sat","Sun")</f>
        <v>Thu</v>
      </c>
      <c r="Q555" s="4" t="str">
        <f aca="false">IF(WEEKDAY(B555,2)&gt;5,"Weekend","Weekday")</f>
        <v>Weekday</v>
      </c>
      <c r="R555" s="4" t="str">
        <f aca="false">IF(C555&lt;11,"Morning (7-10)",IF(C555&lt;14,"Lunch (11-13)",IF(C555&lt;18,"Afternoon (14-17)","Evening (18-20)")))</f>
        <v>Afternoon (14-17)</v>
      </c>
      <c r="S555" s="4" t="str">
        <f aca="false">IF(AND(O555&gt;=3,O555&lt;=5),"Hot Dry (Mar-May)",IF(AND(O555&gt;=6,O555&lt;=11),"Rainy (Jun-Nov)","Cool Dry (Dec-Feb)"))</f>
        <v>Hot Dry (Mar-May)</v>
      </c>
      <c r="T555" s="4" t="str">
        <f aca="false">CHOOSE(O555,"Jan","Feb","Mar","Apr","May","Jun","Jul","Aug","Sep","Oct","Nov","Dec")</f>
        <v>May</v>
      </c>
    </row>
    <row r="556" customFormat="false" ht="15" hidden="false" customHeight="false" outlineLevel="0" collapsed="false">
      <c r="A556" s="4" t="s">
        <v>784</v>
      </c>
      <c r="B556" s="17" t="n">
        <v>45778</v>
      </c>
      <c r="C556" s="4" t="n">
        <v>20</v>
      </c>
      <c r="D556" s="4" t="s">
        <v>73</v>
      </c>
      <c r="E556" s="4" t="s">
        <v>74</v>
      </c>
      <c r="F556" s="4" t="s">
        <v>91</v>
      </c>
      <c r="G556" s="4" t="n">
        <v>1</v>
      </c>
      <c r="H556" s="34" t="n">
        <v>200</v>
      </c>
      <c r="I556" s="18" t="n">
        <v>0</v>
      </c>
      <c r="J556" s="4" t="s">
        <v>67</v>
      </c>
      <c r="K556" s="4" t="s">
        <v>68</v>
      </c>
      <c r="L556" s="35" t="n">
        <f aca="false">G556*H556</f>
        <v>200</v>
      </c>
      <c r="M556" s="35" t="n">
        <f aca="false">L556*I556</f>
        <v>0</v>
      </c>
      <c r="N556" s="35" t="n">
        <f aca="false">L556-M556</f>
        <v>200</v>
      </c>
      <c r="O556" s="4" t="n">
        <f aca="false">MONTH(B556)</f>
        <v>5</v>
      </c>
      <c r="P556" s="4" t="str">
        <f aca="false">CHOOSE(WEEKDAY(B556,2),"Mon","Tue","Wed","Thu","Fri","Sat","Sun")</f>
        <v>Thu</v>
      </c>
      <c r="Q556" s="4" t="str">
        <f aca="false">IF(WEEKDAY(B556,2)&gt;5,"Weekend","Weekday")</f>
        <v>Weekday</v>
      </c>
      <c r="R556" s="4" t="str">
        <f aca="false">IF(C556&lt;11,"Morning (7-10)",IF(C556&lt;14,"Lunch (11-13)",IF(C556&lt;18,"Afternoon (14-17)","Evening (18-20)")))</f>
        <v>Evening (18-20)</v>
      </c>
      <c r="S556" s="4" t="str">
        <f aca="false">IF(AND(O556&gt;=3,O556&lt;=5),"Hot Dry (Mar-May)",IF(AND(O556&gt;=6,O556&lt;=11),"Rainy (Jun-Nov)","Cool Dry (Dec-Feb)"))</f>
        <v>Hot Dry (Mar-May)</v>
      </c>
      <c r="T556" s="4" t="str">
        <f aca="false">CHOOSE(O556,"Jan","Feb","Mar","Apr","May","Jun","Jul","Aug","Sep","Oct","Nov","Dec")</f>
        <v>May</v>
      </c>
    </row>
    <row r="557" customFormat="false" ht="15" hidden="false" customHeight="false" outlineLevel="0" collapsed="false">
      <c r="A557" s="4" t="s">
        <v>785</v>
      </c>
      <c r="B557" s="17" t="n">
        <v>45779</v>
      </c>
      <c r="C557" s="4" t="n">
        <v>7</v>
      </c>
      <c r="D557" s="4" t="s">
        <v>73</v>
      </c>
      <c r="E557" s="4" t="s">
        <v>99</v>
      </c>
      <c r="F557" s="4" t="s">
        <v>109</v>
      </c>
      <c r="G557" s="4" t="n">
        <v>1</v>
      </c>
      <c r="H557" s="34" t="n">
        <v>130</v>
      </c>
      <c r="I557" s="18" t="n">
        <v>0.05</v>
      </c>
      <c r="J557" s="4" t="s">
        <v>76</v>
      </c>
      <c r="K557" s="4" t="s">
        <v>82</v>
      </c>
      <c r="L557" s="35" t="n">
        <f aca="false">G557*H557</f>
        <v>130</v>
      </c>
      <c r="M557" s="35" t="n">
        <f aca="false">L557*I557</f>
        <v>6.5</v>
      </c>
      <c r="N557" s="35" t="n">
        <f aca="false">L557-M557</f>
        <v>123.5</v>
      </c>
      <c r="O557" s="4" t="n">
        <f aca="false">MONTH(B557)</f>
        <v>5</v>
      </c>
      <c r="P557" s="4" t="str">
        <f aca="false">CHOOSE(WEEKDAY(B557,2),"Mon","Tue","Wed","Thu","Fri","Sat","Sun")</f>
        <v>Fri</v>
      </c>
      <c r="Q557" s="4" t="str">
        <f aca="false">IF(WEEKDAY(B557,2)&gt;5,"Weekend","Weekday")</f>
        <v>Weekday</v>
      </c>
      <c r="R557" s="4" t="str">
        <f aca="false">IF(C557&lt;11,"Morning (7-10)",IF(C557&lt;14,"Lunch (11-13)",IF(C557&lt;18,"Afternoon (14-17)","Evening (18-20)")))</f>
        <v>Morning (7-10)</v>
      </c>
      <c r="S557" s="4" t="str">
        <f aca="false">IF(AND(O557&gt;=3,O557&lt;=5),"Hot Dry (Mar-May)",IF(AND(O557&gt;=6,O557&lt;=11),"Rainy (Jun-Nov)","Cool Dry (Dec-Feb)"))</f>
        <v>Hot Dry (Mar-May)</v>
      </c>
      <c r="T557" s="4" t="str">
        <f aca="false">CHOOSE(O557,"Jan","Feb","Mar","Apr","May","Jun","Jul","Aug","Sep","Oct","Nov","Dec")</f>
        <v>May</v>
      </c>
    </row>
    <row r="558" customFormat="false" ht="15" hidden="false" customHeight="false" outlineLevel="0" collapsed="false">
      <c r="A558" s="4" t="s">
        <v>786</v>
      </c>
      <c r="B558" s="17" t="n">
        <v>45779</v>
      </c>
      <c r="C558" s="4" t="n">
        <v>12</v>
      </c>
      <c r="D558" s="4" t="s">
        <v>73</v>
      </c>
      <c r="E558" s="4" t="s">
        <v>65</v>
      </c>
      <c r="F558" s="4" t="s">
        <v>87</v>
      </c>
      <c r="G558" s="4" t="n">
        <v>1</v>
      </c>
      <c r="H558" s="34" t="n">
        <v>160</v>
      </c>
      <c r="I558" s="18" t="n">
        <v>0</v>
      </c>
      <c r="J558" s="4" t="s">
        <v>81</v>
      </c>
      <c r="K558" s="4" t="s">
        <v>2289</v>
      </c>
      <c r="L558" s="35" t="n">
        <f aca="false">G558*H558</f>
        <v>160</v>
      </c>
      <c r="M558" s="35" t="n">
        <f aca="false">L558*I558</f>
        <v>0</v>
      </c>
      <c r="N558" s="35" t="n">
        <f aca="false">L558-M558</f>
        <v>160</v>
      </c>
      <c r="O558" s="4" t="n">
        <f aca="false">MONTH(B558)</f>
        <v>5</v>
      </c>
      <c r="P558" s="4" t="str">
        <f aca="false">CHOOSE(WEEKDAY(B558,2),"Mon","Tue","Wed","Thu","Fri","Sat","Sun")</f>
        <v>Fri</v>
      </c>
      <c r="Q558" s="4" t="str">
        <f aca="false">IF(WEEKDAY(B558,2)&gt;5,"Weekend","Weekday")</f>
        <v>Weekday</v>
      </c>
      <c r="R558" s="4" t="str">
        <f aca="false">IF(C558&lt;11,"Morning (7-10)",IF(C558&lt;14,"Lunch (11-13)",IF(C558&lt;18,"Afternoon (14-17)","Evening (18-20)")))</f>
        <v>Lunch (11-13)</v>
      </c>
      <c r="S558" s="4" t="str">
        <f aca="false">IF(AND(O558&gt;=3,O558&lt;=5),"Hot Dry (Mar-May)",IF(AND(O558&gt;=6,O558&lt;=11),"Rainy (Jun-Nov)","Cool Dry (Dec-Feb)"))</f>
        <v>Hot Dry (Mar-May)</v>
      </c>
      <c r="T558" s="4" t="str">
        <f aca="false">CHOOSE(O558,"Jan","Feb","Mar","Apr","May","Jun","Jul","Aug","Sep","Oct","Nov","Dec")</f>
        <v>May</v>
      </c>
    </row>
    <row r="559" customFormat="false" ht="15" hidden="false" customHeight="false" outlineLevel="0" collapsed="false">
      <c r="A559" s="4" t="s">
        <v>787</v>
      </c>
      <c r="B559" s="17" t="n">
        <v>45779</v>
      </c>
      <c r="C559" s="4" t="n">
        <v>13</v>
      </c>
      <c r="D559" s="4" t="s">
        <v>98</v>
      </c>
      <c r="E559" s="4" t="s">
        <v>79</v>
      </c>
      <c r="F559" s="4" t="s">
        <v>80</v>
      </c>
      <c r="G559" s="4" t="n">
        <v>3</v>
      </c>
      <c r="H559" s="34" t="n">
        <v>160</v>
      </c>
      <c r="I559" s="18" t="n">
        <v>0</v>
      </c>
      <c r="J559" s="4" t="s">
        <v>81</v>
      </c>
      <c r="K559" s="4" t="s">
        <v>77</v>
      </c>
      <c r="L559" s="35" t="n">
        <f aca="false">G559*H559</f>
        <v>480</v>
      </c>
      <c r="M559" s="35" t="n">
        <f aca="false">L559*I559</f>
        <v>0</v>
      </c>
      <c r="N559" s="35" t="n">
        <f aca="false">L559-M559</f>
        <v>480</v>
      </c>
      <c r="O559" s="4" t="n">
        <f aca="false">MONTH(B559)</f>
        <v>5</v>
      </c>
      <c r="P559" s="4" t="str">
        <f aca="false">CHOOSE(WEEKDAY(B559,2),"Mon","Tue","Wed","Thu","Fri","Sat","Sun")</f>
        <v>Fri</v>
      </c>
      <c r="Q559" s="4" t="str">
        <f aca="false">IF(WEEKDAY(B559,2)&gt;5,"Weekend","Weekday")</f>
        <v>Weekday</v>
      </c>
      <c r="R559" s="4" t="str">
        <f aca="false">IF(C559&lt;11,"Morning (7-10)",IF(C559&lt;14,"Lunch (11-13)",IF(C559&lt;18,"Afternoon (14-17)","Evening (18-20)")))</f>
        <v>Lunch (11-13)</v>
      </c>
      <c r="S559" s="4" t="str">
        <f aca="false">IF(AND(O559&gt;=3,O559&lt;=5),"Hot Dry (Mar-May)",IF(AND(O559&gt;=6,O559&lt;=11),"Rainy (Jun-Nov)","Cool Dry (Dec-Feb)"))</f>
        <v>Hot Dry (Mar-May)</v>
      </c>
      <c r="T559" s="4" t="str">
        <f aca="false">CHOOSE(O559,"Jan","Feb","Mar","Apr","May","Jun","Jul","Aug","Sep","Oct","Nov","Dec")</f>
        <v>May</v>
      </c>
    </row>
    <row r="560" customFormat="false" ht="15" hidden="false" customHeight="false" outlineLevel="0" collapsed="false">
      <c r="A560" s="4" t="s">
        <v>788</v>
      </c>
      <c r="B560" s="17" t="n">
        <v>45779</v>
      </c>
      <c r="C560" s="4" t="n">
        <v>16</v>
      </c>
      <c r="D560" s="4" t="s">
        <v>70</v>
      </c>
      <c r="E560" s="4" t="s">
        <v>65</v>
      </c>
      <c r="F560" s="4" t="s">
        <v>94</v>
      </c>
      <c r="G560" s="4" t="n">
        <v>2</v>
      </c>
      <c r="H560" s="34" t="n">
        <v>150</v>
      </c>
      <c r="I560" s="18" t="n">
        <v>0</v>
      </c>
      <c r="J560" s="4" t="s">
        <v>81</v>
      </c>
      <c r="K560" s="4" t="s">
        <v>68</v>
      </c>
      <c r="L560" s="35" t="n">
        <f aca="false">G560*H560</f>
        <v>300</v>
      </c>
      <c r="M560" s="35" t="n">
        <f aca="false">L560*I560</f>
        <v>0</v>
      </c>
      <c r="N560" s="35" t="n">
        <f aca="false">L560-M560</f>
        <v>300</v>
      </c>
      <c r="O560" s="4" t="n">
        <f aca="false">MONTH(B560)</f>
        <v>5</v>
      </c>
      <c r="P560" s="4" t="str">
        <f aca="false">CHOOSE(WEEKDAY(B560,2),"Mon","Tue","Wed","Thu","Fri","Sat","Sun")</f>
        <v>Fri</v>
      </c>
      <c r="Q560" s="4" t="str">
        <f aca="false">IF(WEEKDAY(B560,2)&gt;5,"Weekend","Weekday")</f>
        <v>Weekday</v>
      </c>
      <c r="R560" s="4" t="str">
        <f aca="false">IF(C560&lt;11,"Morning (7-10)",IF(C560&lt;14,"Lunch (11-13)",IF(C560&lt;18,"Afternoon (14-17)","Evening (18-20)")))</f>
        <v>Afternoon (14-17)</v>
      </c>
      <c r="S560" s="4" t="str">
        <f aca="false">IF(AND(O560&gt;=3,O560&lt;=5),"Hot Dry (Mar-May)",IF(AND(O560&gt;=6,O560&lt;=11),"Rainy (Jun-Nov)","Cool Dry (Dec-Feb)"))</f>
        <v>Hot Dry (Mar-May)</v>
      </c>
      <c r="T560" s="4" t="str">
        <f aca="false">CHOOSE(O560,"Jan","Feb","Mar","Apr","May","Jun","Jul","Aug","Sep","Oct","Nov","Dec")</f>
        <v>May</v>
      </c>
    </row>
    <row r="561" customFormat="false" ht="15" hidden="false" customHeight="false" outlineLevel="0" collapsed="false">
      <c r="A561" s="4" t="s">
        <v>789</v>
      </c>
      <c r="B561" s="17" t="n">
        <v>45780</v>
      </c>
      <c r="C561" s="4" t="n">
        <v>7</v>
      </c>
      <c r="D561" s="4" t="s">
        <v>70</v>
      </c>
      <c r="E561" s="4" t="s">
        <v>65</v>
      </c>
      <c r="F561" s="4" t="s">
        <v>94</v>
      </c>
      <c r="G561" s="4" t="n">
        <v>1</v>
      </c>
      <c r="H561" s="34" t="n">
        <v>150</v>
      </c>
      <c r="I561" s="18" t="n">
        <v>0</v>
      </c>
      <c r="J561" s="4" t="s">
        <v>88</v>
      </c>
      <c r="K561" s="4" t="s">
        <v>2289</v>
      </c>
      <c r="L561" s="35" t="n">
        <f aca="false">G561*H561</f>
        <v>150</v>
      </c>
      <c r="M561" s="35" t="n">
        <f aca="false">L561*I561</f>
        <v>0</v>
      </c>
      <c r="N561" s="35" t="n">
        <f aca="false">L561-M561</f>
        <v>150</v>
      </c>
      <c r="O561" s="4" t="n">
        <f aca="false">MONTH(B561)</f>
        <v>5</v>
      </c>
      <c r="P561" s="4" t="str">
        <f aca="false">CHOOSE(WEEKDAY(B561,2),"Mon","Tue","Wed","Thu","Fri","Sat","Sun")</f>
        <v>Sat</v>
      </c>
      <c r="Q561" s="4" t="str">
        <f aca="false">IF(WEEKDAY(B561,2)&gt;5,"Weekend","Weekday")</f>
        <v>Weekend</v>
      </c>
      <c r="R561" s="4" t="str">
        <f aca="false">IF(C561&lt;11,"Morning (7-10)",IF(C561&lt;14,"Lunch (11-13)",IF(C561&lt;18,"Afternoon (14-17)","Evening (18-20)")))</f>
        <v>Morning (7-10)</v>
      </c>
      <c r="S561" s="4" t="str">
        <f aca="false">IF(AND(O561&gt;=3,O561&lt;=5),"Hot Dry (Mar-May)",IF(AND(O561&gt;=6,O561&lt;=11),"Rainy (Jun-Nov)","Cool Dry (Dec-Feb)"))</f>
        <v>Hot Dry (Mar-May)</v>
      </c>
      <c r="T561" s="4" t="str">
        <f aca="false">CHOOSE(O561,"Jan","Feb","Mar","Apr","May","Jun","Jul","Aug","Sep","Oct","Nov","Dec")</f>
        <v>May</v>
      </c>
    </row>
    <row r="562" customFormat="false" ht="15" hidden="false" customHeight="false" outlineLevel="0" collapsed="false">
      <c r="A562" s="4" t="s">
        <v>790</v>
      </c>
      <c r="B562" s="17" t="n">
        <v>45780</v>
      </c>
      <c r="C562" s="4" t="n">
        <v>7</v>
      </c>
      <c r="D562" s="4" t="s">
        <v>70</v>
      </c>
      <c r="E562" s="4" t="s">
        <v>84</v>
      </c>
      <c r="F562" s="4" t="s">
        <v>85</v>
      </c>
      <c r="G562" s="4" t="n">
        <v>1</v>
      </c>
      <c r="H562" s="34" t="n">
        <v>150</v>
      </c>
      <c r="I562" s="18" t="n">
        <v>0.1</v>
      </c>
      <c r="J562" s="4" t="s">
        <v>67</v>
      </c>
      <c r="K562" s="4" t="s">
        <v>71</v>
      </c>
      <c r="L562" s="35" t="n">
        <f aca="false">G562*H562</f>
        <v>150</v>
      </c>
      <c r="M562" s="35" t="n">
        <f aca="false">L562*I562</f>
        <v>15</v>
      </c>
      <c r="N562" s="35" t="n">
        <f aca="false">L562-M562</f>
        <v>135</v>
      </c>
      <c r="O562" s="4" t="n">
        <f aca="false">MONTH(B562)</f>
        <v>5</v>
      </c>
      <c r="P562" s="4" t="str">
        <f aca="false">CHOOSE(WEEKDAY(B562,2),"Mon","Tue","Wed","Thu","Fri","Sat","Sun")</f>
        <v>Sat</v>
      </c>
      <c r="Q562" s="4" t="str">
        <f aca="false">IF(WEEKDAY(B562,2)&gt;5,"Weekend","Weekday")</f>
        <v>Weekend</v>
      </c>
      <c r="R562" s="4" t="str">
        <f aca="false">IF(C562&lt;11,"Morning (7-10)",IF(C562&lt;14,"Lunch (11-13)",IF(C562&lt;18,"Afternoon (14-17)","Evening (18-20)")))</f>
        <v>Morning (7-10)</v>
      </c>
      <c r="S562" s="4" t="str">
        <f aca="false">IF(AND(O562&gt;=3,O562&lt;=5),"Hot Dry (Mar-May)",IF(AND(O562&gt;=6,O562&lt;=11),"Rainy (Jun-Nov)","Cool Dry (Dec-Feb)"))</f>
        <v>Hot Dry (Mar-May)</v>
      </c>
      <c r="T562" s="4" t="str">
        <f aca="false">CHOOSE(O562,"Jan","Feb","Mar","Apr","May","Jun","Jul","Aug","Sep","Oct","Nov","Dec")</f>
        <v>May</v>
      </c>
    </row>
    <row r="563" customFormat="false" ht="15" hidden="false" customHeight="false" outlineLevel="0" collapsed="false">
      <c r="A563" s="4" t="s">
        <v>791</v>
      </c>
      <c r="B563" s="17" t="n">
        <v>45780</v>
      </c>
      <c r="C563" s="4" t="n">
        <v>10</v>
      </c>
      <c r="D563" s="4" t="s">
        <v>64</v>
      </c>
      <c r="E563" s="4" t="s">
        <v>84</v>
      </c>
      <c r="F563" s="4" t="s">
        <v>114</v>
      </c>
      <c r="G563" s="4" t="n">
        <v>2</v>
      </c>
      <c r="H563" s="34" t="n">
        <v>85</v>
      </c>
      <c r="I563" s="18" t="n">
        <v>0</v>
      </c>
      <c r="J563" s="4" t="s">
        <v>67</v>
      </c>
      <c r="K563" s="4" t="s">
        <v>68</v>
      </c>
      <c r="L563" s="35" t="n">
        <f aca="false">G563*H563</f>
        <v>170</v>
      </c>
      <c r="M563" s="35" t="n">
        <f aca="false">L563*I563</f>
        <v>0</v>
      </c>
      <c r="N563" s="35" t="n">
        <f aca="false">L563-M563</f>
        <v>170</v>
      </c>
      <c r="O563" s="4" t="n">
        <f aca="false">MONTH(B563)</f>
        <v>5</v>
      </c>
      <c r="P563" s="4" t="str">
        <f aca="false">CHOOSE(WEEKDAY(B563,2),"Mon","Tue","Wed","Thu","Fri","Sat","Sun")</f>
        <v>Sat</v>
      </c>
      <c r="Q563" s="4" t="str">
        <f aca="false">IF(WEEKDAY(B563,2)&gt;5,"Weekend","Weekday")</f>
        <v>Weekend</v>
      </c>
      <c r="R563" s="4" t="str">
        <f aca="false">IF(C563&lt;11,"Morning (7-10)",IF(C563&lt;14,"Lunch (11-13)",IF(C563&lt;18,"Afternoon (14-17)","Evening (18-20)")))</f>
        <v>Morning (7-10)</v>
      </c>
      <c r="S563" s="4" t="str">
        <f aca="false">IF(AND(O563&gt;=3,O563&lt;=5),"Hot Dry (Mar-May)",IF(AND(O563&gt;=6,O563&lt;=11),"Rainy (Jun-Nov)","Cool Dry (Dec-Feb)"))</f>
        <v>Hot Dry (Mar-May)</v>
      </c>
      <c r="T563" s="4" t="str">
        <f aca="false">CHOOSE(O563,"Jan","Feb","Mar","Apr","May","Jun","Jul","Aug","Sep","Oct","Nov","Dec")</f>
        <v>May</v>
      </c>
    </row>
    <row r="564" customFormat="false" ht="15" hidden="false" customHeight="false" outlineLevel="0" collapsed="false">
      <c r="A564" s="4" t="s">
        <v>792</v>
      </c>
      <c r="B564" s="17" t="n">
        <v>45780</v>
      </c>
      <c r="C564" s="4" t="n">
        <v>12</v>
      </c>
      <c r="D564" s="4" t="s">
        <v>70</v>
      </c>
      <c r="E564" s="4" t="s">
        <v>65</v>
      </c>
      <c r="F564" s="4" t="s">
        <v>87</v>
      </c>
      <c r="G564" s="4" t="n">
        <v>2</v>
      </c>
      <c r="H564" s="34" t="n">
        <v>160</v>
      </c>
      <c r="I564" s="18" t="n">
        <v>0</v>
      </c>
      <c r="J564" s="4" t="s">
        <v>81</v>
      </c>
      <c r="K564" s="4" t="s">
        <v>77</v>
      </c>
      <c r="L564" s="35" t="n">
        <f aca="false">G564*H564</f>
        <v>320</v>
      </c>
      <c r="M564" s="35" t="n">
        <f aca="false">L564*I564</f>
        <v>0</v>
      </c>
      <c r="N564" s="35" t="n">
        <f aca="false">L564-M564</f>
        <v>320</v>
      </c>
      <c r="O564" s="4" t="n">
        <f aca="false">MONTH(B564)</f>
        <v>5</v>
      </c>
      <c r="P564" s="4" t="str">
        <f aca="false">CHOOSE(WEEKDAY(B564,2),"Mon","Tue","Wed","Thu","Fri","Sat","Sun")</f>
        <v>Sat</v>
      </c>
      <c r="Q564" s="4" t="str">
        <f aca="false">IF(WEEKDAY(B564,2)&gt;5,"Weekend","Weekday")</f>
        <v>Weekend</v>
      </c>
      <c r="R564" s="4" t="str">
        <f aca="false">IF(C564&lt;11,"Morning (7-10)",IF(C564&lt;14,"Lunch (11-13)",IF(C564&lt;18,"Afternoon (14-17)","Evening (18-20)")))</f>
        <v>Lunch (11-13)</v>
      </c>
      <c r="S564" s="4" t="str">
        <f aca="false">IF(AND(O564&gt;=3,O564&lt;=5),"Hot Dry (Mar-May)",IF(AND(O564&gt;=6,O564&lt;=11),"Rainy (Jun-Nov)","Cool Dry (Dec-Feb)"))</f>
        <v>Hot Dry (Mar-May)</v>
      </c>
      <c r="T564" s="4" t="str">
        <f aca="false">CHOOSE(O564,"Jan","Feb","Mar","Apr","May","Jun","Jul","Aug","Sep","Oct","Nov","Dec")</f>
        <v>May</v>
      </c>
    </row>
    <row r="565" customFormat="false" ht="15" hidden="false" customHeight="false" outlineLevel="0" collapsed="false">
      <c r="A565" s="4" t="s">
        <v>793</v>
      </c>
      <c r="B565" s="17" t="n">
        <v>45780</v>
      </c>
      <c r="C565" s="4" t="n">
        <v>14</v>
      </c>
      <c r="D565" s="4" t="s">
        <v>73</v>
      </c>
      <c r="E565" s="4" t="s">
        <v>79</v>
      </c>
      <c r="F565" s="4" t="s">
        <v>148</v>
      </c>
      <c r="G565" s="4" t="n">
        <v>1</v>
      </c>
      <c r="H565" s="34" t="n">
        <v>120</v>
      </c>
      <c r="I565" s="18" t="n">
        <v>0</v>
      </c>
      <c r="J565" s="4" t="s">
        <v>81</v>
      </c>
      <c r="K565" s="4" t="s">
        <v>68</v>
      </c>
      <c r="L565" s="35" t="n">
        <f aca="false">G565*H565</f>
        <v>120</v>
      </c>
      <c r="M565" s="35" t="n">
        <f aca="false">L565*I565</f>
        <v>0</v>
      </c>
      <c r="N565" s="35" t="n">
        <f aca="false">L565-M565</f>
        <v>120</v>
      </c>
      <c r="O565" s="4" t="n">
        <f aca="false">MONTH(B565)</f>
        <v>5</v>
      </c>
      <c r="P565" s="4" t="str">
        <f aca="false">CHOOSE(WEEKDAY(B565,2),"Mon","Tue","Wed","Thu","Fri","Sat","Sun")</f>
        <v>Sat</v>
      </c>
      <c r="Q565" s="4" t="str">
        <f aca="false">IF(WEEKDAY(B565,2)&gt;5,"Weekend","Weekday")</f>
        <v>Weekend</v>
      </c>
      <c r="R565" s="4" t="str">
        <f aca="false">IF(C565&lt;11,"Morning (7-10)",IF(C565&lt;14,"Lunch (11-13)",IF(C565&lt;18,"Afternoon (14-17)","Evening (18-20)")))</f>
        <v>Afternoon (14-17)</v>
      </c>
      <c r="S565" s="4" t="str">
        <f aca="false">IF(AND(O565&gt;=3,O565&lt;=5),"Hot Dry (Mar-May)",IF(AND(O565&gt;=6,O565&lt;=11),"Rainy (Jun-Nov)","Cool Dry (Dec-Feb)"))</f>
        <v>Hot Dry (Mar-May)</v>
      </c>
      <c r="T565" s="4" t="str">
        <f aca="false">CHOOSE(O565,"Jan","Feb","Mar","Apr","May","Jun","Jul","Aug","Sep","Oct","Nov","Dec")</f>
        <v>May</v>
      </c>
    </row>
    <row r="566" customFormat="false" ht="15" hidden="false" customHeight="false" outlineLevel="0" collapsed="false">
      <c r="A566" s="4" t="s">
        <v>794</v>
      </c>
      <c r="B566" s="17" t="n">
        <v>45781</v>
      </c>
      <c r="C566" s="4" t="n">
        <v>10</v>
      </c>
      <c r="D566" s="4" t="s">
        <v>73</v>
      </c>
      <c r="E566" s="4" t="s">
        <v>65</v>
      </c>
      <c r="F566" s="4" t="s">
        <v>87</v>
      </c>
      <c r="G566" s="4" t="n">
        <v>1</v>
      </c>
      <c r="H566" s="34" t="n">
        <v>160</v>
      </c>
      <c r="I566" s="18" t="n">
        <v>0</v>
      </c>
      <c r="J566" s="4" t="s">
        <v>81</v>
      </c>
      <c r="K566" s="4" t="s">
        <v>68</v>
      </c>
      <c r="L566" s="35" t="n">
        <f aca="false">G566*H566</f>
        <v>160</v>
      </c>
      <c r="M566" s="35" t="n">
        <f aca="false">L566*I566</f>
        <v>0</v>
      </c>
      <c r="N566" s="35" t="n">
        <f aca="false">L566-M566</f>
        <v>160</v>
      </c>
      <c r="O566" s="4" t="n">
        <f aca="false">MONTH(B566)</f>
        <v>5</v>
      </c>
      <c r="P566" s="4" t="str">
        <f aca="false">CHOOSE(WEEKDAY(B566,2),"Mon","Tue","Wed","Thu","Fri","Sat","Sun")</f>
        <v>Sun</v>
      </c>
      <c r="Q566" s="4" t="str">
        <f aca="false">IF(WEEKDAY(B566,2)&gt;5,"Weekend","Weekday")</f>
        <v>Weekend</v>
      </c>
      <c r="R566" s="4" t="str">
        <f aca="false">IF(C566&lt;11,"Morning (7-10)",IF(C566&lt;14,"Lunch (11-13)",IF(C566&lt;18,"Afternoon (14-17)","Evening (18-20)")))</f>
        <v>Morning (7-10)</v>
      </c>
      <c r="S566" s="4" t="str">
        <f aca="false">IF(AND(O566&gt;=3,O566&lt;=5),"Hot Dry (Mar-May)",IF(AND(O566&gt;=6,O566&lt;=11),"Rainy (Jun-Nov)","Cool Dry (Dec-Feb)"))</f>
        <v>Hot Dry (Mar-May)</v>
      </c>
      <c r="T566" s="4" t="str">
        <f aca="false">CHOOSE(O566,"Jan","Feb","Mar","Apr","May","Jun","Jul","Aug","Sep","Oct","Nov","Dec")</f>
        <v>May</v>
      </c>
    </row>
    <row r="567" customFormat="false" ht="15" hidden="false" customHeight="false" outlineLevel="0" collapsed="false">
      <c r="A567" s="4" t="s">
        <v>795</v>
      </c>
      <c r="B567" s="17" t="n">
        <v>45781</v>
      </c>
      <c r="C567" s="4" t="n">
        <v>16</v>
      </c>
      <c r="D567" s="4" t="s">
        <v>73</v>
      </c>
      <c r="E567" s="4" t="s">
        <v>99</v>
      </c>
      <c r="F567" s="4" t="s">
        <v>102</v>
      </c>
      <c r="G567" s="4" t="n">
        <v>1</v>
      </c>
      <c r="H567" s="34" t="n">
        <v>140</v>
      </c>
      <c r="I567" s="18" t="n">
        <v>0.05</v>
      </c>
      <c r="J567" s="4" t="s">
        <v>81</v>
      </c>
      <c r="K567" s="4" t="s">
        <v>82</v>
      </c>
      <c r="L567" s="35" t="n">
        <f aca="false">G567*H567</f>
        <v>140</v>
      </c>
      <c r="M567" s="35" t="n">
        <f aca="false">L567*I567</f>
        <v>7</v>
      </c>
      <c r="N567" s="35" t="n">
        <f aca="false">L567-M567</f>
        <v>133</v>
      </c>
      <c r="O567" s="4" t="n">
        <f aca="false">MONTH(B567)</f>
        <v>5</v>
      </c>
      <c r="P567" s="4" t="str">
        <f aca="false">CHOOSE(WEEKDAY(B567,2),"Mon","Tue","Wed","Thu","Fri","Sat","Sun")</f>
        <v>Sun</v>
      </c>
      <c r="Q567" s="4" t="str">
        <f aca="false">IF(WEEKDAY(B567,2)&gt;5,"Weekend","Weekday")</f>
        <v>Weekend</v>
      </c>
      <c r="R567" s="4" t="str">
        <f aca="false">IF(C567&lt;11,"Morning (7-10)",IF(C567&lt;14,"Lunch (11-13)",IF(C567&lt;18,"Afternoon (14-17)","Evening (18-20)")))</f>
        <v>Afternoon (14-17)</v>
      </c>
      <c r="S567" s="4" t="str">
        <f aca="false">IF(AND(O567&gt;=3,O567&lt;=5),"Hot Dry (Mar-May)",IF(AND(O567&gt;=6,O567&lt;=11),"Rainy (Jun-Nov)","Cool Dry (Dec-Feb)"))</f>
        <v>Hot Dry (Mar-May)</v>
      </c>
      <c r="T567" s="4" t="str">
        <f aca="false">CHOOSE(O567,"Jan","Feb","Mar","Apr","May","Jun","Jul","Aug","Sep","Oct","Nov","Dec")</f>
        <v>May</v>
      </c>
    </row>
    <row r="568" customFormat="false" ht="15" hidden="false" customHeight="false" outlineLevel="0" collapsed="false">
      <c r="A568" s="4" t="s">
        <v>796</v>
      </c>
      <c r="B568" s="17" t="n">
        <v>45781</v>
      </c>
      <c r="C568" s="4" t="n">
        <v>19</v>
      </c>
      <c r="D568" s="4" t="s">
        <v>98</v>
      </c>
      <c r="E568" s="4" t="s">
        <v>65</v>
      </c>
      <c r="F568" s="4" t="s">
        <v>121</v>
      </c>
      <c r="G568" s="4" t="n">
        <v>2</v>
      </c>
      <c r="H568" s="34" t="n">
        <v>170</v>
      </c>
      <c r="I568" s="18" t="n">
        <v>0</v>
      </c>
      <c r="J568" s="4" t="s">
        <v>112</v>
      </c>
      <c r="K568" s="4" t="s">
        <v>68</v>
      </c>
      <c r="L568" s="35" t="n">
        <f aca="false">G568*H568</f>
        <v>340</v>
      </c>
      <c r="M568" s="35" t="n">
        <f aca="false">L568*I568</f>
        <v>0</v>
      </c>
      <c r="N568" s="35" t="n">
        <f aca="false">L568-M568</f>
        <v>340</v>
      </c>
      <c r="O568" s="4" t="n">
        <f aca="false">MONTH(B568)</f>
        <v>5</v>
      </c>
      <c r="P568" s="4" t="str">
        <f aca="false">CHOOSE(WEEKDAY(B568,2),"Mon","Tue","Wed","Thu","Fri","Sat","Sun")</f>
        <v>Sun</v>
      </c>
      <c r="Q568" s="4" t="str">
        <f aca="false">IF(WEEKDAY(B568,2)&gt;5,"Weekend","Weekday")</f>
        <v>Weekend</v>
      </c>
      <c r="R568" s="4" t="str">
        <f aca="false">IF(C568&lt;11,"Morning (7-10)",IF(C568&lt;14,"Lunch (11-13)",IF(C568&lt;18,"Afternoon (14-17)","Evening (18-20)")))</f>
        <v>Evening (18-20)</v>
      </c>
      <c r="S568" s="4" t="str">
        <f aca="false">IF(AND(O568&gt;=3,O568&lt;=5),"Hot Dry (Mar-May)",IF(AND(O568&gt;=6,O568&lt;=11),"Rainy (Jun-Nov)","Cool Dry (Dec-Feb)"))</f>
        <v>Hot Dry (Mar-May)</v>
      </c>
      <c r="T568" s="4" t="str">
        <f aca="false">CHOOSE(O568,"Jan","Feb","Mar","Apr","May","Jun","Jul","Aug","Sep","Oct","Nov","Dec")</f>
        <v>May</v>
      </c>
    </row>
    <row r="569" customFormat="false" ht="15" hidden="false" customHeight="false" outlineLevel="0" collapsed="false">
      <c r="A569" s="4" t="s">
        <v>797</v>
      </c>
      <c r="B569" s="17" t="n">
        <v>45782</v>
      </c>
      <c r="C569" s="4" t="n">
        <v>8</v>
      </c>
      <c r="D569" s="4" t="s">
        <v>73</v>
      </c>
      <c r="E569" s="4" t="s">
        <v>65</v>
      </c>
      <c r="F569" s="4" t="s">
        <v>94</v>
      </c>
      <c r="G569" s="4" t="n">
        <v>1</v>
      </c>
      <c r="H569" s="34" t="n">
        <v>150</v>
      </c>
      <c r="I569" s="18" t="n">
        <v>0</v>
      </c>
      <c r="J569" s="4" t="s">
        <v>76</v>
      </c>
      <c r="K569" s="4" t="s">
        <v>2289</v>
      </c>
      <c r="L569" s="35" t="n">
        <f aca="false">G569*H569</f>
        <v>150</v>
      </c>
      <c r="M569" s="35" t="n">
        <f aca="false">L569*I569</f>
        <v>0</v>
      </c>
      <c r="N569" s="35" t="n">
        <f aca="false">L569-M569</f>
        <v>150</v>
      </c>
      <c r="O569" s="4" t="n">
        <f aca="false">MONTH(B569)</f>
        <v>5</v>
      </c>
      <c r="P569" s="4" t="str">
        <f aca="false">CHOOSE(WEEKDAY(B569,2),"Mon","Tue","Wed","Thu","Fri","Sat","Sun")</f>
        <v>Mon</v>
      </c>
      <c r="Q569" s="4" t="str">
        <f aca="false">IF(WEEKDAY(B569,2)&gt;5,"Weekend","Weekday")</f>
        <v>Weekday</v>
      </c>
      <c r="R569" s="4" t="str">
        <f aca="false">IF(C569&lt;11,"Morning (7-10)",IF(C569&lt;14,"Lunch (11-13)",IF(C569&lt;18,"Afternoon (14-17)","Evening (18-20)")))</f>
        <v>Morning (7-10)</v>
      </c>
      <c r="S569" s="4" t="str">
        <f aca="false">IF(AND(O569&gt;=3,O569&lt;=5),"Hot Dry (Mar-May)",IF(AND(O569&gt;=6,O569&lt;=11),"Rainy (Jun-Nov)","Cool Dry (Dec-Feb)"))</f>
        <v>Hot Dry (Mar-May)</v>
      </c>
      <c r="T569" s="4" t="str">
        <f aca="false">CHOOSE(O569,"Jan","Feb","Mar","Apr","May","Jun","Jul","Aug","Sep","Oct","Nov","Dec")</f>
        <v>May</v>
      </c>
    </row>
    <row r="570" customFormat="false" ht="15" hidden="false" customHeight="false" outlineLevel="0" collapsed="false">
      <c r="A570" s="4" t="s">
        <v>798</v>
      </c>
      <c r="B570" s="17" t="n">
        <v>45782</v>
      </c>
      <c r="C570" s="4" t="n">
        <v>12</v>
      </c>
      <c r="D570" s="4" t="s">
        <v>70</v>
      </c>
      <c r="E570" s="4" t="s">
        <v>65</v>
      </c>
      <c r="F570" s="4" t="s">
        <v>121</v>
      </c>
      <c r="G570" s="4" t="n">
        <v>4</v>
      </c>
      <c r="H570" s="34" t="n">
        <v>170</v>
      </c>
      <c r="I570" s="18" t="n">
        <v>0.1</v>
      </c>
      <c r="J570" s="4" t="s">
        <v>112</v>
      </c>
      <c r="K570" s="4" t="s">
        <v>82</v>
      </c>
      <c r="L570" s="35" t="n">
        <f aca="false">G570*H570</f>
        <v>680</v>
      </c>
      <c r="M570" s="35" t="n">
        <f aca="false">L570*I570</f>
        <v>68</v>
      </c>
      <c r="N570" s="35" t="n">
        <f aca="false">L570-M570</f>
        <v>612</v>
      </c>
      <c r="O570" s="4" t="n">
        <f aca="false">MONTH(B570)</f>
        <v>5</v>
      </c>
      <c r="P570" s="4" t="str">
        <f aca="false">CHOOSE(WEEKDAY(B570,2),"Mon","Tue","Wed","Thu","Fri","Sat","Sun")</f>
        <v>Mon</v>
      </c>
      <c r="Q570" s="4" t="str">
        <f aca="false">IF(WEEKDAY(B570,2)&gt;5,"Weekend","Weekday")</f>
        <v>Weekday</v>
      </c>
      <c r="R570" s="4" t="str">
        <f aca="false">IF(C570&lt;11,"Morning (7-10)",IF(C570&lt;14,"Lunch (11-13)",IF(C570&lt;18,"Afternoon (14-17)","Evening (18-20)")))</f>
        <v>Lunch (11-13)</v>
      </c>
      <c r="S570" s="4" t="str">
        <f aca="false">IF(AND(O570&gt;=3,O570&lt;=5),"Hot Dry (Mar-May)",IF(AND(O570&gt;=6,O570&lt;=11),"Rainy (Jun-Nov)","Cool Dry (Dec-Feb)"))</f>
        <v>Hot Dry (Mar-May)</v>
      </c>
      <c r="T570" s="4" t="str">
        <f aca="false">CHOOSE(O570,"Jan","Feb","Mar","Apr","May","Jun","Jul","Aug","Sep","Oct","Nov","Dec")</f>
        <v>May</v>
      </c>
    </row>
    <row r="571" customFormat="false" ht="15" hidden="false" customHeight="false" outlineLevel="0" collapsed="false">
      <c r="A571" s="4" t="s">
        <v>800</v>
      </c>
      <c r="B571" s="17" t="n">
        <v>45782</v>
      </c>
      <c r="C571" s="4" t="n">
        <v>19</v>
      </c>
      <c r="D571" s="4" t="s">
        <v>64</v>
      </c>
      <c r="E571" s="4" t="s">
        <v>99</v>
      </c>
      <c r="F571" s="4" t="s">
        <v>102</v>
      </c>
      <c r="G571" s="4" t="n">
        <v>3</v>
      </c>
      <c r="H571" s="34" t="n">
        <v>140</v>
      </c>
      <c r="I571" s="18" t="n">
        <v>0.05</v>
      </c>
      <c r="J571" s="4" t="s">
        <v>67</v>
      </c>
      <c r="K571" s="4" t="s">
        <v>82</v>
      </c>
      <c r="L571" s="35" t="n">
        <f aca="false">G571*H571</f>
        <v>420</v>
      </c>
      <c r="M571" s="35" t="n">
        <f aca="false">L571*I571</f>
        <v>21</v>
      </c>
      <c r="N571" s="35" t="n">
        <f aca="false">L571-M571</f>
        <v>399</v>
      </c>
      <c r="O571" s="4" t="n">
        <f aca="false">MONTH(B571)</f>
        <v>5</v>
      </c>
      <c r="P571" s="4" t="str">
        <f aca="false">CHOOSE(WEEKDAY(B571,2),"Mon","Tue","Wed","Thu","Fri","Sat","Sun")</f>
        <v>Mon</v>
      </c>
      <c r="Q571" s="4" t="str">
        <f aca="false">IF(WEEKDAY(B571,2)&gt;5,"Weekend","Weekday")</f>
        <v>Weekday</v>
      </c>
      <c r="R571" s="4" t="str">
        <f aca="false">IF(C571&lt;11,"Morning (7-10)",IF(C571&lt;14,"Lunch (11-13)",IF(C571&lt;18,"Afternoon (14-17)","Evening (18-20)")))</f>
        <v>Evening (18-20)</v>
      </c>
      <c r="S571" s="4" t="str">
        <f aca="false">IF(AND(O571&gt;=3,O571&lt;=5),"Hot Dry (Mar-May)",IF(AND(O571&gt;=6,O571&lt;=11),"Rainy (Jun-Nov)","Cool Dry (Dec-Feb)"))</f>
        <v>Hot Dry (Mar-May)</v>
      </c>
      <c r="T571" s="4" t="str">
        <f aca="false">CHOOSE(O571,"Jan","Feb","Mar","Apr","May","Jun","Jul","Aug","Sep","Oct","Nov","Dec")</f>
        <v>May</v>
      </c>
    </row>
    <row r="572" customFormat="false" ht="15" hidden="false" customHeight="false" outlineLevel="0" collapsed="false">
      <c r="A572" s="4" t="s">
        <v>801</v>
      </c>
      <c r="B572" s="17" t="n">
        <v>45783</v>
      </c>
      <c r="C572" s="4" t="n">
        <v>7</v>
      </c>
      <c r="D572" s="4" t="s">
        <v>73</v>
      </c>
      <c r="E572" s="4" t="s">
        <v>65</v>
      </c>
      <c r="F572" s="4" t="s">
        <v>66</v>
      </c>
      <c r="G572" s="4" t="n">
        <v>4</v>
      </c>
      <c r="H572" s="34" t="n">
        <v>120</v>
      </c>
      <c r="I572" s="18" t="n">
        <v>0.1</v>
      </c>
      <c r="J572" s="4" t="s">
        <v>81</v>
      </c>
      <c r="K572" s="4" t="s">
        <v>68</v>
      </c>
      <c r="L572" s="35" t="n">
        <f aca="false">G572*H572</f>
        <v>480</v>
      </c>
      <c r="M572" s="35" t="n">
        <f aca="false">L572*I572</f>
        <v>48</v>
      </c>
      <c r="N572" s="35" t="n">
        <f aca="false">L572-M572</f>
        <v>432</v>
      </c>
      <c r="O572" s="4" t="n">
        <f aca="false">MONTH(B572)</f>
        <v>5</v>
      </c>
      <c r="P572" s="4" t="str">
        <f aca="false">CHOOSE(WEEKDAY(B572,2),"Mon","Tue","Wed","Thu","Fri","Sat","Sun")</f>
        <v>Tue</v>
      </c>
      <c r="Q572" s="4" t="str">
        <f aca="false">IF(WEEKDAY(B572,2)&gt;5,"Weekend","Weekday")</f>
        <v>Weekday</v>
      </c>
      <c r="R572" s="4" t="str">
        <f aca="false">IF(C572&lt;11,"Morning (7-10)",IF(C572&lt;14,"Lunch (11-13)",IF(C572&lt;18,"Afternoon (14-17)","Evening (18-20)")))</f>
        <v>Morning (7-10)</v>
      </c>
      <c r="S572" s="4" t="str">
        <f aca="false">IF(AND(O572&gt;=3,O572&lt;=5),"Hot Dry (Mar-May)",IF(AND(O572&gt;=6,O572&lt;=11),"Rainy (Jun-Nov)","Cool Dry (Dec-Feb)"))</f>
        <v>Hot Dry (Mar-May)</v>
      </c>
      <c r="T572" s="4" t="str">
        <f aca="false">CHOOSE(O572,"Jan","Feb","Mar","Apr","May","Jun","Jul","Aug","Sep","Oct","Nov","Dec")</f>
        <v>May</v>
      </c>
    </row>
    <row r="573" customFormat="false" ht="15" hidden="false" customHeight="false" outlineLevel="0" collapsed="false">
      <c r="A573" s="4" t="s">
        <v>802</v>
      </c>
      <c r="B573" s="17" t="n">
        <v>45783</v>
      </c>
      <c r="C573" s="4" t="n">
        <v>11</v>
      </c>
      <c r="D573" s="4" t="s">
        <v>73</v>
      </c>
      <c r="E573" s="4" t="s">
        <v>74</v>
      </c>
      <c r="F573" s="4" t="s">
        <v>91</v>
      </c>
      <c r="G573" s="4" t="n">
        <v>2</v>
      </c>
      <c r="H573" s="34" t="n">
        <v>200</v>
      </c>
      <c r="I573" s="18" t="n">
        <v>0</v>
      </c>
      <c r="J573" s="4" t="s">
        <v>76</v>
      </c>
      <c r="K573" s="4" t="s">
        <v>68</v>
      </c>
      <c r="L573" s="35" t="n">
        <f aca="false">G573*H573</f>
        <v>400</v>
      </c>
      <c r="M573" s="35" t="n">
        <f aca="false">L573*I573</f>
        <v>0</v>
      </c>
      <c r="N573" s="35" t="n">
        <f aca="false">L573-M573</f>
        <v>400</v>
      </c>
      <c r="O573" s="4" t="n">
        <f aca="false">MONTH(B573)</f>
        <v>5</v>
      </c>
      <c r="P573" s="4" t="str">
        <f aca="false">CHOOSE(WEEKDAY(B573,2),"Mon","Tue","Wed","Thu","Fri","Sat","Sun")</f>
        <v>Tue</v>
      </c>
      <c r="Q573" s="4" t="str">
        <f aca="false">IF(WEEKDAY(B573,2)&gt;5,"Weekend","Weekday")</f>
        <v>Weekday</v>
      </c>
      <c r="R573" s="4" t="str">
        <f aca="false">IF(C573&lt;11,"Morning (7-10)",IF(C573&lt;14,"Lunch (11-13)",IF(C573&lt;18,"Afternoon (14-17)","Evening (18-20)")))</f>
        <v>Lunch (11-13)</v>
      </c>
      <c r="S573" s="4" t="str">
        <f aca="false">IF(AND(O573&gt;=3,O573&lt;=5),"Hot Dry (Mar-May)",IF(AND(O573&gt;=6,O573&lt;=11),"Rainy (Jun-Nov)","Cool Dry (Dec-Feb)"))</f>
        <v>Hot Dry (Mar-May)</v>
      </c>
      <c r="T573" s="4" t="str">
        <f aca="false">CHOOSE(O573,"Jan","Feb","Mar","Apr","May","Jun","Jul","Aug","Sep","Oct","Nov","Dec")</f>
        <v>May</v>
      </c>
    </row>
    <row r="574" customFormat="false" ht="15" hidden="false" customHeight="false" outlineLevel="0" collapsed="false">
      <c r="A574" s="4" t="s">
        <v>803</v>
      </c>
      <c r="B574" s="17" t="n">
        <v>45783</v>
      </c>
      <c r="C574" s="4" t="n">
        <v>17</v>
      </c>
      <c r="D574" s="4" t="s">
        <v>73</v>
      </c>
      <c r="E574" s="4" t="s">
        <v>99</v>
      </c>
      <c r="F574" s="4" t="s">
        <v>100</v>
      </c>
      <c r="G574" s="4" t="n">
        <v>1</v>
      </c>
      <c r="H574" s="34" t="n">
        <v>110</v>
      </c>
      <c r="I574" s="18" t="n">
        <v>0</v>
      </c>
      <c r="J574" s="4" t="s">
        <v>81</v>
      </c>
      <c r="K574" s="4" t="s">
        <v>77</v>
      </c>
      <c r="L574" s="35" t="n">
        <f aca="false">G574*H574</f>
        <v>110</v>
      </c>
      <c r="M574" s="35" t="n">
        <f aca="false">L574*I574</f>
        <v>0</v>
      </c>
      <c r="N574" s="35" t="n">
        <f aca="false">L574-M574</f>
        <v>110</v>
      </c>
      <c r="O574" s="4" t="n">
        <f aca="false">MONTH(B574)</f>
        <v>5</v>
      </c>
      <c r="P574" s="4" t="str">
        <f aca="false">CHOOSE(WEEKDAY(B574,2),"Mon","Tue","Wed","Thu","Fri","Sat","Sun")</f>
        <v>Tue</v>
      </c>
      <c r="Q574" s="4" t="str">
        <f aca="false">IF(WEEKDAY(B574,2)&gt;5,"Weekend","Weekday")</f>
        <v>Weekday</v>
      </c>
      <c r="R574" s="4" t="str">
        <f aca="false">IF(C574&lt;11,"Morning (7-10)",IF(C574&lt;14,"Lunch (11-13)",IF(C574&lt;18,"Afternoon (14-17)","Evening (18-20)")))</f>
        <v>Afternoon (14-17)</v>
      </c>
      <c r="S574" s="4" t="str">
        <f aca="false">IF(AND(O574&gt;=3,O574&lt;=5),"Hot Dry (Mar-May)",IF(AND(O574&gt;=6,O574&lt;=11),"Rainy (Jun-Nov)","Cool Dry (Dec-Feb)"))</f>
        <v>Hot Dry (Mar-May)</v>
      </c>
      <c r="T574" s="4" t="str">
        <f aca="false">CHOOSE(O574,"Jan","Feb","Mar","Apr","May","Jun","Jul","Aug","Sep","Oct","Nov","Dec")</f>
        <v>May</v>
      </c>
    </row>
    <row r="575" customFormat="false" ht="15" hidden="false" customHeight="false" outlineLevel="0" collapsed="false">
      <c r="A575" s="4" t="s">
        <v>804</v>
      </c>
      <c r="B575" s="17" t="n">
        <v>45783</v>
      </c>
      <c r="C575" s="4" t="n">
        <v>19</v>
      </c>
      <c r="D575" s="4" t="s">
        <v>70</v>
      </c>
      <c r="E575" s="4" t="s">
        <v>65</v>
      </c>
      <c r="F575" s="4" t="s">
        <v>121</v>
      </c>
      <c r="G575" s="4" t="n">
        <v>1</v>
      </c>
      <c r="H575" s="34" t="n">
        <v>170</v>
      </c>
      <c r="I575" s="18" t="n">
        <v>0.05</v>
      </c>
      <c r="J575" s="4" t="s">
        <v>67</v>
      </c>
      <c r="K575" s="4" t="s">
        <v>82</v>
      </c>
      <c r="L575" s="35" t="n">
        <f aca="false">G575*H575</f>
        <v>170</v>
      </c>
      <c r="M575" s="35" t="n">
        <f aca="false">L575*I575</f>
        <v>8.5</v>
      </c>
      <c r="N575" s="35" t="n">
        <f aca="false">L575-M575</f>
        <v>161.5</v>
      </c>
      <c r="O575" s="4" t="n">
        <f aca="false">MONTH(B575)</f>
        <v>5</v>
      </c>
      <c r="P575" s="4" t="str">
        <f aca="false">CHOOSE(WEEKDAY(B575,2),"Mon","Tue","Wed","Thu","Fri","Sat","Sun")</f>
        <v>Tue</v>
      </c>
      <c r="Q575" s="4" t="str">
        <f aca="false">IF(WEEKDAY(B575,2)&gt;5,"Weekend","Weekday")</f>
        <v>Weekday</v>
      </c>
      <c r="R575" s="4" t="str">
        <f aca="false">IF(C575&lt;11,"Morning (7-10)",IF(C575&lt;14,"Lunch (11-13)",IF(C575&lt;18,"Afternoon (14-17)","Evening (18-20)")))</f>
        <v>Evening (18-20)</v>
      </c>
      <c r="S575" s="4" t="str">
        <f aca="false">IF(AND(O575&gt;=3,O575&lt;=5),"Hot Dry (Mar-May)",IF(AND(O575&gt;=6,O575&lt;=11),"Rainy (Jun-Nov)","Cool Dry (Dec-Feb)"))</f>
        <v>Hot Dry (Mar-May)</v>
      </c>
      <c r="T575" s="4" t="str">
        <f aca="false">CHOOSE(O575,"Jan","Feb","Mar","Apr","May","Jun","Jul","Aug","Sep","Oct","Nov","Dec")</f>
        <v>May</v>
      </c>
    </row>
    <row r="576" customFormat="false" ht="15" hidden="false" customHeight="false" outlineLevel="0" collapsed="false">
      <c r="A576" s="4" t="s">
        <v>805</v>
      </c>
      <c r="B576" s="17" t="n">
        <v>45784</v>
      </c>
      <c r="C576" s="4" t="n">
        <v>8</v>
      </c>
      <c r="D576" s="4" t="s">
        <v>98</v>
      </c>
      <c r="E576" s="4" t="s">
        <v>84</v>
      </c>
      <c r="F576" s="4" t="s">
        <v>106</v>
      </c>
      <c r="G576" s="4" t="n">
        <v>1</v>
      </c>
      <c r="H576" s="34" t="n">
        <v>60</v>
      </c>
      <c r="I576" s="18" t="n">
        <v>0.1</v>
      </c>
      <c r="J576" s="4" t="s">
        <v>88</v>
      </c>
      <c r="K576" s="4" t="s">
        <v>68</v>
      </c>
      <c r="L576" s="35" t="n">
        <f aca="false">G576*H576</f>
        <v>60</v>
      </c>
      <c r="M576" s="35" t="n">
        <f aca="false">L576*I576</f>
        <v>6</v>
      </c>
      <c r="N576" s="35" t="n">
        <f aca="false">L576-M576</f>
        <v>54</v>
      </c>
      <c r="O576" s="4" t="n">
        <f aca="false">MONTH(B576)</f>
        <v>5</v>
      </c>
      <c r="P576" s="4" t="str">
        <f aca="false">CHOOSE(WEEKDAY(B576,2),"Mon","Tue","Wed","Thu","Fri","Sat","Sun")</f>
        <v>Wed</v>
      </c>
      <c r="Q576" s="4" t="str">
        <f aca="false">IF(WEEKDAY(B576,2)&gt;5,"Weekend","Weekday")</f>
        <v>Weekday</v>
      </c>
      <c r="R576" s="4" t="str">
        <f aca="false">IF(C576&lt;11,"Morning (7-10)",IF(C576&lt;14,"Lunch (11-13)",IF(C576&lt;18,"Afternoon (14-17)","Evening (18-20)")))</f>
        <v>Morning (7-10)</v>
      </c>
      <c r="S576" s="4" t="str">
        <f aca="false">IF(AND(O576&gt;=3,O576&lt;=5),"Hot Dry (Mar-May)",IF(AND(O576&gt;=6,O576&lt;=11),"Rainy (Jun-Nov)","Cool Dry (Dec-Feb)"))</f>
        <v>Hot Dry (Mar-May)</v>
      </c>
      <c r="T576" s="4" t="str">
        <f aca="false">CHOOSE(O576,"Jan","Feb","Mar","Apr","May","Jun","Jul","Aug","Sep","Oct","Nov","Dec")</f>
        <v>May</v>
      </c>
    </row>
    <row r="577" customFormat="false" ht="15" hidden="false" customHeight="false" outlineLevel="0" collapsed="false">
      <c r="A577" s="4" t="s">
        <v>806</v>
      </c>
      <c r="B577" s="17" t="n">
        <v>45784</v>
      </c>
      <c r="C577" s="4" t="n">
        <v>8</v>
      </c>
      <c r="D577" s="4" t="s">
        <v>64</v>
      </c>
      <c r="E577" s="4" t="s">
        <v>65</v>
      </c>
      <c r="F577" s="4" t="s">
        <v>121</v>
      </c>
      <c r="G577" s="4" t="n">
        <v>1</v>
      </c>
      <c r="H577" s="34" t="n">
        <v>170</v>
      </c>
      <c r="I577" s="18" t="n">
        <v>0</v>
      </c>
      <c r="J577" s="4" t="s">
        <v>67</v>
      </c>
      <c r="K577" s="4" t="s">
        <v>77</v>
      </c>
      <c r="L577" s="35" t="n">
        <f aca="false">G577*H577</f>
        <v>170</v>
      </c>
      <c r="M577" s="35" t="n">
        <f aca="false">L577*I577</f>
        <v>0</v>
      </c>
      <c r="N577" s="35" t="n">
        <f aca="false">L577-M577</f>
        <v>170</v>
      </c>
      <c r="O577" s="4" t="n">
        <f aca="false">MONTH(B577)</f>
        <v>5</v>
      </c>
      <c r="P577" s="4" t="str">
        <f aca="false">CHOOSE(WEEKDAY(B577,2),"Mon","Tue","Wed","Thu","Fri","Sat","Sun")</f>
        <v>Wed</v>
      </c>
      <c r="Q577" s="4" t="str">
        <f aca="false">IF(WEEKDAY(B577,2)&gt;5,"Weekend","Weekday")</f>
        <v>Weekday</v>
      </c>
      <c r="R577" s="4" t="str">
        <f aca="false">IF(C577&lt;11,"Morning (7-10)",IF(C577&lt;14,"Lunch (11-13)",IF(C577&lt;18,"Afternoon (14-17)","Evening (18-20)")))</f>
        <v>Morning (7-10)</v>
      </c>
      <c r="S577" s="4" t="str">
        <f aca="false">IF(AND(O577&gt;=3,O577&lt;=5),"Hot Dry (Mar-May)",IF(AND(O577&gt;=6,O577&lt;=11),"Rainy (Jun-Nov)","Cool Dry (Dec-Feb)"))</f>
        <v>Hot Dry (Mar-May)</v>
      </c>
      <c r="T577" s="4" t="str">
        <f aca="false">CHOOSE(O577,"Jan","Feb","Mar","Apr","May","Jun","Jul","Aug","Sep","Oct","Nov","Dec")</f>
        <v>May</v>
      </c>
    </row>
    <row r="578" customFormat="false" ht="15" hidden="false" customHeight="false" outlineLevel="0" collapsed="false">
      <c r="A578" s="4" t="s">
        <v>808</v>
      </c>
      <c r="B578" s="17" t="n">
        <v>45784</v>
      </c>
      <c r="C578" s="4" t="n">
        <v>13</v>
      </c>
      <c r="D578" s="4" t="s">
        <v>70</v>
      </c>
      <c r="E578" s="4" t="s">
        <v>74</v>
      </c>
      <c r="F578" s="4" t="s">
        <v>75</v>
      </c>
      <c r="G578" s="4" t="n">
        <v>1</v>
      </c>
      <c r="H578" s="34" t="n">
        <v>220</v>
      </c>
      <c r="I578" s="18" t="n">
        <v>0.1</v>
      </c>
      <c r="J578" s="4" t="s">
        <v>112</v>
      </c>
      <c r="K578" s="4" t="s">
        <v>71</v>
      </c>
      <c r="L578" s="35" t="n">
        <f aca="false">G578*H578</f>
        <v>220</v>
      </c>
      <c r="M578" s="35" t="n">
        <f aca="false">L578*I578</f>
        <v>22</v>
      </c>
      <c r="N578" s="35" t="n">
        <f aca="false">L578-M578</f>
        <v>198</v>
      </c>
      <c r="O578" s="4" t="n">
        <f aca="false">MONTH(B578)</f>
        <v>5</v>
      </c>
      <c r="P578" s="4" t="str">
        <f aca="false">CHOOSE(WEEKDAY(B578,2),"Mon","Tue","Wed","Thu","Fri","Sat","Sun")</f>
        <v>Wed</v>
      </c>
      <c r="Q578" s="4" t="str">
        <f aca="false">IF(WEEKDAY(B578,2)&gt;5,"Weekend","Weekday")</f>
        <v>Weekday</v>
      </c>
      <c r="R578" s="4" t="str">
        <f aca="false">IF(C578&lt;11,"Morning (7-10)",IF(C578&lt;14,"Lunch (11-13)",IF(C578&lt;18,"Afternoon (14-17)","Evening (18-20)")))</f>
        <v>Lunch (11-13)</v>
      </c>
      <c r="S578" s="4" t="str">
        <f aca="false">IF(AND(O578&gt;=3,O578&lt;=5),"Hot Dry (Mar-May)",IF(AND(O578&gt;=6,O578&lt;=11),"Rainy (Jun-Nov)","Cool Dry (Dec-Feb)"))</f>
        <v>Hot Dry (Mar-May)</v>
      </c>
      <c r="T578" s="4" t="str">
        <f aca="false">CHOOSE(O578,"Jan","Feb","Mar","Apr","May","Jun","Jul","Aug","Sep","Oct","Nov","Dec")</f>
        <v>May</v>
      </c>
    </row>
    <row r="579" customFormat="false" ht="15" hidden="false" customHeight="false" outlineLevel="0" collapsed="false">
      <c r="A579" s="4" t="s">
        <v>809</v>
      </c>
      <c r="B579" s="17" t="n">
        <v>45784</v>
      </c>
      <c r="C579" s="4" t="n">
        <v>15</v>
      </c>
      <c r="D579" s="4" t="s">
        <v>73</v>
      </c>
      <c r="E579" s="4" t="s">
        <v>65</v>
      </c>
      <c r="F579" s="4" t="s">
        <v>121</v>
      </c>
      <c r="G579" s="4" t="n">
        <v>1</v>
      </c>
      <c r="H579" s="34" t="n">
        <v>170</v>
      </c>
      <c r="I579" s="18" t="n">
        <v>0</v>
      </c>
      <c r="J579" s="4" t="s">
        <v>76</v>
      </c>
      <c r="K579" s="4" t="s">
        <v>77</v>
      </c>
      <c r="L579" s="35" t="n">
        <f aca="false">G579*H579</f>
        <v>170</v>
      </c>
      <c r="M579" s="35" t="n">
        <f aca="false">L579*I579</f>
        <v>0</v>
      </c>
      <c r="N579" s="35" t="n">
        <f aca="false">L579-M579</f>
        <v>170</v>
      </c>
      <c r="O579" s="4" t="n">
        <f aca="false">MONTH(B579)</f>
        <v>5</v>
      </c>
      <c r="P579" s="4" t="str">
        <f aca="false">CHOOSE(WEEKDAY(B579,2),"Mon","Tue","Wed","Thu","Fri","Sat","Sun")</f>
        <v>Wed</v>
      </c>
      <c r="Q579" s="4" t="str">
        <f aca="false">IF(WEEKDAY(B579,2)&gt;5,"Weekend","Weekday")</f>
        <v>Weekday</v>
      </c>
      <c r="R579" s="4" t="str">
        <f aca="false">IF(C579&lt;11,"Morning (7-10)",IF(C579&lt;14,"Lunch (11-13)",IF(C579&lt;18,"Afternoon (14-17)","Evening (18-20)")))</f>
        <v>Afternoon (14-17)</v>
      </c>
      <c r="S579" s="4" t="str">
        <f aca="false">IF(AND(O579&gt;=3,O579&lt;=5),"Hot Dry (Mar-May)",IF(AND(O579&gt;=6,O579&lt;=11),"Rainy (Jun-Nov)","Cool Dry (Dec-Feb)"))</f>
        <v>Hot Dry (Mar-May)</v>
      </c>
      <c r="T579" s="4" t="str">
        <f aca="false">CHOOSE(O579,"Jan","Feb","Mar","Apr","May","Jun","Jul","Aug","Sep","Oct","Nov","Dec")</f>
        <v>May</v>
      </c>
    </row>
    <row r="580" customFormat="false" ht="15" hidden="false" customHeight="false" outlineLevel="0" collapsed="false">
      <c r="A580" s="4" t="s">
        <v>810</v>
      </c>
      <c r="B580" s="17" t="n">
        <v>45784</v>
      </c>
      <c r="C580" s="4" t="n">
        <v>16</v>
      </c>
      <c r="D580" s="4" t="s">
        <v>70</v>
      </c>
      <c r="E580" s="4" t="s">
        <v>65</v>
      </c>
      <c r="F580" s="4" t="s">
        <v>94</v>
      </c>
      <c r="G580" s="4" t="n">
        <v>1</v>
      </c>
      <c r="H580" s="34" t="n">
        <v>150</v>
      </c>
      <c r="I580" s="18" t="n">
        <v>0.05</v>
      </c>
      <c r="J580" s="4" t="s">
        <v>67</v>
      </c>
      <c r="K580" s="4" t="s">
        <v>82</v>
      </c>
      <c r="L580" s="35" t="n">
        <f aca="false">G580*H580</f>
        <v>150</v>
      </c>
      <c r="M580" s="35" t="n">
        <f aca="false">L580*I580</f>
        <v>7.5</v>
      </c>
      <c r="N580" s="35" t="n">
        <f aca="false">L580-M580</f>
        <v>142.5</v>
      </c>
      <c r="O580" s="4" t="n">
        <f aca="false">MONTH(B580)</f>
        <v>5</v>
      </c>
      <c r="P580" s="4" t="str">
        <f aca="false">CHOOSE(WEEKDAY(B580,2),"Mon","Tue","Wed","Thu","Fri","Sat","Sun")</f>
        <v>Wed</v>
      </c>
      <c r="Q580" s="4" t="str">
        <f aca="false">IF(WEEKDAY(B580,2)&gt;5,"Weekend","Weekday")</f>
        <v>Weekday</v>
      </c>
      <c r="R580" s="4" t="str">
        <f aca="false">IF(C580&lt;11,"Morning (7-10)",IF(C580&lt;14,"Lunch (11-13)",IF(C580&lt;18,"Afternoon (14-17)","Evening (18-20)")))</f>
        <v>Afternoon (14-17)</v>
      </c>
      <c r="S580" s="4" t="str">
        <f aca="false">IF(AND(O580&gt;=3,O580&lt;=5),"Hot Dry (Mar-May)",IF(AND(O580&gt;=6,O580&lt;=11),"Rainy (Jun-Nov)","Cool Dry (Dec-Feb)"))</f>
        <v>Hot Dry (Mar-May)</v>
      </c>
      <c r="T580" s="4" t="str">
        <f aca="false">CHOOSE(O580,"Jan","Feb","Mar","Apr","May","Jun","Jul","Aug","Sep","Oct","Nov","Dec")</f>
        <v>May</v>
      </c>
    </row>
    <row r="581" customFormat="false" ht="15" hidden="false" customHeight="false" outlineLevel="0" collapsed="false">
      <c r="A581" s="4" t="s">
        <v>812</v>
      </c>
      <c r="B581" s="17" t="n">
        <v>45784</v>
      </c>
      <c r="C581" s="4" t="n">
        <v>16</v>
      </c>
      <c r="D581" s="4" t="s">
        <v>70</v>
      </c>
      <c r="E581" s="4" t="s">
        <v>79</v>
      </c>
      <c r="F581" s="4" t="s">
        <v>135</v>
      </c>
      <c r="G581" s="4" t="n">
        <v>1</v>
      </c>
      <c r="H581" s="34" t="n">
        <v>130</v>
      </c>
      <c r="I581" s="18" t="n">
        <v>0</v>
      </c>
      <c r="J581" s="4" t="s">
        <v>76</v>
      </c>
      <c r="K581" s="4" t="s">
        <v>68</v>
      </c>
      <c r="L581" s="35" t="n">
        <f aca="false">G581*H581</f>
        <v>130</v>
      </c>
      <c r="M581" s="35" t="n">
        <f aca="false">L581*I581</f>
        <v>0</v>
      </c>
      <c r="N581" s="35" t="n">
        <f aca="false">L581-M581</f>
        <v>130</v>
      </c>
      <c r="O581" s="4" t="n">
        <f aca="false">MONTH(B581)</f>
        <v>5</v>
      </c>
      <c r="P581" s="4" t="str">
        <f aca="false">CHOOSE(WEEKDAY(B581,2),"Mon","Tue","Wed","Thu","Fri","Sat","Sun")</f>
        <v>Wed</v>
      </c>
      <c r="Q581" s="4" t="str">
        <f aca="false">IF(WEEKDAY(B581,2)&gt;5,"Weekend","Weekday")</f>
        <v>Weekday</v>
      </c>
      <c r="R581" s="4" t="str">
        <f aca="false">IF(C581&lt;11,"Morning (7-10)",IF(C581&lt;14,"Lunch (11-13)",IF(C581&lt;18,"Afternoon (14-17)","Evening (18-20)")))</f>
        <v>Afternoon (14-17)</v>
      </c>
      <c r="S581" s="4" t="str">
        <f aca="false">IF(AND(O581&gt;=3,O581&lt;=5),"Hot Dry (Mar-May)",IF(AND(O581&gt;=6,O581&lt;=11),"Rainy (Jun-Nov)","Cool Dry (Dec-Feb)"))</f>
        <v>Hot Dry (Mar-May)</v>
      </c>
      <c r="T581" s="4" t="str">
        <f aca="false">CHOOSE(O581,"Jan","Feb","Mar","Apr","May","Jun","Jul","Aug","Sep","Oct","Nov","Dec")</f>
        <v>May</v>
      </c>
    </row>
    <row r="582" customFormat="false" ht="15" hidden="false" customHeight="false" outlineLevel="0" collapsed="false">
      <c r="A582" s="4" t="s">
        <v>813</v>
      </c>
      <c r="B582" s="17" t="n">
        <v>45784</v>
      </c>
      <c r="C582" s="4" t="n">
        <v>16</v>
      </c>
      <c r="D582" s="4" t="s">
        <v>73</v>
      </c>
      <c r="E582" s="4" t="s">
        <v>99</v>
      </c>
      <c r="F582" s="4" t="s">
        <v>109</v>
      </c>
      <c r="G582" s="4" t="n">
        <v>1</v>
      </c>
      <c r="H582" s="34" t="n">
        <v>130</v>
      </c>
      <c r="I582" s="18" t="n">
        <v>0.05</v>
      </c>
      <c r="J582" s="4" t="s">
        <v>88</v>
      </c>
      <c r="K582" s="4" t="s">
        <v>82</v>
      </c>
      <c r="L582" s="35" t="n">
        <f aca="false">G582*H582</f>
        <v>130</v>
      </c>
      <c r="M582" s="35" t="n">
        <f aca="false">L582*I582</f>
        <v>6.5</v>
      </c>
      <c r="N582" s="35" t="n">
        <f aca="false">L582-M582</f>
        <v>123.5</v>
      </c>
      <c r="O582" s="4" t="n">
        <f aca="false">MONTH(B582)</f>
        <v>5</v>
      </c>
      <c r="P582" s="4" t="str">
        <f aca="false">CHOOSE(WEEKDAY(B582,2),"Mon","Tue","Wed","Thu","Fri","Sat","Sun")</f>
        <v>Wed</v>
      </c>
      <c r="Q582" s="4" t="str">
        <f aca="false">IF(WEEKDAY(B582,2)&gt;5,"Weekend","Weekday")</f>
        <v>Weekday</v>
      </c>
      <c r="R582" s="4" t="str">
        <f aca="false">IF(C582&lt;11,"Morning (7-10)",IF(C582&lt;14,"Lunch (11-13)",IF(C582&lt;18,"Afternoon (14-17)","Evening (18-20)")))</f>
        <v>Afternoon (14-17)</v>
      </c>
      <c r="S582" s="4" t="str">
        <f aca="false">IF(AND(O582&gt;=3,O582&lt;=5),"Hot Dry (Mar-May)",IF(AND(O582&gt;=6,O582&lt;=11),"Rainy (Jun-Nov)","Cool Dry (Dec-Feb)"))</f>
        <v>Hot Dry (Mar-May)</v>
      </c>
      <c r="T582" s="4" t="str">
        <f aca="false">CHOOSE(O582,"Jan","Feb","Mar","Apr","May","Jun","Jul","Aug","Sep","Oct","Nov","Dec")</f>
        <v>May</v>
      </c>
    </row>
    <row r="583" customFormat="false" ht="15" hidden="false" customHeight="false" outlineLevel="0" collapsed="false">
      <c r="A583" s="4" t="s">
        <v>814</v>
      </c>
      <c r="B583" s="17" t="n">
        <v>45784</v>
      </c>
      <c r="C583" s="4" t="n">
        <v>17</v>
      </c>
      <c r="D583" s="4" t="s">
        <v>64</v>
      </c>
      <c r="E583" s="4" t="s">
        <v>65</v>
      </c>
      <c r="F583" s="4" t="s">
        <v>121</v>
      </c>
      <c r="G583" s="4" t="n">
        <v>1</v>
      </c>
      <c r="H583" s="34" t="n">
        <v>170</v>
      </c>
      <c r="I583" s="18" t="n">
        <v>0</v>
      </c>
      <c r="J583" s="4" t="s">
        <v>88</v>
      </c>
      <c r="K583" s="4" t="s">
        <v>68</v>
      </c>
      <c r="L583" s="35" t="n">
        <f aca="false">G583*H583</f>
        <v>170</v>
      </c>
      <c r="M583" s="35" t="n">
        <f aca="false">L583*I583</f>
        <v>0</v>
      </c>
      <c r="N583" s="35" t="n">
        <f aca="false">L583-M583</f>
        <v>170</v>
      </c>
      <c r="O583" s="4" t="n">
        <f aca="false">MONTH(B583)</f>
        <v>5</v>
      </c>
      <c r="P583" s="4" t="str">
        <f aca="false">CHOOSE(WEEKDAY(B583,2),"Mon","Tue","Wed","Thu","Fri","Sat","Sun")</f>
        <v>Wed</v>
      </c>
      <c r="Q583" s="4" t="str">
        <f aca="false">IF(WEEKDAY(B583,2)&gt;5,"Weekend","Weekday")</f>
        <v>Weekday</v>
      </c>
      <c r="R583" s="4" t="str">
        <f aca="false">IF(C583&lt;11,"Morning (7-10)",IF(C583&lt;14,"Lunch (11-13)",IF(C583&lt;18,"Afternoon (14-17)","Evening (18-20)")))</f>
        <v>Afternoon (14-17)</v>
      </c>
      <c r="S583" s="4" t="str">
        <f aca="false">IF(AND(O583&gt;=3,O583&lt;=5),"Hot Dry (Mar-May)",IF(AND(O583&gt;=6,O583&lt;=11),"Rainy (Jun-Nov)","Cool Dry (Dec-Feb)"))</f>
        <v>Hot Dry (Mar-May)</v>
      </c>
      <c r="T583" s="4" t="str">
        <f aca="false">CHOOSE(O583,"Jan","Feb","Mar","Apr","May","Jun","Jul","Aug","Sep","Oct","Nov","Dec")</f>
        <v>May</v>
      </c>
    </row>
    <row r="584" customFormat="false" ht="15" hidden="false" customHeight="false" outlineLevel="0" collapsed="false">
      <c r="A584" s="4" t="s">
        <v>815</v>
      </c>
      <c r="B584" s="17" t="n">
        <v>45784</v>
      </c>
      <c r="C584" s="4" t="n">
        <v>17</v>
      </c>
      <c r="D584" s="4" t="s">
        <v>70</v>
      </c>
      <c r="E584" s="4" t="s">
        <v>74</v>
      </c>
      <c r="F584" s="4" t="s">
        <v>75</v>
      </c>
      <c r="G584" s="4" t="n">
        <v>2</v>
      </c>
      <c r="H584" s="34" t="n">
        <v>220</v>
      </c>
      <c r="I584" s="18" t="n">
        <v>0.2</v>
      </c>
      <c r="J584" s="4" t="s">
        <v>76</v>
      </c>
      <c r="K584" s="4" t="s">
        <v>68</v>
      </c>
      <c r="L584" s="35" t="n">
        <f aca="false">G584*H584</f>
        <v>440</v>
      </c>
      <c r="M584" s="35" t="n">
        <f aca="false">L584*I584</f>
        <v>88</v>
      </c>
      <c r="N584" s="35" t="n">
        <f aca="false">L584-M584</f>
        <v>352</v>
      </c>
      <c r="O584" s="4" t="n">
        <f aca="false">MONTH(B584)</f>
        <v>5</v>
      </c>
      <c r="P584" s="4" t="str">
        <f aca="false">CHOOSE(WEEKDAY(B584,2),"Mon","Tue","Wed","Thu","Fri","Sat","Sun")</f>
        <v>Wed</v>
      </c>
      <c r="Q584" s="4" t="str">
        <f aca="false">IF(WEEKDAY(B584,2)&gt;5,"Weekend","Weekday")</f>
        <v>Weekday</v>
      </c>
      <c r="R584" s="4" t="str">
        <f aca="false">IF(C584&lt;11,"Morning (7-10)",IF(C584&lt;14,"Lunch (11-13)",IF(C584&lt;18,"Afternoon (14-17)","Evening (18-20)")))</f>
        <v>Afternoon (14-17)</v>
      </c>
      <c r="S584" s="4" t="str">
        <f aca="false">IF(AND(O584&gt;=3,O584&lt;=5),"Hot Dry (Mar-May)",IF(AND(O584&gt;=6,O584&lt;=11),"Rainy (Jun-Nov)","Cool Dry (Dec-Feb)"))</f>
        <v>Hot Dry (Mar-May)</v>
      </c>
      <c r="T584" s="4" t="str">
        <f aca="false">CHOOSE(O584,"Jan","Feb","Mar","Apr","May","Jun","Jul","Aug","Sep","Oct","Nov","Dec")</f>
        <v>May</v>
      </c>
    </row>
    <row r="585" customFormat="false" ht="15" hidden="false" customHeight="false" outlineLevel="0" collapsed="false">
      <c r="A585" s="4" t="s">
        <v>816</v>
      </c>
      <c r="B585" s="17" t="n">
        <v>45785</v>
      </c>
      <c r="C585" s="4" t="n">
        <v>8</v>
      </c>
      <c r="D585" s="4" t="s">
        <v>73</v>
      </c>
      <c r="E585" s="4" t="s">
        <v>65</v>
      </c>
      <c r="F585" s="4" t="s">
        <v>121</v>
      </c>
      <c r="G585" s="4" t="n">
        <v>2</v>
      </c>
      <c r="H585" s="34" t="n">
        <v>170</v>
      </c>
      <c r="I585" s="18" t="n">
        <v>0.1</v>
      </c>
      <c r="J585" s="4" t="s">
        <v>76</v>
      </c>
      <c r="K585" s="4" t="s">
        <v>71</v>
      </c>
      <c r="L585" s="35" t="n">
        <f aca="false">G585*H585</f>
        <v>340</v>
      </c>
      <c r="M585" s="35" t="n">
        <f aca="false">L585*I585</f>
        <v>34</v>
      </c>
      <c r="N585" s="35" t="n">
        <f aca="false">L585-M585</f>
        <v>306</v>
      </c>
      <c r="O585" s="4" t="n">
        <f aca="false">MONTH(B585)</f>
        <v>5</v>
      </c>
      <c r="P585" s="4" t="str">
        <f aca="false">CHOOSE(WEEKDAY(B585,2),"Mon","Tue","Wed","Thu","Fri","Sat","Sun")</f>
        <v>Thu</v>
      </c>
      <c r="Q585" s="4" t="str">
        <f aca="false">IF(WEEKDAY(B585,2)&gt;5,"Weekend","Weekday")</f>
        <v>Weekday</v>
      </c>
      <c r="R585" s="4" t="str">
        <f aca="false">IF(C585&lt;11,"Morning (7-10)",IF(C585&lt;14,"Lunch (11-13)",IF(C585&lt;18,"Afternoon (14-17)","Evening (18-20)")))</f>
        <v>Morning (7-10)</v>
      </c>
      <c r="S585" s="4" t="str">
        <f aca="false">IF(AND(O585&gt;=3,O585&lt;=5),"Hot Dry (Mar-May)",IF(AND(O585&gt;=6,O585&lt;=11),"Rainy (Jun-Nov)","Cool Dry (Dec-Feb)"))</f>
        <v>Hot Dry (Mar-May)</v>
      </c>
      <c r="T585" s="4" t="str">
        <f aca="false">CHOOSE(O585,"Jan","Feb","Mar","Apr","May","Jun","Jul","Aug","Sep","Oct","Nov","Dec")</f>
        <v>May</v>
      </c>
    </row>
    <row r="586" customFormat="false" ht="15" hidden="false" customHeight="false" outlineLevel="0" collapsed="false">
      <c r="A586" s="4" t="s">
        <v>817</v>
      </c>
      <c r="B586" s="17" t="n">
        <v>45785</v>
      </c>
      <c r="C586" s="4" t="n">
        <v>9</v>
      </c>
      <c r="D586" s="4" t="s">
        <v>64</v>
      </c>
      <c r="E586" s="4" t="s">
        <v>79</v>
      </c>
      <c r="F586" s="4" t="s">
        <v>80</v>
      </c>
      <c r="G586" s="4" t="n">
        <v>2</v>
      </c>
      <c r="H586" s="34" t="n">
        <v>160</v>
      </c>
      <c r="I586" s="18" t="n">
        <v>0</v>
      </c>
      <c r="J586" s="4" t="s">
        <v>112</v>
      </c>
      <c r="K586" s="4" t="s">
        <v>77</v>
      </c>
      <c r="L586" s="35" t="n">
        <f aca="false">G586*H586</f>
        <v>320</v>
      </c>
      <c r="M586" s="35" t="n">
        <f aca="false">L586*I586</f>
        <v>0</v>
      </c>
      <c r="N586" s="35" t="n">
        <f aca="false">L586-M586</f>
        <v>320</v>
      </c>
      <c r="O586" s="4" t="n">
        <f aca="false">MONTH(B586)</f>
        <v>5</v>
      </c>
      <c r="P586" s="4" t="str">
        <f aca="false">CHOOSE(WEEKDAY(B586,2),"Mon","Tue","Wed","Thu","Fri","Sat","Sun")</f>
        <v>Thu</v>
      </c>
      <c r="Q586" s="4" t="str">
        <f aca="false">IF(WEEKDAY(B586,2)&gt;5,"Weekend","Weekday")</f>
        <v>Weekday</v>
      </c>
      <c r="R586" s="4" t="str">
        <f aca="false">IF(C586&lt;11,"Morning (7-10)",IF(C586&lt;14,"Lunch (11-13)",IF(C586&lt;18,"Afternoon (14-17)","Evening (18-20)")))</f>
        <v>Morning (7-10)</v>
      </c>
      <c r="S586" s="4" t="str">
        <f aca="false">IF(AND(O586&gt;=3,O586&lt;=5),"Hot Dry (Mar-May)",IF(AND(O586&gt;=6,O586&lt;=11),"Rainy (Jun-Nov)","Cool Dry (Dec-Feb)"))</f>
        <v>Hot Dry (Mar-May)</v>
      </c>
      <c r="T586" s="4" t="str">
        <f aca="false">CHOOSE(O586,"Jan","Feb","Mar","Apr","May","Jun","Jul","Aug","Sep","Oct","Nov","Dec")</f>
        <v>May</v>
      </c>
    </row>
    <row r="587" customFormat="false" ht="15" hidden="false" customHeight="false" outlineLevel="0" collapsed="false">
      <c r="A587" s="4" t="s">
        <v>818</v>
      </c>
      <c r="B587" s="17" t="n">
        <v>45785</v>
      </c>
      <c r="C587" s="4" t="n">
        <v>11</v>
      </c>
      <c r="D587" s="4" t="s">
        <v>98</v>
      </c>
      <c r="E587" s="4" t="s">
        <v>65</v>
      </c>
      <c r="F587" s="4" t="s">
        <v>66</v>
      </c>
      <c r="G587" s="4" t="n">
        <v>2</v>
      </c>
      <c r="H587" s="34" t="n">
        <v>120</v>
      </c>
      <c r="I587" s="18" t="n">
        <v>0.1</v>
      </c>
      <c r="J587" s="4" t="s">
        <v>81</v>
      </c>
      <c r="K587" s="4" t="s">
        <v>71</v>
      </c>
      <c r="L587" s="35" t="n">
        <f aca="false">G587*H587</f>
        <v>240</v>
      </c>
      <c r="M587" s="35" t="n">
        <f aca="false">L587*I587</f>
        <v>24</v>
      </c>
      <c r="N587" s="35" t="n">
        <f aca="false">L587-M587</f>
        <v>216</v>
      </c>
      <c r="O587" s="4" t="n">
        <f aca="false">MONTH(B587)</f>
        <v>5</v>
      </c>
      <c r="P587" s="4" t="str">
        <f aca="false">CHOOSE(WEEKDAY(B587,2),"Mon","Tue","Wed","Thu","Fri","Sat","Sun")</f>
        <v>Thu</v>
      </c>
      <c r="Q587" s="4" t="str">
        <f aca="false">IF(WEEKDAY(B587,2)&gt;5,"Weekend","Weekday")</f>
        <v>Weekday</v>
      </c>
      <c r="R587" s="4" t="str">
        <f aca="false">IF(C587&lt;11,"Morning (7-10)",IF(C587&lt;14,"Lunch (11-13)",IF(C587&lt;18,"Afternoon (14-17)","Evening (18-20)")))</f>
        <v>Lunch (11-13)</v>
      </c>
      <c r="S587" s="4" t="str">
        <f aca="false">IF(AND(O587&gt;=3,O587&lt;=5),"Hot Dry (Mar-May)",IF(AND(O587&gt;=6,O587&lt;=11),"Rainy (Jun-Nov)","Cool Dry (Dec-Feb)"))</f>
        <v>Hot Dry (Mar-May)</v>
      </c>
      <c r="T587" s="4" t="str">
        <f aca="false">CHOOSE(O587,"Jan","Feb","Mar","Apr","May","Jun","Jul","Aug","Sep","Oct","Nov","Dec")</f>
        <v>May</v>
      </c>
    </row>
    <row r="588" customFormat="false" ht="15" hidden="false" customHeight="false" outlineLevel="0" collapsed="false">
      <c r="A588" s="4" t="s">
        <v>819</v>
      </c>
      <c r="B588" s="17" t="n">
        <v>45785</v>
      </c>
      <c r="C588" s="4" t="n">
        <v>12</v>
      </c>
      <c r="D588" s="4" t="s">
        <v>64</v>
      </c>
      <c r="E588" s="4" t="s">
        <v>84</v>
      </c>
      <c r="F588" s="4" t="s">
        <v>114</v>
      </c>
      <c r="G588" s="4" t="n">
        <v>3</v>
      </c>
      <c r="H588" s="34" t="n">
        <v>85</v>
      </c>
      <c r="I588" s="18" t="n">
        <v>0.1</v>
      </c>
      <c r="J588" s="4" t="s">
        <v>76</v>
      </c>
      <c r="K588" s="4" t="s">
        <v>71</v>
      </c>
      <c r="L588" s="35" t="n">
        <f aca="false">G588*H588</f>
        <v>255</v>
      </c>
      <c r="M588" s="35" t="n">
        <f aca="false">L588*I588</f>
        <v>25.5</v>
      </c>
      <c r="N588" s="35" t="n">
        <f aca="false">L588-M588</f>
        <v>229.5</v>
      </c>
      <c r="O588" s="4" t="n">
        <f aca="false">MONTH(B588)</f>
        <v>5</v>
      </c>
      <c r="P588" s="4" t="str">
        <f aca="false">CHOOSE(WEEKDAY(B588,2),"Mon","Tue","Wed","Thu","Fri","Sat","Sun")</f>
        <v>Thu</v>
      </c>
      <c r="Q588" s="4" t="str">
        <f aca="false">IF(WEEKDAY(B588,2)&gt;5,"Weekend","Weekday")</f>
        <v>Weekday</v>
      </c>
      <c r="R588" s="4" t="str">
        <f aca="false">IF(C588&lt;11,"Morning (7-10)",IF(C588&lt;14,"Lunch (11-13)",IF(C588&lt;18,"Afternoon (14-17)","Evening (18-20)")))</f>
        <v>Lunch (11-13)</v>
      </c>
      <c r="S588" s="4" t="str">
        <f aca="false">IF(AND(O588&gt;=3,O588&lt;=5),"Hot Dry (Mar-May)",IF(AND(O588&gt;=6,O588&lt;=11),"Rainy (Jun-Nov)","Cool Dry (Dec-Feb)"))</f>
        <v>Hot Dry (Mar-May)</v>
      </c>
      <c r="T588" s="4" t="str">
        <f aca="false">CHOOSE(O588,"Jan","Feb","Mar","Apr","May","Jun","Jul","Aug","Sep","Oct","Nov","Dec")</f>
        <v>May</v>
      </c>
    </row>
    <row r="589" customFormat="false" ht="15" hidden="false" customHeight="false" outlineLevel="0" collapsed="false">
      <c r="A589" s="4" t="s">
        <v>820</v>
      </c>
      <c r="B589" s="17" t="n">
        <v>45785</v>
      </c>
      <c r="C589" s="4" t="n">
        <v>12</v>
      </c>
      <c r="D589" s="4" t="s">
        <v>73</v>
      </c>
      <c r="E589" s="4" t="s">
        <v>84</v>
      </c>
      <c r="F589" s="4" t="s">
        <v>114</v>
      </c>
      <c r="G589" s="4" t="n">
        <v>2</v>
      </c>
      <c r="H589" s="34" t="n">
        <v>85</v>
      </c>
      <c r="I589" s="18" t="n">
        <v>0.05</v>
      </c>
      <c r="J589" s="4" t="s">
        <v>81</v>
      </c>
      <c r="K589" s="4" t="s">
        <v>82</v>
      </c>
      <c r="L589" s="35" t="n">
        <f aca="false">G589*H589</f>
        <v>170</v>
      </c>
      <c r="M589" s="35" t="n">
        <f aca="false">L589*I589</f>
        <v>8.5</v>
      </c>
      <c r="N589" s="35" t="n">
        <f aca="false">L589-M589</f>
        <v>161.5</v>
      </c>
      <c r="O589" s="4" t="n">
        <f aca="false">MONTH(B589)</f>
        <v>5</v>
      </c>
      <c r="P589" s="4" t="str">
        <f aca="false">CHOOSE(WEEKDAY(B589,2),"Mon","Tue","Wed","Thu","Fri","Sat","Sun")</f>
        <v>Thu</v>
      </c>
      <c r="Q589" s="4" t="str">
        <f aca="false">IF(WEEKDAY(B589,2)&gt;5,"Weekend","Weekday")</f>
        <v>Weekday</v>
      </c>
      <c r="R589" s="4" t="str">
        <f aca="false">IF(C589&lt;11,"Morning (7-10)",IF(C589&lt;14,"Lunch (11-13)",IF(C589&lt;18,"Afternoon (14-17)","Evening (18-20)")))</f>
        <v>Lunch (11-13)</v>
      </c>
      <c r="S589" s="4" t="str">
        <f aca="false">IF(AND(O589&gt;=3,O589&lt;=5),"Hot Dry (Mar-May)",IF(AND(O589&gt;=6,O589&lt;=11),"Rainy (Jun-Nov)","Cool Dry (Dec-Feb)"))</f>
        <v>Hot Dry (Mar-May)</v>
      </c>
      <c r="T589" s="4" t="str">
        <f aca="false">CHOOSE(O589,"Jan","Feb","Mar","Apr","May","Jun","Jul","Aug","Sep","Oct","Nov","Dec")</f>
        <v>May</v>
      </c>
    </row>
    <row r="590" customFormat="false" ht="15" hidden="false" customHeight="false" outlineLevel="0" collapsed="false">
      <c r="A590" s="4" t="s">
        <v>821</v>
      </c>
      <c r="B590" s="17" t="n">
        <v>45786</v>
      </c>
      <c r="C590" s="4" t="n">
        <v>9</v>
      </c>
      <c r="D590" s="4" t="s">
        <v>98</v>
      </c>
      <c r="E590" s="4" t="s">
        <v>84</v>
      </c>
      <c r="F590" s="4" t="s">
        <v>106</v>
      </c>
      <c r="G590" s="4" t="n">
        <v>1</v>
      </c>
      <c r="H590" s="34" t="n">
        <v>60</v>
      </c>
      <c r="I590" s="18" t="n">
        <v>0</v>
      </c>
      <c r="J590" s="4" t="s">
        <v>81</v>
      </c>
      <c r="K590" s="4" t="s">
        <v>77</v>
      </c>
      <c r="L590" s="35" t="n">
        <f aca="false">G590*H590</f>
        <v>60</v>
      </c>
      <c r="M590" s="35" t="n">
        <f aca="false">L590*I590</f>
        <v>0</v>
      </c>
      <c r="N590" s="35" t="n">
        <f aca="false">L590-M590</f>
        <v>60</v>
      </c>
      <c r="O590" s="4" t="n">
        <f aca="false">MONTH(B590)</f>
        <v>5</v>
      </c>
      <c r="P590" s="4" t="str">
        <f aca="false">CHOOSE(WEEKDAY(B590,2),"Mon","Tue","Wed","Thu","Fri","Sat","Sun")</f>
        <v>Fri</v>
      </c>
      <c r="Q590" s="4" t="str">
        <f aca="false">IF(WEEKDAY(B590,2)&gt;5,"Weekend","Weekday")</f>
        <v>Weekday</v>
      </c>
      <c r="R590" s="4" t="str">
        <f aca="false">IF(C590&lt;11,"Morning (7-10)",IF(C590&lt;14,"Lunch (11-13)",IF(C590&lt;18,"Afternoon (14-17)","Evening (18-20)")))</f>
        <v>Morning (7-10)</v>
      </c>
      <c r="S590" s="4" t="str">
        <f aca="false">IF(AND(O590&gt;=3,O590&lt;=5),"Hot Dry (Mar-May)",IF(AND(O590&gt;=6,O590&lt;=11),"Rainy (Jun-Nov)","Cool Dry (Dec-Feb)"))</f>
        <v>Hot Dry (Mar-May)</v>
      </c>
      <c r="T590" s="4" t="str">
        <f aca="false">CHOOSE(O590,"Jan","Feb","Mar","Apr","May","Jun","Jul","Aug","Sep","Oct","Nov","Dec")</f>
        <v>May</v>
      </c>
    </row>
    <row r="591" customFormat="false" ht="15" hidden="false" customHeight="false" outlineLevel="0" collapsed="false">
      <c r="A591" s="4" t="s">
        <v>822</v>
      </c>
      <c r="B591" s="17" t="n">
        <v>45786</v>
      </c>
      <c r="C591" s="4" t="n">
        <v>10</v>
      </c>
      <c r="D591" s="4" t="s">
        <v>70</v>
      </c>
      <c r="E591" s="4" t="s">
        <v>65</v>
      </c>
      <c r="F591" s="4" t="s">
        <v>87</v>
      </c>
      <c r="G591" s="4" t="n">
        <v>3</v>
      </c>
      <c r="H591" s="34" t="n">
        <v>160</v>
      </c>
      <c r="I591" s="18" t="n">
        <v>0.1</v>
      </c>
      <c r="J591" s="4" t="s">
        <v>76</v>
      </c>
      <c r="K591" s="4" t="s">
        <v>71</v>
      </c>
      <c r="L591" s="35" t="n">
        <f aca="false">G591*H591</f>
        <v>480</v>
      </c>
      <c r="M591" s="35" t="n">
        <f aca="false">L591*I591</f>
        <v>48</v>
      </c>
      <c r="N591" s="35" t="n">
        <f aca="false">L591-M591</f>
        <v>432</v>
      </c>
      <c r="O591" s="4" t="n">
        <f aca="false">MONTH(B591)</f>
        <v>5</v>
      </c>
      <c r="P591" s="4" t="str">
        <f aca="false">CHOOSE(WEEKDAY(B591,2),"Mon","Tue","Wed","Thu","Fri","Sat","Sun")</f>
        <v>Fri</v>
      </c>
      <c r="Q591" s="4" t="str">
        <f aca="false">IF(WEEKDAY(B591,2)&gt;5,"Weekend","Weekday")</f>
        <v>Weekday</v>
      </c>
      <c r="R591" s="4" t="str">
        <f aca="false">IF(C591&lt;11,"Morning (7-10)",IF(C591&lt;14,"Lunch (11-13)",IF(C591&lt;18,"Afternoon (14-17)","Evening (18-20)")))</f>
        <v>Morning (7-10)</v>
      </c>
      <c r="S591" s="4" t="str">
        <f aca="false">IF(AND(O591&gt;=3,O591&lt;=5),"Hot Dry (Mar-May)",IF(AND(O591&gt;=6,O591&lt;=11),"Rainy (Jun-Nov)","Cool Dry (Dec-Feb)"))</f>
        <v>Hot Dry (Mar-May)</v>
      </c>
      <c r="T591" s="4" t="str">
        <f aca="false">CHOOSE(O591,"Jan","Feb","Mar","Apr","May","Jun","Jul","Aug","Sep","Oct","Nov","Dec")</f>
        <v>May</v>
      </c>
    </row>
    <row r="592" customFormat="false" ht="15" hidden="false" customHeight="false" outlineLevel="0" collapsed="false">
      <c r="A592" s="4" t="s">
        <v>823</v>
      </c>
      <c r="B592" s="17" t="n">
        <v>45786</v>
      </c>
      <c r="C592" s="4" t="n">
        <v>13</v>
      </c>
      <c r="D592" s="4" t="s">
        <v>73</v>
      </c>
      <c r="E592" s="4" t="s">
        <v>65</v>
      </c>
      <c r="F592" s="4" t="s">
        <v>66</v>
      </c>
      <c r="G592" s="4" t="n">
        <v>4</v>
      </c>
      <c r="H592" s="34" t="n">
        <v>120</v>
      </c>
      <c r="I592" s="18" t="n">
        <v>0.05</v>
      </c>
      <c r="J592" s="4" t="s">
        <v>67</v>
      </c>
      <c r="K592" s="4" t="s">
        <v>82</v>
      </c>
      <c r="L592" s="35" t="n">
        <f aca="false">G592*H592</f>
        <v>480</v>
      </c>
      <c r="M592" s="35" t="n">
        <f aca="false">L592*I592</f>
        <v>24</v>
      </c>
      <c r="N592" s="35" t="n">
        <f aca="false">L592-M592</f>
        <v>456</v>
      </c>
      <c r="O592" s="4" t="n">
        <f aca="false">MONTH(B592)</f>
        <v>5</v>
      </c>
      <c r="P592" s="4" t="str">
        <f aca="false">CHOOSE(WEEKDAY(B592,2),"Mon","Tue","Wed","Thu","Fri","Sat","Sun")</f>
        <v>Fri</v>
      </c>
      <c r="Q592" s="4" t="str">
        <f aca="false">IF(WEEKDAY(B592,2)&gt;5,"Weekend","Weekday")</f>
        <v>Weekday</v>
      </c>
      <c r="R592" s="4" t="str">
        <f aca="false">IF(C592&lt;11,"Morning (7-10)",IF(C592&lt;14,"Lunch (11-13)",IF(C592&lt;18,"Afternoon (14-17)","Evening (18-20)")))</f>
        <v>Lunch (11-13)</v>
      </c>
      <c r="S592" s="4" t="str">
        <f aca="false">IF(AND(O592&gt;=3,O592&lt;=5),"Hot Dry (Mar-May)",IF(AND(O592&gt;=6,O592&lt;=11),"Rainy (Jun-Nov)","Cool Dry (Dec-Feb)"))</f>
        <v>Hot Dry (Mar-May)</v>
      </c>
      <c r="T592" s="4" t="str">
        <f aca="false">CHOOSE(O592,"Jan","Feb","Mar","Apr","May","Jun","Jul","Aug","Sep","Oct","Nov","Dec")</f>
        <v>May</v>
      </c>
    </row>
    <row r="593" customFormat="false" ht="15" hidden="false" customHeight="false" outlineLevel="0" collapsed="false">
      <c r="A593" s="4" t="s">
        <v>824</v>
      </c>
      <c r="B593" s="17" t="n">
        <v>45786</v>
      </c>
      <c r="C593" s="4" t="n">
        <v>16</v>
      </c>
      <c r="D593" s="4" t="s">
        <v>64</v>
      </c>
      <c r="E593" s="4" t="s">
        <v>65</v>
      </c>
      <c r="F593" s="4" t="s">
        <v>94</v>
      </c>
      <c r="G593" s="4" t="n">
        <v>4</v>
      </c>
      <c r="H593" s="34" t="n">
        <v>150</v>
      </c>
      <c r="I593" s="18" t="n">
        <v>0.1</v>
      </c>
      <c r="J593" s="4" t="s">
        <v>88</v>
      </c>
      <c r="K593" s="4" t="s">
        <v>82</v>
      </c>
      <c r="L593" s="35" t="n">
        <f aca="false">G593*H593</f>
        <v>600</v>
      </c>
      <c r="M593" s="35" t="n">
        <f aca="false">L593*I593</f>
        <v>60</v>
      </c>
      <c r="N593" s="35" t="n">
        <f aca="false">L593-M593</f>
        <v>540</v>
      </c>
      <c r="O593" s="4" t="n">
        <f aca="false">MONTH(B593)</f>
        <v>5</v>
      </c>
      <c r="P593" s="4" t="str">
        <f aca="false">CHOOSE(WEEKDAY(B593,2),"Mon","Tue","Wed","Thu","Fri","Sat","Sun")</f>
        <v>Fri</v>
      </c>
      <c r="Q593" s="4" t="str">
        <f aca="false">IF(WEEKDAY(B593,2)&gt;5,"Weekend","Weekday")</f>
        <v>Weekday</v>
      </c>
      <c r="R593" s="4" t="str">
        <f aca="false">IF(C593&lt;11,"Morning (7-10)",IF(C593&lt;14,"Lunch (11-13)",IF(C593&lt;18,"Afternoon (14-17)","Evening (18-20)")))</f>
        <v>Afternoon (14-17)</v>
      </c>
      <c r="S593" s="4" t="str">
        <f aca="false">IF(AND(O593&gt;=3,O593&lt;=5),"Hot Dry (Mar-May)",IF(AND(O593&gt;=6,O593&lt;=11),"Rainy (Jun-Nov)","Cool Dry (Dec-Feb)"))</f>
        <v>Hot Dry (Mar-May)</v>
      </c>
      <c r="T593" s="4" t="str">
        <f aca="false">CHOOSE(O593,"Jan","Feb","Mar","Apr","May","Jun","Jul","Aug","Sep","Oct","Nov","Dec")</f>
        <v>May</v>
      </c>
    </row>
    <row r="594" customFormat="false" ht="15" hidden="false" customHeight="false" outlineLevel="0" collapsed="false">
      <c r="A594" s="4" t="s">
        <v>826</v>
      </c>
      <c r="B594" s="17" t="n">
        <v>45786</v>
      </c>
      <c r="C594" s="4" t="n">
        <v>17</v>
      </c>
      <c r="D594" s="4" t="s">
        <v>64</v>
      </c>
      <c r="E594" s="4" t="s">
        <v>79</v>
      </c>
      <c r="F594" s="4" t="s">
        <v>80</v>
      </c>
      <c r="G594" s="4" t="n">
        <v>1</v>
      </c>
      <c r="H594" s="34" t="n">
        <v>160</v>
      </c>
      <c r="I594" s="18" t="n">
        <v>0.05</v>
      </c>
      <c r="J594" s="4" t="s">
        <v>88</v>
      </c>
      <c r="K594" s="4" t="s">
        <v>82</v>
      </c>
      <c r="L594" s="35" t="n">
        <f aca="false">G594*H594</f>
        <v>160</v>
      </c>
      <c r="M594" s="35" t="n">
        <f aca="false">L594*I594</f>
        <v>8</v>
      </c>
      <c r="N594" s="35" t="n">
        <f aca="false">L594-M594</f>
        <v>152</v>
      </c>
      <c r="O594" s="4" t="n">
        <f aca="false">MONTH(B594)</f>
        <v>5</v>
      </c>
      <c r="P594" s="4" t="str">
        <f aca="false">CHOOSE(WEEKDAY(B594,2),"Mon","Tue","Wed","Thu","Fri","Sat","Sun")</f>
        <v>Fri</v>
      </c>
      <c r="Q594" s="4" t="str">
        <f aca="false">IF(WEEKDAY(B594,2)&gt;5,"Weekend","Weekday")</f>
        <v>Weekday</v>
      </c>
      <c r="R594" s="4" t="str">
        <f aca="false">IF(C594&lt;11,"Morning (7-10)",IF(C594&lt;14,"Lunch (11-13)",IF(C594&lt;18,"Afternoon (14-17)","Evening (18-20)")))</f>
        <v>Afternoon (14-17)</v>
      </c>
      <c r="S594" s="4" t="str">
        <f aca="false">IF(AND(O594&gt;=3,O594&lt;=5),"Hot Dry (Mar-May)",IF(AND(O594&gt;=6,O594&lt;=11),"Rainy (Jun-Nov)","Cool Dry (Dec-Feb)"))</f>
        <v>Hot Dry (Mar-May)</v>
      </c>
      <c r="T594" s="4" t="str">
        <f aca="false">CHOOSE(O594,"Jan","Feb","Mar","Apr","May","Jun","Jul","Aug","Sep","Oct","Nov","Dec")</f>
        <v>May</v>
      </c>
    </row>
    <row r="595" customFormat="false" ht="15" hidden="false" customHeight="false" outlineLevel="0" collapsed="false">
      <c r="A595" s="4" t="s">
        <v>827</v>
      </c>
      <c r="B595" s="17" t="n">
        <v>45787</v>
      </c>
      <c r="C595" s="4" t="n">
        <v>11</v>
      </c>
      <c r="D595" s="4" t="s">
        <v>98</v>
      </c>
      <c r="E595" s="4" t="s">
        <v>84</v>
      </c>
      <c r="F595" s="4" t="s">
        <v>117</v>
      </c>
      <c r="G595" s="4" t="n">
        <v>1</v>
      </c>
      <c r="H595" s="34" t="n">
        <v>95</v>
      </c>
      <c r="I595" s="18" t="n">
        <v>0</v>
      </c>
      <c r="J595" s="4" t="s">
        <v>67</v>
      </c>
      <c r="K595" s="4" t="s">
        <v>68</v>
      </c>
      <c r="L595" s="35" t="n">
        <f aca="false">G595*H595</f>
        <v>95</v>
      </c>
      <c r="M595" s="35" t="n">
        <f aca="false">L595*I595</f>
        <v>0</v>
      </c>
      <c r="N595" s="35" t="n">
        <f aca="false">L595-M595</f>
        <v>95</v>
      </c>
      <c r="O595" s="4" t="n">
        <f aca="false">MONTH(B595)</f>
        <v>5</v>
      </c>
      <c r="P595" s="4" t="str">
        <f aca="false">CHOOSE(WEEKDAY(B595,2),"Mon","Tue","Wed","Thu","Fri","Sat","Sun")</f>
        <v>Sat</v>
      </c>
      <c r="Q595" s="4" t="str">
        <f aca="false">IF(WEEKDAY(B595,2)&gt;5,"Weekend","Weekday")</f>
        <v>Weekend</v>
      </c>
      <c r="R595" s="4" t="str">
        <f aca="false">IF(C595&lt;11,"Morning (7-10)",IF(C595&lt;14,"Lunch (11-13)",IF(C595&lt;18,"Afternoon (14-17)","Evening (18-20)")))</f>
        <v>Lunch (11-13)</v>
      </c>
      <c r="S595" s="4" t="str">
        <f aca="false">IF(AND(O595&gt;=3,O595&lt;=5),"Hot Dry (Mar-May)",IF(AND(O595&gt;=6,O595&lt;=11),"Rainy (Jun-Nov)","Cool Dry (Dec-Feb)"))</f>
        <v>Hot Dry (Mar-May)</v>
      </c>
      <c r="T595" s="4" t="str">
        <f aca="false">CHOOSE(O595,"Jan","Feb","Mar","Apr","May","Jun","Jul","Aug","Sep","Oct","Nov","Dec")</f>
        <v>May</v>
      </c>
    </row>
    <row r="596" customFormat="false" ht="15" hidden="false" customHeight="false" outlineLevel="0" collapsed="false">
      <c r="A596" s="4" t="s">
        <v>828</v>
      </c>
      <c r="B596" s="17" t="n">
        <v>45787</v>
      </c>
      <c r="C596" s="4" t="n">
        <v>16</v>
      </c>
      <c r="D596" s="4" t="s">
        <v>70</v>
      </c>
      <c r="E596" s="4" t="s">
        <v>74</v>
      </c>
      <c r="F596" s="4" t="s">
        <v>75</v>
      </c>
      <c r="G596" s="4" t="n">
        <v>1</v>
      </c>
      <c r="H596" s="34" t="n">
        <v>220</v>
      </c>
      <c r="I596" s="18" t="n">
        <v>0</v>
      </c>
      <c r="J596" s="4" t="s">
        <v>67</v>
      </c>
      <c r="K596" s="4" t="s">
        <v>68</v>
      </c>
      <c r="L596" s="35" t="n">
        <f aca="false">G596*H596</f>
        <v>220</v>
      </c>
      <c r="M596" s="35" t="n">
        <f aca="false">L596*I596</f>
        <v>0</v>
      </c>
      <c r="N596" s="35" t="n">
        <f aca="false">L596-M596</f>
        <v>220</v>
      </c>
      <c r="O596" s="4" t="n">
        <f aca="false">MONTH(B596)</f>
        <v>5</v>
      </c>
      <c r="P596" s="4" t="str">
        <f aca="false">CHOOSE(WEEKDAY(B596,2),"Mon","Tue","Wed","Thu","Fri","Sat","Sun")</f>
        <v>Sat</v>
      </c>
      <c r="Q596" s="4" t="str">
        <f aca="false">IF(WEEKDAY(B596,2)&gt;5,"Weekend","Weekday")</f>
        <v>Weekend</v>
      </c>
      <c r="R596" s="4" t="str">
        <f aca="false">IF(C596&lt;11,"Morning (7-10)",IF(C596&lt;14,"Lunch (11-13)",IF(C596&lt;18,"Afternoon (14-17)","Evening (18-20)")))</f>
        <v>Afternoon (14-17)</v>
      </c>
      <c r="S596" s="4" t="str">
        <f aca="false">IF(AND(O596&gt;=3,O596&lt;=5),"Hot Dry (Mar-May)",IF(AND(O596&gt;=6,O596&lt;=11),"Rainy (Jun-Nov)","Cool Dry (Dec-Feb)"))</f>
        <v>Hot Dry (Mar-May)</v>
      </c>
      <c r="T596" s="4" t="str">
        <f aca="false">CHOOSE(O596,"Jan","Feb","Mar","Apr","May","Jun","Jul","Aug","Sep","Oct","Nov","Dec")</f>
        <v>May</v>
      </c>
    </row>
    <row r="597" customFormat="false" ht="15" hidden="false" customHeight="false" outlineLevel="0" collapsed="false">
      <c r="A597" s="4" t="s">
        <v>829</v>
      </c>
      <c r="B597" s="17" t="n">
        <v>45787</v>
      </c>
      <c r="C597" s="4" t="n">
        <v>17</v>
      </c>
      <c r="D597" s="4" t="s">
        <v>98</v>
      </c>
      <c r="E597" s="4" t="s">
        <v>65</v>
      </c>
      <c r="F597" s="4" t="s">
        <v>94</v>
      </c>
      <c r="G597" s="4" t="n">
        <v>2</v>
      </c>
      <c r="H597" s="34" t="n">
        <v>150</v>
      </c>
      <c r="I597" s="18" t="n">
        <v>0.1</v>
      </c>
      <c r="J597" s="4" t="s">
        <v>67</v>
      </c>
      <c r="K597" s="4" t="s">
        <v>71</v>
      </c>
      <c r="L597" s="35" t="n">
        <f aca="false">G597*H597</f>
        <v>300</v>
      </c>
      <c r="M597" s="35" t="n">
        <f aca="false">L597*I597</f>
        <v>30</v>
      </c>
      <c r="N597" s="35" t="n">
        <f aca="false">L597-M597</f>
        <v>270</v>
      </c>
      <c r="O597" s="4" t="n">
        <f aca="false">MONTH(B597)</f>
        <v>5</v>
      </c>
      <c r="P597" s="4" t="str">
        <f aca="false">CHOOSE(WEEKDAY(B597,2),"Mon","Tue","Wed","Thu","Fri","Sat","Sun")</f>
        <v>Sat</v>
      </c>
      <c r="Q597" s="4" t="str">
        <f aca="false">IF(WEEKDAY(B597,2)&gt;5,"Weekend","Weekday")</f>
        <v>Weekend</v>
      </c>
      <c r="R597" s="4" t="str">
        <f aca="false">IF(C597&lt;11,"Morning (7-10)",IF(C597&lt;14,"Lunch (11-13)",IF(C597&lt;18,"Afternoon (14-17)","Evening (18-20)")))</f>
        <v>Afternoon (14-17)</v>
      </c>
      <c r="S597" s="4" t="str">
        <f aca="false">IF(AND(O597&gt;=3,O597&lt;=5),"Hot Dry (Mar-May)",IF(AND(O597&gt;=6,O597&lt;=11),"Rainy (Jun-Nov)","Cool Dry (Dec-Feb)"))</f>
        <v>Hot Dry (Mar-May)</v>
      </c>
      <c r="T597" s="4" t="str">
        <f aca="false">CHOOSE(O597,"Jan","Feb","Mar","Apr","May","Jun","Jul","Aug","Sep","Oct","Nov","Dec")</f>
        <v>May</v>
      </c>
    </row>
    <row r="598" customFormat="false" ht="15" hidden="false" customHeight="false" outlineLevel="0" collapsed="false">
      <c r="A598" s="4" t="s">
        <v>830</v>
      </c>
      <c r="B598" s="17" t="n">
        <v>45788</v>
      </c>
      <c r="C598" s="4" t="n">
        <v>7</v>
      </c>
      <c r="D598" s="4" t="s">
        <v>64</v>
      </c>
      <c r="E598" s="4" t="s">
        <v>65</v>
      </c>
      <c r="F598" s="4" t="s">
        <v>121</v>
      </c>
      <c r="G598" s="4" t="n">
        <v>2</v>
      </c>
      <c r="H598" s="34" t="n">
        <v>170</v>
      </c>
      <c r="I598" s="18" t="n">
        <v>0.05</v>
      </c>
      <c r="J598" s="4" t="s">
        <v>81</v>
      </c>
      <c r="K598" s="4" t="s">
        <v>82</v>
      </c>
      <c r="L598" s="35" t="n">
        <f aca="false">G598*H598</f>
        <v>340</v>
      </c>
      <c r="M598" s="35" t="n">
        <f aca="false">L598*I598</f>
        <v>17</v>
      </c>
      <c r="N598" s="35" t="n">
        <f aca="false">L598-M598</f>
        <v>323</v>
      </c>
      <c r="O598" s="4" t="n">
        <f aca="false">MONTH(B598)</f>
        <v>5</v>
      </c>
      <c r="P598" s="4" t="str">
        <f aca="false">CHOOSE(WEEKDAY(B598,2),"Mon","Tue","Wed","Thu","Fri","Sat","Sun")</f>
        <v>Sun</v>
      </c>
      <c r="Q598" s="4" t="str">
        <f aca="false">IF(WEEKDAY(B598,2)&gt;5,"Weekend","Weekday")</f>
        <v>Weekend</v>
      </c>
      <c r="R598" s="4" t="str">
        <f aca="false">IF(C598&lt;11,"Morning (7-10)",IF(C598&lt;14,"Lunch (11-13)",IF(C598&lt;18,"Afternoon (14-17)","Evening (18-20)")))</f>
        <v>Morning (7-10)</v>
      </c>
      <c r="S598" s="4" t="str">
        <f aca="false">IF(AND(O598&gt;=3,O598&lt;=5),"Hot Dry (Mar-May)",IF(AND(O598&gt;=6,O598&lt;=11),"Rainy (Jun-Nov)","Cool Dry (Dec-Feb)"))</f>
        <v>Hot Dry (Mar-May)</v>
      </c>
      <c r="T598" s="4" t="str">
        <f aca="false">CHOOSE(O598,"Jan","Feb","Mar","Apr","May","Jun","Jul","Aug","Sep","Oct","Nov","Dec")</f>
        <v>May</v>
      </c>
    </row>
    <row r="599" customFormat="false" ht="15" hidden="false" customHeight="false" outlineLevel="0" collapsed="false">
      <c r="A599" s="4" t="s">
        <v>831</v>
      </c>
      <c r="B599" s="17" t="n">
        <v>45788</v>
      </c>
      <c r="C599" s="4" t="n">
        <v>7</v>
      </c>
      <c r="D599" s="4" t="s">
        <v>98</v>
      </c>
      <c r="E599" s="4" t="s">
        <v>65</v>
      </c>
      <c r="F599" s="4" t="s">
        <v>121</v>
      </c>
      <c r="G599" s="4" t="n">
        <v>1</v>
      </c>
      <c r="H599" s="34" t="n">
        <v>170</v>
      </c>
      <c r="I599" s="18" t="n">
        <v>0.1</v>
      </c>
      <c r="J599" s="4" t="s">
        <v>67</v>
      </c>
      <c r="K599" s="4" t="s">
        <v>71</v>
      </c>
      <c r="L599" s="35" t="n">
        <f aca="false">G599*H599</f>
        <v>170</v>
      </c>
      <c r="M599" s="35" t="n">
        <f aca="false">L599*I599</f>
        <v>17</v>
      </c>
      <c r="N599" s="35" t="n">
        <f aca="false">L599-M599</f>
        <v>153</v>
      </c>
      <c r="O599" s="4" t="n">
        <f aca="false">MONTH(B599)</f>
        <v>5</v>
      </c>
      <c r="P599" s="4" t="str">
        <f aca="false">CHOOSE(WEEKDAY(B599,2),"Mon","Tue","Wed","Thu","Fri","Sat","Sun")</f>
        <v>Sun</v>
      </c>
      <c r="Q599" s="4" t="str">
        <f aca="false">IF(WEEKDAY(B599,2)&gt;5,"Weekend","Weekday")</f>
        <v>Weekend</v>
      </c>
      <c r="R599" s="4" t="str">
        <f aca="false">IF(C599&lt;11,"Morning (7-10)",IF(C599&lt;14,"Lunch (11-13)",IF(C599&lt;18,"Afternoon (14-17)","Evening (18-20)")))</f>
        <v>Morning (7-10)</v>
      </c>
      <c r="S599" s="4" t="str">
        <f aca="false">IF(AND(O599&gt;=3,O599&lt;=5),"Hot Dry (Mar-May)",IF(AND(O599&gt;=6,O599&lt;=11),"Rainy (Jun-Nov)","Cool Dry (Dec-Feb)"))</f>
        <v>Hot Dry (Mar-May)</v>
      </c>
      <c r="T599" s="4" t="str">
        <f aca="false">CHOOSE(O599,"Jan","Feb","Mar","Apr","May","Jun","Jul","Aug","Sep","Oct","Nov","Dec")</f>
        <v>May</v>
      </c>
    </row>
    <row r="600" customFormat="false" ht="15" hidden="false" customHeight="false" outlineLevel="0" collapsed="false">
      <c r="A600" s="4" t="s">
        <v>832</v>
      </c>
      <c r="B600" s="17" t="n">
        <v>45788</v>
      </c>
      <c r="C600" s="4" t="n">
        <v>9</v>
      </c>
      <c r="D600" s="4" t="s">
        <v>70</v>
      </c>
      <c r="E600" s="4" t="s">
        <v>84</v>
      </c>
      <c r="F600" s="4" t="s">
        <v>85</v>
      </c>
      <c r="G600" s="4" t="n">
        <v>1</v>
      </c>
      <c r="H600" s="34" t="n">
        <v>150</v>
      </c>
      <c r="I600" s="18" t="n">
        <v>0.05</v>
      </c>
      <c r="J600" s="4" t="s">
        <v>112</v>
      </c>
      <c r="K600" s="4" t="s">
        <v>82</v>
      </c>
      <c r="L600" s="35" t="n">
        <f aca="false">G600*H600</f>
        <v>150</v>
      </c>
      <c r="M600" s="35" t="n">
        <f aca="false">L600*I600</f>
        <v>7.5</v>
      </c>
      <c r="N600" s="35" t="n">
        <f aca="false">L600-M600</f>
        <v>142.5</v>
      </c>
      <c r="O600" s="4" t="n">
        <f aca="false">MONTH(B600)</f>
        <v>5</v>
      </c>
      <c r="P600" s="4" t="str">
        <f aca="false">CHOOSE(WEEKDAY(B600,2),"Mon","Tue","Wed","Thu","Fri","Sat","Sun")</f>
        <v>Sun</v>
      </c>
      <c r="Q600" s="4" t="str">
        <f aca="false">IF(WEEKDAY(B600,2)&gt;5,"Weekend","Weekday")</f>
        <v>Weekend</v>
      </c>
      <c r="R600" s="4" t="str">
        <f aca="false">IF(C600&lt;11,"Morning (7-10)",IF(C600&lt;14,"Lunch (11-13)",IF(C600&lt;18,"Afternoon (14-17)","Evening (18-20)")))</f>
        <v>Morning (7-10)</v>
      </c>
      <c r="S600" s="4" t="str">
        <f aca="false">IF(AND(O600&gt;=3,O600&lt;=5),"Hot Dry (Mar-May)",IF(AND(O600&gt;=6,O600&lt;=11),"Rainy (Jun-Nov)","Cool Dry (Dec-Feb)"))</f>
        <v>Hot Dry (Mar-May)</v>
      </c>
      <c r="T600" s="4" t="str">
        <f aca="false">CHOOSE(O600,"Jan","Feb","Mar","Apr","May","Jun","Jul","Aug","Sep","Oct","Nov","Dec")</f>
        <v>May</v>
      </c>
    </row>
    <row r="601" customFormat="false" ht="15" hidden="false" customHeight="false" outlineLevel="0" collapsed="false">
      <c r="A601" s="4" t="s">
        <v>834</v>
      </c>
      <c r="B601" s="17" t="n">
        <v>45788</v>
      </c>
      <c r="C601" s="4" t="n">
        <v>9</v>
      </c>
      <c r="D601" s="4" t="s">
        <v>64</v>
      </c>
      <c r="E601" s="4" t="s">
        <v>65</v>
      </c>
      <c r="F601" s="4" t="s">
        <v>121</v>
      </c>
      <c r="G601" s="4" t="n">
        <v>1</v>
      </c>
      <c r="H601" s="34" t="n">
        <v>170</v>
      </c>
      <c r="I601" s="18" t="n">
        <v>0</v>
      </c>
      <c r="J601" s="4" t="s">
        <v>112</v>
      </c>
      <c r="K601" s="4" t="s">
        <v>68</v>
      </c>
      <c r="L601" s="35" t="n">
        <f aca="false">G601*H601</f>
        <v>170</v>
      </c>
      <c r="M601" s="35" t="n">
        <f aca="false">L601*I601</f>
        <v>0</v>
      </c>
      <c r="N601" s="35" t="n">
        <f aca="false">L601-M601</f>
        <v>170</v>
      </c>
      <c r="O601" s="4" t="n">
        <f aca="false">MONTH(B601)</f>
        <v>5</v>
      </c>
      <c r="P601" s="4" t="str">
        <f aca="false">CHOOSE(WEEKDAY(B601,2),"Mon","Tue","Wed","Thu","Fri","Sat","Sun")</f>
        <v>Sun</v>
      </c>
      <c r="Q601" s="4" t="str">
        <f aca="false">IF(WEEKDAY(B601,2)&gt;5,"Weekend","Weekday")</f>
        <v>Weekend</v>
      </c>
      <c r="R601" s="4" t="str">
        <f aca="false">IF(C601&lt;11,"Morning (7-10)",IF(C601&lt;14,"Lunch (11-13)",IF(C601&lt;18,"Afternoon (14-17)","Evening (18-20)")))</f>
        <v>Morning (7-10)</v>
      </c>
      <c r="S601" s="4" t="str">
        <f aca="false">IF(AND(O601&gt;=3,O601&lt;=5),"Hot Dry (Mar-May)",IF(AND(O601&gt;=6,O601&lt;=11),"Rainy (Jun-Nov)","Cool Dry (Dec-Feb)"))</f>
        <v>Hot Dry (Mar-May)</v>
      </c>
      <c r="T601" s="4" t="str">
        <f aca="false">CHOOSE(O601,"Jan","Feb","Mar","Apr","May","Jun","Jul","Aug","Sep","Oct","Nov","Dec")</f>
        <v>May</v>
      </c>
    </row>
    <row r="602" customFormat="false" ht="15" hidden="false" customHeight="false" outlineLevel="0" collapsed="false">
      <c r="A602" s="4" t="s">
        <v>835</v>
      </c>
      <c r="B602" s="17" t="n">
        <v>45788</v>
      </c>
      <c r="C602" s="4" t="n">
        <v>16</v>
      </c>
      <c r="D602" s="4" t="s">
        <v>73</v>
      </c>
      <c r="E602" s="4" t="s">
        <v>84</v>
      </c>
      <c r="F602" s="4" t="s">
        <v>85</v>
      </c>
      <c r="G602" s="4" t="n">
        <v>1</v>
      </c>
      <c r="H602" s="34" t="n">
        <v>150</v>
      </c>
      <c r="I602" s="18" t="n">
        <v>0.1</v>
      </c>
      <c r="J602" s="4" t="s">
        <v>112</v>
      </c>
      <c r="K602" s="4" t="s">
        <v>71</v>
      </c>
      <c r="L602" s="35" t="n">
        <f aca="false">G602*H602</f>
        <v>150</v>
      </c>
      <c r="M602" s="35" t="n">
        <f aca="false">L602*I602</f>
        <v>15</v>
      </c>
      <c r="N602" s="35" t="n">
        <f aca="false">L602-M602</f>
        <v>135</v>
      </c>
      <c r="O602" s="4" t="n">
        <f aca="false">MONTH(B602)</f>
        <v>5</v>
      </c>
      <c r="P602" s="4" t="str">
        <f aca="false">CHOOSE(WEEKDAY(B602,2),"Mon","Tue","Wed","Thu","Fri","Sat","Sun")</f>
        <v>Sun</v>
      </c>
      <c r="Q602" s="4" t="str">
        <f aca="false">IF(WEEKDAY(B602,2)&gt;5,"Weekend","Weekday")</f>
        <v>Weekend</v>
      </c>
      <c r="R602" s="4" t="str">
        <f aca="false">IF(C602&lt;11,"Morning (7-10)",IF(C602&lt;14,"Lunch (11-13)",IF(C602&lt;18,"Afternoon (14-17)","Evening (18-20)")))</f>
        <v>Afternoon (14-17)</v>
      </c>
      <c r="S602" s="4" t="str">
        <f aca="false">IF(AND(O602&gt;=3,O602&lt;=5),"Hot Dry (Mar-May)",IF(AND(O602&gt;=6,O602&lt;=11),"Rainy (Jun-Nov)","Cool Dry (Dec-Feb)"))</f>
        <v>Hot Dry (Mar-May)</v>
      </c>
      <c r="T602" s="4" t="str">
        <f aca="false">CHOOSE(O602,"Jan","Feb","Mar","Apr","May","Jun","Jul","Aug","Sep","Oct","Nov","Dec")</f>
        <v>May</v>
      </c>
    </row>
    <row r="603" customFormat="false" ht="15" hidden="false" customHeight="false" outlineLevel="0" collapsed="false">
      <c r="A603" s="4" t="s">
        <v>838</v>
      </c>
      <c r="B603" s="17" t="n">
        <v>45789</v>
      </c>
      <c r="C603" s="4" t="n">
        <v>8</v>
      </c>
      <c r="D603" s="4" t="s">
        <v>73</v>
      </c>
      <c r="E603" s="4" t="s">
        <v>79</v>
      </c>
      <c r="F603" s="4" t="s">
        <v>80</v>
      </c>
      <c r="G603" s="4" t="n">
        <v>2</v>
      </c>
      <c r="H603" s="34" t="n">
        <v>160</v>
      </c>
      <c r="I603" s="18" t="n">
        <v>0.05</v>
      </c>
      <c r="J603" s="4" t="s">
        <v>76</v>
      </c>
      <c r="K603" s="4" t="s">
        <v>82</v>
      </c>
      <c r="L603" s="35" t="n">
        <f aca="false">G603*H603</f>
        <v>320</v>
      </c>
      <c r="M603" s="35" t="n">
        <f aca="false">L603*I603</f>
        <v>16</v>
      </c>
      <c r="N603" s="35" t="n">
        <f aca="false">L603-M603</f>
        <v>304</v>
      </c>
      <c r="O603" s="4" t="n">
        <f aca="false">MONTH(B603)</f>
        <v>5</v>
      </c>
      <c r="P603" s="4" t="str">
        <f aca="false">CHOOSE(WEEKDAY(B603,2),"Mon","Tue","Wed","Thu","Fri","Sat","Sun")</f>
        <v>Mon</v>
      </c>
      <c r="Q603" s="4" t="str">
        <f aca="false">IF(WEEKDAY(B603,2)&gt;5,"Weekend","Weekday")</f>
        <v>Weekday</v>
      </c>
      <c r="R603" s="4" t="str">
        <f aca="false">IF(C603&lt;11,"Morning (7-10)",IF(C603&lt;14,"Lunch (11-13)",IF(C603&lt;18,"Afternoon (14-17)","Evening (18-20)")))</f>
        <v>Morning (7-10)</v>
      </c>
      <c r="S603" s="4" t="str">
        <f aca="false">IF(AND(O603&gt;=3,O603&lt;=5),"Hot Dry (Mar-May)",IF(AND(O603&gt;=6,O603&lt;=11),"Rainy (Jun-Nov)","Cool Dry (Dec-Feb)"))</f>
        <v>Hot Dry (Mar-May)</v>
      </c>
      <c r="T603" s="4" t="str">
        <f aca="false">CHOOSE(O603,"Jan","Feb","Mar","Apr","May","Jun","Jul","Aug","Sep","Oct","Nov","Dec")</f>
        <v>May</v>
      </c>
    </row>
    <row r="604" customFormat="false" ht="15" hidden="false" customHeight="false" outlineLevel="0" collapsed="false">
      <c r="A604" s="4" t="s">
        <v>839</v>
      </c>
      <c r="B604" s="17" t="n">
        <v>45789</v>
      </c>
      <c r="C604" s="4" t="n">
        <v>11</v>
      </c>
      <c r="D604" s="4" t="s">
        <v>73</v>
      </c>
      <c r="E604" s="4" t="s">
        <v>84</v>
      </c>
      <c r="F604" s="4" t="s">
        <v>85</v>
      </c>
      <c r="G604" s="4" t="n">
        <v>1</v>
      </c>
      <c r="H604" s="34" t="n">
        <v>150</v>
      </c>
      <c r="I604" s="18" t="n">
        <v>0.05</v>
      </c>
      <c r="J604" s="4" t="s">
        <v>76</v>
      </c>
      <c r="K604" s="4" t="s">
        <v>82</v>
      </c>
      <c r="L604" s="35" t="n">
        <f aca="false">G604*H604</f>
        <v>150</v>
      </c>
      <c r="M604" s="35" t="n">
        <f aca="false">L604*I604</f>
        <v>7.5</v>
      </c>
      <c r="N604" s="35" t="n">
        <f aca="false">L604-M604</f>
        <v>142.5</v>
      </c>
      <c r="O604" s="4" t="n">
        <f aca="false">MONTH(B604)</f>
        <v>5</v>
      </c>
      <c r="P604" s="4" t="str">
        <f aca="false">CHOOSE(WEEKDAY(B604,2),"Mon","Tue","Wed","Thu","Fri","Sat","Sun")</f>
        <v>Mon</v>
      </c>
      <c r="Q604" s="4" t="str">
        <f aca="false">IF(WEEKDAY(B604,2)&gt;5,"Weekend","Weekday")</f>
        <v>Weekday</v>
      </c>
      <c r="R604" s="4" t="str">
        <f aca="false">IF(C604&lt;11,"Morning (7-10)",IF(C604&lt;14,"Lunch (11-13)",IF(C604&lt;18,"Afternoon (14-17)","Evening (18-20)")))</f>
        <v>Lunch (11-13)</v>
      </c>
      <c r="S604" s="4" t="str">
        <f aca="false">IF(AND(O604&gt;=3,O604&lt;=5),"Hot Dry (Mar-May)",IF(AND(O604&gt;=6,O604&lt;=11),"Rainy (Jun-Nov)","Cool Dry (Dec-Feb)"))</f>
        <v>Hot Dry (Mar-May)</v>
      </c>
      <c r="T604" s="4" t="str">
        <f aca="false">CHOOSE(O604,"Jan","Feb","Mar","Apr","May","Jun","Jul","Aug","Sep","Oct","Nov","Dec")</f>
        <v>May</v>
      </c>
    </row>
    <row r="605" customFormat="false" ht="15" hidden="false" customHeight="false" outlineLevel="0" collapsed="false">
      <c r="A605" s="4" t="s">
        <v>840</v>
      </c>
      <c r="B605" s="17" t="n">
        <v>45789</v>
      </c>
      <c r="C605" s="4" t="n">
        <v>11</v>
      </c>
      <c r="D605" s="4" t="s">
        <v>98</v>
      </c>
      <c r="E605" s="4" t="s">
        <v>84</v>
      </c>
      <c r="F605" s="4" t="s">
        <v>106</v>
      </c>
      <c r="G605" s="4" t="n">
        <v>2</v>
      </c>
      <c r="H605" s="34" t="n">
        <v>60</v>
      </c>
      <c r="I605" s="18" t="n">
        <v>0.05</v>
      </c>
      <c r="J605" s="4" t="s">
        <v>76</v>
      </c>
      <c r="K605" s="4" t="s">
        <v>82</v>
      </c>
      <c r="L605" s="35" t="n">
        <f aca="false">G605*H605</f>
        <v>120</v>
      </c>
      <c r="M605" s="35" t="n">
        <f aca="false">L605*I605</f>
        <v>6</v>
      </c>
      <c r="N605" s="35" t="n">
        <f aca="false">L605-M605</f>
        <v>114</v>
      </c>
      <c r="O605" s="4" t="n">
        <f aca="false">MONTH(B605)</f>
        <v>5</v>
      </c>
      <c r="P605" s="4" t="str">
        <f aca="false">CHOOSE(WEEKDAY(B605,2),"Mon","Tue","Wed","Thu","Fri","Sat","Sun")</f>
        <v>Mon</v>
      </c>
      <c r="Q605" s="4" t="str">
        <f aca="false">IF(WEEKDAY(B605,2)&gt;5,"Weekend","Weekday")</f>
        <v>Weekday</v>
      </c>
      <c r="R605" s="4" t="str">
        <f aca="false">IF(C605&lt;11,"Morning (7-10)",IF(C605&lt;14,"Lunch (11-13)",IF(C605&lt;18,"Afternoon (14-17)","Evening (18-20)")))</f>
        <v>Lunch (11-13)</v>
      </c>
      <c r="S605" s="4" t="str">
        <f aca="false">IF(AND(O605&gt;=3,O605&lt;=5),"Hot Dry (Mar-May)",IF(AND(O605&gt;=6,O605&lt;=11),"Rainy (Jun-Nov)","Cool Dry (Dec-Feb)"))</f>
        <v>Hot Dry (Mar-May)</v>
      </c>
      <c r="T605" s="4" t="str">
        <f aca="false">CHOOSE(O605,"Jan","Feb","Mar","Apr","May","Jun","Jul","Aug","Sep","Oct","Nov","Dec")</f>
        <v>May</v>
      </c>
    </row>
    <row r="606" customFormat="false" ht="15" hidden="false" customHeight="false" outlineLevel="0" collapsed="false">
      <c r="A606" s="4" t="s">
        <v>841</v>
      </c>
      <c r="B606" s="17" t="n">
        <v>45789</v>
      </c>
      <c r="C606" s="4" t="n">
        <v>12</v>
      </c>
      <c r="D606" s="4" t="s">
        <v>98</v>
      </c>
      <c r="E606" s="4" t="s">
        <v>65</v>
      </c>
      <c r="F606" s="4" t="s">
        <v>94</v>
      </c>
      <c r="G606" s="4" t="n">
        <v>1</v>
      </c>
      <c r="H606" s="34" t="n">
        <v>150</v>
      </c>
      <c r="I606" s="18" t="n">
        <v>0</v>
      </c>
      <c r="J606" s="4" t="s">
        <v>67</v>
      </c>
      <c r="K606" s="4" t="s">
        <v>68</v>
      </c>
      <c r="L606" s="35" t="n">
        <f aca="false">G606*H606</f>
        <v>150</v>
      </c>
      <c r="M606" s="35" t="n">
        <f aca="false">L606*I606</f>
        <v>0</v>
      </c>
      <c r="N606" s="35" t="n">
        <f aca="false">L606-M606</f>
        <v>150</v>
      </c>
      <c r="O606" s="4" t="n">
        <f aca="false">MONTH(B606)</f>
        <v>5</v>
      </c>
      <c r="P606" s="4" t="str">
        <f aca="false">CHOOSE(WEEKDAY(B606,2),"Mon","Tue","Wed","Thu","Fri","Sat","Sun")</f>
        <v>Mon</v>
      </c>
      <c r="Q606" s="4" t="str">
        <f aca="false">IF(WEEKDAY(B606,2)&gt;5,"Weekend","Weekday")</f>
        <v>Weekday</v>
      </c>
      <c r="R606" s="4" t="str">
        <f aca="false">IF(C606&lt;11,"Morning (7-10)",IF(C606&lt;14,"Lunch (11-13)",IF(C606&lt;18,"Afternoon (14-17)","Evening (18-20)")))</f>
        <v>Lunch (11-13)</v>
      </c>
      <c r="S606" s="4" t="str">
        <f aca="false">IF(AND(O606&gt;=3,O606&lt;=5),"Hot Dry (Mar-May)",IF(AND(O606&gt;=6,O606&lt;=11),"Rainy (Jun-Nov)","Cool Dry (Dec-Feb)"))</f>
        <v>Hot Dry (Mar-May)</v>
      </c>
      <c r="T606" s="4" t="str">
        <f aca="false">CHOOSE(O606,"Jan","Feb","Mar","Apr","May","Jun","Jul","Aug","Sep","Oct","Nov","Dec")</f>
        <v>May</v>
      </c>
    </row>
    <row r="607" customFormat="false" ht="15" hidden="false" customHeight="false" outlineLevel="0" collapsed="false">
      <c r="A607" s="4" t="s">
        <v>842</v>
      </c>
      <c r="B607" s="17" t="n">
        <v>45789</v>
      </c>
      <c r="C607" s="4" t="n">
        <v>12</v>
      </c>
      <c r="D607" s="4" t="s">
        <v>73</v>
      </c>
      <c r="E607" s="4" t="s">
        <v>74</v>
      </c>
      <c r="F607" s="4" t="s">
        <v>75</v>
      </c>
      <c r="G607" s="4" t="n">
        <v>1</v>
      </c>
      <c r="H607" s="34" t="n">
        <v>220</v>
      </c>
      <c r="I607" s="18" t="n">
        <v>0.1</v>
      </c>
      <c r="J607" s="4" t="s">
        <v>76</v>
      </c>
      <c r="K607" s="4" t="s">
        <v>68</v>
      </c>
      <c r="L607" s="35" t="n">
        <f aca="false">G607*H607</f>
        <v>220</v>
      </c>
      <c r="M607" s="35" t="n">
        <f aca="false">L607*I607</f>
        <v>22</v>
      </c>
      <c r="N607" s="35" t="n">
        <f aca="false">L607-M607</f>
        <v>198</v>
      </c>
      <c r="O607" s="4" t="n">
        <f aca="false">MONTH(B607)</f>
        <v>5</v>
      </c>
      <c r="P607" s="4" t="str">
        <f aca="false">CHOOSE(WEEKDAY(B607,2),"Mon","Tue","Wed","Thu","Fri","Sat","Sun")</f>
        <v>Mon</v>
      </c>
      <c r="Q607" s="4" t="str">
        <f aca="false">IF(WEEKDAY(B607,2)&gt;5,"Weekend","Weekday")</f>
        <v>Weekday</v>
      </c>
      <c r="R607" s="4" t="str">
        <f aca="false">IF(C607&lt;11,"Morning (7-10)",IF(C607&lt;14,"Lunch (11-13)",IF(C607&lt;18,"Afternoon (14-17)","Evening (18-20)")))</f>
        <v>Lunch (11-13)</v>
      </c>
      <c r="S607" s="4" t="str">
        <f aca="false">IF(AND(O607&gt;=3,O607&lt;=5),"Hot Dry (Mar-May)",IF(AND(O607&gt;=6,O607&lt;=11),"Rainy (Jun-Nov)","Cool Dry (Dec-Feb)"))</f>
        <v>Hot Dry (Mar-May)</v>
      </c>
      <c r="T607" s="4" t="str">
        <f aca="false">CHOOSE(O607,"Jan","Feb","Mar","Apr","May","Jun","Jul","Aug","Sep","Oct","Nov","Dec")</f>
        <v>May</v>
      </c>
    </row>
    <row r="608" customFormat="false" ht="15" hidden="false" customHeight="false" outlineLevel="0" collapsed="false">
      <c r="A608" s="4" t="s">
        <v>844</v>
      </c>
      <c r="B608" s="17" t="n">
        <v>45789</v>
      </c>
      <c r="C608" s="4" t="n">
        <v>12</v>
      </c>
      <c r="D608" s="4" t="s">
        <v>98</v>
      </c>
      <c r="E608" s="4" t="s">
        <v>74</v>
      </c>
      <c r="F608" s="4" t="s">
        <v>75</v>
      </c>
      <c r="G608" s="4" t="n">
        <v>1</v>
      </c>
      <c r="H608" s="34" t="n">
        <v>220</v>
      </c>
      <c r="I608" s="18" t="n">
        <v>0.15</v>
      </c>
      <c r="J608" s="4" t="s">
        <v>81</v>
      </c>
      <c r="K608" s="4" t="s">
        <v>68</v>
      </c>
      <c r="L608" s="35" t="n">
        <f aca="false">G608*H608</f>
        <v>220</v>
      </c>
      <c r="M608" s="35" t="n">
        <f aca="false">L608*I608</f>
        <v>33</v>
      </c>
      <c r="N608" s="35" t="n">
        <f aca="false">L608-M608</f>
        <v>187</v>
      </c>
      <c r="O608" s="4" t="n">
        <f aca="false">MONTH(B608)</f>
        <v>5</v>
      </c>
      <c r="P608" s="4" t="str">
        <f aca="false">CHOOSE(WEEKDAY(B608,2),"Mon","Tue","Wed","Thu","Fri","Sat","Sun")</f>
        <v>Mon</v>
      </c>
      <c r="Q608" s="4" t="str">
        <f aca="false">IF(WEEKDAY(B608,2)&gt;5,"Weekend","Weekday")</f>
        <v>Weekday</v>
      </c>
      <c r="R608" s="4" t="str">
        <f aca="false">IF(C608&lt;11,"Morning (7-10)",IF(C608&lt;14,"Lunch (11-13)",IF(C608&lt;18,"Afternoon (14-17)","Evening (18-20)")))</f>
        <v>Lunch (11-13)</v>
      </c>
      <c r="S608" s="4" t="str">
        <f aca="false">IF(AND(O608&gt;=3,O608&lt;=5),"Hot Dry (Mar-May)",IF(AND(O608&gt;=6,O608&lt;=11),"Rainy (Jun-Nov)","Cool Dry (Dec-Feb)"))</f>
        <v>Hot Dry (Mar-May)</v>
      </c>
      <c r="T608" s="4" t="str">
        <f aca="false">CHOOSE(O608,"Jan","Feb","Mar","Apr","May","Jun","Jul","Aug","Sep","Oct","Nov","Dec")</f>
        <v>May</v>
      </c>
    </row>
    <row r="609" customFormat="false" ht="15" hidden="false" customHeight="false" outlineLevel="0" collapsed="false">
      <c r="A609" s="4" t="s">
        <v>845</v>
      </c>
      <c r="B609" s="17" t="n">
        <v>45789</v>
      </c>
      <c r="C609" s="4" t="n">
        <v>14</v>
      </c>
      <c r="D609" s="4" t="s">
        <v>73</v>
      </c>
      <c r="E609" s="4" t="s">
        <v>74</v>
      </c>
      <c r="F609" s="4" t="s">
        <v>139</v>
      </c>
      <c r="G609" s="4" t="n">
        <v>1</v>
      </c>
      <c r="H609" s="34" t="n">
        <v>260</v>
      </c>
      <c r="I609" s="18" t="n">
        <v>0</v>
      </c>
      <c r="J609" s="4" t="s">
        <v>67</v>
      </c>
      <c r="K609" s="4" t="s">
        <v>68</v>
      </c>
      <c r="L609" s="35" t="n">
        <f aca="false">G609*H609</f>
        <v>260</v>
      </c>
      <c r="M609" s="35" t="n">
        <f aca="false">L609*I609</f>
        <v>0</v>
      </c>
      <c r="N609" s="35" t="n">
        <f aca="false">L609-M609</f>
        <v>260</v>
      </c>
      <c r="O609" s="4" t="n">
        <f aca="false">MONTH(B609)</f>
        <v>5</v>
      </c>
      <c r="P609" s="4" t="str">
        <f aca="false">CHOOSE(WEEKDAY(B609,2),"Mon","Tue","Wed","Thu","Fri","Sat","Sun")</f>
        <v>Mon</v>
      </c>
      <c r="Q609" s="4" t="str">
        <f aca="false">IF(WEEKDAY(B609,2)&gt;5,"Weekend","Weekday")</f>
        <v>Weekday</v>
      </c>
      <c r="R609" s="4" t="str">
        <f aca="false">IF(C609&lt;11,"Morning (7-10)",IF(C609&lt;14,"Lunch (11-13)",IF(C609&lt;18,"Afternoon (14-17)","Evening (18-20)")))</f>
        <v>Afternoon (14-17)</v>
      </c>
      <c r="S609" s="4" t="str">
        <f aca="false">IF(AND(O609&gt;=3,O609&lt;=5),"Hot Dry (Mar-May)",IF(AND(O609&gt;=6,O609&lt;=11),"Rainy (Jun-Nov)","Cool Dry (Dec-Feb)"))</f>
        <v>Hot Dry (Mar-May)</v>
      </c>
      <c r="T609" s="4" t="str">
        <f aca="false">CHOOSE(O609,"Jan","Feb","Mar","Apr","May","Jun","Jul","Aug","Sep","Oct","Nov","Dec")</f>
        <v>May</v>
      </c>
    </row>
    <row r="610" customFormat="false" ht="15" hidden="false" customHeight="false" outlineLevel="0" collapsed="false">
      <c r="A610" s="4" t="s">
        <v>847</v>
      </c>
      <c r="B610" s="17" t="n">
        <v>45789</v>
      </c>
      <c r="C610" s="4" t="n">
        <v>14</v>
      </c>
      <c r="D610" s="4" t="s">
        <v>64</v>
      </c>
      <c r="E610" s="4" t="s">
        <v>65</v>
      </c>
      <c r="F610" s="4" t="s">
        <v>121</v>
      </c>
      <c r="G610" s="4" t="n">
        <v>3</v>
      </c>
      <c r="H610" s="34" t="n">
        <v>170</v>
      </c>
      <c r="I610" s="18" t="n">
        <v>0.05</v>
      </c>
      <c r="J610" s="4" t="s">
        <v>81</v>
      </c>
      <c r="K610" s="4" t="s">
        <v>82</v>
      </c>
      <c r="L610" s="35" t="n">
        <f aca="false">G610*H610</f>
        <v>510</v>
      </c>
      <c r="M610" s="35" t="n">
        <f aca="false">L610*I610</f>
        <v>25.5</v>
      </c>
      <c r="N610" s="35" t="n">
        <f aca="false">L610-M610</f>
        <v>484.5</v>
      </c>
      <c r="O610" s="4" t="n">
        <f aca="false">MONTH(B610)</f>
        <v>5</v>
      </c>
      <c r="P610" s="4" t="str">
        <f aca="false">CHOOSE(WEEKDAY(B610,2),"Mon","Tue","Wed","Thu","Fri","Sat","Sun")</f>
        <v>Mon</v>
      </c>
      <c r="Q610" s="4" t="str">
        <f aca="false">IF(WEEKDAY(B610,2)&gt;5,"Weekend","Weekday")</f>
        <v>Weekday</v>
      </c>
      <c r="R610" s="4" t="str">
        <f aca="false">IF(C610&lt;11,"Morning (7-10)",IF(C610&lt;14,"Lunch (11-13)",IF(C610&lt;18,"Afternoon (14-17)","Evening (18-20)")))</f>
        <v>Afternoon (14-17)</v>
      </c>
      <c r="S610" s="4" t="str">
        <f aca="false">IF(AND(O610&gt;=3,O610&lt;=5),"Hot Dry (Mar-May)",IF(AND(O610&gt;=6,O610&lt;=11),"Rainy (Jun-Nov)","Cool Dry (Dec-Feb)"))</f>
        <v>Hot Dry (Mar-May)</v>
      </c>
      <c r="T610" s="4" t="str">
        <f aca="false">CHOOSE(O610,"Jan","Feb","Mar","Apr","May","Jun","Jul","Aug","Sep","Oct","Nov","Dec")</f>
        <v>May</v>
      </c>
    </row>
    <row r="611" customFormat="false" ht="15" hidden="false" customHeight="false" outlineLevel="0" collapsed="false">
      <c r="A611" s="4" t="s">
        <v>848</v>
      </c>
      <c r="B611" s="17" t="n">
        <v>45789</v>
      </c>
      <c r="C611" s="4" t="n">
        <v>16</v>
      </c>
      <c r="D611" s="4" t="s">
        <v>64</v>
      </c>
      <c r="E611" s="4" t="s">
        <v>65</v>
      </c>
      <c r="F611" s="4" t="s">
        <v>121</v>
      </c>
      <c r="G611" s="4" t="n">
        <v>2</v>
      </c>
      <c r="H611" s="34" t="n">
        <v>170</v>
      </c>
      <c r="I611" s="18" t="n">
        <v>0.05</v>
      </c>
      <c r="J611" s="4" t="s">
        <v>76</v>
      </c>
      <c r="K611" s="4" t="s">
        <v>82</v>
      </c>
      <c r="L611" s="35" t="n">
        <f aca="false">G611*H611</f>
        <v>340</v>
      </c>
      <c r="M611" s="35" t="n">
        <f aca="false">L611*I611</f>
        <v>17</v>
      </c>
      <c r="N611" s="35" t="n">
        <f aca="false">L611-M611</f>
        <v>323</v>
      </c>
      <c r="O611" s="4" t="n">
        <f aca="false">MONTH(B611)</f>
        <v>5</v>
      </c>
      <c r="P611" s="4" t="str">
        <f aca="false">CHOOSE(WEEKDAY(B611,2),"Mon","Tue","Wed","Thu","Fri","Sat","Sun")</f>
        <v>Mon</v>
      </c>
      <c r="Q611" s="4" t="str">
        <f aca="false">IF(WEEKDAY(B611,2)&gt;5,"Weekend","Weekday")</f>
        <v>Weekday</v>
      </c>
      <c r="R611" s="4" t="str">
        <f aca="false">IF(C611&lt;11,"Morning (7-10)",IF(C611&lt;14,"Lunch (11-13)",IF(C611&lt;18,"Afternoon (14-17)","Evening (18-20)")))</f>
        <v>Afternoon (14-17)</v>
      </c>
      <c r="S611" s="4" t="str">
        <f aca="false">IF(AND(O611&gt;=3,O611&lt;=5),"Hot Dry (Mar-May)",IF(AND(O611&gt;=6,O611&lt;=11),"Rainy (Jun-Nov)","Cool Dry (Dec-Feb)"))</f>
        <v>Hot Dry (Mar-May)</v>
      </c>
      <c r="T611" s="4" t="str">
        <f aca="false">CHOOSE(O611,"Jan","Feb","Mar","Apr","May","Jun","Jul","Aug","Sep","Oct","Nov","Dec")</f>
        <v>May</v>
      </c>
    </row>
    <row r="612" customFormat="false" ht="15" hidden="false" customHeight="false" outlineLevel="0" collapsed="false">
      <c r="A612" s="4" t="s">
        <v>849</v>
      </c>
      <c r="B612" s="17" t="n">
        <v>45789</v>
      </c>
      <c r="C612" s="4" t="n">
        <v>16</v>
      </c>
      <c r="D612" s="4" t="s">
        <v>64</v>
      </c>
      <c r="E612" s="4" t="s">
        <v>79</v>
      </c>
      <c r="F612" s="4" t="s">
        <v>148</v>
      </c>
      <c r="G612" s="4" t="n">
        <v>1</v>
      </c>
      <c r="H612" s="34" t="n">
        <v>120</v>
      </c>
      <c r="I612" s="18" t="n">
        <v>0.15</v>
      </c>
      <c r="J612" s="4" t="s">
        <v>76</v>
      </c>
      <c r="K612" s="4" t="s">
        <v>82</v>
      </c>
      <c r="L612" s="35" t="n">
        <f aca="false">G612*H612</f>
        <v>120</v>
      </c>
      <c r="M612" s="35" t="n">
        <f aca="false">L612*I612</f>
        <v>18</v>
      </c>
      <c r="N612" s="35" t="n">
        <f aca="false">L612-M612</f>
        <v>102</v>
      </c>
      <c r="O612" s="4" t="n">
        <f aca="false">MONTH(B612)</f>
        <v>5</v>
      </c>
      <c r="P612" s="4" t="str">
        <f aca="false">CHOOSE(WEEKDAY(B612,2),"Mon","Tue","Wed","Thu","Fri","Sat","Sun")</f>
        <v>Mon</v>
      </c>
      <c r="Q612" s="4" t="str">
        <f aca="false">IF(WEEKDAY(B612,2)&gt;5,"Weekend","Weekday")</f>
        <v>Weekday</v>
      </c>
      <c r="R612" s="4" t="str">
        <f aca="false">IF(C612&lt;11,"Morning (7-10)",IF(C612&lt;14,"Lunch (11-13)",IF(C612&lt;18,"Afternoon (14-17)","Evening (18-20)")))</f>
        <v>Afternoon (14-17)</v>
      </c>
      <c r="S612" s="4" t="str">
        <f aca="false">IF(AND(O612&gt;=3,O612&lt;=5),"Hot Dry (Mar-May)",IF(AND(O612&gt;=6,O612&lt;=11),"Rainy (Jun-Nov)","Cool Dry (Dec-Feb)"))</f>
        <v>Hot Dry (Mar-May)</v>
      </c>
      <c r="T612" s="4" t="str">
        <f aca="false">CHOOSE(O612,"Jan","Feb","Mar","Apr","May","Jun","Jul","Aug","Sep","Oct","Nov","Dec")</f>
        <v>May</v>
      </c>
    </row>
    <row r="613" customFormat="false" ht="15" hidden="false" customHeight="false" outlineLevel="0" collapsed="false">
      <c r="A613" s="4" t="s">
        <v>850</v>
      </c>
      <c r="B613" s="17" t="n">
        <v>45789</v>
      </c>
      <c r="C613" s="4" t="n">
        <v>16</v>
      </c>
      <c r="D613" s="4" t="s">
        <v>70</v>
      </c>
      <c r="E613" s="4" t="s">
        <v>99</v>
      </c>
      <c r="F613" s="4" t="s">
        <v>109</v>
      </c>
      <c r="G613" s="4" t="n">
        <v>3</v>
      </c>
      <c r="H613" s="34" t="n">
        <v>130</v>
      </c>
      <c r="I613" s="18" t="n">
        <v>0</v>
      </c>
      <c r="J613" s="4" t="s">
        <v>81</v>
      </c>
      <c r="K613" s="4" t="s">
        <v>68</v>
      </c>
      <c r="L613" s="35" t="n">
        <f aca="false">G613*H613</f>
        <v>390</v>
      </c>
      <c r="M613" s="35" t="n">
        <f aca="false">L613*I613</f>
        <v>0</v>
      </c>
      <c r="N613" s="35" t="n">
        <f aca="false">L613-M613</f>
        <v>390</v>
      </c>
      <c r="O613" s="4" t="n">
        <f aca="false">MONTH(B613)</f>
        <v>5</v>
      </c>
      <c r="P613" s="4" t="str">
        <f aca="false">CHOOSE(WEEKDAY(B613,2),"Mon","Tue","Wed","Thu","Fri","Sat","Sun")</f>
        <v>Mon</v>
      </c>
      <c r="Q613" s="4" t="str">
        <f aca="false">IF(WEEKDAY(B613,2)&gt;5,"Weekend","Weekday")</f>
        <v>Weekday</v>
      </c>
      <c r="R613" s="4" t="str">
        <f aca="false">IF(C613&lt;11,"Morning (7-10)",IF(C613&lt;14,"Lunch (11-13)",IF(C613&lt;18,"Afternoon (14-17)","Evening (18-20)")))</f>
        <v>Afternoon (14-17)</v>
      </c>
      <c r="S613" s="4" t="str">
        <f aca="false">IF(AND(O613&gt;=3,O613&lt;=5),"Hot Dry (Mar-May)",IF(AND(O613&gt;=6,O613&lt;=11),"Rainy (Jun-Nov)","Cool Dry (Dec-Feb)"))</f>
        <v>Hot Dry (Mar-May)</v>
      </c>
      <c r="T613" s="4" t="str">
        <f aca="false">CHOOSE(O613,"Jan","Feb","Mar","Apr","May","Jun","Jul","Aug","Sep","Oct","Nov","Dec")</f>
        <v>May</v>
      </c>
    </row>
    <row r="614" customFormat="false" ht="15" hidden="false" customHeight="false" outlineLevel="0" collapsed="false">
      <c r="A614" s="4" t="s">
        <v>851</v>
      </c>
      <c r="B614" s="17" t="n">
        <v>45790</v>
      </c>
      <c r="C614" s="4" t="n">
        <v>7</v>
      </c>
      <c r="D614" s="4" t="s">
        <v>64</v>
      </c>
      <c r="E614" s="4" t="s">
        <v>79</v>
      </c>
      <c r="F614" s="4" t="s">
        <v>148</v>
      </c>
      <c r="G614" s="4" t="n">
        <v>1</v>
      </c>
      <c r="H614" s="34" t="n">
        <v>120</v>
      </c>
      <c r="I614" s="18" t="n">
        <v>0.05</v>
      </c>
      <c r="J614" s="4" t="s">
        <v>88</v>
      </c>
      <c r="K614" s="4" t="s">
        <v>82</v>
      </c>
      <c r="L614" s="35" t="n">
        <f aca="false">G614*H614</f>
        <v>120</v>
      </c>
      <c r="M614" s="35" t="n">
        <f aca="false">L614*I614</f>
        <v>6</v>
      </c>
      <c r="N614" s="35" t="n">
        <f aca="false">L614-M614</f>
        <v>114</v>
      </c>
      <c r="O614" s="4" t="n">
        <f aca="false">MONTH(B614)</f>
        <v>5</v>
      </c>
      <c r="P614" s="4" t="str">
        <f aca="false">CHOOSE(WEEKDAY(B614,2),"Mon","Tue","Wed","Thu","Fri","Sat","Sun")</f>
        <v>Tue</v>
      </c>
      <c r="Q614" s="4" t="str">
        <f aca="false">IF(WEEKDAY(B614,2)&gt;5,"Weekend","Weekday")</f>
        <v>Weekday</v>
      </c>
      <c r="R614" s="4" t="str">
        <f aca="false">IF(C614&lt;11,"Morning (7-10)",IF(C614&lt;14,"Lunch (11-13)",IF(C614&lt;18,"Afternoon (14-17)","Evening (18-20)")))</f>
        <v>Morning (7-10)</v>
      </c>
      <c r="S614" s="4" t="str">
        <f aca="false">IF(AND(O614&gt;=3,O614&lt;=5),"Hot Dry (Mar-May)",IF(AND(O614&gt;=6,O614&lt;=11),"Rainy (Jun-Nov)","Cool Dry (Dec-Feb)"))</f>
        <v>Hot Dry (Mar-May)</v>
      </c>
      <c r="T614" s="4" t="str">
        <f aca="false">CHOOSE(O614,"Jan","Feb","Mar","Apr","May","Jun","Jul","Aug","Sep","Oct","Nov","Dec")</f>
        <v>May</v>
      </c>
    </row>
    <row r="615" customFormat="false" ht="15" hidden="false" customHeight="false" outlineLevel="0" collapsed="false">
      <c r="A615" s="4" t="s">
        <v>852</v>
      </c>
      <c r="B615" s="17" t="n">
        <v>45790</v>
      </c>
      <c r="C615" s="4" t="n">
        <v>8</v>
      </c>
      <c r="D615" s="4" t="s">
        <v>98</v>
      </c>
      <c r="E615" s="4" t="s">
        <v>84</v>
      </c>
      <c r="F615" s="4" t="s">
        <v>117</v>
      </c>
      <c r="G615" s="4" t="n">
        <v>4</v>
      </c>
      <c r="H615" s="34" t="n">
        <v>95</v>
      </c>
      <c r="I615" s="18" t="n">
        <v>0.1</v>
      </c>
      <c r="J615" s="4" t="s">
        <v>81</v>
      </c>
      <c r="K615" s="4" t="s">
        <v>71</v>
      </c>
      <c r="L615" s="35" t="n">
        <f aca="false">G615*H615</f>
        <v>380</v>
      </c>
      <c r="M615" s="35" t="n">
        <f aca="false">L615*I615</f>
        <v>38</v>
      </c>
      <c r="N615" s="35" t="n">
        <f aca="false">L615-M615</f>
        <v>342</v>
      </c>
      <c r="O615" s="4" t="n">
        <f aca="false">MONTH(B615)</f>
        <v>5</v>
      </c>
      <c r="P615" s="4" t="str">
        <f aca="false">CHOOSE(WEEKDAY(B615,2),"Mon","Tue","Wed","Thu","Fri","Sat","Sun")</f>
        <v>Tue</v>
      </c>
      <c r="Q615" s="4" t="str">
        <f aca="false">IF(WEEKDAY(B615,2)&gt;5,"Weekend","Weekday")</f>
        <v>Weekday</v>
      </c>
      <c r="R615" s="4" t="str">
        <f aca="false">IF(C615&lt;11,"Morning (7-10)",IF(C615&lt;14,"Lunch (11-13)",IF(C615&lt;18,"Afternoon (14-17)","Evening (18-20)")))</f>
        <v>Morning (7-10)</v>
      </c>
      <c r="S615" s="4" t="str">
        <f aca="false">IF(AND(O615&gt;=3,O615&lt;=5),"Hot Dry (Mar-May)",IF(AND(O615&gt;=6,O615&lt;=11),"Rainy (Jun-Nov)","Cool Dry (Dec-Feb)"))</f>
        <v>Hot Dry (Mar-May)</v>
      </c>
      <c r="T615" s="4" t="str">
        <f aca="false">CHOOSE(O615,"Jan","Feb","Mar","Apr","May","Jun","Jul","Aug","Sep","Oct","Nov","Dec")</f>
        <v>May</v>
      </c>
    </row>
    <row r="616" customFormat="false" ht="15" hidden="false" customHeight="false" outlineLevel="0" collapsed="false">
      <c r="A616" s="4" t="s">
        <v>853</v>
      </c>
      <c r="B616" s="17" t="n">
        <v>45790</v>
      </c>
      <c r="C616" s="4" t="n">
        <v>9</v>
      </c>
      <c r="D616" s="4" t="s">
        <v>64</v>
      </c>
      <c r="E616" s="4" t="s">
        <v>99</v>
      </c>
      <c r="F616" s="4" t="s">
        <v>100</v>
      </c>
      <c r="G616" s="4" t="n">
        <v>1</v>
      </c>
      <c r="H616" s="34" t="n">
        <v>110</v>
      </c>
      <c r="I616" s="18" t="n">
        <v>0.1</v>
      </c>
      <c r="J616" s="4" t="s">
        <v>67</v>
      </c>
      <c r="K616" s="4" t="s">
        <v>71</v>
      </c>
      <c r="L616" s="35" t="n">
        <f aca="false">G616*H616</f>
        <v>110</v>
      </c>
      <c r="M616" s="35" t="n">
        <f aca="false">L616*I616</f>
        <v>11</v>
      </c>
      <c r="N616" s="35" t="n">
        <f aca="false">L616-M616</f>
        <v>99</v>
      </c>
      <c r="O616" s="4" t="n">
        <f aca="false">MONTH(B616)</f>
        <v>5</v>
      </c>
      <c r="P616" s="4" t="str">
        <f aca="false">CHOOSE(WEEKDAY(B616,2),"Mon","Tue","Wed","Thu","Fri","Sat","Sun")</f>
        <v>Tue</v>
      </c>
      <c r="Q616" s="4" t="str">
        <f aca="false">IF(WEEKDAY(B616,2)&gt;5,"Weekend","Weekday")</f>
        <v>Weekday</v>
      </c>
      <c r="R616" s="4" t="str">
        <f aca="false">IF(C616&lt;11,"Morning (7-10)",IF(C616&lt;14,"Lunch (11-13)",IF(C616&lt;18,"Afternoon (14-17)","Evening (18-20)")))</f>
        <v>Morning (7-10)</v>
      </c>
      <c r="S616" s="4" t="str">
        <f aca="false">IF(AND(O616&gt;=3,O616&lt;=5),"Hot Dry (Mar-May)",IF(AND(O616&gt;=6,O616&lt;=11),"Rainy (Jun-Nov)","Cool Dry (Dec-Feb)"))</f>
        <v>Hot Dry (Mar-May)</v>
      </c>
      <c r="T616" s="4" t="str">
        <f aca="false">CHOOSE(O616,"Jan","Feb","Mar","Apr","May","Jun","Jul","Aug","Sep","Oct","Nov","Dec")</f>
        <v>May</v>
      </c>
    </row>
    <row r="617" customFormat="false" ht="15" hidden="false" customHeight="false" outlineLevel="0" collapsed="false">
      <c r="A617" s="4" t="s">
        <v>855</v>
      </c>
      <c r="B617" s="17" t="n">
        <v>45790</v>
      </c>
      <c r="C617" s="4" t="n">
        <v>11</v>
      </c>
      <c r="D617" s="4" t="s">
        <v>70</v>
      </c>
      <c r="E617" s="4" t="s">
        <v>79</v>
      </c>
      <c r="F617" s="4" t="s">
        <v>148</v>
      </c>
      <c r="G617" s="4" t="n">
        <v>1</v>
      </c>
      <c r="H617" s="34" t="n">
        <v>120</v>
      </c>
      <c r="I617" s="18" t="n">
        <v>0</v>
      </c>
      <c r="J617" s="4" t="s">
        <v>112</v>
      </c>
      <c r="K617" s="4" t="s">
        <v>68</v>
      </c>
      <c r="L617" s="35" t="n">
        <f aca="false">G617*H617</f>
        <v>120</v>
      </c>
      <c r="M617" s="35" t="n">
        <f aca="false">L617*I617</f>
        <v>0</v>
      </c>
      <c r="N617" s="35" t="n">
        <f aca="false">L617-M617</f>
        <v>120</v>
      </c>
      <c r="O617" s="4" t="n">
        <f aca="false">MONTH(B617)</f>
        <v>5</v>
      </c>
      <c r="P617" s="4" t="str">
        <f aca="false">CHOOSE(WEEKDAY(B617,2),"Mon","Tue","Wed","Thu","Fri","Sat","Sun")</f>
        <v>Tue</v>
      </c>
      <c r="Q617" s="4" t="str">
        <f aca="false">IF(WEEKDAY(B617,2)&gt;5,"Weekend","Weekday")</f>
        <v>Weekday</v>
      </c>
      <c r="R617" s="4" t="str">
        <f aca="false">IF(C617&lt;11,"Morning (7-10)",IF(C617&lt;14,"Lunch (11-13)",IF(C617&lt;18,"Afternoon (14-17)","Evening (18-20)")))</f>
        <v>Lunch (11-13)</v>
      </c>
      <c r="S617" s="4" t="str">
        <f aca="false">IF(AND(O617&gt;=3,O617&lt;=5),"Hot Dry (Mar-May)",IF(AND(O617&gt;=6,O617&lt;=11),"Rainy (Jun-Nov)","Cool Dry (Dec-Feb)"))</f>
        <v>Hot Dry (Mar-May)</v>
      </c>
      <c r="T617" s="4" t="str">
        <f aca="false">CHOOSE(O617,"Jan","Feb","Mar","Apr","May","Jun","Jul","Aug","Sep","Oct","Nov","Dec")</f>
        <v>May</v>
      </c>
    </row>
    <row r="618" customFormat="false" ht="15" hidden="false" customHeight="false" outlineLevel="0" collapsed="false">
      <c r="A618" s="4" t="s">
        <v>856</v>
      </c>
      <c r="B618" s="17" t="n">
        <v>45790</v>
      </c>
      <c r="C618" s="4" t="n">
        <v>12</v>
      </c>
      <c r="D618" s="4" t="s">
        <v>98</v>
      </c>
      <c r="E618" s="4" t="s">
        <v>79</v>
      </c>
      <c r="F618" s="4" t="s">
        <v>80</v>
      </c>
      <c r="G618" s="4" t="n">
        <v>2</v>
      </c>
      <c r="H618" s="34" t="n">
        <v>160</v>
      </c>
      <c r="I618" s="18" t="n">
        <v>0.05</v>
      </c>
      <c r="J618" s="4" t="s">
        <v>67</v>
      </c>
      <c r="K618" s="4" t="s">
        <v>82</v>
      </c>
      <c r="L618" s="35" t="n">
        <f aca="false">G618*H618</f>
        <v>320</v>
      </c>
      <c r="M618" s="35" t="n">
        <f aca="false">L618*I618</f>
        <v>16</v>
      </c>
      <c r="N618" s="35" t="n">
        <f aca="false">L618-M618</f>
        <v>304</v>
      </c>
      <c r="O618" s="4" t="n">
        <f aca="false">MONTH(B618)</f>
        <v>5</v>
      </c>
      <c r="P618" s="4" t="str">
        <f aca="false">CHOOSE(WEEKDAY(B618,2),"Mon","Tue","Wed","Thu","Fri","Sat","Sun")</f>
        <v>Tue</v>
      </c>
      <c r="Q618" s="4" t="str">
        <f aca="false">IF(WEEKDAY(B618,2)&gt;5,"Weekend","Weekday")</f>
        <v>Weekday</v>
      </c>
      <c r="R618" s="4" t="str">
        <f aca="false">IF(C618&lt;11,"Morning (7-10)",IF(C618&lt;14,"Lunch (11-13)",IF(C618&lt;18,"Afternoon (14-17)","Evening (18-20)")))</f>
        <v>Lunch (11-13)</v>
      </c>
      <c r="S618" s="4" t="str">
        <f aca="false">IF(AND(O618&gt;=3,O618&lt;=5),"Hot Dry (Mar-May)",IF(AND(O618&gt;=6,O618&lt;=11),"Rainy (Jun-Nov)","Cool Dry (Dec-Feb)"))</f>
        <v>Hot Dry (Mar-May)</v>
      </c>
      <c r="T618" s="4" t="str">
        <f aca="false">CHOOSE(O618,"Jan","Feb","Mar","Apr","May","Jun","Jul","Aug","Sep","Oct","Nov","Dec")</f>
        <v>May</v>
      </c>
    </row>
    <row r="619" customFormat="false" ht="15" hidden="false" customHeight="false" outlineLevel="0" collapsed="false">
      <c r="A619" s="4" t="s">
        <v>857</v>
      </c>
      <c r="B619" s="17" t="n">
        <v>45790</v>
      </c>
      <c r="C619" s="4" t="n">
        <v>13</v>
      </c>
      <c r="D619" s="4" t="s">
        <v>70</v>
      </c>
      <c r="E619" s="4" t="s">
        <v>74</v>
      </c>
      <c r="F619" s="4" t="s">
        <v>91</v>
      </c>
      <c r="G619" s="4" t="n">
        <v>4</v>
      </c>
      <c r="H619" s="34" t="n">
        <v>200</v>
      </c>
      <c r="I619" s="18" t="n">
        <v>0.15</v>
      </c>
      <c r="J619" s="4" t="s">
        <v>76</v>
      </c>
      <c r="K619" s="4" t="s">
        <v>68</v>
      </c>
      <c r="L619" s="35" t="n">
        <f aca="false">G619*H619</f>
        <v>800</v>
      </c>
      <c r="M619" s="35" t="n">
        <f aca="false">L619*I619</f>
        <v>120</v>
      </c>
      <c r="N619" s="35" t="n">
        <f aca="false">L619-M619</f>
        <v>680</v>
      </c>
      <c r="O619" s="4" t="n">
        <f aca="false">MONTH(B619)</f>
        <v>5</v>
      </c>
      <c r="P619" s="4" t="str">
        <f aca="false">CHOOSE(WEEKDAY(B619,2),"Mon","Tue","Wed","Thu","Fri","Sat","Sun")</f>
        <v>Tue</v>
      </c>
      <c r="Q619" s="4" t="str">
        <f aca="false">IF(WEEKDAY(B619,2)&gt;5,"Weekend","Weekday")</f>
        <v>Weekday</v>
      </c>
      <c r="R619" s="4" t="str">
        <f aca="false">IF(C619&lt;11,"Morning (7-10)",IF(C619&lt;14,"Lunch (11-13)",IF(C619&lt;18,"Afternoon (14-17)","Evening (18-20)")))</f>
        <v>Lunch (11-13)</v>
      </c>
      <c r="S619" s="4" t="str">
        <f aca="false">IF(AND(O619&gt;=3,O619&lt;=5),"Hot Dry (Mar-May)",IF(AND(O619&gt;=6,O619&lt;=11),"Rainy (Jun-Nov)","Cool Dry (Dec-Feb)"))</f>
        <v>Hot Dry (Mar-May)</v>
      </c>
      <c r="T619" s="4" t="str">
        <f aca="false">CHOOSE(O619,"Jan","Feb","Mar","Apr","May","Jun","Jul","Aug","Sep","Oct","Nov","Dec")</f>
        <v>May</v>
      </c>
    </row>
    <row r="620" customFormat="false" ht="15" hidden="false" customHeight="false" outlineLevel="0" collapsed="false">
      <c r="A620" s="4" t="s">
        <v>858</v>
      </c>
      <c r="B620" s="17" t="n">
        <v>45790</v>
      </c>
      <c r="C620" s="4" t="n">
        <v>16</v>
      </c>
      <c r="D620" s="4" t="s">
        <v>64</v>
      </c>
      <c r="E620" s="4" t="s">
        <v>84</v>
      </c>
      <c r="F620" s="4" t="s">
        <v>117</v>
      </c>
      <c r="G620" s="4" t="n">
        <v>3</v>
      </c>
      <c r="H620" s="34" t="n">
        <v>95</v>
      </c>
      <c r="I620" s="18" t="n">
        <v>0.15</v>
      </c>
      <c r="J620" s="4" t="s">
        <v>67</v>
      </c>
      <c r="K620" s="4" t="s">
        <v>82</v>
      </c>
      <c r="L620" s="35" t="n">
        <f aca="false">G620*H620</f>
        <v>285</v>
      </c>
      <c r="M620" s="35" t="n">
        <f aca="false">L620*I620</f>
        <v>42.75</v>
      </c>
      <c r="N620" s="35" t="n">
        <f aca="false">L620-M620</f>
        <v>242.25</v>
      </c>
      <c r="O620" s="4" t="n">
        <f aca="false">MONTH(B620)</f>
        <v>5</v>
      </c>
      <c r="P620" s="4" t="str">
        <f aca="false">CHOOSE(WEEKDAY(B620,2),"Mon","Tue","Wed","Thu","Fri","Sat","Sun")</f>
        <v>Tue</v>
      </c>
      <c r="Q620" s="4" t="str">
        <f aca="false">IF(WEEKDAY(B620,2)&gt;5,"Weekend","Weekday")</f>
        <v>Weekday</v>
      </c>
      <c r="R620" s="4" t="str">
        <f aca="false">IF(C620&lt;11,"Morning (7-10)",IF(C620&lt;14,"Lunch (11-13)",IF(C620&lt;18,"Afternoon (14-17)","Evening (18-20)")))</f>
        <v>Afternoon (14-17)</v>
      </c>
      <c r="S620" s="4" t="str">
        <f aca="false">IF(AND(O620&gt;=3,O620&lt;=5),"Hot Dry (Mar-May)",IF(AND(O620&gt;=6,O620&lt;=11),"Rainy (Jun-Nov)","Cool Dry (Dec-Feb)"))</f>
        <v>Hot Dry (Mar-May)</v>
      </c>
      <c r="T620" s="4" t="str">
        <f aca="false">CHOOSE(O620,"Jan","Feb","Mar","Apr","May","Jun","Jul","Aug","Sep","Oct","Nov","Dec")</f>
        <v>May</v>
      </c>
    </row>
    <row r="621" customFormat="false" ht="15" hidden="false" customHeight="false" outlineLevel="0" collapsed="false">
      <c r="A621" s="4" t="s">
        <v>860</v>
      </c>
      <c r="B621" s="17" t="n">
        <v>45790</v>
      </c>
      <c r="C621" s="4" t="n">
        <v>18</v>
      </c>
      <c r="D621" s="4" t="s">
        <v>64</v>
      </c>
      <c r="E621" s="4" t="s">
        <v>99</v>
      </c>
      <c r="F621" s="4" t="s">
        <v>100</v>
      </c>
      <c r="G621" s="4" t="n">
        <v>2</v>
      </c>
      <c r="H621" s="34" t="n">
        <v>110</v>
      </c>
      <c r="I621" s="18" t="n">
        <v>0</v>
      </c>
      <c r="J621" s="4" t="s">
        <v>81</v>
      </c>
      <c r="K621" s="4" t="s">
        <v>68</v>
      </c>
      <c r="L621" s="35" t="n">
        <f aca="false">G621*H621</f>
        <v>220</v>
      </c>
      <c r="M621" s="35" t="n">
        <f aca="false">L621*I621</f>
        <v>0</v>
      </c>
      <c r="N621" s="35" t="n">
        <f aca="false">L621-M621</f>
        <v>220</v>
      </c>
      <c r="O621" s="4" t="n">
        <f aca="false">MONTH(B621)</f>
        <v>5</v>
      </c>
      <c r="P621" s="4" t="str">
        <f aca="false">CHOOSE(WEEKDAY(B621,2),"Mon","Tue","Wed","Thu","Fri","Sat","Sun")</f>
        <v>Tue</v>
      </c>
      <c r="Q621" s="4" t="str">
        <f aca="false">IF(WEEKDAY(B621,2)&gt;5,"Weekend","Weekday")</f>
        <v>Weekday</v>
      </c>
      <c r="R621" s="4" t="str">
        <f aca="false">IF(C621&lt;11,"Morning (7-10)",IF(C621&lt;14,"Lunch (11-13)",IF(C621&lt;18,"Afternoon (14-17)","Evening (18-20)")))</f>
        <v>Evening (18-20)</v>
      </c>
      <c r="S621" s="4" t="str">
        <f aca="false">IF(AND(O621&gt;=3,O621&lt;=5),"Hot Dry (Mar-May)",IF(AND(O621&gt;=6,O621&lt;=11),"Rainy (Jun-Nov)","Cool Dry (Dec-Feb)"))</f>
        <v>Hot Dry (Mar-May)</v>
      </c>
      <c r="T621" s="4" t="str">
        <f aca="false">CHOOSE(O621,"Jan","Feb","Mar","Apr","May","Jun","Jul","Aug","Sep","Oct","Nov","Dec")</f>
        <v>May</v>
      </c>
    </row>
    <row r="622" customFormat="false" ht="15" hidden="false" customHeight="false" outlineLevel="0" collapsed="false">
      <c r="A622" s="4" t="s">
        <v>861</v>
      </c>
      <c r="B622" s="17" t="n">
        <v>45791</v>
      </c>
      <c r="C622" s="4" t="n">
        <v>7</v>
      </c>
      <c r="D622" s="4" t="s">
        <v>98</v>
      </c>
      <c r="E622" s="4" t="s">
        <v>65</v>
      </c>
      <c r="F622" s="4" t="s">
        <v>94</v>
      </c>
      <c r="G622" s="4" t="n">
        <v>4</v>
      </c>
      <c r="H622" s="34" t="n">
        <v>150</v>
      </c>
      <c r="I622" s="18" t="n">
        <v>0.1</v>
      </c>
      <c r="J622" s="4" t="s">
        <v>67</v>
      </c>
      <c r="K622" s="4" t="s">
        <v>71</v>
      </c>
      <c r="L622" s="35" t="n">
        <f aca="false">G622*H622</f>
        <v>600</v>
      </c>
      <c r="M622" s="35" t="n">
        <f aca="false">L622*I622</f>
        <v>60</v>
      </c>
      <c r="N622" s="35" t="n">
        <f aca="false">L622-M622</f>
        <v>540</v>
      </c>
      <c r="O622" s="4" t="n">
        <f aca="false">MONTH(B622)</f>
        <v>5</v>
      </c>
      <c r="P622" s="4" t="str">
        <f aca="false">CHOOSE(WEEKDAY(B622,2),"Mon","Tue","Wed","Thu","Fri","Sat","Sun")</f>
        <v>Wed</v>
      </c>
      <c r="Q622" s="4" t="str">
        <f aca="false">IF(WEEKDAY(B622,2)&gt;5,"Weekend","Weekday")</f>
        <v>Weekday</v>
      </c>
      <c r="R622" s="4" t="str">
        <f aca="false">IF(C622&lt;11,"Morning (7-10)",IF(C622&lt;14,"Lunch (11-13)",IF(C622&lt;18,"Afternoon (14-17)","Evening (18-20)")))</f>
        <v>Morning (7-10)</v>
      </c>
      <c r="S622" s="4" t="str">
        <f aca="false">IF(AND(O622&gt;=3,O622&lt;=5),"Hot Dry (Mar-May)",IF(AND(O622&gt;=6,O622&lt;=11),"Rainy (Jun-Nov)","Cool Dry (Dec-Feb)"))</f>
        <v>Hot Dry (Mar-May)</v>
      </c>
      <c r="T622" s="4" t="str">
        <f aca="false">CHOOSE(O622,"Jan","Feb","Mar","Apr","May","Jun","Jul","Aug","Sep","Oct","Nov","Dec")</f>
        <v>May</v>
      </c>
    </row>
    <row r="623" customFormat="false" ht="15" hidden="false" customHeight="false" outlineLevel="0" collapsed="false">
      <c r="A623" s="4" t="s">
        <v>862</v>
      </c>
      <c r="B623" s="17" t="n">
        <v>45791</v>
      </c>
      <c r="C623" s="4" t="n">
        <v>12</v>
      </c>
      <c r="D623" s="4" t="s">
        <v>73</v>
      </c>
      <c r="E623" s="4" t="s">
        <v>74</v>
      </c>
      <c r="F623" s="4" t="s">
        <v>75</v>
      </c>
      <c r="G623" s="4" t="n">
        <v>2</v>
      </c>
      <c r="H623" s="34" t="n">
        <v>220</v>
      </c>
      <c r="I623" s="18" t="n">
        <v>0.1</v>
      </c>
      <c r="J623" s="4" t="s">
        <v>67</v>
      </c>
      <c r="K623" s="4" t="s">
        <v>71</v>
      </c>
      <c r="L623" s="35" t="n">
        <f aca="false">G623*H623</f>
        <v>440</v>
      </c>
      <c r="M623" s="35" t="n">
        <f aca="false">L623*I623</f>
        <v>44</v>
      </c>
      <c r="N623" s="35" t="n">
        <f aca="false">L623-M623</f>
        <v>396</v>
      </c>
      <c r="O623" s="4" t="n">
        <f aca="false">MONTH(B623)</f>
        <v>5</v>
      </c>
      <c r="P623" s="4" t="str">
        <f aca="false">CHOOSE(WEEKDAY(B623,2),"Mon","Tue","Wed","Thu","Fri","Sat","Sun")</f>
        <v>Wed</v>
      </c>
      <c r="Q623" s="4" t="str">
        <f aca="false">IF(WEEKDAY(B623,2)&gt;5,"Weekend","Weekday")</f>
        <v>Weekday</v>
      </c>
      <c r="R623" s="4" t="str">
        <f aca="false">IF(C623&lt;11,"Morning (7-10)",IF(C623&lt;14,"Lunch (11-13)",IF(C623&lt;18,"Afternoon (14-17)","Evening (18-20)")))</f>
        <v>Lunch (11-13)</v>
      </c>
      <c r="S623" s="4" t="str">
        <f aca="false">IF(AND(O623&gt;=3,O623&lt;=5),"Hot Dry (Mar-May)",IF(AND(O623&gt;=6,O623&lt;=11),"Rainy (Jun-Nov)","Cool Dry (Dec-Feb)"))</f>
        <v>Hot Dry (Mar-May)</v>
      </c>
      <c r="T623" s="4" t="str">
        <f aca="false">CHOOSE(O623,"Jan","Feb","Mar","Apr","May","Jun","Jul","Aug","Sep","Oct","Nov","Dec")</f>
        <v>May</v>
      </c>
    </row>
    <row r="624" customFormat="false" ht="15" hidden="false" customHeight="false" outlineLevel="0" collapsed="false">
      <c r="A624" s="4" t="s">
        <v>863</v>
      </c>
      <c r="B624" s="17" t="n">
        <v>45791</v>
      </c>
      <c r="C624" s="4" t="n">
        <v>12</v>
      </c>
      <c r="D624" s="4" t="s">
        <v>64</v>
      </c>
      <c r="E624" s="4" t="s">
        <v>84</v>
      </c>
      <c r="F624" s="4" t="s">
        <v>106</v>
      </c>
      <c r="G624" s="4" t="n">
        <v>4</v>
      </c>
      <c r="H624" s="34" t="n">
        <v>60</v>
      </c>
      <c r="I624" s="18" t="n">
        <v>0</v>
      </c>
      <c r="J624" s="4" t="s">
        <v>67</v>
      </c>
      <c r="K624" s="4" t="s">
        <v>68</v>
      </c>
      <c r="L624" s="35" t="n">
        <f aca="false">G624*H624</f>
        <v>240</v>
      </c>
      <c r="M624" s="35" t="n">
        <f aca="false">L624*I624</f>
        <v>0</v>
      </c>
      <c r="N624" s="35" t="n">
        <f aca="false">L624-M624</f>
        <v>240</v>
      </c>
      <c r="O624" s="4" t="n">
        <f aca="false">MONTH(B624)</f>
        <v>5</v>
      </c>
      <c r="P624" s="4" t="str">
        <f aca="false">CHOOSE(WEEKDAY(B624,2),"Mon","Tue","Wed","Thu","Fri","Sat","Sun")</f>
        <v>Wed</v>
      </c>
      <c r="Q624" s="4" t="str">
        <f aca="false">IF(WEEKDAY(B624,2)&gt;5,"Weekend","Weekday")</f>
        <v>Weekday</v>
      </c>
      <c r="R624" s="4" t="str">
        <f aca="false">IF(C624&lt;11,"Morning (7-10)",IF(C624&lt;14,"Lunch (11-13)",IF(C624&lt;18,"Afternoon (14-17)","Evening (18-20)")))</f>
        <v>Lunch (11-13)</v>
      </c>
      <c r="S624" s="4" t="str">
        <f aca="false">IF(AND(O624&gt;=3,O624&lt;=5),"Hot Dry (Mar-May)",IF(AND(O624&gt;=6,O624&lt;=11),"Rainy (Jun-Nov)","Cool Dry (Dec-Feb)"))</f>
        <v>Hot Dry (Mar-May)</v>
      </c>
      <c r="T624" s="4" t="str">
        <f aca="false">CHOOSE(O624,"Jan","Feb","Mar","Apr","May","Jun","Jul","Aug","Sep","Oct","Nov","Dec")</f>
        <v>May</v>
      </c>
    </row>
    <row r="625" customFormat="false" ht="15" hidden="false" customHeight="false" outlineLevel="0" collapsed="false">
      <c r="A625" s="4" t="s">
        <v>864</v>
      </c>
      <c r="B625" s="17" t="n">
        <v>45791</v>
      </c>
      <c r="C625" s="4" t="n">
        <v>12</v>
      </c>
      <c r="D625" s="4" t="s">
        <v>98</v>
      </c>
      <c r="E625" s="4" t="s">
        <v>79</v>
      </c>
      <c r="F625" s="4" t="s">
        <v>148</v>
      </c>
      <c r="G625" s="4" t="n">
        <v>1</v>
      </c>
      <c r="H625" s="34" t="n">
        <v>120</v>
      </c>
      <c r="I625" s="18" t="n">
        <v>0.1</v>
      </c>
      <c r="J625" s="4" t="s">
        <v>76</v>
      </c>
      <c r="K625" s="4" t="s">
        <v>71</v>
      </c>
      <c r="L625" s="35" t="n">
        <f aca="false">G625*H625</f>
        <v>120</v>
      </c>
      <c r="M625" s="35" t="n">
        <f aca="false">L625*I625</f>
        <v>12</v>
      </c>
      <c r="N625" s="35" t="n">
        <f aca="false">L625-M625</f>
        <v>108</v>
      </c>
      <c r="O625" s="4" t="n">
        <f aca="false">MONTH(B625)</f>
        <v>5</v>
      </c>
      <c r="P625" s="4" t="str">
        <f aca="false">CHOOSE(WEEKDAY(B625,2),"Mon","Tue","Wed","Thu","Fri","Sat","Sun")</f>
        <v>Wed</v>
      </c>
      <c r="Q625" s="4" t="str">
        <f aca="false">IF(WEEKDAY(B625,2)&gt;5,"Weekend","Weekday")</f>
        <v>Weekday</v>
      </c>
      <c r="R625" s="4" t="str">
        <f aca="false">IF(C625&lt;11,"Morning (7-10)",IF(C625&lt;14,"Lunch (11-13)",IF(C625&lt;18,"Afternoon (14-17)","Evening (18-20)")))</f>
        <v>Lunch (11-13)</v>
      </c>
      <c r="S625" s="4" t="str">
        <f aca="false">IF(AND(O625&gt;=3,O625&lt;=5),"Hot Dry (Mar-May)",IF(AND(O625&gt;=6,O625&lt;=11),"Rainy (Jun-Nov)","Cool Dry (Dec-Feb)"))</f>
        <v>Hot Dry (Mar-May)</v>
      </c>
      <c r="T625" s="4" t="str">
        <f aca="false">CHOOSE(O625,"Jan","Feb","Mar","Apr","May","Jun","Jul","Aug","Sep","Oct","Nov","Dec")</f>
        <v>May</v>
      </c>
    </row>
    <row r="626" customFormat="false" ht="15" hidden="false" customHeight="false" outlineLevel="0" collapsed="false">
      <c r="A626" s="4" t="s">
        <v>866</v>
      </c>
      <c r="B626" s="17" t="n">
        <v>45791</v>
      </c>
      <c r="C626" s="4" t="n">
        <v>15</v>
      </c>
      <c r="D626" s="4" t="s">
        <v>70</v>
      </c>
      <c r="E626" s="4" t="s">
        <v>84</v>
      </c>
      <c r="F626" s="4" t="s">
        <v>114</v>
      </c>
      <c r="G626" s="4" t="n">
        <v>2</v>
      </c>
      <c r="H626" s="34" t="n">
        <v>85</v>
      </c>
      <c r="I626" s="18" t="n">
        <v>0.1</v>
      </c>
      <c r="J626" s="4" t="s">
        <v>67</v>
      </c>
      <c r="K626" s="4" t="s">
        <v>71</v>
      </c>
      <c r="L626" s="35" t="n">
        <f aca="false">G626*H626</f>
        <v>170</v>
      </c>
      <c r="M626" s="35" t="n">
        <f aca="false">L626*I626</f>
        <v>17</v>
      </c>
      <c r="N626" s="35" t="n">
        <f aca="false">L626-M626</f>
        <v>153</v>
      </c>
      <c r="O626" s="4" t="n">
        <f aca="false">MONTH(B626)</f>
        <v>5</v>
      </c>
      <c r="P626" s="4" t="str">
        <f aca="false">CHOOSE(WEEKDAY(B626,2),"Mon","Tue","Wed","Thu","Fri","Sat","Sun")</f>
        <v>Wed</v>
      </c>
      <c r="Q626" s="4" t="str">
        <f aca="false">IF(WEEKDAY(B626,2)&gt;5,"Weekend","Weekday")</f>
        <v>Weekday</v>
      </c>
      <c r="R626" s="4" t="str">
        <f aca="false">IF(C626&lt;11,"Morning (7-10)",IF(C626&lt;14,"Lunch (11-13)",IF(C626&lt;18,"Afternoon (14-17)","Evening (18-20)")))</f>
        <v>Afternoon (14-17)</v>
      </c>
      <c r="S626" s="4" t="str">
        <f aca="false">IF(AND(O626&gt;=3,O626&lt;=5),"Hot Dry (Mar-May)",IF(AND(O626&gt;=6,O626&lt;=11),"Rainy (Jun-Nov)","Cool Dry (Dec-Feb)"))</f>
        <v>Hot Dry (Mar-May)</v>
      </c>
      <c r="T626" s="4" t="str">
        <f aca="false">CHOOSE(O626,"Jan","Feb","Mar","Apr","May","Jun","Jul","Aug","Sep","Oct","Nov","Dec")</f>
        <v>May</v>
      </c>
    </row>
    <row r="627" customFormat="false" ht="15" hidden="false" customHeight="false" outlineLevel="0" collapsed="false">
      <c r="A627" s="4" t="s">
        <v>867</v>
      </c>
      <c r="B627" s="17" t="n">
        <v>45792</v>
      </c>
      <c r="C627" s="4" t="n">
        <v>7</v>
      </c>
      <c r="D627" s="4" t="s">
        <v>70</v>
      </c>
      <c r="E627" s="4" t="s">
        <v>65</v>
      </c>
      <c r="F627" s="4" t="s">
        <v>94</v>
      </c>
      <c r="G627" s="4" t="n">
        <v>1</v>
      </c>
      <c r="H627" s="34" t="n">
        <v>150</v>
      </c>
      <c r="I627" s="18" t="n">
        <v>0</v>
      </c>
      <c r="J627" s="4" t="s">
        <v>88</v>
      </c>
      <c r="K627" s="4" t="s">
        <v>68</v>
      </c>
      <c r="L627" s="35" t="n">
        <f aca="false">G627*H627</f>
        <v>150</v>
      </c>
      <c r="M627" s="35" t="n">
        <f aca="false">L627*I627</f>
        <v>0</v>
      </c>
      <c r="N627" s="35" t="n">
        <f aca="false">L627-M627</f>
        <v>150</v>
      </c>
      <c r="O627" s="4" t="n">
        <f aca="false">MONTH(B627)</f>
        <v>5</v>
      </c>
      <c r="P627" s="4" t="str">
        <f aca="false">CHOOSE(WEEKDAY(B627,2),"Mon","Tue","Wed","Thu","Fri","Sat","Sun")</f>
        <v>Thu</v>
      </c>
      <c r="Q627" s="4" t="str">
        <f aca="false">IF(WEEKDAY(B627,2)&gt;5,"Weekend","Weekday")</f>
        <v>Weekday</v>
      </c>
      <c r="R627" s="4" t="str">
        <f aca="false">IF(C627&lt;11,"Morning (7-10)",IF(C627&lt;14,"Lunch (11-13)",IF(C627&lt;18,"Afternoon (14-17)","Evening (18-20)")))</f>
        <v>Morning (7-10)</v>
      </c>
      <c r="S627" s="4" t="str">
        <f aca="false">IF(AND(O627&gt;=3,O627&lt;=5),"Hot Dry (Mar-May)",IF(AND(O627&gt;=6,O627&lt;=11),"Rainy (Jun-Nov)","Cool Dry (Dec-Feb)"))</f>
        <v>Hot Dry (Mar-May)</v>
      </c>
      <c r="T627" s="4" t="str">
        <f aca="false">CHOOSE(O627,"Jan","Feb","Mar","Apr","May","Jun","Jul","Aug","Sep","Oct","Nov","Dec")</f>
        <v>May</v>
      </c>
    </row>
    <row r="628" customFormat="false" ht="15" hidden="false" customHeight="false" outlineLevel="0" collapsed="false">
      <c r="A628" s="4" t="s">
        <v>868</v>
      </c>
      <c r="B628" s="17" t="n">
        <v>45792</v>
      </c>
      <c r="C628" s="4" t="n">
        <v>8</v>
      </c>
      <c r="D628" s="4" t="s">
        <v>73</v>
      </c>
      <c r="E628" s="4" t="s">
        <v>74</v>
      </c>
      <c r="F628" s="4" t="s">
        <v>75</v>
      </c>
      <c r="G628" s="4" t="n">
        <v>2</v>
      </c>
      <c r="H628" s="34" t="n">
        <v>220</v>
      </c>
      <c r="I628" s="18" t="n">
        <v>0</v>
      </c>
      <c r="J628" s="4" t="s">
        <v>112</v>
      </c>
      <c r="K628" s="4" t="s">
        <v>68</v>
      </c>
      <c r="L628" s="35" t="n">
        <f aca="false">G628*H628</f>
        <v>440</v>
      </c>
      <c r="M628" s="35" t="n">
        <f aca="false">L628*I628</f>
        <v>0</v>
      </c>
      <c r="N628" s="35" t="n">
        <f aca="false">L628-M628</f>
        <v>440</v>
      </c>
      <c r="O628" s="4" t="n">
        <f aca="false">MONTH(B628)</f>
        <v>5</v>
      </c>
      <c r="P628" s="4" t="str">
        <f aca="false">CHOOSE(WEEKDAY(B628,2),"Mon","Tue","Wed","Thu","Fri","Sat","Sun")</f>
        <v>Thu</v>
      </c>
      <c r="Q628" s="4" t="str">
        <f aca="false">IF(WEEKDAY(B628,2)&gt;5,"Weekend","Weekday")</f>
        <v>Weekday</v>
      </c>
      <c r="R628" s="4" t="str">
        <f aca="false">IF(C628&lt;11,"Morning (7-10)",IF(C628&lt;14,"Lunch (11-13)",IF(C628&lt;18,"Afternoon (14-17)","Evening (18-20)")))</f>
        <v>Morning (7-10)</v>
      </c>
      <c r="S628" s="4" t="str">
        <f aca="false">IF(AND(O628&gt;=3,O628&lt;=5),"Hot Dry (Mar-May)",IF(AND(O628&gt;=6,O628&lt;=11),"Rainy (Jun-Nov)","Cool Dry (Dec-Feb)"))</f>
        <v>Hot Dry (Mar-May)</v>
      </c>
      <c r="T628" s="4" t="str">
        <f aca="false">CHOOSE(O628,"Jan","Feb","Mar","Apr","May","Jun","Jul","Aug","Sep","Oct","Nov","Dec")</f>
        <v>May</v>
      </c>
    </row>
    <row r="629" customFormat="false" ht="15" hidden="false" customHeight="false" outlineLevel="0" collapsed="false">
      <c r="A629" s="4" t="s">
        <v>869</v>
      </c>
      <c r="B629" s="17" t="n">
        <v>45792</v>
      </c>
      <c r="C629" s="4" t="n">
        <v>11</v>
      </c>
      <c r="D629" s="4" t="s">
        <v>73</v>
      </c>
      <c r="E629" s="4" t="s">
        <v>65</v>
      </c>
      <c r="F629" s="4" t="s">
        <v>121</v>
      </c>
      <c r="G629" s="4" t="n">
        <v>4</v>
      </c>
      <c r="H629" s="34" t="n">
        <v>170</v>
      </c>
      <c r="I629" s="18" t="n">
        <v>0.05</v>
      </c>
      <c r="J629" s="4" t="s">
        <v>76</v>
      </c>
      <c r="K629" s="4" t="s">
        <v>82</v>
      </c>
      <c r="L629" s="35" t="n">
        <f aca="false">G629*H629</f>
        <v>680</v>
      </c>
      <c r="M629" s="35" t="n">
        <f aca="false">L629*I629</f>
        <v>34</v>
      </c>
      <c r="N629" s="35" t="n">
        <f aca="false">L629-M629</f>
        <v>646</v>
      </c>
      <c r="O629" s="4" t="n">
        <f aca="false">MONTH(B629)</f>
        <v>5</v>
      </c>
      <c r="P629" s="4" t="str">
        <f aca="false">CHOOSE(WEEKDAY(B629,2),"Mon","Tue","Wed","Thu","Fri","Sat","Sun")</f>
        <v>Thu</v>
      </c>
      <c r="Q629" s="4" t="str">
        <f aca="false">IF(WEEKDAY(B629,2)&gt;5,"Weekend","Weekday")</f>
        <v>Weekday</v>
      </c>
      <c r="R629" s="4" t="str">
        <f aca="false">IF(C629&lt;11,"Morning (7-10)",IF(C629&lt;14,"Lunch (11-13)",IF(C629&lt;18,"Afternoon (14-17)","Evening (18-20)")))</f>
        <v>Lunch (11-13)</v>
      </c>
      <c r="S629" s="4" t="str">
        <f aca="false">IF(AND(O629&gt;=3,O629&lt;=5),"Hot Dry (Mar-May)",IF(AND(O629&gt;=6,O629&lt;=11),"Rainy (Jun-Nov)","Cool Dry (Dec-Feb)"))</f>
        <v>Hot Dry (Mar-May)</v>
      </c>
      <c r="T629" s="4" t="str">
        <f aca="false">CHOOSE(O629,"Jan","Feb","Mar","Apr","May","Jun","Jul","Aug","Sep","Oct","Nov","Dec")</f>
        <v>May</v>
      </c>
    </row>
    <row r="630" customFormat="false" ht="15" hidden="false" customHeight="false" outlineLevel="0" collapsed="false">
      <c r="A630" s="4" t="s">
        <v>870</v>
      </c>
      <c r="B630" s="17" t="n">
        <v>45792</v>
      </c>
      <c r="C630" s="4" t="n">
        <v>12</v>
      </c>
      <c r="D630" s="4" t="s">
        <v>70</v>
      </c>
      <c r="E630" s="4" t="s">
        <v>74</v>
      </c>
      <c r="F630" s="4" t="s">
        <v>75</v>
      </c>
      <c r="G630" s="4" t="n">
        <v>2</v>
      </c>
      <c r="H630" s="34" t="n">
        <v>220</v>
      </c>
      <c r="I630" s="18" t="n">
        <v>0.15</v>
      </c>
      <c r="J630" s="4" t="s">
        <v>112</v>
      </c>
      <c r="K630" s="4" t="s">
        <v>68</v>
      </c>
      <c r="L630" s="35" t="n">
        <f aca="false">G630*H630</f>
        <v>440</v>
      </c>
      <c r="M630" s="35" t="n">
        <f aca="false">L630*I630</f>
        <v>66</v>
      </c>
      <c r="N630" s="35" t="n">
        <f aca="false">L630-M630</f>
        <v>374</v>
      </c>
      <c r="O630" s="4" t="n">
        <f aca="false">MONTH(B630)</f>
        <v>5</v>
      </c>
      <c r="P630" s="4" t="str">
        <f aca="false">CHOOSE(WEEKDAY(B630,2),"Mon","Tue","Wed","Thu","Fri","Sat","Sun")</f>
        <v>Thu</v>
      </c>
      <c r="Q630" s="4" t="str">
        <f aca="false">IF(WEEKDAY(B630,2)&gt;5,"Weekend","Weekday")</f>
        <v>Weekday</v>
      </c>
      <c r="R630" s="4" t="str">
        <f aca="false">IF(C630&lt;11,"Morning (7-10)",IF(C630&lt;14,"Lunch (11-13)",IF(C630&lt;18,"Afternoon (14-17)","Evening (18-20)")))</f>
        <v>Lunch (11-13)</v>
      </c>
      <c r="S630" s="4" t="str">
        <f aca="false">IF(AND(O630&gt;=3,O630&lt;=5),"Hot Dry (Mar-May)",IF(AND(O630&gt;=6,O630&lt;=11),"Rainy (Jun-Nov)","Cool Dry (Dec-Feb)"))</f>
        <v>Hot Dry (Mar-May)</v>
      </c>
      <c r="T630" s="4" t="str">
        <f aca="false">CHOOSE(O630,"Jan","Feb","Mar","Apr","May","Jun","Jul","Aug","Sep","Oct","Nov","Dec")</f>
        <v>May</v>
      </c>
    </row>
    <row r="631" customFormat="false" ht="15" hidden="false" customHeight="false" outlineLevel="0" collapsed="false">
      <c r="A631" s="4" t="s">
        <v>871</v>
      </c>
      <c r="B631" s="17" t="n">
        <v>45792</v>
      </c>
      <c r="C631" s="4" t="n">
        <v>15</v>
      </c>
      <c r="D631" s="4" t="s">
        <v>73</v>
      </c>
      <c r="E631" s="4" t="s">
        <v>79</v>
      </c>
      <c r="F631" s="4" t="s">
        <v>80</v>
      </c>
      <c r="G631" s="4" t="n">
        <v>1</v>
      </c>
      <c r="H631" s="34" t="n">
        <v>160</v>
      </c>
      <c r="I631" s="18" t="n">
        <v>0</v>
      </c>
      <c r="J631" s="4" t="s">
        <v>112</v>
      </c>
      <c r="K631" s="4" t="s">
        <v>77</v>
      </c>
      <c r="L631" s="35" t="n">
        <f aca="false">G631*H631</f>
        <v>160</v>
      </c>
      <c r="M631" s="35" t="n">
        <f aca="false">L631*I631</f>
        <v>0</v>
      </c>
      <c r="N631" s="35" t="n">
        <f aca="false">L631-M631</f>
        <v>160</v>
      </c>
      <c r="O631" s="4" t="n">
        <f aca="false">MONTH(B631)</f>
        <v>5</v>
      </c>
      <c r="P631" s="4" t="str">
        <f aca="false">CHOOSE(WEEKDAY(B631,2),"Mon","Tue","Wed","Thu","Fri","Sat","Sun")</f>
        <v>Thu</v>
      </c>
      <c r="Q631" s="4" t="str">
        <f aca="false">IF(WEEKDAY(B631,2)&gt;5,"Weekend","Weekday")</f>
        <v>Weekday</v>
      </c>
      <c r="R631" s="4" t="str">
        <f aca="false">IF(C631&lt;11,"Morning (7-10)",IF(C631&lt;14,"Lunch (11-13)",IF(C631&lt;18,"Afternoon (14-17)","Evening (18-20)")))</f>
        <v>Afternoon (14-17)</v>
      </c>
      <c r="S631" s="4" t="str">
        <f aca="false">IF(AND(O631&gt;=3,O631&lt;=5),"Hot Dry (Mar-May)",IF(AND(O631&gt;=6,O631&lt;=11),"Rainy (Jun-Nov)","Cool Dry (Dec-Feb)"))</f>
        <v>Hot Dry (Mar-May)</v>
      </c>
      <c r="T631" s="4" t="str">
        <f aca="false">CHOOSE(O631,"Jan","Feb","Mar","Apr","May","Jun","Jul","Aug","Sep","Oct","Nov","Dec")</f>
        <v>May</v>
      </c>
    </row>
    <row r="632" customFormat="false" ht="15" hidden="false" customHeight="false" outlineLevel="0" collapsed="false">
      <c r="A632" s="4" t="s">
        <v>873</v>
      </c>
      <c r="B632" s="17" t="n">
        <v>45792</v>
      </c>
      <c r="C632" s="4" t="n">
        <v>18</v>
      </c>
      <c r="D632" s="4" t="s">
        <v>98</v>
      </c>
      <c r="E632" s="4" t="s">
        <v>65</v>
      </c>
      <c r="F632" s="4" t="s">
        <v>87</v>
      </c>
      <c r="G632" s="4" t="n">
        <v>1</v>
      </c>
      <c r="H632" s="34" t="n">
        <v>160</v>
      </c>
      <c r="I632" s="18" t="n">
        <v>0.1</v>
      </c>
      <c r="J632" s="4" t="s">
        <v>81</v>
      </c>
      <c r="K632" s="4" t="s">
        <v>71</v>
      </c>
      <c r="L632" s="35" t="n">
        <f aca="false">G632*H632</f>
        <v>160</v>
      </c>
      <c r="M632" s="35" t="n">
        <f aca="false">L632*I632</f>
        <v>16</v>
      </c>
      <c r="N632" s="35" t="n">
        <f aca="false">L632-M632</f>
        <v>144</v>
      </c>
      <c r="O632" s="4" t="n">
        <f aca="false">MONTH(B632)</f>
        <v>5</v>
      </c>
      <c r="P632" s="4" t="str">
        <f aca="false">CHOOSE(WEEKDAY(B632,2),"Mon","Tue","Wed","Thu","Fri","Sat","Sun")</f>
        <v>Thu</v>
      </c>
      <c r="Q632" s="4" t="str">
        <f aca="false">IF(WEEKDAY(B632,2)&gt;5,"Weekend","Weekday")</f>
        <v>Weekday</v>
      </c>
      <c r="R632" s="4" t="str">
        <f aca="false">IF(C632&lt;11,"Morning (7-10)",IF(C632&lt;14,"Lunch (11-13)",IF(C632&lt;18,"Afternoon (14-17)","Evening (18-20)")))</f>
        <v>Evening (18-20)</v>
      </c>
      <c r="S632" s="4" t="str">
        <f aca="false">IF(AND(O632&gt;=3,O632&lt;=5),"Hot Dry (Mar-May)",IF(AND(O632&gt;=6,O632&lt;=11),"Rainy (Jun-Nov)","Cool Dry (Dec-Feb)"))</f>
        <v>Hot Dry (Mar-May)</v>
      </c>
      <c r="T632" s="4" t="str">
        <f aca="false">CHOOSE(O632,"Jan","Feb","Mar","Apr","May","Jun","Jul","Aug","Sep","Oct","Nov","Dec")</f>
        <v>May</v>
      </c>
    </row>
    <row r="633" customFormat="false" ht="15" hidden="false" customHeight="false" outlineLevel="0" collapsed="false">
      <c r="A633" s="4" t="s">
        <v>875</v>
      </c>
      <c r="B633" s="17" t="n">
        <v>45793</v>
      </c>
      <c r="C633" s="4" t="n">
        <v>8</v>
      </c>
      <c r="D633" s="4" t="s">
        <v>64</v>
      </c>
      <c r="E633" s="4" t="s">
        <v>65</v>
      </c>
      <c r="F633" s="4" t="s">
        <v>94</v>
      </c>
      <c r="G633" s="4" t="n">
        <v>1</v>
      </c>
      <c r="H633" s="34" t="n">
        <v>150</v>
      </c>
      <c r="I633" s="18" t="n">
        <v>0.05</v>
      </c>
      <c r="J633" s="4" t="s">
        <v>67</v>
      </c>
      <c r="K633" s="4" t="s">
        <v>82</v>
      </c>
      <c r="L633" s="35" t="n">
        <f aca="false">G633*H633</f>
        <v>150</v>
      </c>
      <c r="M633" s="35" t="n">
        <f aca="false">L633*I633</f>
        <v>7.5</v>
      </c>
      <c r="N633" s="35" t="n">
        <f aca="false">L633-M633</f>
        <v>142.5</v>
      </c>
      <c r="O633" s="4" t="n">
        <f aca="false">MONTH(B633)</f>
        <v>5</v>
      </c>
      <c r="P633" s="4" t="str">
        <f aca="false">CHOOSE(WEEKDAY(B633,2),"Mon","Tue","Wed","Thu","Fri","Sat","Sun")</f>
        <v>Fri</v>
      </c>
      <c r="Q633" s="4" t="str">
        <f aca="false">IF(WEEKDAY(B633,2)&gt;5,"Weekend","Weekday")</f>
        <v>Weekday</v>
      </c>
      <c r="R633" s="4" t="str">
        <f aca="false">IF(C633&lt;11,"Morning (7-10)",IF(C633&lt;14,"Lunch (11-13)",IF(C633&lt;18,"Afternoon (14-17)","Evening (18-20)")))</f>
        <v>Morning (7-10)</v>
      </c>
      <c r="S633" s="4" t="str">
        <f aca="false">IF(AND(O633&gt;=3,O633&lt;=5),"Hot Dry (Mar-May)",IF(AND(O633&gt;=6,O633&lt;=11),"Rainy (Jun-Nov)","Cool Dry (Dec-Feb)"))</f>
        <v>Hot Dry (Mar-May)</v>
      </c>
      <c r="T633" s="4" t="str">
        <f aca="false">CHOOSE(O633,"Jan","Feb","Mar","Apr","May","Jun","Jul","Aug","Sep","Oct","Nov","Dec")</f>
        <v>May</v>
      </c>
    </row>
    <row r="634" customFormat="false" ht="15" hidden="false" customHeight="false" outlineLevel="0" collapsed="false">
      <c r="A634" s="4" t="s">
        <v>876</v>
      </c>
      <c r="B634" s="17" t="n">
        <v>45793</v>
      </c>
      <c r="C634" s="4" t="n">
        <v>13</v>
      </c>
      <c r="D634" s="4" t="s">
        <v>98</v>
      </c>
      <c r="E634" s="4" t="s">
        <v>65</v>
      </c>
      <c r="F634" s="4" t="s">
        <v>94</v>
      </c>
      <c r="G634" s="4" t="n">
        <v>2</v>
      </c>
      <c r="H634" s="34" t="n">
        <v>150</v>
      </c>
      <c r="I634" s="18" t="n">
        <v>0</v>
      </c>
      <c r="J634" s="4" t="s">
        <v>112</v>
      </c>
      <c r="K634" s="4" t="s">
        <v>68</v>
      </c>
      <c r="L634" s="35" t="n">
        <f aca="false">G634*H634</f>
        <v>300</v>
      </c>
      <c r="M634" s="35" t="n">
        <f aca="false">L634*I634</f>
        <v>0</v>
      </c>
      <c r="N634" s="35" t="n">
        <f aca="false">L634-M634</f>
        <v>300</v>
      </c>
      <c r="O634" s="4" t="n">
        <f aca="false">MONTH(B634)</f>
        <v>5</v>
      </c>
      <c r="P634" s="4" t="str">
        <f aca="false">CHOOSE(WEEKDAY(B634,2),"Mon","Tue","Wed","Thu","Fri","Sat","Sun")</f>
        <v>Fri</v>
      </c>
      <c r="Q634" s="4" t="str">
        <f aca="false">IF(WEEKDAY(B634,2)&gt;5,"Weekend","Weekday")</f>
        <v>Weekday</v>
      </c>
      <c r="R634" s="4" t="str">
        <f aca="false">IF(C634&lt;11,"Morning (7-10)",IF(C634&lt;14,"Lunch (11-13)",IF(C634&lt;18,"Afternoon (14-17)","Evening (18-20)")))</f>
        <v>Lunch (11-13)</v>
      </c>
      <c r="S634" s="4" t="str">
        <f aca="false">IF(AND(O634&gt;=3,O634&lt;=5),"Hot Dry (Mar-May)",IF(AND(O634&gt;=6,O634&lt;=11),"Rainy (Jun-Nov)","Cool Dry (Dec-Feb)"))</f>
        <v>Hot Dry (Mar-May)</v>
      </c>
      <c r="T634" s="4" t="str">
        <f aca="false">CHOOSE(O634,"Jan","Feb","Mar","Apr","May","Jun","Jul","Aug","Sep","Oct","Nov","Dec")</f>
        <v>May</v>
      </c>
    </row>
    <row r="635" customFormat="false" ht="15" hidden="false" customHeight="false" outlineLevel="0" collapsed="false">
      <c r="A635" s="4" t="s">
        <v>877</v>
      </c>
      <c r="B635" s="17" t="n">
        <v>45793</v>
      </c>
      <c r="C635" s="4" t="n">
        <v>17</v>
      </c>
      <c r="D635" s="4" t="s">
        <v>70</v>
      </c>
      <c r="E635" s="4" t="s">
        <v>65</v>
      </c>
      <c r="F635" s="4" t="s">
        <v>87</v>
      </c>
      <c r="G635" s="4" t="n">
        <v>2</v>
      </c>
      <c r="H635" s="34" t="n">
        <v>160</v>
      </c>
      <c r="I635" s="18" t="n">
        <v>0.05</v>
      </c>
      <c r="J635" s="4" t="s">
        <v>67</v>
      </c>
      <c r="K635" s="4" t="s">
        <v>82</v>
      </c>
      <c r="L635" s="35" t="n">
        <f aca="false">G635*H635</f>
        <v>320</v>
      </c>
      <c r="M635" s="35" t="n">
        <f aca="false">L635*I635</f>
        <v>16</v>
      </c>
      <c r="N635" s="35" t="n">
        <f aca="false">L635-M635</f>
        <v>304</v>
      </c>
      <c r="O635" s="4" t="n">
        <f aca="false">MONTH(B635)</f>
        <v>5</v>
      </c>
      <c r="P635" s="4" t="str">
        <f aca="false">CHOOSE(WEEKDAY(B635,2),"Mon","Tue","Wed","Thu","Fri","Sat","Sun")</f>
        <v>Fri</v>
      </c>
      <c r="Q635" s="4" t="str">
        <f aca="false">IF(WEEKDAY(B635,2)&gt;5,"Weekend","Weekday")</f>
        <v>Weekday</v>
      </c>
      <c r="R635" s="4" t="str">
        <f aca="false">IF(C635&lt;11,"Morning (7-10)",IF(C635&lt;14,"Lunch (11-13)",IF(C635&lt;18,"Afternoon (14-17)","Evening (18-20)")))</f>
        <v>Afternoon (14-17)</v>
      </c>
      <c r="S635" s="4" t="str">
        <f aca="false">IF(AND(O635&gt;=3,O635&lt;=5),"Hot Dry (Mar-May)",IF(AND(O635&gt;=6,O635&lt;=11),"Rainy (Jun-Nov)","Cool Dry (Dec-Feb)"))</f>
        <v>Hot Dry (Mar-May)</v>
      </c>
      <c r="T635" s="4" t="str">
        <f aca="false">CHOOSE(O635,"Jan","Feb","Mar","Apr","May","Jun","Jul","Aug","Sep","Oct","Nov","Dec")</f>
        <v>May</v>
      </c>
    </row>
    <row r="636" customFormat="false" ht="15" hidden="false" customHeight="false" outlineLevel="0" collapsed="false">
      <c r="A636" s="4" t="s">
        <v>879</v>
      </c>
      <c r="B636" s="17" t="n">
        <v>45794</v>
      </c>
      <c r="C636" s="4" t="n">
        <v>8</v>
      </c>
      <c r="D636" s="4" t="s">
        <v>98</v>
      </c>
      <c r="E636" s="4" t="s">
        <v>99</v>
      </c>
      <c r="F636" s="4" t="s">
        <v>133</v>
      </c>
      <c r="G636" s="4" t="n">
        <v>2</v>
      </c>
      <c r="H636" s="34" t="n">
        <v>90</v>
      </c>
      <c r="I636" s="18" t="n">
        <v>0</v>
      </c>
      <c r="J636" s="4" t="s">
        <v>81</v>
      </c>
      <c r="K636" s="4" t="s">
        <v>68</v>
      </c>
      <c r="L636" s="35" t="n">
        <f aca="false">G636*H636</f>
        <v>180</v>
      </c>
      <c r="M636" s="35" t="n">
        <f aca="false">L636*I636</f>
        <v>0</v>
      </c>
      <c r="N636" s="35" t="n">
        <f aca="false">L636-M636</f>
        <v>180</v>
      </c>
      <c r="O636" s="4" t="n">
        <f aca="false">MONTH(B636)</f>
        <v>5</v>
      </c>
      <c r="P636" s="4" t="str">
        <f aca="false">CHOOSE(WEEKDAY(B636,2),"Mon","Tue","Wed","Thu","Fri","Sat","Sun")</f>
        <v>Sat</v>
      </c>
      <c r="Q636" s="4" t="str">
        <f aca="false">IF(WEEKDAY(B636,2)&gt;5,"Weekend","Weekday")</f>
        <v>Weekend</v>
      </c>
      <c r="R636" s="4" t="str">
        <f aca="false">IF(C636&lt;11,"Morning (7-10)",IF(C636&lt;14,"Lunch (11-13)",IF(C636&lt;18,"Afternoon (14-17)","Evening (18-20)")))</f>
        <v>Morning (7-10)</v>
      </c>
      <c r="S636" s="4" t="str">
        <f aca="false">IF(AND(O636&gt;=3,O636&lt;=5),"Hot Dry (Mar-May)",IF(AND(O636&gt;=6,O636&lt;=11),"Rainy (Jun-Nov)","Cool Dry (Dec-Feb)"))</f>
        <v>Hot Dry (Mar-May)</v>
      </c>
      <c r="T636" s="4" t="str">
        <f aca="false">CHOOSE(O636,"Jan","Feb","Mar","Apr","May","Jun","Jul","Aug","Sep","Oct","Nov","Dec")</f>
        <v>May</v>
      </c>
    </row>
    <row r="637" customFormat="false" ht="15" hidden="false" customHeight="false" outlineLevel="0" collapsed="false">
      <c r="A637" s="4" t="s">
        <v>881</v>
      </c>
      <c r="B637" s="17" t="n">
        <v>45794</v>
      </c>
      <c r="C637" s="4" t="n">
        <v>9</v>
      </c>
      <c r="D637" s="4" t="s">
        <v>64</v>
      </c>
      <c r="E637" s="4" t="s">
        <v>65</v>
      </c>
      <c r="F637" s="4" t="s">
        <v>121</v>
      </c>
      <c r="G637" s="4" t="n">
        <v>3</v>
      </c>
      <c r="H637" s="34" t="n">
        <v>170</v>
      </c>
      <c r="I637" s="18" t="n">
        <v>0</v>
      </c>
      <c r="J637" s="4" t="s">
        <v>112</v>
      </c>
      <c r="K637" s="4" t="s">
        <v>68</v>
      </c>
      <c r="L637" s="35" t="n">
        <f aca="false">G637*H637</f>
        <v>510</v>
      </c>
      <c r="M637" s="35" t="n">
        <f aca="false">L637*I637</f>
        <v>0</v>
      </c>
      <c r="N637" s="35" t="n">
        <f aca="false">L637-M637</f>
        <v>510</v>
      </c>
      <c r="O637" s="4" t="n">
        <f aca="false">MONTH(B637)</f>
        <v>5</v>
      </c>
      <c r="P637" s="4" t="str">
        <f aca="false">CHOOSE(WEEKDAY(B637,2),"Mon","Tue","Wed","Thu","Fri","Sat","Sun")</f>
        <v>Sat</v>
      </c>
      <c r="Q637" s="4" t="str">
        <f aca="false">IF(WEEKDAY(B637,2)&gt;5,"Weekend","Weekday")</f>
        <v>Weekend</v>
      </c>
      <c r="R637" s="4" t="str">
        <f aca="false">IF(C637&lt;11,"Morning (7-10)",IF(C637&lt;14,"Lunch (11-13)",IF(C637&lt;18,"Afternoon (14-17)","Evening (18-20)")))</f>
        <v>Morning (7-10)</v>
      </c>
      <c r="S637" s="4" t="str">
        <f aca="false">IF(AND(O637&gt;=3,O637&lt;=5),"Hot Dry (Mar-May)",IF(AND(O637&gt;=6,O637&lt;=11),"Rainy (Jun-Nov)","Cool Dry (Dec-Feb)"))</f>
        <v>Hot Dry (Mar-May)</v>
      </c>
      <c r="T637" s="4" t="str">
        <f aca="false">CHOOSE(O637,"Jan","Feb","Mar","Apr","May","Jun","Jul","Aug","Sep","Oct","Nov","Dec")</f>
        <v>May</v>
      </c>
    </row>
    <row r="638" customFormat="false" ht="15" hidden="false" customHeight="false" outlineLevel="0" collapsed="false">
      <c r="A638" s="4" t="s">
        <v>882</v>
      </c>
      <c r="B638" s="17" t="n">
        <v>45794</v>
      </c>
      <c r="C638" s="4" t="n">
        <v>14</v>
      </c>
      <c r="D638" s="4" t="s">
        <v>70</v>
      </c>
      <c r="E638" s="4" t="s">
        <v>65</v>
      </c>
      <c r="F638" s="4" t="s">
        <v>66</v>
      </c>
      <c r="G638" s="4" t="n">
        <v>1</v>
      </c>
      <c r="H638" s="34" t="n">
        <v>120</v>
      </c>
      <c r="I638" s="18" t="n">
        <v>0.05</v>
      </c>
      <c r="J638" s="4" t="s">
        <v>112</v>
      </c>
      <c r="K638" s="4" t="s">
        <v>82</v>
      </c>
      <c r="L638" s="35" t="n">
        <f aca="false">G638*H638</f>
        <v>120</v>
      </c>
      <c r="M638" s="35" t="n">
        <f aca="false">L638*I638</f>
        <v>6</v>
      </c>
      <c r="N638" s="35" t="n">
        <f aca="false">L638-M638</f>
        <v>114</v>
      </c>
      <c r="O638" s="4" t="n">
        <f aca="false">MONTH(B638)</f>
        <v>5</v>
      </c>
      <c r="P638" s="4" t="str">
        <f aca="false">CHOOSE(WEEKDAY(B638,2),"Mon","Tue","Wed","Thu","Fri","Sat","Sun")</f>
        <v>Sat</v>
      </c>
      <c r="Q638" s="4" t="str">
        <f aca="false">IF(WEEKDAY(B638,2)&gt;5,"Weekend","Weekday")</f>
        <v>Weekend</v>
      </c>
      <c r="R638" s="4" t="str">
        <f aca="false">IF(C638&lt;11,"Morning (7-10)",IF(C638&lt;14,"Lunch (11-13)",IF(C638&lt;18,"Afternoon (14-17)","Evening (18-20)")))</f>
        <v>Afternoon (14-17)</v>
      </c>
      <c r="S638" s="4" t="str">
        <f aca="false">IF(AND(O638&gt;=3,O638&lt;=5),"Hot Dry (Mar-May)",IF(AND(O638&gt;=6,O638&lt;=11),"Rainy (Jun-Nov)","Cool Dry (Dec-Feb)"))</f>
        <v>Hot Dry (Mar-May)</v>
      </c>
      <c r="T638" s="4" t="str">
        <f aca="false">CHOOSE(O638,"Jan","Feb","Mar","Apr","May","Jun","Jul","Aug","Sep","Oct","Nov","Dec")</f>
        <v>May</v>
      </c>
    </row>
    <row r="639" customFormat="false" ht="15" hidden="false" customHeight="false" outlineLevel="0" collapsed="false">
      <c r="A639" s="4" t="s">
        <v>883</v>
      </c>
      <c r="B639" s="17" t="n">
        <v>45794</v>
      </c>
      <c r="C639" s="4" t="n">
        <v>14</v>
      </c>
      <c r="D639" s="4" t="s">
        <v>98</v>
      </c>
      <c r="E639" s="4" t="s">
        <v>99</v>
      </c>
      <c r="F639" s="4" t="s">
        <v>102</v>
      </c>
      <c r="G639" s="4" t="n">
        <v>1</v>
      </c>
      <c r="H639" s="34" t="n">
        <v>140</v>
      </c>
      <c r="I639" s="18" t="n">
        <v>0</v>
      </c>
      <c r="J639" s="4" t="s">
        <v>81</v>
      </c>
      <c r="K639" s="4" t="s">
        <v>68</v>
      </c>
      <c r="L639" s="35" t="n">
        <f aca="false">G639*H639</f>
        <v>140</v>
      </c>
      <c r="M639" s="35" t="n">
        <f aca="false">L639*I639</f>
        <v>0</v>
      </c>
      <c r="N639" s="35" t="n">
        <f aca="false">L639-M639</f>
        <v>140</v>
      </c>
      <c r="O639" s="4" t="n">
        <f aca="false">MONTH(B639)</f>
        <v>5</v>
      </c>
      <c r="P639" s="4" t="str">
        <f aca="false">CHOOSE(WEEKDAY(B639,2),"Mon","Tue","Wed","Thu","Fri","Sat","Sun")</f>
        <v>Sat</v>
      </c>
      <c r="Q639" s="4" t="str">
        <f aca="false">IF(WEEKDAY(B639,2)&gt;5,"Weekend","Weekday")</f>
        <v>Weekend</v>
      </c>
      <c r="R639" s="4" t="str">
        <f aca="false">IF(C639&lt;11,"Morning (7-10)",IF(C639&lt;14,"Lunch (11-13)",IF(C639&lt;18,"Afternoon (14-17)","Evening (18-20)")))</f>
        <v>Afternoon (14-17)</v>
      </c>
      <c r="S639" s="4" t="str">
        <f aca="false">IF(AND(O639&gt;=3,O639&lt;=5),"Hot Dry (Mar-May)",IF(AND(O639&gt;=6,O639&lt;=11),"Rainy (Jun-Nov)","Cool Dry (Dec-Feb)"))</f>
        <v>Hot Dry (Mar-May)</v>
      </c>
      <c r="T639" s="4" t="str">
        <f aca="false">CHOOSE(O639,"Jan","Feb","Mar","Apr","May","Jun","Jul","Aug","Sep","Oct","Nov","Dec")</f>
        <v>May</v>
      </c>
    </row>
    <row r="640" customFormat="false" ht="15" hidden="false" customHeight="false" outlineLevel="0" collapsed="false">
      <c r="A640" s="4" t="s">
        <v>884</v>
      </c>
      <c r="B640" s="17" t="n">
        <v>45794</v>
      </c>
      <c r="C640" s="4" t="n">
        <v>18</v>
      </c>
      <c r="D640" s="4" t="s">
        <v>98</v>
      </c>
      <c r="E640" s="4" t="s">
        <v>84</v>
      </c>
      <c r="F640" s="4" t="s">
        <v>85</v>
      </c>
      <c r="G640" s="4" t="n">
        <v>2</v>
      </c>
      <c r="H640" s="34" t="n">
        <v>150</v>
      </c>
      <c r="I640" s="18" t="n">
        <v>0.05</v>
      </c>
      <c r="J640" s="4" t="s">
        <v>81</v>
      </c>
      <c r="K640" s="4" t="s">
        <v>82</v>
      </c>
      <c r="L640" s="35" t="n">
        <f aca="false">G640*H640</f>
        <v>300</v>
      </c>
      <c r="M640" s="35" t="n">
        <f aca="false">L640*I640</f>
        <v>15</v>
      </c>
      <c r="N640" s="35" t="n">
        <f aca="false">L640-M640</f>
        <v>285</v>
      </c>
      <c r="O640" s="4" t="n">
        <f aca="false">MONTH(B640)</f>
        <v>5</v>
      </c>
      <c r="P640" s="4" t="str">
        <f aca="false">CHOOSE(WEEKDAY(B640,2),"Mon","Tue","Wed","Thu","Fri","Sat","Sun")</f>
        <v>Sat</v>
      </c>
      <c r="Q640" s="4" t="str">
        <f aca="false">IF(WEEKDAY(B640,2)&gt;5,"Weekend","Weekday")</f>
        <v>Weekend</v>
      </c>
      <c r="R640" s="4" t="str">
        <f aca="false">IF(C640&lt;11,"Morning (7-10)",IF(C640&lt;14,"Lunch (11-13)",IF(C640&lt;18,"Afternoon (14-17)","Evening (18-20)")))</f>
        <v>Evening (18-20)</v>
      </c>
      <c r="S640" s="4" t="str">
        <f aca="false">IF(AND(O640&gt;=3,O640&lt;=5),"Hot Dry (Mar-May)",IF(AND(O640&gt;=6,O640&lt;=11),"Rainy (Jun-Nov)","Cool Dry (Dec-Feb)"))</f>
        <v>Hot Dry (Mar-May)</v>
      </c>
      <c r="T640" s="4" t="str">
        <f aca="false">CHOOSE(O640,"Jan","Feb","Mar","Apr","May","Jun","Jul","Aug","Sep","Oct","Nov","Dec")</f>
        <v>May</v>
      </c>
    </row>
    <row r="641" customFormat="false" ht="15" hidden="false" customHeight="false" outlineLevel="0" collapsed="false">
      <c r="A641" s="4" t="s">
        <v>885</v>
      </c>
      <c r="B641" s="17" t="n">
        <v>45795</v>
      </c>
      <c r="C641" s="4" t="n">
        <v>12</v>
      </c>
      <c r="D641" s="4" t="s">
        <v>70</v>
      </c>
      <c r="E641" s="4" t="s">
        <v>65</v>
      </c>
      <c r="F641" s="4" t="s">
        <v>66</v>
      </c>
      <c r="G641" s="4" t="n">
        <v>1</v>
      </c>
      <c r="H641" s="34" t="n">
        <v>120</v>
      </c>
      <c r="I641" s="18" t="n">
        <v>0</v>
      </c>
      <c r="J641" s="4" t="s">
        <v>76</v>
      </c>
      <c r="K641" s="4" t="s">
        <v>68</v>
      </c>
      <c r="L641" s="35" t="n">
        <f aca="false">G641*H641</f>
        <v>120</v>
      </c>
      <c r="M641" s="35" t="n">
        <f aca="false">L641*I641</f>
        <v>0</v>
      </c>
      <c r="N641" s="35" t="n">
        <f aca="false">L641-M641</f>
        <v>120</v>
      </c>
      <c r="O641" s="4" t="n">
        <f aca="false">MONTH(B641)</f>
        <v>5</v>
      </c>
      <c r="P641" s="4" t="str">
        <f aca="false">CHOOSE(WEEKDAY(B641,2),"Mon","Tue","Wed","Thu","Fri","Sat","Sun")</f>
        <v>Sun</v>
      </c>
      <c r="Q641" s="4" t="str">
        <f aca="false">IF(WEEKDAY(B641,2)&gt;5,"Weekend","Weekday")</f>
        <v>Weekend</v>
      </c>
      <c r="R641" s="4" t="str">
        <f aca="false">IF(C641&lt;11,"Morning (7-10)",IF(C641&lt;14,"Lunch (11-13)",IF(C641&lt;18,"Afternoon (14-17)","Evening (18-20)")))</f>
        <v>Lunch (11-13)</v>
      </c>
      <c r="S641" s="4" t="str">
        <f aca="false">IF(AND(O641&gt;=3,O641&lt;=5),"Hot Dry (Mar-May)",IF(AND(O641&gt;=6,O641&lt;=11),"Rainy (Jun-Nov)","Cool Dry (Dec-Feb)"))</f>
        <v>Hot Dry (Mar-May)</v>
      </c>
      <c r="T641" s="4" t="str">
        <f aca="false">CHOOSE(O641,"Jan","Feb","Mar","Apr","May","Jun","Jul","Aug","Sep","Oct","Nov","Dec")</f>
        <v>May</v>
      </c>
    </row>
    <row r="642" customFormat="false" ht="15" hidden="false" customHeight="false" outlineLevel="0" collapsed="false">
      <c r="A642" s="4" t="s">
        <v>886</v>
      </c>
      <c r="B642" s="17" t="n">
        <v>45796</v>
      </c>
      <c r="C642" s="4" t="n">
        <v>7</v>
      </c>
      <c r="D642" s="4" t="s">
        <v>70</v>
      </c>
      <c r="E642" s="4" t="s">
        <v>65</v>
      </c>
      <c r="F642" s="4" t="s">
        <v>121</v>
      </c>
      <c r="G642" s="4" t="n">
        <v>1</v>
      </c>
      <c r="H642" s="34" t="n">
        <v>170</v>
      </c>
      <c r="I642" s="18" t="n">
        <v>0</v>
      </c>
      <c r="J642" s="4" t="s">
        <v>81</v>
      </c>
      <c r="K642" s="4" t="s">
        <v>68</v>
      </c>
      <c r="L642" s="35" t="n">
        <f aca="false">G642*H642</f>
        <v>170</v>
      </c>
      <c r="M642" s="35" t="n">
        <f aca="false">L642*I642</f>
        <v>0</v>
      </c>
      <c r="N642" s="35" t="n">
        <f aca="false">L642-M642</f>
        <v>170</v>
      </c>
      <c r="O642" s="4" t="n">
        <f aca="false">MONTH(B642)</f>
        <v>5</v>
      </c>
      <c r="P642" s="4" t="str">
        <f aca="false">CHOOSE(WEEKDAY(B642,2),"Mon","Tue","Wed","Thu","Fri","Sat","Sun")</f>
        <v>Mon</v>
      </c>
      <c r="Q642" s="4" t="str">
        <f aca="false">IF(WEEKDAY(B642,2)&gt;5,"Weekend","Weekday")</f>
        <v>Weekday</v>
      </c>
      <c r="R642" s="4" t="str">
        <f aca="false">IF(C642&lt;11,"Morning (7-10)",IF(C642&lt;14,"Lunch (11-13)",IF(C642&lt;18,"Afternoon (14-17)","Evening (18-20)")))</f>
        <v>Morning (7-10)</v>
      </c>
      <c r="S642" s="4" t="str">
        <f aca="false">IF(AND(O642&gt;=3,O642&lt;=5),"Hot Dry (Mar-May)",IF(AND(O642&gt;=6,O642&lt;=11),"Rainy (Jun-Nov)","Cool Dry (Dec-Feb)"))</f>
        <v>Hot Dry (Mar-May)</v>
      </c>
      <c r="T642" s="4" t="str">
        <f aca="false">CHOOSE(O642,"Jan","Feb","Mar","Apr","May","Jun","Jul","Aug","Sep","Oct","Nov","Dec")</f>
        <v>May</v>
      </c>
    </row>
    <row r="643" customFormat="false" ht="15" hidden="false" customHeight="false" outlineLevel="0" collapsed="false">
      <c r="A643" s="4" t="s">
        <v>887</v>
      </c>
      <c r="B643" s="17" t="n">
        <v>45796</v>
      </c>
      <c r="C643" s="4" t="n">
        <v>9</v>
      </c>
      <c r="D643" s="4" t="s">
        <v>98</v>
      </c>
      <c r="E643" s="4" t="s">
        <v>74</v>
      </c>
      <c r="F643" s="4" t="s">
        <v>75</v>
      </c>
      <c r="G643" s="4" t="n">
        <v>1</v>
      </c>
      <c r="H643" s="34" t="n">
        <v>220</v>
      </c>
      <c r="I643" s="18" t="n">
        <v>0</v>
      </c>
      <c r="J643" s="4" t="s">
        <v>67</v>
      </c>
      <c r="K643" s="4" t="s">
        <v>68</v>
      </c>
      <c r="L643" s="35" t="n">
        <f aca="false">G643*H643</f>
        <v>220</v>
      </c>
      <c r="M643" s="35" t="n">
        <f aca="false">L643*I643</f>
        <v>0</v>
      </c>
      <c r="N643" s="35" t="n">
        <f aca="false">L643-M643</f>
        <v>220</v>
      </c>
      <c r="O643" s="4" t="n">
        <f aca="false">MONTH(B643)</f>
        <v>5</v>
      </c>
      <c r="P643" s="4" t="str">
        <f aca="false">CHOOSE(WEEKDAY(B643,2),"Mon","Tue","Wed","Thu","Fri","Sat","Sun")</f>
        <v>Mon</v>
      </c>
      <c r="Q643" s="4" t="str">
        <f aca="false">IF(WEEKDAY(B643,2)&gt;5,"Weekend","Weekday")</f>
        <v>Weekday</v>
      </c>
      <c r="R643" s="4" t="str">
        <f aca="false">IF(C643&lt;11,"Morning (7-10)",IF(C643&lt;14,"Lunch (11-13)",IF(C643&lt;18,"Afternoon (14-17)","Evening (18-20)")))</f>
        <v>Morning (7-10)</v>
      </c>
      <c r="S643" s="4" t="str">
        <f aca="false">IF(AND(O643&gt;=3,O643&lt;=5),"Hot Dry (Mar-May)",IF(AND(O643&gt;=6,O643&lt;=11),"Rainy (Jun-Nov)","Cool Dry (Dec-Feb)"))</f>
        <v>Hot Dry (Mar-May)</v>
      </c>
      <c r="T643" s="4" t="str">
        <f aca="false">CHOOSE(O643,"Jan","Feb","Mar","Apr","May","Jun","Jul","Aug","Sep","Oct","Nov","Dec")</f>
        <v>May</v>
      </c>
    </row>
    <row r="644" customFormat="false" ht="15" hidden="false" customHeight="false" outlineLevel="0" collapsed="false">
      <c r="A644" s="4" t="s">
        <v>888</v>
      </c>
      <c r="B644" s="17" t="n">
        <v>45796</v>
      </c>
      <c r="C644" s="4" t="n">
        <v>11</v>
      </c>
      <c r="D644" s="4" t="s">
        <v>73</v>
      </c>
      <c r="E644" s="4" t="s">
        <v>65</v>
      </c>
      <c r="F644" s="4" t="s">
        <v>66</v>
      </c>
      <c r="G644" s="4" t="n">
        <v>2</v>
      </c>
      <c r="H644" s="34" t="n">
        <v>120</v>
      </c>
      <c r="I644" s="18" t="n">
        <v>0</v>
      </c>
      <c r="J644" s="4" t="s">
        <v>112</v>
      </c>
      <c r="K644" s="4" t="s">
        <v>68</v>
      </c>
      <c r="L644" s="35" t="n">
        <f aca="false">G644*H644</f>
        <v>240</v>
      </c>
      <c r="M644" s="35" t="n">
        <f aca="false">L644*I644</f>
        <v>0</v>
      </c>
      <c r="N644" s="35" t="n">
        <f aca="false">L644-M644</f>
        <v>240</v>
      </c>
      <c r="O644" s="4" t="n">
        <f aca="false">MONTH(B644)</f>
        <v>5</v>
      </c>
      <c r="P644" s="4" t="str">
        <f aca="false">CHOOSE(WEEKDAY(B644,2),"Mon","Tue","Wed","Thu","Fri","Sat","Sun")</f>
        <v>Mon</v>
      </c>
      <c r="Q644" s="4" t="str">
        <f aca="false">IF(WEEKDAY(B644,2)&gt;5,"Weekend","Weekday")</f>
        <v>Weekday</v>
      </c>
      <c r="R644" s="4" t="str">
        <f aca="false">IF(C644&lt;11,"Morning (7-10)",IF(C644&lt;14,"Lunch (11-13)",IF(C644&lt;18,"Afternoon (14-17)","Evening (18-20)")))</f>
        <v>Lunch (11-13)</v>
      </c>
      <c r="S644" s="4" t="str">
        <f aca="false">IF(AND(O644&gt;=3,O644&lt;=5),"Hot Dry (Mar-May)",IF(AND(O644&gt;=6,O644&lt;=11),"Rainy (Jun-Nov)","Cool Dry (Dec-Feb)"))</f>
        <v>Hot Dry (Mar-May)</v>
      </c>
      <c r="T644" s="4" t="str">
        <f aca="false">CHOOSE(O644,"Jan","Feb","Mar","Apr","May","Jun","Jul","Aug","Sep","Oct","Nov","Dec")</f>
        <v>May</v>
      </c>
    </row>
    <row r="645" customFormat="false" ht="15" hidden="false" customHeight="false" outlineLevel="0" collapsed="false">
      <c r="A645" s="4" t="s">
        <v>889</v>
      </c>
      <c r="B645" s="17" t="n">
        <v>45796</v>
      </c>
      <c r="C645" s="4" t="n">
        <v>12</v>
      </c>
      <c r="D645" s="4" t="s">
        <v>73</v>
      </c>
      <c r="E645" s="4" t="s">
        <v>65</v>
      </c>
      <c r="F645" s="4" t="s">
        <v>121</v>
      </c>
      <c r="G645" s="4" t="n">
        <v>1</v>
      </c>
      <c r="H645" s="34" t="n">
        <v>170</v>
      </c>
      <c r="I645" s="18" t="n">
        <v>0.05</v>
      </c>
      <c r="J645" s="4" t="s">
        <v>67</v>
      </c>
      <c r="K645" s="4" t="s">
        <v>82</v>
      </c>
      <c r="L645" s="35" t="n">
        <f aca="false">G645*H645</f>
        <v>170</v>
      </c>
      <c r="M645" s="35" t="n">
        <f aca="false">L645*I645</f>
        <v>8.5</v>
      </c>
      <c r="N645" s="35" t="n">
        <f aca="false">L645-M645</f>
        <v>161.5</v>
      </c>
      <c r="O645" s="4" t="n">
        <f aca="false">MONTH(B645)</f>
        <v>5</v>
      </c>
      <c r="P645" s="4" t="str">
        <f aca="false">CHOOSE(WEEKDAY(B645,2),"Mon","Tue","Wed","Thu","Fri","Sat","Sun")</f>
        <v>Mon</v>
      </c>
      <c r="Q645" s="4" t="str">
        <f aca="false">IF(WEEKDAY(B645,2)&gt;5,"Weekend","Weekday")</f>
        <v>Weekday</v>
      </c>
      <c r="R645" s="4" t="str">
        <f aca="false">IF(C645&lt;11,"Morning (7-10)",IF(C645&lt;14,"Lunch (11-13)",IF(C645&lt;18,"Afternoon (14-17)","Evening (18-20)")))</f>
        <v>Lunch (11-13)</v>
      </c>
      <c r="S645" s="4" t="str">
        <f aca="false">IF(AND(O645&gt;=3,O645&lt;=5),"Hot Dry (Mar-May)",IF(AND(O645&gt;=6,O645&lt;=11),"Rainy (Jun-Nov)","Cool Dry (Dec-Feb)"))</f>
        <v>Hot Dry (Mar-May)</v>
      </c>
      <c r="T645" s="4" t="str">
        <f aca="false">CHOOSE(O645,"Jan","Feb","Mar","Apr","May","Jun","Jul","Aug","Sep","Oct","Nov","Dec")</f>
        <v>May</v>
      </c>
    </row>
    <row r="646" customFormat="false" ht="15" hidden="false" customHeight="false" outlineLevel="0" collapsed="false">
      <c r="A646" s="4" t="s">
        <v>890</v>
      </c>
      <c r="B646" s="17" t="n">
        <v>45796</v>
      </c>
      <c r="C646" s="4" t="n">
        <v>12</v>
      </c>
      <c r="D646" s="4" t="s">
        <v>98</v>
      </c>
      <c r="E646" s="4" t="s">
        <v>74</v>
      </c>
      <c r="F646" s="4" t="s">
        <v>91</v>
      </c>
      <c r="G646" s="4" t="n">
        <v>1</v>
      </c>
      <c r="H646" s="34" t="n">
        <v>200</v>
      </c>
      <c r="I646" s="18" t="n">
        <v>0.1</v>
      </c>
      <c r="J646" s="4" t="s">
        <v>76</v>
      </c>
      <c r="K646" s="4" t="s">
        <v>71</v>
      </c>
      <c r="L646" s="35" t="n">
        <f aca="false">G646*H646</f>
        <v>200</v>
      </c>
      <c r="M646" s="35" t="n">
        <f aca="false">L646*I646</f>
        <v>20</v>
      </c>
      <c r="N646" s="35" t="n">
        <f aca="false">L646-M646</f>
        <v>180</v>
      </c>
      <c r="O646" s="4" t="n">
        <f aca="false">MONTH(B646)</f>
        <v>5</v>
      </c>
      <c r="P646" s="4" t="str">
        <f aca="false">CHOOSE(WEEKDAY(B646,2),"Mon","Tue","Wed","Thu","Fri","Sat","Sun")</f>
        <v>Mon</v>
      </c>
      <c r="Q646" s="4" t="str">
        <f aca="false">IF(WEEKDAY(B646,2)&gt;5,"Weekend","Weekday")</f>
        <v>Weekday</v>
      </c>
      <c r="R646" s="4" t="str">
        <f aca="false">IF(C646&lt;11,"Morning (7-10)",IF(C646&lt;14,"Lunch (11-13)",IF(C646&lt;18,"Afternoon (14-17)","Evening (18-20)")))</f>
        <v>Lunch (11-13)</v>
      </c>
      <c r="S646" s="4" t="str">
        <f aca="false">IF(AND(O646&gt;=3,O646&lt;=5),"Hot Dry (Mar-May)",IF(AND(O646&gt;=6,O646&lt;=11),"Rainy (Jun-Nov)","Cool Dry (Dec-Feb)"))</f>
        <v>Hot Dry (Mar-May)</v>
      </c>
      <c r="T646" s="4" t="str">
        <f aca="false">CHOOSE(O646,"Jan","Feb","Mar","Apr","May","Jun","Jul","Aug","Sep","Oct","Nov","Dec")</f>
        <v>May</v>
      </c>
    </row>
    <row r="647" customFormat="false" ht="15" hidden="false" customHeight="false" outlineLevel="0" collapsed="false">
      <c r="A647" s="4" t="s">
        <v>892</v>
      </c>
      <c r="B647" s="17" t="n">
        <v>45797</v>
      </c>
      <c r="C647" s="4" t="n">
        <v>9</v>
      </c>
      <c r="D647" s="4" t="s">
        <v>64</v>
      </c>
      <c r="E647" s="4" t="s">
        <v>65</v>
      </c>
      <c r="F647" s="4" t="s">
        <v>87</v>
      </c>
      <c r="G647" s="4" t="n">
        <v>4</v>
      </c>
      <c r="H647" s="34" t="n">
        <v>160</v>
      </c>
      <c r="I647" s="18" t="n">
        <v>0.05</v>
      </c>
      <c r="J647" s="4" t="s">
        <v>67</v>
      </c>
      <c r="K647" s="4" t="s">
        <v>82</v>
      </c>
      <c r="L647" s="35" t="n">
        <f aca="false">G647*H647</f>
        <v>640</v>
      </c>
      <c r="M647" s="35" t="n">
        <f aca="false">L647*I647</f>
        <v>32</v>
      </c>
      <c r="N647" s="35" t="n">
        <f aca="false">L647-M647</f>
        <v>608</v>
      </c>
      <c r="O647" s="4" t="n">
        <f aca="false">MONTH(B647)</f>
        <v>5</v>
      </c>
      <c r="P647" s="4" t="str">
        <f aca="false">CHOOSE(WEEKDAY(B647,2),"Mon","Tue","Wed","Thu","Fri","Sat","Sun")</f>
        <v>Tue</v>
      </c>
      <c r="Q647" s="4" t="str">
        <f aca="false">IF(WEEKDAY(B647,2)&gt;5,"Weekend","Weekday")</f>
        <v>Weekday</v>
      </c>
      <c r="R647" s="4" t="str">
        <f aca="false">IF(C647&lt;11,"Morning (7-10)",IF(C647&lt;14,"Lunch (11-13)",IF(C647&lt;18,"Afternoon (14-17)","Evening (18-20)")))</f>
        <v>Morning (7-10)</v>
      </c>
      <c r="S647" s="4" t="str">
        <f aca="false">IF(AND(O647&gt;=3,O647&lt;=5),"Hot Dry (Mar-May)",IF(AND(O647&gt;=6,O647&lt;=11),"Rainy (Jun-Nov)","Cool Dry (Dec-Feb)"))</f>
        <v>Hot Dry (Mar-May)</v>
      </c>
      <c r="T647" s="4" t="str">
        <f aca="false">CHOOSE(O647,"Jan","Feb","Mar","Apr","May","Jun","Jul","Aug","Sep","Oct","Nov","Dec")</f>
        <v>May</v>
      </c>
    </row>
    <row r="648" customFormat="false" ht="15" hidden="false" customHeight="false" outlineLevel="0" collapsed="false">
      <c r="A648" s="4" t="s">
        <v>894</v>
      </c>
      <c r="B648" s="17" t="n">
        <v>45797</v>
      </c>
      <c r="C648" s="4" t="n">
        <v>9</v>
      </c>
      <c r="D648" s="4" t="s">
        <v>73</v>
      </c>
      <c r="E648" s="4" t="s">
        <v>99</v>
      </c>
      <c r="F648" s="4" t="s">
        <v>100</v>
      </c>
      <c r="G648" s="4" t="n">
        <v>1</v>
      </c>
      <c r="H648" s="34" t="n">
        <v>110</v>
      </c>
      <c r="I648" s="18" t="n">
        <v>0</v>
      </c>
      <c r="J648" s="4" t="s">
        <v>2289</v>
      </c>
      <c r="K648" s="4" t="s">
        <v>82</v>
      </c>
      <c r="L648" s="35" t="n">
        <f aca="false">G648*H648</f>
        <v>110</v>
      </c>
      <c r="M648" s="35" t="n">
        <f aca="false">L648*I648</f>
        <v>0</v>
      </c>
      <c r="N648" s="35" t="n">
        <f aca="false">L648-M648</f>
        <v>110</v>
      </c>
      <c r="O648" s="4" t="n">
        <f aca="false">MONTH(B648)</f>
        <v>5</v>
      </c>
      <c r="P648" s="4" t="str">
        <f aca="false">CHOOSE(WEEKDAY(B648,2),"Mon","Tue","Wed","Thu","Fri","Sat","Sun")</f>
        <v>Tue</v>
      </c>
      <c r="Q648" s="4" t="str">
        <f aca="false">IF(WEEKDAY(B648,2)&gt;5,"Weekend","Weekday")</f>
        <v>Weekday</v>
      </c>
      <c r="R648" s="4" t="str">
        <f aca="false">IF(C648&lt;11,"Morning (7-10)",IF(C648&lt;14,"Lunch (11-13)",IF(C648&lt;18,"Afternoon (14-17)","Evening (18-20)")))</f>
        <v>Morning (7-10)</v>
      </c>
      <c r="S648" s="4" t="str">
        <f aca="false">IF(AND(O648&gt;=3,O648&lt;=5),"Hot Dry (Mar-May)",IF(AND(O648&gt;=6,O648&lt;=11),"Rainy (Jun-Nov)","Cool Dry (Dec-Feb)"))</f>
        <v>Hot Dry (Mar-May)</v>
      </c>
      <c r="T648" s="4" t="str">
        <f aca="false">CHOOSE(O648,"Jan","Feb","Mar","Apr","May","Jun","Jul","Aug","Sep","Oct","Nov","Dec")</f>
        <v>May</v>
      </c>
    </row>
    <row r="649" customFormat="false" ht="15" hidden="false" customHeight="false" outlineLevel="0" collapsed="false">
      <c r="A649" s="4" t="s">
        <v>895</v>
      </c>
      <c r="B649" s="17" t="n">
        <v>45797</v>
      </c>
      <c r="C649" s="4" t="n">
        <v>12</v>
      </c>
      <c r="D649" s="4" t="s">
        <v>98</v>
      </c>
      <c r="E649" s="4" t="s">
        <v>65</v>
      </c>
      <c r="F649" s="4" t="s">
        <v>66</v>
      </c>
      <c r="G649" s="4" t="n">
        <v>1</v>
      </c>
      <c r="H649" s="34" t="n">
        <v>120</v>
      </c>
      <c r="I649" s="18" t="n">
        <v>0</v>
      </c>
      <c r="J649" s="4" t="s">
        <v>81</v>
      </c>
      <c r="K649" s="4" t="s">
        <v>68</v>
      </c>
      <c r="L649" s="35" t="n">
        <f aca="false">G649*H649</f>
        <v>120</v>
      </c>
      <c r="M649" s="35" t="n">
        <f aca="false">L649*I649</f>
        <v>0</v>
      </c>
      <c r="N649" s="35" t="n">
        <f aca="false">L649-M649</f>
        <v>120</v>
      </c>
      <c r="O649" s="4" t="n">
        <f aca="false">MONTH(B649)</f>
        <v>5</v>
      </c>
      <c r="P649" s="4" t="str">
        <f aca="false">CHOOSE(WEEKDAY(B649,2),"Mon","Tue","Wed","Thu","Fri","Sat","Sun")</f>
        <v>Tue</v>
      </c>
      <c r="Q649" s="4" t="str">
        <f aca="false">IF(WEEKDAY(B649,2)&gt;5,"Weekend","Weekday")</f>
        <v>Weekday</v>
      </c>
      <c r="R649" s="4" t="str">
        <f aca="false">IF(C649&lt;11,"Morning (7-10)",IF(C649&lt;14,"Lunch (11-13)",IF(C649&lt;18,"Afternoon (14-17)","Evening (18-20)")))</f>
        <v>Lunch (11-13)</v>
      </c>
      <c r="S649" s="4" t="str">
        <f aca="false">IF(AND(O649&gt;=3,O649&lt;=5),"Hot Dry (Mar-May)",IF(AND(O649&gt;=6,O649&lt;=11),"Rainy (Jun-Nov)","Cool Dry (Dec-Feb)"))</f>
        <v>Hot Dry (Mar-May)</v>
      </c>
      <c r="T649" s="4" t="str">
        <f aca="false">CHOOSE(O649,"Jan","Feb","Mar","Apr","May","Jun","Jul","Aug","Sep","Oct","Nov","Dec")</f>
        <v>May</v>
      </c>
    </row>
    <row r="650" customFormat="false" ht="15" hidden="false" customHeight="false" outlineLevel="0" collapsed="false">
      <c r="A650" s="4" t="s">
        <v>896</v>
      </c>
      <c r="B650" s="17" t="n">
        <v>45797</v>
      </c>
      <c r="C650" s="4" t="n">
        <v>14</v>
      </c>
      <c r="D650" s="4" t="s">
        <v>64</v>
      </c>
      <c r="E650" s="4" t="s">
        <v>99</v>
      </c>
      <c r="F650" s="4" t="s">
        <v>109</v>
      </c>
      <c r="G650" s="4" t="n">
        <v>2</v>
      </c>
      <c r="H650" s="34" t="n">
        <v>130</v>
      </c>
      <c r="I650" s="18" t="n">
        <v>0</v>
      </c>
      <c r="J650" s="4" t="s">
        <v>67</v>
      </c>
      <c r="K650" s="4" t="s">
        <v>68</v>
      </c>
      <c r="L650" s="35" t="n">
        <f aca="false">G650*H650</f>
        <v>260</v>
      </c>
      <c r="M650" s="35" t="n">
        <f aca="false">L650*I650</f>
        <v>0</v>
      </c>
      <c r="N650" s="35" t="n">
        <f aca="false">L650-M650</f>
        <v>260</v>
      </c>
      <c r="O650" s="4" t="n">
        <f aca="false">MONTH(B650)</f>
        <v>5</v>
      </c>
      <c r="P650" s="4" t="str">
        <f aca="false">CHOOSE(WEEKDAY(B650,2),"Mon","Tue","Wed","Thu","Fri","Sat","Sun")</f>
        <v>Tue</v>
      </c>
      <c r="Q650" s="4" t="str">
        <f aca="false">IF(WEEKDAY(B650,2)&gt;5,"Weekend","Weekday")</f>
        <v>Weekday</v>
      </c>
      <c r="R650" s="4" t="str">
        <f aca="false">IF(C650&lt;11,"Morning (7-10)",IF(C650&lt;14,"Lunch (11-13)",IF(C650&lt;18,"Afternoon (14-17)","Evening (18-20)")))</f>
        <v>Afternoon (14-17)</v>
      </c>
      <c r="S650" s="4" t="str">
        <f aca="false">IF(AND(O650&gt;=3,O650&lt;=5),"Hot Dry (Mar-May)",IF(AND(O650&gt;=6,O650&lt;=11),"Rainy (Jun-Nov)","Cool Dry (Dec-Feb)"))</f>
        <v>Hot Dry (Mar-May)</v>
      </c>
      <c r="T650" s="4" t="str">
        <f aca="false">CHOOSE(O650,"Jan","Feb","Mar","Apr","May","Jun","Jul","Aug","Sep","Oct","Nov","Dec")</f>
        <v>May</v>
      </c>
    </row>
    <row r="651" customFormat="false" ht="15" hidden="false" customHeight="false" outlineLevel="0" collapsed="false">
      <c r="A651" s="4" t="s">
        <v>897</v>
      </c>
      <c r="B651" s="17" t="n">
        <v>45797</v>
      </c>
      <c r="C651" s="4" t="n">
        <v>14</v>
      </c>
      <c r="D651" s="4" t="s">
        <v>64</v>
      </c>
      <c r="E651" s="4" t="s">
        <v>65</v>
      </c>
      <c r="F651" s="4" t="s">
        <v>121</v>
      </c>
      <c r="G651" s="4" t="n">
        <v>1</v>
      </c>
      <c r="H651" s="34" t="n">
        <v>170</v>
      </c>
      <c r="I651" s="18" t="n">
        <v>0.05</v>
      </c>
      <c r="J651" s="4" t="s">
        <v>67</v>
      </c>
      <c r="K651" s="4" t="s">
        <v>82</v>
      </c>
      <c r="L651" s="35" t="n">
        <f aca="false">G651*H651</f>
        <v>170</v>
      </c>
      <c r="M651" s="35" t="n">
        <f aca="false">L651*I651</f>
        <v>8.5</v>
      </c>
      <c r="N651" s="35" t="n">
        <f aca="false">L651-M651</f>
        <v>161.5</v>
      </c>
      <c r="O651" s="4" t="n">
        <f aca="false">MONTH(B651)</f>
        <v>5</v>
      </c>
      <c r="P651" s="4" t="str">
        <f aca="false">CHOOSE(WEEKDAY(B651,2),"Mon","Tue","Wed","Thu","Fri","Sat","Sun")</f>
        <v>Tue</v>
      </c>
      <c r="Q651" s="4" t="str">
        <f aca="false">IF(WEEKDAY(B651,2)&gt;5,"Weekend","Weekday")</f>
        <v>Weekday</v>
      </c>
      <c r="R651" s="4" t="str">
        <f aca="false">IF(C651&lt;11,"Morning (7-10)",IF(C651&lt;14,"Lunch (11-13)",IF(C651&lt;18,"Afternoon (14-17)","Evening (18-20)")))</f>
        <v>Afternoon (14-17)</v>
      </c>
      <c r="S651" s="4" t="str">
        <f aca="false">IF(AND(O651&gt;=3,O651&lt;=5),"Hot Dry (Mar-May)",IF(AND(O651&gt;=6,O651&lt;=11),"Rainy (Jun-Nov)","Cool Dry (Dec-Feb)"))</f>
        <v>Hot Dry (Mar-May)</v>
      </c>
      <c r="T651" s="4" t="str">
        <f aca="false">CHOOSE(O651,"Jan","Feb","Mar","Apr","May","Jun","Jul","Aug","Sep","Oct","Nov","Dec")</f>
        <v>May</v>
      </c>
    </row>
    <row r="652" customFormat="false" ht="15" hidden="false" customHeight="false" outlineLevel="0" collapsed="false">
      <c r="A652" s="4" t="s">
        <v>898</v>
      </c>
      <c r="B652" s="17" t="n">
        <v>45797</v>
      </c>
      <c r="C652" s="4" t="n">
        <v>16</v>
      </c>
      <c r="D652" s="4" t="s">
        <v>98</v>
      </c>
      <c r="E652" s="4" t="s">
        <v>84</v>
      </c>
      <c r="F652" s="4" t="s">
        <v>85</v>
      </c>
      <c r="G652" s="4" t="n">
        <v>3</v>
      </c>
      <c r="H652" s="34" t="n">
        <v>150</v>
      </c>
      <c r="I652" s="18" t="n">
        <v>0</v>
      </c>
      <c r="J652" s="4" t="s">
        <v>81</v>
      </c>
      <c r="K652" s="4" t="s">
        <v>77</v>
      </c>
      <c r="L652" s="35" t="n">
        <f aca="false">G652*H652</f>
        <v>450</v>
      </c>
      <c r="M652" s="35" t="n">
        <f aca="false">L652*I652</f>
        <v>0</v>
      </c>
      <c r="N652" s="35" t="n">
        <f aca="false">L652-M652</f>
        <v>450</v>
      </c>
      <c r="O652" s="4" t="n">
        <f aca="false">MONTH(B652)</f>
        <v>5</v>
      </c>
      <c r="P652" s="4" t="str">
        <f aca="false">CHOOSE(WEEKDAY(B652,2),"Mon","Tue","Wed","Thu","Fri","Sat","Sun")</f>
        <v>Tue</v>
      </c>
      <c r="Q652" s="4" t="str">
        <f aca="false">IF(WEEKDAY(B652,2)&gt;5,"Weekend","Weekday")</f>
        <v>Weekday</v>
      </c>
      <c r="R652" s="4" t="str">
        <f aca="false">IF(C652&lt;11,"Morning (7-10)",IF(C652&lt;14,"Lunch (11-13)",IF(C652&lt;18,"Afternoon (14-17)","Evening (18-20)")))</f>
        <v>Afternoon (14-17)</v>
      </c>
      <c r="S652" s="4" t="str">
        <f aca="false">IF(AND(O652&gt;=3,O652&lt;=5),"Hot Dry (Mar-May)",IF(AND(O652&gt;=6,O652&lt;=11),"Rainy (Jun-Nov)","Cool Dry (Dec-Feb)"))</f>
        <v>Hot Dry (Mar-May)</v>
      </c>
      <c r="T652" s="4" t="str">
        <f aca="false">CHOOSE(O652,"Jan","Feb","Mar","Apr","May","Jun","Jul","Aug","Sep","Oct","Nov","Dec")</f>
        <v>May</v>
      </c>
    </row>
    <row r="653" customFormat="false" ht="15" hidden="false" customHeight="false" outlineLevel="0" collapsed="false">
      <c r="A653" s="4" t="s">
        <v>899</v>
      </c>
      <c r="B653" s="17" t="n">
        <v>45798</v>
      </c>
      <c r="C653" s="4" t="n">
        <v>9</v>
      </c>
      <c r="D653" s="4" t="s">
        <v>98</v>
      </c>
      <c r="E653" s="4" t="s">
        <v>84</v>
      </c>
      <c r="F653" s="4" t="s">
        <v>85</v>
      </c>
      <c r="G653" s="4" t="n">
        <v>1</v>
      </c>
      <c r="H653" s="34" t="n">
        <v>150</v>
      </c>
      <c r="I653" s="18" t="n">
        <v>0.1</v>
      </c>
      <c r="J653" s="4" t="s">
        <v>81</v>
      </c>
      <c r="K653" s="4" t="s">
        <v>71</v>
      </c>
      <c r="L653" s="35" t="n">
        <f aca="false">G653*H653</f>
        <v>150</v>
      </c>
      <c r="M653" s="35" t="n">
        <f aca="false">L653*I653</f>
        <v>15</v>
      </c>
      <c r="N653" s="35" t="n">
        <f aca="false">L653-M653</f>
        <v>135</v>
      </c>
      <c r="O653" s="4" t="n">
        <f aca="false">MONTH(B653)</f>
        <v>5</v>
      </c>
      <c r="P653" s="4" t="str">
        <f aca="false">CHOOSE(WEEKDAY(B653,2),"Mon","Tue","Wed","Thu","Fri","Sat","Sun")</f>
        <v>Wed</v>
      </c>
      <c r="Q653" s="4" t="str">
        <f aca="false">IF(WEEKDAY(B653,2)&gt;5,"Weekend","Weekday")</f>
        <v>Weekday</v>
      </c>
      <c r="R653" s="4" t="str">
        <f aca="false">IF(C653&lt;11,"Morning (7-10)",IF(C653&lt;14,"Lunch (11-13)",IF(C653&lt;18,"Afternoon (14-17)","Evening (18-20)")))</f>
        <v>Morning (7-10)</v>
      </c>
      <c r="S653" s="4" t="str">
        <f aca="false">IF(AND(O653&gt;=3,O653&lt;=5),"Hot Dry (Mar-May)",IF(AND(O653&gt;=6,O653&lt;=11),"Rainy (Jun-Nov)","Cool Dry (Dec-Feb)"))</f>
        <v>Hot Dry (Mar-May)</v>
      </c>
      <c r="T653" s="4" t="str">
        <f aca="false">CHOOSE(O653,"Jan","Feb","Mar","Apr","May","Jun","Jul","Aug","Sep","Oct","Nov","Dec")</f>
        <v>May</v>
      </c>
    </row>
    <row r="654" customFormat="false" ht="15" hidden="false" customHeight="false" outlineLevel="0" collapsed="false">
      <c r="A654" s="4" t="s">
        <v>900</v>
      </c>
      <c r="B654" s="17" t="n">
        <v>45798</v>
      </c>
      <c r="C654" s="4" t="n">
        <v>10</v>
      </c>
      <c r="D654" s="4" t="s">
        <v>98</v>
      </c>
      <c r="E654" s="4" t="s">
        <v>99</v>
      </c>
      <c r="F654" s="4" t="s">
        <v>133</v>
      </c>
      <c r="G654" s="4" t="n">
        <v>2</v>
      </c>
      <c r="H654" s="34" t="n">
        <v>90</v>
      </c>
      <c r="I654" s="18" t="n">
        <v>0.2</v>
      </c>
      <c r="J654" s="4" t="s">
        <v>67</v>
      </c>
      <c r="K654" s="4" t="s">
        <v>77</v>
      </c>
      <c r="L654" s="35" t="n">
        <f aca="false">G654*H654</f>
        <v>180</v>
      </c>
      <c r="M654" s="35" t="n">
        <f aca="false">L654*I654</f>
        <v>36</v>
      </c>
      <c r="N654" s="35" t="n">
        <f aca="false">L654-M654</f>
        <v>144</v>
      </c>
      <c r="O654" s="4" t="n">
        <f aca="false">MONTH(B654)</f>
        <v>5</v>
      </c>
      <c r="P654" s="4" t="str">
        <f aca="false">CHOOSE(WEEKDAY(B654,2),"Mon","Tue","Wed","Thu","Fri","Sat","Sun")</f>
        <v>Wed</v>
      </c>
      <c r="Q654" s="4" t="str">
        <f aca="false">IF(WEEKDAY(B654,2)&gt;5,"Weekend","Weekday")</f>
        <v>Weekday</v>
      </c>
      <c r="R654" s="4" t="str">
        <f aca="false">IF(C654&lt;11,"Morning (7-10)",IF(C654&lt;14,"Lunch (11-13)",IF(C654&lt;18,"Afternoon (14-17)","Evening (18-20)")))</f>
        <v>Morning (7-10)</v>
      </c>
      <c r="S654" s="4" t="str">
        <f aca="false">IF(AND(O654&gt;=3,O654&lt;=5),"Hot Dry (Mar-May)",IF(AND(O654&gt;=6,O654&lt;=11),"Rainy (Jun-Nov)","Cool Dry (Dec-Feb)"))</f>
        <v>Hot Dry (Mar-May)</v>
      </c>
      <c r="T654" s="4" t="str">
        <f aca="false">CHOOSE(O654,"Jan","Feb","Mar","Apr","May","Jun","Jul","Aug","Sep","Oct","Nov","Dec")</f>
        <v>May</v>
      </c>
    </row>
    <row r="655" customFormat="false" ht="15" hidden="false" customHeight="false" outlineLevel="0" collapsed="false">
      <c r="A655" s="4" t="s">
        <v>901</v>
      </c>
      <c r="B655" s="17" t="n">
        <v>45798</v>
      </c>
      <c r="C655" s="4" t="n">
        <v>10</v>
      </c>
      <c r="D655" s="4" t="s">
        <v>73</v>
      </c>
      <c r="E655" s="4" t="s">
        <v>65</v>
      </c>
      <c r="F655" s="4" t="s">
        <v>94</v>
      </c>
      <c r="G655" s="4" t="n">
        <v>1</v>
      </c>
      <c r="H655" s="34" t="n">
        <v>150</v>
      </c>
      <c r="I655" s="18" t="n">
        <v>0</v>
      </c>
      <c r="J655" s="4" t="s">
        <v>112</v>
      </c>
      <c r="K655" s="4" t="s">
        <v>77</v>
      </c>
      <c r="L655" s="35" t="n">
        <f aca="false">G655*H655</f>
        <v>150</v>
      </c>
      <c r="M655" s="35" t="n">
        <f aca="false">L655*I655</f>
        <v>0</v>
      </c>
      <c r="N655" s="35" t="n">
        <f aca="false">L655-M655</f>
        <v>150</v>
      </c>
      <c r="O655" s="4" t="n">
        <f aca="false">MONTH(B655)</f>
        <v>5</v>
      </c>
      <c r="P655" s="4" t="str">
        <f aca="false">CHOOSE(WEEKDAY(B655,2),"Mon","Tue","Wed","Thu","Fri","Sat","Sun")</f>
        <v>Wed</v>
      </c>
      <c r="Q655" s="4" t="str">
        <f aca="false">IF(WEEKDAY(B655,2)&gt;5,"Weekend","Weekday")</f>
        <v>Weekday</v>
      </c>
      <c r="R655" s="4" t="str">
        <f aca="false">IF(C655&lt;11,"Morning (7-10)",IF(C655&lt;14,"Lunch (11-13)",IF(C655&lt;18,"Afternoon (14-17)","Evening (18-20)")))</f>
        <v>Morning (7-10)</v>
      </c>
      <c r="S655" s="4" t="str">
        <f aca="false">IF(AND(O655&gt;=3,O655&lt;=5),"Hot Dry (Mar-May)",IF(AND(O655&gt;=6,O655&lt;=11),"Rainy (Jun-Nov)","Cool Dry (Dec-Feb)"))</f>
        <v>Hot Dry (Mar-May)</v>
      </c>
      <c r="T655" s="4" t="str">
        <f aca="false">CHOOSE(O655,"Jan","Feb","Mar","Apr","May","Jun","Jul","Aug","Sep","Oct","Nov","Dec")</f>
        <v>May</v>
      </c>
    </row>
    <row r="656" customFormat="false" ht="15" hidden="false" customHeight="false" outlineLevel="0" collapsed="false">
      <c r="A656" s="4" t="s">
        <v>902</v>
      </c>
      <c r="B656" s="17" t="n">
        <v>45798</v>
      </c>
      <c r="C656" s="4" t="n">
        <v>14</v>
      </c>
      <c r="D656" s="4" t="s">
        <v>70</v>
      </c>
      <c r="E656" s="4" t="s">
        <v>65</v>
      </c>
      <c r="F656" s="4" t="s">
        <v>121</v>
      </c>
      <c r="G656" s="4" t="n">
        <v>1</v>
      </c>
      <c r="H656" s="34" t="n">
        <v>170</v>
      </c>
      <c r="I656" s="18" t="n">
        <v>0</v>
      </c>
      <c r="J656" s="4" t="s">
        <v>67</v>
      </c>
      <c r="K656" s="4" t="s">
        <v>77</v>
      </c>
      <c r="L656" s="35" t="n">
        <f aca="false">G656*H656</f>
        <v>170</v>
      </c>
      <c r="M656" s="35" t="n">
        <f aca="false">L656*I656</f>
        <v>0</v>
      </c>
      <c r="N656" s="35" t="n">
        <f aca="false">L656-M656</f>
        <v>170</v>
      </c>
      <c r="O656" s="4" t="n">
        <f aca="false">MONTH(B656)</f>
        <v>5</v>
      </c>
      <c r="P656" s="4" t="str">
        <f aca="false">CHOOSE(WEEKDAY(B656,2),"Mon","Tue","Wed","Thu","Fri","Sat","Sun")</f>
        <v>Wed</v>
      </c>
      <c r="Q656" s="4" t="str">
        <f aca="false">IF(WEEKDAY(B656,2)&gt;5,"Weekend","Weekday")</f>
        <v>Weekday</v>
      </c>
      <c r="R656" s="4" t="str">
        <f aca="false">IF(C656&lt;11,"Morning (7-10)",IF(C656&lt;14,"Lunch (11-13)",IF(C656&lt;18,"Afternoon (14-17)","Evening (18-20)")))</f>
        <v>Afternoon (14-17)</v>
      </c>
      <c r="S656" s="4" t="str">
        <f aca="false">IF(AND(O656&gt;=3,O656&lt;=5),"Hot Dry (Mar-May)",IF(AND(O656&gt;=6,O656&lt;=11),"Rainy (Jun-Nov)","Cool Dry (Dec-Feb)"))</f>
        <v>Hot Dry (Mar-May)</v>
      </c>
      <c r="T656" s="4" t="str">
        <f aca="false">CHOOSE(O656,"Jan","Feb","Mar","Apr","May","Jun","Jul","Aug","Sep","Oct","Nov","Dec")</f>
        <v>May</v>
      </c>
    </row>
    <row r="657" customFormat="false" ht="15" hidden="false" customHeight="false" outlineLevel="0" collapsed="false">
      <c r="A657" s="4" t="s">
        <v>903</v>
      </c>
      <c r="B657" s="17" t="n">
        <v>45799</v>
      </c>
      <c r="C657" s="4" t="n">
        <v>8</v>
      </c>
      <c r="D657" s="4" t="s">
        <v>98</v>
      </c>
      <c r="E657" s="4" t="s">
        <v>65</v>
      </c>
      <c r="F657" s="4" t="s">
        <v>121</v>
      </c>
      <c r="G657" s="4" t="n">
        <v>1</v>
      </c>
      <c r="H657" s="34" t="n">
        <v>170</v>
      </c>
      <c r="I657" s="18" t="n">
        <v>0.05</v>
      </c>
      <c r="J657" s="4" t="s">
        <v>67</v>
      </c>
      <c r="K657" s="4" t="s">
        <v>82</v>
      </c>
      <c r="L657" s="35" t="n">
        <f aca="false">G657*H657</f>
        <v>170</v>
      </c>
      <c r="M657" s="35" t="n">
        <f aca="false">L657*I657</f>
        <v>8.5</v>
      </c>
      <c r="N657" s="35" t="n">
        <f aca="false">L657-M657</f>
        <v>161.5</v>
      </c>
      <c r="O657" s="4" t="n">
        <f aca="false">MONTH(B657)</f>
        <v>5</v>
      </c>
      <c r="P657" s="4" t="str">
        <f aca="false">CHOOSE(WEEKDAY(B657,2),"Mon","Tue","Wed","Thu","Fri","Sat","Sun")</f>
        <v>Thu</v>
      </c>
      <c r="Q657" s="4" t="str">
        <f aca="false">IF(WEEKDAY(B657,2)&gt;5,"Weekend","Weekday")</f>
        <v>Weekday</v>
      </c>
      <c r="R657" s="4" t="str">
        <f aca="false">IF(C657&lt;11,"Morning (7-10)",IF(C657&lt;14,"Lunch (11-13)",IF(C657&lt;18,"Afternoon (14-17)","Evening (18-20)")))</f>
        <v>Morning (7-10)</v>
      </c>
      <c r="S657" s="4" t="str">
        <f aca="false">IF(AND(O657&gt;=3,O657&lt;=5),"Hot Dry (Mar-May)",IF(AND(O657&gt;=6,O657&lt;=11),"Rainy (Jun-Nov)","Cool Dry (Dec-Feb)"))</f>
        <v>Hot Dry (Mar-May)</v>
      </c>
      <c r="T657" s="4" t="str">
        <f aca="false">CHOOSE(O657,"Jan","Feb","Mar","Apr","May","Jun","Jul","Aug","Sep","Oct","Nov","Dec")</f>
        <v>May</v>
      </c>
    </row>
    <row r="658" customFormat="false" ht="15" hidden="false" customHeight="false" outlineLevel="0" collapsed="false">
      <c r="A658" s="4" t="s">
        <v>904</v>
      </c>
      <c r="B658" s="17" t="n">
        <v>45799</v>
      </c>
      <c r="C658" s="4" t="n">
        <v>8</v>
      </c>
      <c r="D658" s="4" t="s">
        <v>64</v>
      </c>
      <c r="E658" s="4" t="s">
        <v>65</v>
      </c>
      <c r="F658" s="4" t="s">
        <v>121</v>
      </c>
      <c r="G658" s="4" t="n">
        <v>2</v>
      </c>
      <c r="H658" s="34" t="n">
        <v>170</v>
      </c>
      <c r="I658" s="18" t="n">
        <v>0.1</v>
      </c>
      <c r="J658" s="4" t="s">
        <v>81</v>
      </c>
      <c r="K658" s="4" t="s">
        <v>68</v>
      </c>
      <c r="L658" s="35" t="n">
        <f aca="false">G658*H658</f>
        <v>340</v>
      </c>
      <c r="M658" s="35" t="n">
        <f aca="false">L658*I658</f>
        <v>34</v>
      </c>
      <c r="N658" s="35" t="n">
        <f aca="false">L658-M658</f>
        <v>306</v>
      </c>
      <c r="O658" s="4" t="n">
        <f aca="false">MONTH(B658)</f>
        <v>5</v>
      </c>
      <c r="P658" s="4" t="str">
        <f aca="false">CHOOSE(WEEKDAY(B658,2),"Mon","Tue","Wed","Thu","Fri","Sat","Sun")</f>
        <v>Thu</v>
      </c>
      <c r="Q658" s="4" t="str">
        <f aca="false">IF(WEEKDAY(B658,2)&gt;5,"Weekend","Weekday")</f>
        <v>Weekday</v>
      </c>
      <c r="R658" s="4" t="str">
        <f aca="false">IF(C658&lt;11,"Morning (7-10)",IF(C658&lt;14,"Lunch (11-13)",IF(C658&lt;18,"Afternoon (14-17)","Evening (18-20)")))</f>
        <v>Morning (7-10)</v>
      </c>
      <c r="S658" s="4" t="str">
        <f aca="false">IF(AND(O658&gt;=3,O658&lt;=5),"Hot Dry (Mar-May)",IF(AND(O658&gt;=6,O658&lt;=11),"Rainy (Jun-Nov)","Cool Dry (Dec-Feb)"))</f>
        <v>Hot Dry (Mar-May)</v>
      </c>
      <c r="T658" s="4" t="str">
        <f aca="false">CHOOSE(O658,"Jan","Feb","Mar","Apr","May","Jun","Jul","Aug","Sep","Oct","Nov","Dec")</f>
        <v>May</v>
      </c>
    </row>
    <row r="659" customFormat="false" ht="15" hidden="false" customHeight="false" outlineLevel="0" collapsed="false">
      <c r="A659" s="4" t="s">
        <v>905</v>
      </c>
      <c r="B659" s="17" t="n">
        <v>45799</v>
      </c>
      <c r="C659" s="4" t="n">
        <v>8</v>
      </c>
      <c r="D659" s="4" t="s">
        <v>73</v>
      </c>
      <c r="E659" s="4" t="s">
        <v>65</v>
      </c>
      <c r="F659" s="4" t="s">
        <v>94</v>
      </c>
      <c r="G659" s="4" t="n">
        <v>2</v>
      </c>
      <c r="H659" s="34" t="n">
        <v>150</v>
      </c>
      <c r="I659" s="18" t="n">
        <v>0.1</v>
      </c>
      <c r="J659" s="4" t="s">
        <v>67</v>
      </c>
      <c r="K659" s="4" t="s">
        <v>71</v>
      </c>
      <c r="L659" s="35" t="n">
        <f aca="false">G659*H659</f>
        <v>300</v>
      </c>
      <c r="M659" s="35" t="n">
        <f aca="false">L659*I659</f>
        <v>30</v>
      </c>
      <c r="N659" s="35" t="n">
        <f aca="false">L659-M659</f>
        <v>270</v>
      </c>
      <c r="O659" s="4" t="n">
        <f aca="false">MONTH(B659)</f>
        <v>5</v>
      </c>
      <c r="P659" s="4" t="str">
        <f aca="false">CHOOSE(WEEKDAY(B659,2),"Mon","Tue","Wed","Thu","Fri","Sat","Sun")</f>
        <v>Thu</v>
      </c>
      <c r="Q659" s="4" t="str">
        <f aca="false">IF(WEEKDAY(B659,2)&gt;5,"Weekend","Weekday")</f>
        <v>Weekday</v>
      </c>
      <c r="R659" s="4" t="str">
        <f aca="false">IF(C659&lt;11,"Morning (7-10)",IF(C659&lt;14,"Lunch (11-13)",IF(C659&lt;18,"Afternoon (14-17)","Evening (18-20)")))</f>
        <v>Morning (7-10)</v>
      </c>
      <c r="S659" s="4" t="str">
        <f aca="false">IF(AND(O659&gt;=3,O659&lt;=5),"Hot Dry (Mar-May)",IF(AND(O659&gt;=6,O659&lt;=11),"Rainy (Jun-Nov)","Cool Dry (Dec-Feb)"))</f>
        <v>Hot Dry (Mar-May)</v>
      </c>
      <c r="T659" s="4" t="str">
        <f aca="false">CHOOSE(O659,"Jan","Feb","Mar","Apr","May","Jun","Jul","Aug","Sep","Oct","Nov","Dec")</f>
        <v>May</v>
      </c>
    </row>
    <row r="660" customFormat="false" ht="15" hidden="false" customHeight="false" outlineLevel="0" collapsed="false">
      <c r="A660" s="4" t="s">
        <v>906</v>
      </c>
      <c r="B660" s="17" t="n">
        <v>45799</v>
      </c>
      <c r="C660" s="4" t="n">
        <v>18</v>
      </c>
      <c r="D660" s="4" t="s">
        <v>70</v>
      </c>
      <c r="E660" s="4" t="s">
        <v>99</v>
      </c>
      <c r="F660" s="4" t="s">
        <v>102</v>
      </c>
      <c r="G660" s="4" t="n">
        <v>1</v>
      </c>
      <c r="H660" s="34" t="n">
        <v>140</v>
      </c>
      <c r="I660" s="18" t="n">
        <v>0</v>
      </c>
      <c r="J660" s="4" t="s">
        <v>88</v>
      </c>
      <c r="K660" s="4" t="s">
        <v>68</v>
      </c>
      <c r="L660" s="35" t="n">
        <f aca="false">G660*H660</f>
        <v>140</v>
      </c>
      <c r="M660" s="35" t="n">
        <f aca="false">L660*I660</f>
        <v>0</v>
      </c>
      <c r="N660" s="35" t="n">
        <f aca="false">L660-M660</f>
        <v>140</v>
      </c>
      <c r="O660" s="4" t="n">
        <f aca="false">MONTH(B660)</f>
        <v>5</v>
      </c>
      <c r="P660" s="4" t="str">
        <f aca="false">CHOOSE(WEEKDAY(B660,2),"Mon","Tue","Wed","Thu","Fri","Sat","Sun")</f>
        <v>Thu</v>
      </c>
      <c r="Q660" s="4" t="str">
        <f aca="false">IF(WEEKDAY(B660,2)&gt;5,"Weekend","Weekday")</f>
        <v>Weekday</v>
      </c>
      <c r="R660" s="4" t="str">
        <f aca="false">IF(C660&lt;11,"Morning (7-10)",IF(C660&lt;14,"Lunch (11-13)",IF(C660&lt;18,"Afternoon (14-17)","Evening (18-20)")))</f>
        <v>Evening (18-20)</v>
      </c>
      <c r="S660" s="4" t="str">
        <f aca="false">IF(AND(O660&gt;=3,O660&lt;=5),"Hot Dry (Mar-May)",IF(AND(O660&gt;=6,O660&lt;=11),"Rainy (Jun-Nov)","Cool Dry (Dec-Feb)"))</f>
        <v>Hot Dry (Mar-May)</v>
      </c>
      <c r="T660" s="4" t="str">
        <f aca="false">CHOOSE(O660,"Jan","Feb","Mar","Apr","May","Jun","Jul","Aug","Sep","Oct","Nov","Dec")</f>
        <v>May</v>
      </c>
    </row>
    <row r="661" customFormat="false" ht="15" hidden="false" customHeight="false" outlineLevel="0" collapsed="false">
      <c r="A661" s="4" t="s">
        <v>907</v>
      </c>
      <c r="B661" s="17" t="n">
        <v>45800</v>
      </c>
      <c r="C661" s="4" t="n">
        <v>11</v>
      </c>
      <c r="D661" s="4" t="s">
        <v>73</v>
      </c>
      <c r="E661" s="4" t="s">
        <v>79</v>
      </c>
      <c r="F661" s="4" t="s">
        <v>80</v>
      </c>
      <c r="G661" s="4" t="n">
        <v>1</v>
      </c>
      <c r="H661" s="34" t="n">
        <v>160</v>
      </c>
      <c r="I661" s="18" t="n">
        <v>0.05</v>
      </c>
      <c r="J661" s="4" t="s">
        <v>67</v>
      </c>
      <c r="K661" s="4" t="s">
        <v>82</v>
      </c>
      <c r="L661" s="35" t="n">
        <f aca="false">G661*H661</f>
        <v>160</v>
      </c>
      <c r="M661" s="35" t="n">
        <f aca="false">L661*I661</f>
        <v>8</v>
      </c>
      <c r="N661" s="35" t="n">
        <f aca="false">L661-M661</f>
        <v>152</v>
      </c>
      <c r="O661" s="4" t="n">
        <f aca="false">MONTH(B661)</f>
        <v>5</v>
      </c>
      <c r="P661" s="4" t="str">
        <f aca="false">CHOOSE(WEEKDAY(B661,2),"Mon","Tue","Wed","Thu","Fri","Sat","Sun")</f>
        <v>Fri</v>
      </c>
      <c r="Q661" s="4" t="str">
        <f aca="false">IF(WEEKDAY(B661,2)&gt;5,"Weekend","Weekday")</f>
        <v>Weekday</v>
      </c>
      <c r="R661" s="4" t="str">
        <f aca="false">IF(C661&lt;11,"Morning (7-10)",IF(C661&lt;14,"Lunch (11-13)",IF(C661&lt;18,"Afternoon (14-17)","Evening (18-20)")))</f>
        <v>Lunch (11-13)</v>
      </c>
      <c r="S661" s="4" t="str">
        <f aca="false">IF(AND(O661&gt;=3,O661&lt;=5),"Hot Dry (Mar-May)",IF(AND(O661&gt;=6,O661&lt;=11),"Rainy (Jun-Nov)","Cool Dry (Dec-Feb)"))</f>
        <v>Hot Dry (Mar-May)</v>
      </c>
      <c r="T661" s="4" t="str">
        <f aca="false">CHOOSE(O661,"Jan","Feb","Mar","Apr","May","Jun","Jul","Aug","Sep","Oct","Nov","Dec")</f>
        <v>May</v>
      </c>
    </row>
    <row r="662" customFormat="false" ht="15" hidden="false" customHeight="false" outlineLevel="0" collapsed="false">
      <c r="A662" s="4" t="s">
        <v>908</v>
      </c>
      <c r="B662" s="17" t="n">
        <v>45800</v>
      </c>
      <c r="C662" s="4" t="n">
        <v>11</v>
      </c>
      <c r="D662" s="4" t="s">
        <v>70</v>
      </c>
      <c r="E662" s="4" t="s">
        <v>65</v>
      </c>
      <c r="F662" s="4" t="s">
        <v>121</v>
      </c>
      <c r="G662" s="4" t="n">
        <v>4</v>
      </c>
      <c r="H662" s="34" t="n">
        <v>170</v>
      </c>
      <c r="I662" s="18" t="n">
        <v>0</v>
      </c>
      <c r="J662" s="4" t="s">
        <v>81</v>
      </c>
      <c r="K662" s="4" t="s">
        <v>77</v>
      </c>
      <c r="L662" s="35" t="n">
        <f aca="false">G662*H662</f>
        <v>680</v>
      </c>
      <c r="M662" s="35" t="n">
        <f aca="false">L662*I662</f>
        <v>0</v>
      </c>
      <c r="N662" s="35" t="n">
        <f aca="false">L662-M662</f>
        <v>680</v>
      </c>
      <c r="O662" s="4" t="n">
        <f aca="false">MONTH(B662)</f>
        <v>5</v>
      </c>
      <c r="P662" s="4" t="str">
        <f aca="false">CHOOSE(WEEKDAY(B662,2),"Mon","Tue","Wed","Thu","Fri","Sat","Sun")</f>
        <v>Fri</v>
      </c>
      <c r="Q662" s="4" t="str">
        <f aca="false">IF(WEEKDAY(B662,2)&gt;5,"Weekend","Weekday")</f>
        <v>Weekday</v>
      </c>
      <c r="R662" s="4" t="str">
        <f aca="false">IF(C662&lt;11,"Morning (7-10)",IF(C662&lt;14,"Lunch (11-13)",IF(C662&lt;18,"Afternoon (14-17)","Evening (18-20)")))</f>
        <v>Lunch (11-13)</v>
      </c>
      <c r="S662" s="4" t="str">
        <f aca="false">IF(AND(O662&gt;=3,O662&lt;=5),"Hot Dry (Mar-May)",IF(AND(O662&gt;=6,O662&lt;=11),"Rainy (Jun-Nov)","Cool Dry (Dec-Feb)"))</f>
        <v>Hot Dry (Mar-May)</v>
      </c>
      <c r="T662" s="4" t="str">
        <f aca="false">CHOOSE(O662,"Jan","Feb","Mar","Apr","May","Jun","Jul","Aug","Sep","Oct","Nov","Dec")</f>
        <v>May</v>
      </c>
    </row>
    <row r="663" customFormat="false" ht="15" hidden="false" customHeight="false" outlineLevel="0" collapsed="false">
      <c r="A663" s="4" t="s">
        <v>909</v>
      </c>
      <c r="B663" s="17" t="n">
        <v>45800</v>
      </c>
      <c r="C663" s="4" t="n">
        <v>12</v>
      </c>
      <c r="D663" s="4" t="s">
        <v>64</v>
      </c>
      <c r="E663" s="4" t="s">
        <v>65</v>
      </c>
      <c r="F663" s="4" t="s">
        <v>121</v>
      </c>
      <c r="G663" s="4" t="n">
        <v>2</v>
      </c>
      <c r="H663" s="34" t="n">
        <v>170</v>
      </c>
      <c r="I663" s="18" t="n">
        <v>0.1</v>
      </c>
      <c r="J663" s="4" t="s">
        <v>112</v>
      </c>
      <c r="K663" s="4" t="s">
        <v>71</v>
      </c>
      <c r="L663" s="35" t="n">
        <f aca="false">G663*H663</f>
        <v>340</v>
      </c>
      <c r="M663" s="35" t="n">
        <f aca="false">L663*I663</f>
        <v>34</v>
      </c>
      <c r="N663" s="35" t="n">
        <f aca="false">L663-M663</f>
        <v>306</v>
      </c>
      <c r="O663" s="4" t="n">
        <f aca="false">MONTH(B663)</f>
        <v>5</v>
      </c>
      <c r="P663" s="4" t="str">
        <f aca="false">CHOOSE(WEEKDAY(B663,2),"Mon","Tue","Wed","Thu","Fri","Sat","Sun")</f>
        <v>Fri</v>
      </c>
      <c r="Q663" s="4" t="str">
        <f aca="false">IF(WEEKDAY(B663,2)&gt;5,"Weekend","Weekday")</f>
        <v>Weekday</v>
      </c>
      <c r="R663" s="4" t="str">
        <f aca="false">IF(C663&lt;11,"Morning (7-10)",IF(C663&lt;14,"Lunch (11-13)",IF(C663&lt;18,"Afternoon (14-17)","Evening (18-20)")))</f>
        <v>Lunch (11-13)</v>
      </c>
      <c r="S663" s="4" t="str">
        <f aca="false">IF(AND(O663&gt;=3,O663&lt;=5),"Hot Dry (Mar-May)",IF(AND(O663&gt;=6,O663&lt;=11),"Rainy (Jun-Nov)","Cool Dry (Dec-Feb)"))</f>
        <v>Hot Dry (Mar-May)</v>
      </c>
      <c r="T663" s="4" t="str">
        <f aca="false">CHOOSE(O663,"Jan","Feb","Mar","Apr","May","Jun","Jul","Aug","Sep","Oct","Nov","Dec")</f>
        <v>May</v>
      </c>
    </row>
    <row r="664" customFormat="false" ht="15" hidden="false" customHeight="false" outlineLevel="0" collapsed="false">
      <c r="A664" s="4" t="s">
        <v>911</v>
      </c>
      <c r="B664" s="17" t="n">
        <v>45800</v>
      </c>
      <c r="C664" s="4" t="n">
        <v>12</v>
      </c>
      <c r="D664" s="4" t="s">
        <v>64</v>
      </c>
      <c r="E664" s="4" t="s">
        <v>79</v>
      </c>
      <c r="F664" s="4" t="s">
        <v>135</v>
      </c>
      <c r="G664" s="4" t="n">
        <v>2</v>
      </c>
      <c r="H664" s="34" t="n">
        <v>130</v>
      </c>
      <c r="I664" s="18" t="n">
        <v>0</v>
      </c>
      <c r="J664" s="4" t="s">
        <v>81</v>
      </c>
      <c r="K664" s="4" t="s">
        <v>68</v>
      </c>
      <c r="L664" s="35" t="n">
        <f aca="false">G664*H664</f>
        <v>260</v>
      </c>
      <c r="M664" s="35" t="n">
        <f aca="false">L664*I664</f>
        <v>0</v>
      </c>
      <c r="N664" s="35" t="n">
        <f aca="false">L664-M664</f>
        <v>260</v>
      </c>
      <c r="O664" s="4" t="n">
        <f aca="false">MONTH(B664)</f>
        <v>5</v>
      </c>
      <c r="P664" s="4" t="str">
        <f aca="false">CHOOSE(WEEKDAY(B664,2),"Mon","Tue","Wed","Thu","Fri","Sat","Sun")</f>
        <v>Fri</v>
      </c>
      <c r="Q664" s="4" t="str">
        <f aca="false">IF(WEEKDAY(B664,2)&gt;5,"Weekend","Weekday")</f>
        <v>Weekday</v>
      </c>
      <c r="R664" s="4" t="str">
        <f aca="false">IF(C664&lt;11,"Morning (7-10)",IF(C664&lt;14,"Lunch (11-13)",IF(C664&lt;18,"Afternoon (14-17)","Evening (18-20)")))</f>
        <v>Lunch (11-13)</v>
      </c>
      <c r="S664" s="4" t="str">
        <f aca="false">IF(AND(O664&gt;=3,O664&lt;=5),"Hot Dry (Mar-May)",IF(AND(O664&gt;=6,O664&lt;=11),"Rainy (Jun-Nov)","Cool Dry (Dec-Feb)"))</f>
        <v>Hot Dry (Mar-May)</v>
      </c>
      <c r="T664" s="4" t="str">
        <f aca="false">CHOOSE(O664,"Jan","Feb","Mar","Apr","May","Jun","Jul","Aug","Sep","Oct","Nov","Dec")</f>
        <v>May</v>
      </c>
    </row>
    <row r="665" customFormat="false" ht="15" hidden="false" customHeight="false" outlineLevel="0" collapsed="false">
      <c r="A665" s="4" t="s">
        <v>912</v>
      </c>
      <c r="B665" s="17" t="n">
        <v>45800</v>
      </c>
      <c r="C665" s="4" t="n">
        <v>16</v>
      </c>
      <c r="D665" s="4" t="s">
        <v>64</v>
      </c>
      <c r="E665" s="4" t="s">
        <v>65</v>
      </c>
      <c r="F665" s="4" t="s">
        <v>66</v>
      </c>
      <c r="G665" s="4" t="n">
        <v>1</v>
      </c>
      <c r="H665" s="34" t="n">
        <v>120</v>
      </c>
      <c r="I665" s="18" t="n">
        <v>0.2</v>
      </c>
      <c r="J665" s="4" t="s">
        <v>76</v>
      </c>
      <c r="K665" s="4" t="s">
        <v>71</v>
      </c>
      <c r="L665" s="35" t="n">
        <f aca="false">G665*H665</f>
        <v>120</v>
      </c>
      <c r="M665" s="35" t="n">
        <f aca="false">L665*I665</f>
        <v>24</v>
      </c>
      <c r="N665" s="35" t="n">
        <f aca="false">L665-M665</f>
        <v>96</v>
      </c>
      <c r="O665" s="4" t="n">
        <f aca="false">MONTH(B665)</f>
        <v>5</v>
      </c>
      <c r="P665" s="4" t="str">
        <f aca="false">CHOOSE(WEEKDAY(B665,2),"Mon","Tue","Wed","Thu","Fri","Sat","Sun")</f>
        <v>Fri</v>
      </c>
      <c r="Q665" s="4" t="str">
        <f aca="false">IF(WEEKDAY(B665,2)&gt;5,"Weekend","Weekday")</f>
        <v>Weekday</v>
      </c>
      <c r="R665" s="4" t="str">
        <f aca="false">IF(C665&lt;11,"Morning (7-10)",IF(C665&lt;14,"Lunch (11-13)",IF(C665&lt;18,"Afternoon (14-17)","Evening (18-20)")))</f>
        <v>Afternoon (14-17)</v>
      </c>
      <c r="S665" s="4" t="str">
        <f aca="false">IF(AND(O665&gt;=3,O665&lt;=5),"Hot Dry (Mar-May)",IF(AND(O665&gt;=6,O665&lt;=11),"Rainy (Jun-Nov)","Cool Dry (Dec-Feb)"))</f>
        <v>Hot Dry (Mar-May)</v>
      </c>
      <c r="T665" s="4" t="str">
        <f aca="false">CHOOSE(O665,"Jan","Feb","Mar","Apr","May","Jun","Jul","Aug","Sep","Oct","Nov","Dec")</f>
        <v>May</v>
      </c>
    </row>
    <row r="666" customFormat="false" ht="15" hidden="false" customHeight="false" outlineLevel="0" collapsed="false">
      <c r="A666" s="4" t="s">
        <v>914</v>
      </c>
      <c r="B666" s="17" t="n">
        <v>45801</v>
      </c>
      <c r="C666" s="4" t="n">
        <v>7</v>
      </c>
      <c r="D666" s="4" t="s">
        <v>73</v>
      </c>
      <c r="E666" s="4" t="s">
        <v>84</v>
      </c>
      <c r="F666" s="4" t="s">
        <v>85</v>
      </c>
      <c r="G666" s="4" t="n">
        <v>2</v>
      </c>
      <c r="H666" s="34" t="n">
        <v>150</v>
      </c>
      <c r="I666" s="18" t="n">
        <v>0</v>
      </c>
      <c r="J666" s="4" t="s">
        <v>88</v>
      </c>
      <c r="K666" s="4" t="s">
        <v>68</v>
      </c>
      <c r="L666" s="35" t="n">
        <f aca="false">G666*H666</f>
        <v>300</v>
      </c>
      <c r="M666" s="35" t="n">
        <f aca="false">L666*I666</f>
        <v>0</v>
      </c>
      <c r="N666" s="35" t="n">
        <f aca="false">L666-M666</f>
        <v>300</v>
      </c>
      <c r="O666" s="4" t="n">
        <f aca="false">MONTH(B666)</f>
        <v>5</v>
      </c>
      <c r="P666" s="4" t="str">
        <f aca="false">CHOOSE(WEEKDAY(B666,2),"Mon","Tue","Wed","Thu","Fri","Sat","Sun")</f>
        <v>Sat</v>
      </c>
      <c r="Q666" s="4" t="str">
        <f aca="false">IF(WEEKDAY(B666,2)&gt;5,"Weekend","Weekday")</f>
        <v>Weekend</v>
      </c>
      <c r="R666" s="4" t="str">
        <f aca="false">IF(C666&lt;11,"Morning (7-10)",IF(C666&lt;14,"Lunch (11-13)",IF(C666&lt;18,"Afternoon (14-17)","Evening (18-20)")))</f>
        <v>Morning (7-10)</v>
      </c>
      <c r="S666" s="4" t="str">
        <f aca="false">IF(AND(O666&gt;=3,O666&lt;=5),"Hot Dry (Mar-May)",IF(AND(O666&gt;=6,O666&lt;=11),"Rainy (Jun-Nov)","Cool Dry (Dec-Feb)"))</f>
        <v>Hot Dry (Mar-May)</v>
      </c>
      <c r="T666" s="4" t="str">
        <f aca="false">CHOOSE(O666,"Jan","Feb","Mar","Apr","May","Jun","Jul","Aug","Sep","Oct","Nov","Dec")</f>
        <v>May</v>
      </c>
    </row>
    <row r="667" customFormat="false" ht="15" hidden="false" customHeight="false" outlineLevel="0" collapsed="false">
      <c r="A667" s="4" t="s">
        <v>915</v>
      </c>
      <c r="B667" s="17" t="n">
        <v>45801</v>
      </c>
      <c r="C667" s="4" t="n">
        <v>11</v>
      </c>
      <c r="D667" s="4" t="s">
        <v>98</v>
      </c>
      <c r="E667" s="4" t="s">
        <v>65</v>
      </c>
      <c r="F667" s="4" t="s">
        <v>121</v>
      </c>
      <c r="G667" s="4" t="n">
        <v>2</v>
      </c>
      <c r="H667" s="34" t="n">
        <v>170</v>
      </c>
      <c r="I667" s="18" t="n">
        <v>0.05</v>
      </c>
      <c r="J667" s="4" t="s">
        <v>67</v>
      </c>
      <c r="K667" s="4" t="s">
        <v>82</v>
      </c>
      <c r="L667" s="35" t="n">
        <f aca="false">G667*H667</f>
        <v>340</v>
      </c>
      <c r="M667" s="35" t="n">
        <f aca="false">L667*I667</f>
        <v>17</v>
      </c>
      <c r="N667" s="35" t="n">
        <f aca="false">L667-M667</f>
        <v>323</v>
      </c>
      <c r="O667" s="4" t="n">
        <f aca="false">MONTH(B667)</f>
        <v>5</v>
      </c>
      <c r="P667" s="4" t="str">
        <f aca="false">CHOOSE(WEEKDAY(B667,2),"Mon","Tue","Wed","Thu","Fri","Sat","Sun")</f>
        <v>Sat</v>
      </c>
      <c r="Q667" s="4" t="str">
        <f aca="false">IF(WEEKDAY(B667,2)&gt;5,"Weekend","Weekday")</f>
        <v>Weekend</v>
      </c>
      <c r="R667" s="4" t="str">
        <f aca="false">IF(C667&lt;11,"Morning (7-10)",IF(C667&lt;14,"Lunch (11-13)",IF(C667&lt;18,"Afternoon (14-17)","Evening (18-20)")))</f>
        <v>Lunch (11-13)</v>
      </c>
      <c r="S667" s="4" t="str">
        <f aca="false">IF(AND(O667&gt;=3,O667&lt;=5),"Hot Dry (Mar-May)",IF(AND(O667&gt;=6,O667&lt;=11),"Rainy (Jun-Nov)","Cool Dry (Dec-Feb)"))</f>
        <v>Hot Dry (Mar-May)</v>
      </c>
      <c r="T667" s="4" t="str">
        <f aca="false">CHOOSE(O667,"Jan","Feb","Mar","Apr","May","Jun","Jul","Aug","Sep","Oct","Nov","Dec")</f>
        <v>May</v>
      </c>
    </row>
    <row r="668" customFormat="false" ht="15" hidden="false" customHeight="false" outlineLevel="0" collapsed="false">
      <c r="A668" s="4" t="s">
        <v>916</v>
      </c>
      <c r="B668" s="17" t="n">
        <v>45801</v>
      </c>
      <c r="C668" s="4" t="n">
        <v>12</v>
      </c>
      <c r="D668" s="4" t="s">
        <v>64</v>
      </c>
      <c r="E668" s="4" t="s">
        <v>84</v>
      </c>
      <c r="F668" s="4" t="s">
        <v>117</v>
      </c>
      <c r="G668" s="4" t="n">
        <v>2</v>
      </c>
      <c r="H668" s="34" t="n">
        <v>95</v>
      </c>
      <c r="I668" s="18" t="n">
        <v>0.1</v>
      </c>
      <c r="J668" s="4" t="s">
        <v>67</v>
      </c>
      <c r="K668" s="4" t="s">
        <v>71</v>
      </c>
      <c r="L668" s="35" t="n">
        <f aca="false">G668*H668</f>
        <v>190</v>
      </c>
      <c r="M668" s="35" t="n">
        <f aca="false">L668*I668</f>
        <v>19</v>
      </c>
      <c r="N668" s="35" t="n">
        <f aca="false">L668-M668</f>
        <v>171</v>
      </c>
      <c r="O668" s="4" t="n">
        <f aca="false">MONTH(B668)</f>
        <v>5</v>
      </c>
      <c r="P668" s="4" t="str">
        <f aca="false">CHOOSE(WEEKDAY(B668,2),"Mon","Tue","Wed","Thu","Fri","Sat","Sun")</f>
        <v>Sat</v>
      </c>
      <c r="Q668" s="4" t="str">
        <f aca="false">IF(WEEKDAY(B668,2)&gt;5,"Weekend","Weekday")</f>
        <v>Weekend</v>
      </c>
      <c r="R668" s="4" t="str">
        <f aca="false">IF(C668&lt;11,"Morning (7-10)",IF(C668&lt;14,"Lunch (11-13)",IF(C668&lt;18,"Afternoon (14-17)","Evening (18-20)")))</f>
        <v>Lunch (11-13)</v>
      </c>
      <c r="S668" s="4" t="str">
        <f aca="false">IF(AND(O668&gt;=3,O668&lt;=5),"Hot Dry (Mar-May)",IF(AND(O668&gt;=6,O668&lt;=11),"Rainy (Jun-Nov)","Cool Dry (Dec-Feb)"))</f>
        <v>Hot Dry (Mar-May)</v>
      </c>
      <c r="T668" s="4" t="str">
        <f aca="false">CHOOSE(O668,"Jan","Feb","Mar","Apr","May","Jun","Jul","Aug","Sep","Oct","Nov","Dec")</f>
        <v>May</v>
      </c>
    </row>
    <row r="669" customFormat="false" ht="15" hidden="false" customHeight="false" outlineLevel="0" collapsed="false">
      <c r="A669" s="4" t="s">
        <v>918</v>
      </c>
      <c r="B669" s="17" t="n">
        <v>45801</v>
      </c>
      <c r="C669" s="4" t="n">
        <v>12</v>
      </c>
      <c r="D669" s="4" t="s">
        <v>98</v>
      </c>
      <c r="E669" s="4" t="s">
        <v>79</v>
      </c>
      <c r="F669" s="4" t="s">
        <v>135</v>
      </c>
      <c r="G669" s="4" t="n">
        <v>2</v>
      </c>
      <c r="H669" s="34" t="n">
        <v>130</v>
      </c>
      <c r="I669" s="18" t="n">
        <v>0</v>
      </c>
      <c r="J669" s="4" t="s">
        <v>67</v>
      </c>
      <c r="K669" s="4" t="s">
        <v>68</v>
      </c>
      <c r="L669" s="35" t="n">
        <f aca="false">G669*H669</f>
        <v>260</v>
      </c>
      <c r="M669" s="35" t="n">
        <f aca="false">L669*I669</f>
        <v>0</v>
      </c>
      <c r="N669" s="35" t="n">
        <f aca="false">L669-M669</f>
        <v>260</v>
      </c>
      <c r="O669" s="4" t="n">
        <f aca="false">MONTH(B669)</f>
        <v>5</v>
      </c>
      <c r="P669" s="4" t="str">
        <f aca="false">CHOOSE(WEEKDAY(B669,2),"Mon","Tue","Wed","Thu","Fri","Sat","Sun")</f>
        <v>Sat</v>
      </c>
      <c r="Q669" s="4" t="str">
        <f aca="false">IF(WEEKDAY(B669,2)&gt;5,"Weekend","Weekday")</f>
        <v>Weekend</v>
      </c>
      <c r="R669" s="4" t="str">
        <f aca="false">IF(C669&lt;11,"Morning (7-10)",IF(C669&lt;14,"Lunch (11-13)",IF(C669&lt;18,"Afternoon (14-17)","Evening (18-20)")))</f>
        <v>Lunch (11-13)</v>
      </c>
      <c r="S669" s="4" t="str">
        <f aca="false">IF(AND(O669&gt;=3,O669&lt;=5),"Hot Dry (Mar-May)",IF(AND(O669&gt;=6,O669&lt;=11),"Rainy (Jun-Nov)","Cool Dry (Dec-Feb)"))</f>
        <v>Hot Dry (Mar-May)</v>
      </c>
      <c r="T669" s="4" t="str">
        <f aca="false">CHOOSE(O669,"Jan","Feb","Mar","Apr","May","Jun","Jul","Aug","Sep","Oct","Nov","Dec")</f>
        <v>May</v>
      </c>
    </row>
    <row r="670" customFormat="false" ht="15" hidden="false" customHeight="false" outlineLevel="0" collapsed="false">
      <c r="A670" s="4" t="s">
        <v>919</v>
      </c>
      <c r="B670" s="17" t="n">
        <v>45801</v>
      </c>
      <c r="C670" s="4" t="n">
        <v>13</v>
      </c>
      <c r="D670" s="4" t="s">
        <v>70</v>
      </c>
      <c r="E670" s="4" t="s">
        <v>79</v>
      </c>
      <c r="F670" s="4" t="s">
        <v>148</v>
      </c>
      <c r="G670" s="4" t="n">
        <v>4</v>
      </c>
      <c r="H670" s="34" t="n">
        <v>120</v>
      </c>
      <c r="I670" s="18" t="n">
        <v>0.1</v>
      </c>
      <c r="J670" s="4" t="s">
        <v>76</v>
      </c>
      <c r="K670" s="4" t="s">
        <v>68</v>
      </c>
      <c r="L670" s="35" t="n">
        <f aca="false">G670*H670</f>
        <v>480</v>
      </c>
      <c r="M670" s="35" t="n">
        <f aca="false">L670*I670</f>
        <v>48</v>
      </c>
      <c r="N670" s="35" t="n">
        <f aca="false">L670-M670</f>
        <v>432</v>
      </c>
      <c r="O670" s="4" t="n">
        <f aca="false">MONTH(B670)</f>
        <v>5</v>
      </c>
      <c r="P670" s="4" t="str">
        <f aca="false">CHOOSE(WEEKDAY(B670,2),"Mon","Tue","Wed","Thu","Fri","Sat","Sun")</f>
        <v>Sat</v>
      </c>
      <c r="Q670" s="4" t="str">
        <f aca="false">IF(WEEKDAY(B670,2)&gt;5,"Weekend","Weekday")</f>
        <v>Weekend</v>
      </c>
      <c r="R670" s="4" t="str">
        <f aca="false">IF(C670&lt;11,"Morning (7-10)",IF(C670&lt;14,"Lunch (11-13)",IF(C670&lt;18,"Afternoon (14-17)","Evening (18-20)")))</f>
        <v>Lunch (11-13)</v>
      </c>
      <c r="S670" s="4" t="str">
        <f aca="false">IF(AND(O670&gt;=3,O670&lt;=5),"Hot Dry (Mar-May)",IF(AND(O670&gt;=6,O670&lt;=11),"Rainy (Jun-Nov)","Cool Dry (Dec-Feb)"))</f>
        <v>Hot Dry (Mar-May)</v>
      </c>
      <c r="T670" s="4" t="str">
        <f aca="false">CHOOSE(O670,"Jan","Feb","Mar","Apr","May","Jun","Jul","Aug","Sep","Oct","Nov","Dec")</f>
        <v>May</v>
      </c>
    </row>
    <row r="671" customFormat="false" ht="15" hidden="false" customHeight="false" outlineLevel="0" collapsed="false">
      <c r="A671" s="4" t="s">
        <v>920</v>
      </c>
      <c r="B671" s="17" t="n">
        <v>45801</v>
      </c>
      <c r="C671" s="4" t="n">
        <v>18</v>
      </c>
      <c r="D671" s="4" t="s">
        <v>73</v>
      </c>
      <c r="E671" s="4" t="s">
        <v>65</v>
      </c>
      <c r="F671" s="4" t="s">
        <v>121</v>
      </c>
      <c r="G671" s="4" t="n">
        <v>2</v>
      </c>
      <c r="H671" s="34" t="n">
        <v>170</v>
      </c>
      <c r="I671" s="18" t="n">
        <v>0</v>
      </c>
      <c r="J671" s="4" t="s">
        <v>67</v>
      </c>
      <c r="K671" s="4" t="s">
        <v>68</v>
      </c>
      <c r="L671" s="35" t="n">
        <f aca="false">G671*H671</f>
        <v>340</v>
      </c>
      <c r="M671" s="35" t="n">
        <f aca="false">L671*I671</f>
        <v>0</v>
      </c>
      <c r="N671" s="35" t="n">
        <f aca="false">L671-M671</f>
        <v>340</v>
      </c>
      <c r="O671" s="4" t="n">
        <f aca="false">MONTH(B671)</f>
        <v>5</v>
      </c>
      <c r="P671" s="4" t="str">
        <f aca="false">CHOOSE(WEEKDAY(B671,2),"Mon","Tue","Wed","Thu","Fri","Sat","Sun")</f>
        <v>Sat</v>
      </c>
      <c r="Q671" s="4" t="str">
        <f aca="false">IF(WEEKDAY(B671,2)&gt;5,"Weekend","Weekday")</f>
        <v>Weekend</v>
      </c>
      <c r="R671" s="4" t="str">
        <f aca="false">IF(C671&lt;11,"Morning (7-10)",IF(C671&lt;14,"Lunch (11-13)",IF(C671&lt;18,"Afternoon (14-17)","Evening (18-20)")))</f>
        <v>Evening (18-20)</v>
      </c>
      <c r="S671" s="4" t="str">
        <f aca="false">IF(AND(O671&gt;=3,O671&lt;=5),"Hot Dry (Mar-May)",IF(AND(O671&gt;=6,O671&lt;=11),"Rainy (Jun-Nov)","Cool Dry (Dec-Feb)"))</f>
        <v>Hot Dry (Mar-May)</v>
      </c>
      <c r="T671" s="4" t="str">
        <f aca="false">CHOOSE(O671,"Jan","Feb","Mar","Apr","May","Jun","Jul","Aug","Sep","Oct","Nov","Dec")</f>
        <v>May</v>
      </c>
    </row>
    <row r="672" customFormat="false" ht="15" hidden="false" customHeight="false" outlineLevel="0" collapsed="false">
      <c r="A672" s="4" t="s">
        <v>921</v>
      </c>
      <c r="B672" s="17" t="n">
        <v>45801</v>
      </c>
      <c r="C672" s="4" t="n">
        <v>20</v>
      </c>
      <c r="D672" s="4" t="s">
        <v>64</v>
      </c>
      <c r="E672" s="4" t="s">
        <v>74</v>
      </c>
      <c r="F672" s="4" t="s">
        <v>139</v>
      </c>
      <c r="G672" s="4" t="n">
        <v>1</v>
      </c>
      <c r="H672" s="34" t="n">
        <v>260</v>
      </c>
      <c r="I672" s="18" t="n">
        <v>0.05</v>
      </c>
      <c r="J672" s="4" t="s">
        <v>88</v>
      </c>
      <c r="K672" s="4" t="s">
        <v>82</v>
      </c>
      <c r="L672" s="35" t="n">
        <f aca="false">G672*H672</f>
        <v>260</v>
      </c>
      <c r="M672" s="35" t="n">
        <f aca="false">L672*I672</f>
        <v>13</v>
      </c>
      <c r="N672" s="35" t="n">
        <f aca="false">L672-M672</f>
        <v>247</v>
      </c>
      <c r="O672" s="4" t="n">
        <f aca="false">MONTH(B672)</f>
        <v>5</v>
      </c>
      <c r="P672" s="4" t="str">
        <f aca="false">CHOOSE(WEEKDAY(B672,2),"Mon","Tue","Wed","Thu","Fri","Sat","Sun")</f>
        <v>Sat</v>
      </c>
      <c r="Q672" s="4" t="str">
        <f aca="false">IF(WEEKDAY(B672,2)&gt;5,"Weekend","Weekday")</f>
        <v>Weekend</v>
      </c>
      <c r="R672" s="4" t="str">
        <f aca="false">IF(C672&lt;11,"Morning (7-10)",IF(C672&lt;14,"Lunch (11-13)",IF(C672&lt;18,"Afternoon (14-17)","Evening (18-20)")))</f>
        <v>Evening (18-20)</v>
      </c>
      <c r="S672" s="4" t="str">
        <f aca="false">IF(AND(O672&gt;=3,O672&lt;=5),"Hot Dry (Mar-May)",IF(AND(O672&gt;=6,O672&lt;=11),"Rainy (Jun-Nov)","Cool Dry (Dec-Feb)"))</f>
        <v>Hot Dry (Mar-May)</v>
      </c>
      <c r="T672" s="4" t="str">
        <f aca="false">CHOOSE(O672,"Jan","Feb","Mar","Apr","May","Jun","Jul","Aug","Sep","Oct","Nov","Dec")</f>
        <v>May</v>
      </c>
    </row>
    <row r="673" customFormat="false" ht="15" hidden="false" customHeight="false" outlineLevel="0" collapsed="false">
      <c r="A673" s="4" t="s">
        <v>922</v>
      </c>
      <c r="B673" s="17" t="n">
        <v>45802</v>
      </c>
      <c r="C673" s="4" t="n">
        <v>8</v>
      </c>
      <c r="D673" s="4" t="s">
        <v>73</v>
      </c>
      <c r="E673" s="4" t="s">
        <v>84</v>
      </c>
      <c r="F673" s="4" t="s">
        <v>114</v>
      </c>
      <c r="G673" s="4" t="n">
        <v>1</v>
      </c>
      <c r="H673" s="34" t="n">
        <v>85</v>
      </c>
      <c r="I673" s="18" t="n">
        <v>0</v>
      </c>
      <c r="J673" s="4" t="s">
        <v>67</v>
      </c>
      <c r="K673" s="4" t="s">
        <v>68</v>
      </c>
      <c r="L673" s="35" t="n">
        <f aca="false">G673*H673</f>
        <v>85</v>
      </c>
      <c r="M673" s="35" t="n">
        <f aca="false">L673*I673</f>
        <v>0</v>
      </c>
      <c r="N673" s="35" t="n">
        <f aca="false">L673-M673</f>
        <v>85</v>
      </c>
      <c r="O673" s="4" t="n">
        <f aca="false">MONTH(B673)</f>
        <v>5</v>
      </c>
      <c r="P673" s="4" t="str">
        <f aca="false">CHOOSE(WEEKDAY(B673,2),"Mon","Tue","Wed","Thu","Fri","Sat","Sun")</f>
        <v>Sun</v>
      </c>
      <c r="Q673" s="4" t="str">
        <f aca="false">IF(WEEKDAY(B673,2)&gt;5,"Weekend","Weekday")</f>
        <v>Weekend</v>
      </c>
      <c r="R673" s="4" t="str">
        <f aca="false">IF(C673&lt;11,"Morning (7-10)",IF(C673&lt;14,"Lunch (11-13)",IF(C673&lt;18,"Afternoon (14-17)","Evening (18-20)")))</f>
        <v>Morning (7-10)</v>
      </c>
      <c r="S673" s="4" t="str">
        <f aca="false">IF(AND(O673&gt;=3,O673&lt;=5),"Hot Dry (Mar-May)",IF(AND(O673&gt;=6,O673&lt;=11),"Rainy (Jun-Nov)","Cool Dry (Dec-Feb)"))</f>
        <v>Hot Dry (Mar-May)</v>
      </c>
      <c r="T673" s="4" t="str">
        <f aca="false">CHOOSE(O673,"Jan","Feb","Mar","Apr","May","Jun","Jul","Aug","Sep","Oct","Nov","Dec")</f>
        <v>May</v>
      </c>
    </row>
    <row r="674" customFormat="false" ht="15" hidden="false" customHeight="false" outlineLevel="0" collapsed="false">
      <c r="A674" s="4" t="s">
        <v>924</v>
      </c>
      <c r="B674" s="17" t="n">
        <v>45802</v>
      </c>
      <c r="C674" s="4" t="n">
        <v>9</v>
      </c>
      <c r="D674" s="4" t="s">
        <v>98</v>
      </c>
      <c r="E674" s="4" t="s">
        <v>65</v>
      </c>
      <c r="F674" s="4" t="s">
        <v>66</v>
      </c>
      <c r="G674" s="4" t="n">
        <v>2</v>
      </c>
      <c r="H674" s="34" t="n">
        <v>120</v>
      </c>
      <c r="I674" s="18" t="n">
        <v>0.1</v>
      </c>
      <c r="J674" s="4" t="s">
        <v>76</v>
      </c>
      <c r="K674" s="4" t="s">
        <v>71</v>
      </c>
      <c r="L674" s="35" t="n">
        <f aca="false">G674*H674</f>
        <v>240</v>
      </c>
      <c r="M674" s="35" t="n">
        <f aca="false">L674*I674</f>
        <v>24</v>
      </c>
      <c r="N674" s="35" t="n">
        <f aca="false">L674-M674</f>
        <v>216</v>
      </c>
      <c r="O674" s="4" t="n">
        <f aca="false">MONTH(B674)</f>
        <v>5</v>
      </c>
      <c r="P674" s="4" t="str">
        <f aca="false">CHOOSE(WEEKDAY(B674,2),"Mon","Tue","Wed","Thu","Fri","Sat","Sun")</f>
        <v>Sun</v>
      </c>
      <c r="Q674" s="4" t="str">
        <f aca="false">IF(WEEKDAY(B674,2)&gt;5,"Weekend","Weekday")</f>
        <v>Weekend</v>
      </c>
      <c r="R674" s="4" t="str">
        <f aca="false">IF(C674&lt;11,"Morning (7-10)",IF(C674&lt;14,"Lunch (11-13)",IF(C674&lt;18,"Afternoon (14-17)","Evening (18-20)")))</f>
        <v>Morning (7-10)</v>
      </c>
      <c r="S674" s="4" t="str">
        <f aca="false">IF(AND(O674&gt;=3,O674&lt;=5),"Hot Dry (Mar-May)",IF(AND(O674&gt;=6,O674&lt;=11),"Rainy (Jun-Nov)","Cool Dry (Dec-Feb)"))</f>
        <v>Hot Dry (Mar-May)</v>
      </c>
      <c r="T674" s="4" t="str">
        <f aca="false">CHOOSE(O674,"Jan","Feb","Mar","Apr","May","Jun","Jul","Aug","Sep","Oct","Nov","Dec")</f>
        <v>May</v>
      </c>
    </row>
    <row r="675" customFormat="false" ht="15" hidden="false" customHeight="false" outlineLevel="0" collapsed="false">
      <c r="A675" s="4" t="s">
        <v>925</v>
      </c>
      <c r="B675" s="17" t="n">
        <v>45802</v>
      </c>
      <c r="C675" s="4" t="n">
        <v>10</v>
      </c>
      <c r="D675" s="4" t="s">
        <v>98</v>
      </c>
      <c r="E675" s="4" t="s">
        <v>84</v>
      </c>
      <c r="F675" s="4" t="s">
        <v>106</v>
      </c>
      <c r="G675" s="4" t="n">
        <v>2</v>
      </c>
      <c r="H675" s="34" t="n">
        <v>60</v>
      </c>
      <c r="I675" s="18" t="n">
        <v>0</v>
      </c>
      <c r="J675" s="4" t="s">
        <v>81</v>
      </c>
      <c r="K675" s="4" t="s">
        <v>77</v>
      </c>
      <c r="L675" s="35" t="n">
        <f aca="false">G675*H675</f>
        <v>120</v>
      </c>
      <c r="M675" s="35" t="n">
        <f aca="false">L675*I675</f>
        <v>0</v>
      </c>
      <c r="N675" s="35" t="n">
        <f aca="false">L675-M675</f>
        <v>120</v>
      </c>
      <c r="O675" s="4" t="n">
        <f aca="false">MONTH(B675)</f>
        <v>5</v>
      </c>
      <c r="P675" s="4" t="str">
        <f aca="false">CHOOSE(WEEKDAY(B675,2),"Mon","Tue","Wed","Thu","Fri","Sat","Sun")</f>
        <v>Sun</v>
      </c>
      <c r="Q675" s="4" t="str">
        <f aca="false">IF(WEEKDAY(B675,2)&gt;5,"Weekend","Weekday")</f>
        <v>Weekend</v>
      </c>
      <c r="R675" s="4" t="str">
        <f aca="false">IF(C675&lt;11,"Morning (7-10)",IF(C675&lt;14,"Lunch (11-13)",IF(C675&lt;18,"Afternoon (14-17)","Evening (18-20)")))</f>
        <v>Morning (7-10)</v>
      </c>
      <c r="S675" s="4" t="str">
        <f aca="false">IF(AND(O675&gt;=3,O675&lt;=5),"Hot Dry (Mar-May)",IF(AND(O675&gt;=6,O675&lt;=11),"Rainy (Jun-Nov)","Cool Dry (Dec-Feb)"))</f>
        <v>Hot Dry (Mar-May)</v>
      </c>
      <c r="T675" s="4" t="str">
        <f aca="false">CHOOSE(O675,"Jan","Feb","Mar","Apr","May","Jun","Jul","Aug","Sep","Oct","Nov","Dec")</f>
        <v>May</v>
      </c>
    </row>
    <row r="676" customFormat="false" ht="15" hidden="false" customHeight="false" outlineLevel="0" collapsed="false">
      <c r="A676" s="4" t="s">
        <v>927</v>
      </c>
      <c r="B676" s="17" t="n">
        <v>45802</v>
      </c>
      <c r="C676" s="4" t="n">
        <v>11</v>
      </c>
      <c r="D676" s="4" t="s">
        <v>70</v>
      </c>
      <c r="E676" s="4" t="s">
        <v>79</v>
      </c>
      <c r="F676" s="4" t="s">
        <v>135</v>
      </c>
      <c r="G676" s="4" t="n">
        <v>1</v>
      </c>
      <c r="H676" s="34" t="n">
        <v>130</v>
      </c>
      <c r="I676" s="18" t="n">
        <v>0</v>
      </c>
      <c r="J676" s="4" t="s">
        <v>67</v>
      </c>
      <c r="K676" s="4" t="s">
        <v>68</v>
      </c>
      <c r="L676" s="35" t="n">
        <f aca="false">G676*H676</f>
        <v>130</v>
      </c>
      <c r="M676" s="35" t="n">
        <f aca="false">L676*I676</f>
        <v>0</v>
      </c>
      <c r="N676" s="35" t="n">
        <f aca="false">L676-M676</f>
        <v>130</v>
      </c>
      <c r="O676" s="4" t="n">
        <f aca="false">MONTH(B676)</f>
        <v>5</v>
      </c>
      <c r="P676" s="4" t="str">
        <f aca="false">CHOOSE(WEEKDAY(B676,2),"Mon","Tue","Wed","Thu","Fri","Sat","Sun")</f>
        <v>Sun</v>
      </c>
      <c r="Q676" s="4" t="str">
        <f aca="false">IF(WEEKDAY(B676,2)&gt;5,"Weekend","Weekday")</f>
        <v>Weekend</v>
      </c>
      <c r="R676" s="4" t="str">
        <f aca="false">IF(C676&lt;11,"Morning (7-10)",IF(C676&lt;14,"Lunch (11-13)",IF(C676&lt;18,"Afternoon (14-17)","Evening (18-20)")))</f>
        <v>Lunch (11-13)</v>
      </c>
      <c r="S676" s="4" t="str">
        <f aca="false">IF(AND(O676&gt;=3,O676&lt;=5),"Hot Dry (Mar-May)",IF(AND(O676&gt;=6,O676&lt;=11),"Rainy (Jun-Nov)","Cool Dry (Dec-Feb)"))</f>
        <v>Hot Dry (Mar-May)</v>
      </c>
      <c r="T676" s="4" t="str">
        <f aca="false">CHOOSE(O676,"Jan","Feb","Mar","Apr","May","Jun","Jul","Aug","Sep","Oct","Nov","Dec")</f>
        <v>May</v>
      </c>
    </row>
    <row r="677" customFormat="false" ht="15" hidden="false" customHeight="false" outlineLevel="0" collapsed="false">
      <c r="A677" s="4" t="s">
        <v>929</v>
      </c>
      <c r="B677" s="17" t="n">
        <v>45802</v>
      </c>
      <c r="C677" s="4" t="n">
        <v>16</v>
      </c>
      <c r="D677" s="4" t="s">
        <v>98</v>
      </c>
      <c r="E677" s="4" t="s">
        <v>99</v>
      </c>
      <c r="F677" s="4" t="s">
        <v>102</v>
      </c>
      <c r="G677" s="4" t="n">
        <v>2</v>
      </c>
      <c r="H677" s="34" t="n">
        <v>140</v>
      </c>
      <c r="I677" s="18" t="n">
        <v>0</v>
      </c>
      <c r="J677" s="4" t="s">
        <v>76</v>
      </c>
      <c r="K677" s="4" t="s">
        <v>77</v>
      </c>
      <c r="L677" s="35" t="n">
        <f aca="false">G677*H677</f>
        <v>280</v>
      </c>
      <c r="M677" s="35" t="n">
        <f aca="false">L677*I677</f>
        <v>0</v>
      </c>
      <c r="N677" s="35" t="n">
        <f aca="false">L677-M677</f>
        <v>280</v>
      </c>
      <c r="O677" s="4" t="n">
        <f aca="false">MONTH(B677)</f>
        <v>5</v>
      </c>
      <c r="P677" s="4" t="str">
        <f aca="false">CHOOSE(WEEKDAY(B677,2),"Mon","Tue","Wed","Thu","Fri","Sat","Sun")</f>
        <v>Sun</v>
      </c>
      <c r="Q677" s="4" t="str">
        <f aca="false">IF(WEEKDAY(B677,2)&gt;5,"Weekend","Weekday")</f>
        <v>Weekend</v>
      </c>
      <c r="R677" s="4" t="str">
        <f aca="false">IF(C677&lt;11,"Morning (7-10)",IF(C677&lt;14,"Lunch (11-13)",IF(C677&lt;18,"Afternoon (14-17)","Evening (18-20)")))</f>
        <v>Afternoon (14-17)</v>
      </c>
      <c r="S677" s="4" t="str">
        <f aca="false">IF(AND(O677&gt;=3,O677&lt;=5),"Hot Dry (Mar-May)",IF(AND(O677&gt;=6,O677&lt;=11),"Rainy (Jun-Nov)","Cool Dry (Dec-Feb)"))</f>
        <v>Hot Dry (Mar-May)</v>
      </c>
      <c r="T677" s="4" t="str">
        <f aca="false">CHOOSE(O677,"Jan","Feb","Mar","Apr","May","Jun","Jul","Aug","Sep","Oct","Nov","Dec")</f>
        <v>May</v>
      </c>
    </row>
    <row r="678" customFormat="false" ht="15" hidden="false" customHeight="false" outlineLevel="0" collapsed="false">
      <c r="A678" s="4" t="s">
        <v>930</v>
      </c>
      <c r="B678" s="17" t="n">
        <v>45803</v>
      </c>
      <c r="C678" s="4" t="n">
        <v>7</v>
      </c>
      <c r="D678" s="4" t="s">
        <v>70</v>
      </c>
      <c r="E678" s="4" t="s">
        <v>84</v>
      </c>
      <c r="F678" s="4" t="s">
        <v>117</v>
      </c>
      <c r="G678" s="4" t="n">
        <v>2</v>
      </c>
      <c r="H678" s="34" t="n">
        <v>95</v>
      </c>
      <c r="I678" s="18" t="n">
        <v>0</v>
      </c>
      <c r="J678" s="4" t="s">
        <v>112</v>
      </c>
      <c r="K678" s="4" t="s">
        <v>68</v>
      </c>
      <c r="L678" s="35" t="n">
        <f aca="false">G678*H678</f>
        <v>190</v>
      </c>
      <c r="M678" s="35" t="n">
        <f aca="false">L678*I678</f>
        <v>0</v>
      </c>
      <c r="N678" s="35" t="n">
        <f aca="false">L678-M678</f>
        <v>190</v>
      </c>
      <c r="O678" s="4" t="n">
        <f aca="false">MONTH(B678)</f>
        <v>5</v>
      </c>
      <c r="P678" s="4" t="str">
        <f aca="false">CHOOSE(WEEKDAY(B678,2),"Mon","Tue","Wed","Thu","Fri","Sat","Sun")</f>
        <v>Mon</v>
      </c>
      <c r="Q678" s="4" t="str">
        <f aca="false">IF(WEEKDAY(B678,2)&gt;5,"Weekend","Weekday")</f>
        <v>Weekday</v>
      </c>
      <c r="R678" s="4" t="str">
        <f aca="false">IF(C678&lt;11,"Morning (7-10)",IF(C678&lt;14,"Lunch (11-13)",IF(C678&lt;18,"Afternoon (14-17)","Evening (18-20)")))</f>
        <v>Morning (7-10)</v>
      </c>
      <c r="S678" s="4" t="str">
        <f aca="false">IF(AND(O678&gt;=3,O678&lt;=5),"Hot Dry (Mar-May)",IF(AND(O678&gt;=6,O678&lt;=11),"Rainy (Jun-Nov)","Cool Dry (Dec-Feb)"))</f>
        <v>Hot Dry (Mar-May)</v>
      </c>
      <c r="T678" s="4" t="str">
        <f aca="false">CHOOSE(O678,"Jan","Feb","Mar","Apr","May","Jun","Jul","Aug","Sep","Oct","Nov","Dec")</f>
        <v>May</v>
      </c>
    </row>
    <row r="679" customFormat="false" ht="15" hidden="false" customHeight="false" outlineLevel="0" collapsed="false">
      <c r="A679" s="4" t="s">
        <v>931</v>
      </c>
      <c r="B679" s="17" t="n">
        <v>45803</v>
      </c>
      <c r="C679" s="4" t="n">
        <v>9</v>
      </c>
      <c r="D679" s="4" t="s">
        <v>64</v>
      </c>
      <c r="E679" s="4" t="s">
        <v>65</v>
      </c>
      <c r="F679" s="4" t="s">
        <v>121</v>
      </c>
      <c r="G679" s="4" t="n">
        <v>1</v>
      </c>
      <c r="H679" s="34" t="n">
        <v>170</v>
      </c>
      <c r="I679" s="18" t="n">
        <v>0.05</v>
      </c>
      <c r="J679" s="4" t="s">
        <v>81</v>
      </c>
      <c r="K679" s="4" t="s">
        <v>82</v>
      </c>
      <c r="L679" s="35" t="n">
        <f aca="false">G679*H679</f>
        <v>170</v>
      </c>
      <c r="M679" s="35" t="n">
        <f aca="false">L679*I679</f>
        <v>8.5</v>
      </c>
      <c r="N679" s="35" t="n">
        <f aca="false">L679-M679</f>
        <v>161.5</v>
      </c>
      <c r="O679" s="4" t="n">
        <f aca="false">MONTH(B679)</f>
        <v>5</v>
      </c>
      <c r="P679" s="4" t="str">
        <f aca="false">CHOOSE(WEEKDAY(B679,2),"Mon","Tue","Wed","Thu","Fri","Sat","Sun")</f>
        <v>Mon</v>
      </c>
      <c r="Q679" s="4" t="str">
        <f aca="false">IF(WEEKDAY(B679,2)&gt;5,"Weekend","Weekday")</f>
        <v>Weekday</v>
      </c>
      <c r="R679" s="4" t="str">
        <f aca="false">IF(C679&lt;11,"Morning (7-10)",IF(C679&lt;14,"Lunch (11-13)",IF(C679&lt;18,"Afternoon (14-17)","Evening (18-20)")))</f>
        <v>Morning (7-10)</v>
      </c>
      <c r="S679" s="4" t="str">
        <f aca="false">IF(AND(O679&gt;=3,O679&lt;=5),"Hot Dry (Mar-May)",IF(AND(O679&gt;=6,O679&lt;=11),"Rainy (Jun-Nov)","Cool Dry (Dec-Feb)"))</f>
        <v>Hot Dry (Mar-May)</v>
      </c>
      <c r="T679" s="4" t="str">
        <f aca="false">CHOOSE(O679,"Jan","Feb","Mar","Apr","May","Jun","Jul","Aug","Sep","Oct","Nov","Dec")</f>
        <v>May</v>
      </c>
    </row>
    <row r="680" customFormat="false" ht="15" hidden="false" customHeight="false" outlineLevel="0" collapsed="false">
      <c r="A680" s="4" t="s">
        <v>932</v>
      </c>
      <c r="B680" s="17" t="n">
        <v>45803</v>
      </c>
      <c r="C680" s="4" t="n">
        <v>13</v>
      </c>
      <c r="D680" s="4" t="s">
        <v>64</v>
      </c>
      <c r="E680" s="4" t="s">
        <v>65</v>
      </c>
      <c r="F680" s="4" t="s">
        <v>94</v>
      </c>
      <c r="G680" s="4" t="n">
        <v>4</v>
      </c>
      <c r="H680" s="34" t="n">
        <v>150</v>
      </c>
      <c r="I680" s="18" t="n">
        <v>0.05</v>
      </c>
      <c r="J680" s="4" t="s">
        <v>81</v>
      </c>
      <c r="K680" s="4" t="s">
        <v>82</v>
      </c>
      <c r="L680" s="35" t="n">
        <f aca="false">G680*H680</f>
        <v>600</v>
      </c>
      <c r="M680" s="35" t="n">
        <f aca="false">L680*I680</f>
        <v>30</v>
      </c>
      <c r="N680" s="35" t="n">
        <f aca="false">L680-M680</f>
        <v>570</v>
      </c>
      <c r="O680" s="4" t="n">
        <f aca="false">MONTH(B680)</f>
        <v>5</v>
      </c>
      <c r="P680" s="4" t="str">
        <f aca="false">CHOOSE(WEEKDAY(B680,2),"Mon","Tue","Wed","Thu","Fri","Sat","Sun")</f>
        <v>Mon</v>
      </c>
      <c r="Q680" s="4" t="str">
        <f aca="false">IF(WEEKDAY(B680,2)&gt;5,"Weekend","Weekday")</f>
        <v>Weekday</v>
      </c>
      <c r="R680" s="4" t="str">
        <f aca="false">IF(C680&lt;11,"Morning (7-10)",IF(C680&lt;14,"Lunch (11-13)",IF(C680&lt;18,"Afternoon (14-17)","Evening (18-20)")))</f>
        <v>Lunch (11-13)</v>
      </c>
      <c r="S680" s="4" t="str">
        <f aca="false">IF(AND(O680&gt;=3,O680&lt;=5),"Hot Dry (Mar-May)",IF(AND(O680&gt;=6,O680&lt;=11),"Rainy (Jun-Nov)","Cool Dry (Dec-Feb)"))</f>
        <v>Hot Dry (Mar-May)</v>
      </c>
      <c r="T680" s="4" t="str">
        <f aca="false">CHOOSE(O680,"Jan","Feb","Mar","Apr","May","Jun","Jul","Aug","Sep","Oct","Nov","Dec")</f>
        <v>May</v>
      </c>
    </row>
    <row r="681" customFormat="false" ht="15" hidden="false" customHeight="false" outlineLevel="0" collapsed="false">
      <c r="A681" s="4" t="s">
        <v>933</v>
      </c>
      <c r="B681" s="17" t="n">
        <v>45803</v>
      </c>
      <c r="C681" s="4" t="n">
        <v>14</v>
      </c>
      <c r="D681" s="4" t="s">
        <v>70</v>
      </c>
      <c r="E681" s="4" t="s">
        <v>65</v>
      </c>
      <c r="F681" s="4" t="s">
        <v>87</v>
      </c>
      <c r="G681" s="4" t="n">
        <v>1</v>
      </c>
      <c r="H681" s="34" t="n">
        <v>160</v>
      </c>
      <c r="I681" s="18" t="n">
        <v>0.15</v>
      </c>
      <c r="J681" s="4" t="s">
        <v>112</v>
      </c>
      <c r="K681" s="4" t="s">
        <v>82</v>
      </c>
      <c r="L681" s="35" t="n">
        <f aca="false">G681*H681</f>
        <v>160</v>
      </c>
      <c r="M681" s="35" t="n">
        <f aca="false">L681*I681</f>
        <v>24</v>
      </c>
      <c r="N681" s="35" t="n">
        <f aca="false">L681-M681</f>
        <v>136</v>
      </c>
      <c r="O681" s="4" t="n">
        <f aca="false">MONTH(B681)</f>
        <v>5</v>
      </c>
      <c r="P681" s="4" t="str">
        <f aca="false">CHOOSE(WEEKDAY(B681,2),"Mon","Tue","Wed","Thu","Fri","Sat","Sun")</f>
        <v>Mon</v>
      </c>
      <c r="Q681" s="4" t="str">
        <f aca="false">IF(WEEKDAY(B681,2)&gt;5,"Weekend","Weekday")</f>
        <v>Weekday</v>
      </c>
      <c r="R681" s="4" t="str">
        <f aca="false">IF(C681&lt;11,"Morning (7-10)",IF(C681&lt;14,"Lunch (11-13)",IF(C681&lt;18,"Afternoon (14-17)","Evening (18-20)")))</f>
        <v>Afternoon (14-17)</v>
      </c>
      <c r="S681" s="4" t="str">
        <f aca="false">IF(AND(O681&gt;=3,O681&lt;=5),"Hot Dry (Mar-May)",IF(AND(O681&gt;=6,O681&lt;=11),"Rainy (Jun-Nov)","Cool Dry (Dec-Feb)"))</f>
        <v>Hot Dry (Mar-May)</v>
      </c>
      <c r="T681" s="4" t="str">
        <f aca="false">CHOOSE(O681,"Jan","Feb","Mar","Apr","May","Jun","Jul","Aug","Sep","Oct","Nov","Dec")</f>
        <v>May</v>
      </c>
    </row>
    <row r="682" customFormat="false" ht="15" hidden="false" customHeight="false" outlineLevel="0" collapsed="false">
      <c r="A682" s="4" t="s">
        <v>935</v>
      </c>
      <c r="B682" s="17" t="n">
        <v>45803</v>
      </c>
      <c r="C682" s="4" t="n">
        <v>14</v>
      </c>
      <c r="D682" s="4" t="s">
        <v>70</v>
      </c>
      <c r="E682" s="4" t="s">
        <v>79</v>
      </c>
      <c r="F682" s="4" t="s">
        <v>148</v>
      </c>
      <c r="G682" s="4" t="n">
        <v>1</v>
      </c>
      <c r="H682" s="34" t="n">
        <v>120</v>
      </c>
      <c r="I682" s="18" t="n">
        <v>0</v>
      </c>
      <c r="J682" s="4" t="s">
        <v>81</v>
      </c>
      <c r="K682" s="4" t="s">
        <v>77</v>
      </c>
      <c r="L682" s="35" t="n">
        <f aca="false">G682*H682</f>
        <v>120</v>
      </c>
      <c r="M682" s="35" t="n">
        <f aca="false">L682*I682</f>
        <v>0</v>
      </c>
      <c r="N682" s="35" t="n">
        <f aca="false">L682-M682</f>
        <v>120</v>
      </c>
      <c r="O682" s="4" t="n">
        <f aca="false">MONTH(B682)</f>
        <v>5</v>
      </c>
      <c r="P682" s="4" t="str">
        <f aca="false">CHOOSE(WEEKDAY(B682,2),"Mon","Tue","Wed","Thu","Fri","Sat","Sun")</f>
        <v>Mon</v>
      </c>
      <c r="Q682" s="4" t="str">
        <f aca="false">IF(WEEKDAY(B682,2)&gt;5,"Weekend","Weekday")</f>
        <v>Weekday</v>
      </c>
      <c r="R682" s="4" t="str">
        <f aca="false">IF(C682&lt;11,"Morning (7-10)",IF(C682&lt;14,"Lunch (11-13)",IF(C682&lt;18,"Afternoon (14-17)","Evening (18-20)")))</f>
        <v>Afternoon (14-17)</v>
      </c>
      <c r="S682" s="4" t="str">
        <f aca="false">IF(AND(O682&gt;=3,O682&lt;=5),"Hot Dry (Mar-May)",IF(AND(O682&gt;=6,O682&lt;=11),"Rainy (Jun-Nov)","Cool Dry (Dec-Feb)"))</f>
        <v>Hot Dry (Mar-May)</v>
      </c>
      <c r="T682" s="4" t="str">
        <f aca="false">CHOOSE(O682,"Jan","Feb","Mar","Apr","May","Jun","Jul","Aug","Sep","Oct","Nov","Dec")</f>
        <v>May</v>
      </c>
    </row>
    <row r="683" customFormat="false" ht="15" hidden="false" customHeight="false" outlineLevel="0" collapsed="false">
      <c r="A683" s="4" t="s">
        <v>936</v>
      </c>
      <c r="B683" s="17" t="n">
        <v>45803</v>
      </c>
      <c r="C683" s="4" t="n">
        <v>17</v>
      </c>
      <c r="D683" s="4" t="s">
        <v>64</v>
      </c>
      <c r="E683" s="4" t="s">
        <v>74</v>
      </c>
      <c r="F683" s="4" t="s">
        <v>91</v>
      </c>
      <c r="G683" s="4" t="n">
        <v>1</v>
      </c>
      <c r="H683" s="34" t="n">
        <v>200</v>
      </c>
      <c r="I683" s="18" t="n">
        <v>0</v>
      </c>
      <c r="J683" s="4" t="s">
        <v>67</v>
      </c>
      <c r="K683" s="4" t="s">
        <v>68</v>
      </c>
      <c r="L683" s="35" t="n">
        <f aca="false">G683*H683</f>
        <v>200</v>
      </c>
      <c r="M683" s="35" t="n">
        <f aca="false">L683*I683</f>
        <v>0</v>
      </c>
      <c r="N683" s="35" t="n">
        <f aca="false">L683-M683</f>
        <v>200</v>
      </c>
      <c r="O683" s="4" t="n">
        <f aca="false">MONTH(B683)</f>
        <v>5</v>
      </c>
      <c r="P683" s="4" t="str">
        <f aca="false">CHOOSE(WEEKDAY(B683,2),"Mon","Tue","Wed","Thu","Fri","Sat","Sun")</f>
        <v>Mon</v>
      </c>
      <c r="Q683" s="4" t="str">
        <f aca="false">IF(WEEKDAY(B683,2)&gt;5,"Weekend","Weekday")</f>
        <v>Weekday</v>
      </c>
      <c r="R683" s="4" t="str">
        <f aca="false">IF(C683&lt;11,"Morning (7-10)",IF(C683&lt;14,"Lunch (11-13)",IF(C683&lt;18,"Afternoon (14-17)","Evening (18-20)")))</f>
        <v>Afternoon (14-17)</v>
      </c>
      <c r="S683" s="4" t="str">
        <f aca="false">IF(AND(O683&gt;=3,O683&lt;=5),"Hot Dry (Mar-May)",IF(AND(O683&gt;=6,O683&lt;=11),"Rainy (Jun-Nov)","Cool Dry (Dec-Feb)"))</f>
        <v>Hot Dry (Mar-May)</v>
      </c>
      <c r="T683" s="4" t="str">
        <f aca="false">CHOOSE(O683,"Jan","Feb","Mar","Apr","May","Jun","Jul","Aug","Sep","Oct","Nov","Dec")</f>
        <v>May</v>
      </c>
    </row>
    <row r="684" customFormat="false" ht="15" hidden="false" customHeight="false" outlineLevel="0" collapsed="false">
      <c r="A684" s="4" t="s">
        <v>939</v>
      </c>
      <c r="B684" s="17" t="n">
        <v>45804</v>
      </c>
      <c r="C684" s="4" t="n">
        <v>13</v>
      </c>
      <c r="D684" s="4" t="s">
        <v>73</v>
      </c>
      <c r="E684" s="4" t="s">
        <v>65</v>
      </c>
      <c r="F684" s="4" t="s">
        <v>94</v>
      </c>
      <c r="G684" s="4" t="n">
        <v>2</v>
      </c>
      <c r="H684" s="34" t="n">
        <v>150</v>
      </c>
      <c r="I684" s="18" t="n">
        <v>0</v>
      </c>
      <c r="J684" s="4" t="s">
        <v>76</v>
      </c>
      <c r="K684" s="4" t="s">
        <v>68</v>
      </c>
      <c r="L684" s="35" t="n">
        <f aca="false">G684*H684</f>
        <v>300</v>
      </c>
      <c r="M684" s="35" t="n">
        <f aca="false">L684*I684</f>
        <v>0</v>
      </c>
      <c r="N684" s="35" t="n">
        <f aca="false">L684-M684</f>
        <v>300</v>
      </c>
      <c r="O684" s="4" t="n">
        <f aca="false">MONTH(B684)</f>
        <v>5</v>
      </c>
      <c r="P684" s="4" t="str">
        <f aca="false">CHOOSE(WEEKDAY(B684,2),"Mon","Tue","Wed","Thu","Fri","Sat","Sun")</f>
        <v>Tue</v>
      </c>
      <c r="Q684" s="4" t="str">
        <f aca="false">IF(WEEKDAY(B684,2)&gt;5,"Weekend","Weekday")</f>
        <v>Weekday</v>
      </c>
      <c r="R684" s="4" t="str">
        <f aca="false">IF(C684&lt;11,"Morning (7-10)",IF(C684&lt;14,"Lunch (11-13)",IF(C684&lt;18,"Afternoon (14-17)","Evening (18-20)")))</f>
        <v>Lunch (11-13)</v>
      </c>
      <c r="S684" s="4" t="str">
        <f aca="false">IF(AND(O684&gt;=3,O684&lt;=5),"Hot Dry (Mar-May)",IF(AND(O684&gt;=6,O684&lt;=11),"Rainy (Jun-Nov)","Cool Dry (Dec-Feb)"))</f>
        <v>Hot Dry (Mar-May)</v>
      </c>
      <c r="T684" s="4" t="str">
        <f aca="false">CHOOSE(O684,"Jan","Feb","Mar","Apr","May","Jun","Jul","Aug","Sep","Oct","Nov","Dec")</f>
        <v>May</v>
      </c>
    </row>
    <row r="685" customFormat="false" ht="15" hidden="false" customHeight="false" outlineLevel="0" collapsed="false">
      <c r="A685" s="4" t="s">
        <v>940</v>
      </c>
      <c r="B685" s="17" t="n">
        <v>45804</v>
      </c>
      <c r="C685" s="4" t="n">
        <v>13</v>
      </c>
      <c r="D685" s="4" t="s">
        <v>73</v>
      </c>
      <c r="E685" s="4" t="s">
        <v>65</v>
      </c>
      <c r="F685" s="4" t="s">
        <v>87</v>
      </c>
      <c r="G685" s="4" t="n">
        <v>3</v>
      </c>
      <c r="H685" s="34" t="n">
        <v>160</v>
      </c>
      <c r="I685" s="18" t="n">
        <v>0.1</v>
      </c>
      <c r="J685" s="4" t="s">
        <v>67</v>
      </c>
      <c r="K685" s="4" t="s">
        <v>71</v>
      </c>
      <c r="L685" s="35" t="n">
        <f aca="false">G685*H685</f>
        <v>480</v>
      </c>
      <c r="M685" s="35" t="n">
        <f aca="false">L685*I685</f>
        <v>48</v>
      </c>
      <c r="N685" s="35" t="n">
        <f aca="false">L685-M685</f>
        <v>432</v>
      </c>
      <c r="O685" s="4" t="n">
        <f aca="false">MONTH(B685)</f>
        <v>5</v>
      </c>
      <c r="P685" s="4" t="str">
        <f aca="false">CHOOSE(WEEKDAY(B685,2),"Mon","Tue","Wed","Thu","Fri","Sat","Sun")</f>
        <v>Tue</v>
      </c>
      <c r="Q685" s="4" t="str">
        <f aca="false">IF(WEEKDAY(B685,2)&gt;5,"Weekend","Weekday")</f>
        <v>Weekday</v>
      </c>
      <c r="R685" s="4" t="str">
        <f aca="false">IF(C685&lt;11,"Morning (7-10)",IF(C685&lt;14,"Lunch (11-13)",IF(C685&lt;18,"Afternoon (14-17)","Evening (18-20)")))</f>
        <v>Lunch (11-13)</v>
      </c>
      <c r="S685" s="4" t="str">
        <f aca="false">IF(AND(O685&gt;=3,O685&lt;=5),"Hot Dry (Mar-May)",IF(AND(O685&gt;=6,O685&lt;=11),"Rainy (Jun-Nov)","Cool Dry (Dec-Feb)"))</f>
        <v>Hot Dry (Mar-May)</v>
      </c>
      <c r="T685" s="4" t="str">
        <f aca="false">CHOOSE(O685,"Jan","Feb","Mar","Apr","May","Jun","Jul","Aug","Sep","Oct","Nov","Dec")</f>
        <v>May</v>
      </c>
    </row>
    <row r="686" customFormat="false" ht="15" hidden="false" customHeight="false" outlineLevel="0" collapsed="false">
      <c r="A686" s="4" t="s">
        <v>941</v>
      </c>
      <c r="B686" s="17" t="n">
        <v>45804</v>
      </c>
      <c r="C686" s="4" t="n">
        <v>16</v>
      </c>
      <c r="D686" s="4" t="s">
        <v>64</v>
      </c>
      <c r="E686" s="4" t="s">
        <v>84</v>
      </c>
      <c r="F686" s="4" t="s">
        <v>114</v>
      </c>
      <c r="G686" s="4" t="n">
        <v>3</v>
      </c>
      <c r="H686" s="34" t="n">
        <v>85</v>
      </c>
      <c r="I686" s="18" t="n">
        <v>0</v>
      </c>
      <c r="J686" s="4" t="s">
        <v>67</v>
      </c>
      <c r="K686" s="4" t="s">
        <v>68</v>
      </c>
      <c r="L686" s="35" t="n">
        <f aca="false">G686*H686</f>
        <v>255</v>
      </c>
      <c r="M686" s="35" t="n">
        <f aca="false">L686*I686</f>
        <v>0</v>
      </c>
      <c r="N686" s="35" t="n">
        <f aca="false">L686-M686</f>
        <v>255</v>
      </c>
      <c r="O686" s="4" t="n">
        <f aca="false">MONTH(B686)</f>
        <v>5</v>
      </c>
      <c r="P686" s="4" t="str">
        <f aca="false">CHOOSE(WEEKDAY(B686,2),"Mon","Tue","Wed","Thu","Fri","Sat","Sun")</f>
        <v>Tue</v>
      </c>
      <c r="Q686" s="4" t="str">
        <f aca="false">IF(WEEKDAY(B686,2)&gt;5,"Weekend","Weekday")</f>
        <v>Weekday</v>
      </c>
      <c r="R686" s="4" t="str">
        <f aca="false">IF(C686&lt;11,"Morning (7-10)",IF(C686&lt;14,"Lunch (11-13)",IF(C686&lt;18,"Afternoon (14-17)","Evening (18-20)")))</f>
        <v>Afternoon (14-17)</v>
      </c>
      <c r="S686" s="4" t="str">
        <f aca="false">IF(AND(O686&gt;=3,O686&lt;=5),"Hot Dry (Mar-May)",IF(AND(O686&gt;=6,O686&lt;=11),"Rainy (Jun-Nov)","Cool Dry (Dec-Feb)"))</f>
        <v>Hot Dry (Mar-May)</v>
      </c>
      <c r="T686" s="4" t="str">
        <f aca="false">CHOOSE(O686,"Jan","Feb","Mar","Apr","May","Jun","Jul","Aug","Sep","Oct","Nov","Dec")</f>
        <v>May</v>
      </c>
    </row>
    <row r="687" customFormat="false" ht="15" hidden="false" customHeight="false" outlineLevel="0" collapsed="false">
      <c r="A687" s="4" t="s">
        <v>942</v>
      </c>
      <c r="B687" s="17" t="n">
        <v>45804</v>
      </c>
      <c r="C687" s="4" t="n">
        <v>18</v>
      </c>
      <c r="D687" s="4" t="s">
        <v>70</v>
      </c>
      <c r="E687" s="4" t="s">
        <v>65</v>
      </c>
      <c r="F687" s="4" t="s">
        <v>87</v>
      </c>
      <c r="G687" s="4" t="n">
        <v>1</v>
      </c>
      <c r="H687" s="34" t="n">
        <v>160</v>
      </c>
      <c r="I687" s="18" t="n">
        <v>0</v>
      </c>
      <c r="J687" s="4" t="s">
        <v>81</v>
      </c>
      <c r="K687" s="4" t="s">
        <v>77</v>
      </c>
      <c r="L687" s="35" t="n">
        <f aca="false">G687*H687</f>
        <v>160</v>
      </c>
      <c r="M687" s="35" t="n">
        <f aca="false">L687*I687</f>
        <v>0</v>
      </c>
      <c r="N687" s="35" t="n">
        <f aca="false">L687-M687</f>
        <v>160</v>
      </c>
      <c r="O687" s="4" t="n">
        <f aca="false">MONTH(B687)</f>
        <v>5</v>
      </c>
      <c r="P687" s="4" t="str">
        <f aca="false">CHOOSE(WEEKDAY(B687,2),"Mon","Tue","Wed","Thu","Fri","Sat","Sun")</f>
        <v>Tue</v>
      </c>
      <c r="Q687" s="4" t="str">
        <f aca="false">IF(WEEKDAY(B687,2)&gt;5,"Weekend","Weekday")</f>
        <v>Weekday</v>
      </c>
      <c r="R687" s="4" t="str">
        <f aca="false">IF(C687&lt;11,"Morning (7-10)",IF(C687&lt;14,"Lunch (11-13)",IF(C687&lt;18,"Afternoon (14-17)","Evening (18-20)")))</f>
        <v>Evening (18-20)</v>
      </c>
      <c r="S687" s="4" t="str">
        <f aca="false">IF(AND(O687&gt;=3,O687&lt;=5),"Hot Dry (Mar-May)",IF(AND(O687&gt;=6,O687&lt;=11),"Rainy (Jun-Nov)","Cool Dry (Dec-Feb)"))</f>
        <v>Hot Dry (Mar-May)</v>
      </c>
      <c r="T687" s="4" t="str">
        <f aca="false">CHOOSE(O687,"Jan","Feb","Mar","Apr","May","Jun","Jul","Aug","Sep","Oct","Nov","Dec")</f>
        <v>May</v>
      </c>
    </row>
    <row r="688" customFormat="false" ht="15" hidden="false" customHeight="false" outlineLevel="0" collapsed="false">
      <c r="A688" s="4" t="s">
        <v>943</v>
      </c>
      <c r="B688" s="17" t="n">
        <v>45805</v>
      </c>
      <c r="C688" s="4" t="n">
        <v>7</v>
      </c>
      <c r="D688" s="4" t="s">
        <v>73</v>
      </c>
      <c r="E688" s="4" t="s">
        <v>84</v>
      </c>
      <c r="F688" s="4" t="s">
        <v>85</v>
      </c>
      <c r="G688" s="4" t="n">
        <v>4</v>
      </c>
      <c r="H688" s="34" t="n">
        <v>150</v>
      </c>
      <c r="I688" s="18" t="n">
        <v>0</v>
      </c>
      <c r="J688" s="4" t="s">
        <v>67</v>
      </c>
      <c r="K688" s="4" t="s">
        <v>68</v>
      </c>
      <c r="L688" s="35" t="n">
        <f aca="false">G688*H688</f>
        <v>600</v>
      </c>
      <c r="M688" s="35" t="n">
        <f aca="false">L688*I688</f>
        <v>0</v>
      </c>
      <c r="N688" s="35" t="n">
        <f aca="false">L688-M688</f>
        <v>600</v>
      </c>
      <c r="O688" s="4" t="n">
        <f aca="false">MONTH(B688)</f>
        <v>5</v>
      </c>
      <c r="P688" s="4" t="str">
        <f aca="false">CHOOSE(WEEKDAY(B688,2),"Mon","Tue","Wed","Thu","Fri","Sat","Sun")</f>
        <v>Wed</v>
      </c>
      <c r="Q688" s="4" t="str">
        <f aca="false">IF(WEEKDAY(B688,2)&gt;5,"Weekend","Weekday")</f>
        <v>Weekday</v>
      </c>
      <c r="R688" s="4" t="str">
        <f aca="false">IF(C688&lt;11,"Morning (7-10)",IF(C688&lt;14,"Lunch (11-13)",IF(C688&lt;18,"Afternoon (14-17)","Evening (18-20)")))</f>
        <v>Morning (7-10)</v>
      </c>
      <c r="S688" s="4" t="str">
        <f aca="false">IF(AND(O688&gt;=3,O688&lt;=5),"Hot Dry (Mar-May)",IF(AND(O688&gt;=6,O688&lt;=11),"Rainy (Jun-Nov)","Cool Dry (Dec-Feb)"))</f>
        <v>Hot Dry (Mar-May)</v>
      </c>
      <c r="T688" s="4" t="str">
        <f aca="false">CHOOSE(O688,"Jan","Feb","Mar","Apr","May","Jun","Jul","Aug","Sep","Oct","Nov","Dec")</f>
        <v>May</v>
      </c>
    </row>
    <row r="689" customFormat="false" ht="15" hidden="false" customHeight="false" outlineLevel="0" collapsed="false">
      <c r="A689" s="4" t="s">
        <v>944</v>
      </c>
      <c r="B689" s="17" t="n">
        <v>45805</v>
      </c>
      <c r="C689" s="4" t="n">
        <v>8</v>
      </c>
      <c r="D689" s="4" t="s">
        <v>70</v>
      </c>
      <c r="E689" s="4" t="s">
        <v>99</v>
      </c>
      <c r="F689" s="4" t="s">
        <v>133</v>
      </c>
      <c r="G689" s="4" t="n">
        <v>3</v>
      </c>
      <c r="H689" s="34" t="n">
        <v>90</v>
      </c>
      <c r="I689" s="18" t="n">
        <v>0.05</v>
      </c>
      <c r="J689" s="4" t="s">
        <v>81</v>
      </c>
      <c r="K689" s="4" t="s">
        <v>82</v>
      </c>
      <c r="L689" s="35" t="n">
        <f aca="false">G689*H689</f>
        <v>270</v>
      </c>
      <c r="M689" s="35" t="n">
        <f aca="false">L689*I689</f>
        <v>13.5</v>
      </c>
      <c r="N689" s="35" t="n">
        <f aca="false">L689-M689</f>
        <v>256.5</v>
      </c>
      <c r="O689" s="4" t="n">
        <f aca="false">MONTH(B689)</f>
        <v>5</v>
      </c>
      <c r="P689" s="4" t="str">
        <f aca="false">CHOOSE(WEEKDAY(B689,2),"Mon","Tue","Wed","Thu","Fri","Sat","Sun")</f>
        <v>Wed</v>
      </c>
      <c r="Q689" s="4" t="str">
        <f aca="false">IF(WEEKDAY(B689,2)&gt;5,"Weekend","Weekday")</f>
        <v>Weekday</v>
      </c>
      <c r="R689" s="4" t="str">
        <f aca="false">IF(C689&lt;11,"Morning (7-10)",IF(C689&lt;14,"Lunch (11-13)",IF(C689&lt;18,"Afternoon (14-17)","Evening (18-20)")))</f>
        <v>Morning (7-10)</v>
      </c>
      <c r="S689" s="4" t="str">
        <f aca="false">IF(AND(O689&gt;=3,O689&lt;=5),"Hot Dry (Mar-May)",IF(AND(O689&gt;=6,O689&lt;=11),"Rainy (Jun-Nov)","Cool Dry (Dec-Feb)"))</f>
        <v>Hot Dry (Mar-May)</v>
      </c>
      <c r="T689" s="4" t="str">
        <f aca="false">CHOOSE(O689,"Jan","Feb","Mar","Apr","May","Jun","Jul","Aug","Sep","Oct","Nov","Dec")</f>
        <v>May</v>
      </c>
    </row>
    <row r="690" customFormat="false" ht="15" hidden="false" customHeight="false" outlineLevel="0" collapsed="false">
      <c r="A690" s="4" t="s">
        <v>947</v>
      </c>
      <c r="B690" s="17" t="n">
        <v>45805</v>
      </c>
      <c r="C690" s="4" t="n">
        <v>9</v>
      </c>
      <c r="D690" s="4" t="s">
        <v>70</v>
      </c>
      <c r="E690" s="4" t="s">
        <v>65</v>
      </c>
      <c r="F690" s="4" t="s">
        <v>94</v>
      </c>
      <c r="G690" s="4" t="n">
        <v>2</v>
      </c>
      <c r="H690" s="34" t="n">
        <v>150</v>
      </c>
      <c r="I690" s="18" t="n">
        <v>0</v>
      </c>
      <c r="J690" s="4" t="s">
        <v>67</v>
      </c>
      <c r="K690" s="4" t="s">
        <v>68</v>
      </c>
      <c r="L690" s="35" t="n">
        <f aca="false">G690*H690</f>
        <v>300</v>
      </c>
      <c r="M690" s="35" t="n">
        <f aca="false">L690*I690</f>
        <v>0</v>
      </c>
      <c r="N690" s="35" t="n">
        <f aca="false">L690-M690</f>
        <v>300</v>
      </c>
      <c r="O690" s="4" t="n">
        <f aca="false">MONTH(B690)</f>
        <v>5</v>
      </c>
      <c r="P690" s="4" t="str">
        <f aca="false">CHOOSE(WEEKDAY(B690,2),"Mon","Tue","Wed","Thu","Fri","Sat","Sun")</f>
        <v>Wed</v>
      </c>
      <c r="Q690" s="4" t="str">
        <f aca="false">IF(WEEKDAY(B690,2)&gt;5,"Weekend","Weekday")</f>
        <v>Weekday</v>
      </c>
      <c r="R690" s="4" t="str">
        <f aca="false">IF(C690&lt;11,"Morning (7-10)",IF(C690&lt;14,"Lunch (11-13)",IF(C690&lt;18,"Afternoon (14-17)","Evening (18-20)")))</f>
        <v>Morning (7-10)</v>
      </c>
      <c r="S690" s="4" t="str">
        <f aca="false">IF(AND(O690&gt;=3,O690&lt;=5),"Hot Dry (Mar-May)",IF(AND(O690&gt;=6,O690&lt;=11),"Rainy (Jun-Nov)","Cool Dry (Dec-Feb)"))</f>
        <v>Hot Dry (Mar-May)</v>
      </c>
      <c r="T690" s="4" t="str">
        <f aca="false">CHOOSE(O690,"Jan","Feb","Mar","Apr","May","Jun","Jul","Aug","Sep","Oct","Nov","Dec")</f>
        <v>May</v>
      </c>
    </row>
    <row r="691" customFormat="false" ht="15" hidden="false" customHeight="false" outlineLevel="0" collapsed="false">
      <c r="A691" s="4" t="s">
        <v>949</v>
      </c>
      <c r="B691" s="17" t="n">
        <v>45805</v>
      </c>
      <c r="C691" s="4" t="n">
        <v>9</v>
      </c>
      <c r="D691" s="4" t="s">
        <v>70</v>
      </c>
      <c r="E691" s="4" t="s">
        <v>84</v>
      </c>
      <c r="F691" s="4" t="s">
        <v>85</v>
      </c>
      <c r="G691" s="4" t="n">
        <v>1</v>
      </c>
      <c r="H691" s="34" t="n">
        <v>150</v>
      </c>
      <c r="I691" s="18" t="n">
        <v>0.05</v>
      </c>
      <c r="J691" s="4" t="s">
        <v>67</v>
      </c>
      <c r="K691" s="4" t="s">
        <v>82</v>
      </c>
      <c r="L691" s="35" t="n">
        <f aca="false">G691*H691</f>
        <v>150</v>
      </c>
      <c r="M691" s="35" t="n">
        <f aca="false">L691*I691</f>
        <v>7.5</v>
      </c>
      <c r="N691" s="35" t="n">
        <f aca="false">L691-M691</f>
        <v>142.5</v>
      </c>
      <c r="O691" s="4" t="n">
        <f aca="false">MONTH(B691)</f>
        <v>5</v>
      </c>
      <c r="P691" s="4" t="str">
        <f aca="false">CHOOSE(WEEKDAY(B691,2),"Mon","Tue","Wed","Thu","Fri","Sat","Sun")</f>
        <v>Wed</v>
      </c>
      <c r="Q691" s="4" t="str">
        <f aca="false">IF(WEEKDAY(B691,2)&gt;5,"Weekend","Weekday")</f>
        <v>Weekday</v>
      </c>
      <c r="R691" s="4" t="str">
        <f aca="false">IF(C691&lt;11,"Morning (7-10)",IF(C691&lt;14,"Lunch (11-13)",IF(C691&lt;18,"Afternoon (14-17)","Evening (18-20)")))</f>
        <v>Morning (7-10)</v>
      </c>
      <c r="S691" s="4" t="str">
        <f aca="false">IF(AND(O691&gt;=3,O691&lt;=5),"Hot Dry (Mar-May)",IF(AND(O691&gt;=6,O691&lt;=11),"Rainy (Jun-Nov)","Cool Dry (Dec-Feb)"))</f>
        <v>Hot Dry (Mar-May)</v>
      </c>
      <c r="T691" s="4" t="str">
        <f aca="false">CHOOSE(O691,"Jan","Feb","Mar","Apr","May","Jun","Jul","Aug","Sep","Oct","Nov","Dec")</f>
        <v>May</v>
      </c>
    </row>
    <row r="692" customFormat="false" ht="15" hidden="false" customHeight="false" outlineLevel="0" collapsed="false">
      <c r="A692" s="4" t="s">
        <v>951</v>
      </c>
      <c r="B692" s="17" t="n">
        <v>45805</v>
      </c>
      <c r="C692" s="4" t="n">
        <v>11</v>
      </c>
      <c r="D692" s="4" t="s">
        <v>64</v>
      </c>
      <c r="E692" s="4" t="s">
        <v>65</v>
      </c>
      <c r="F692" s="4" t="s">
        <v>94</v>
      </c>
      <c r="G692" s="4" t="n">
        <v>1</v>
      </c>
      <c r="H692" s="34" t="n">
        <v>150</v>
      </c>
      <c r="I692" s="18" t="n">
        <v>0.05</v>
      </c>
      <c r="J692" s="4" t="s">
        <v>81</v>
      </c>
      <c r="K692" s="4" t="s">
        <v>82</v>
      </c>
      <c r="L692" s="35" t="n">
        <f aca="false">G692*H692</f>
        <v>150</v>
      </c>
      <c r="M692" s="35" t="n">
        <f aca="false">L692*I692</f>
        <v>7.5</v>
      </c>
      <c r="N692" s="35" t="n">
        <f aca="false">L692-M692</f>
        <v>142.5</v>
      </c>
      <c r="O692" s="4" t="n">
        <f aca="false">MONTH(B692)</f>
        <v>5</v>
      </c>
      <c r="P692" s="4" t="str">
        <f aca="false">CHOOSE(WEEKDAY(B692,2),"Mon","Tue","Wed","Thu","Fri","Sat","Sun")</f>
        <v>Wed</v>
      </c>
      <c r="Q692" s="4" t="str">
        <f aca="false">IF(WEEKDAY(B692,2)&gt;5,"Weekend","Weekday")</f>
        <v>Weekday</v>
      </c>
      <c r="R692" s="4" t="str">
        <f aca="false">IF(C692&lt;11,"Morning (7-10)",IF(C692&lt;14,"Lunch (11-13)",IF(C692&lt;18,"Afternoon (14-17)","Evening (18-20)")))</f>
        <v>Lunch (11-13)</v>
      </c>
      <c r="S692" s="4" t="str">
        <f aca="false">IF(AND(O692&gt;=3,O692&lt;=5),"Hot Dry (Mar-May)",IF(AND(O692&gt;=6,O692&lt;=11),"Rainy (Jun-Nov)","Cool Dry (Dec-Feb)"))</f>
        <v>Hot Dry (Mar-May)</v>
      </c>
      <c r="T692" s="4" t="str">
        <f aca="false">CHOOSE(O692,"Jan","Feb","Mar","Apr","May","Jun","Jul","Aug","Sep","Oct","Nov","Dec")</f>
        <v>May</v>
      </c>
    </row>
    <row r="693" customFormat="false" ht="15" hidden="false" customHeight="false" outlineLevel="0" collapsed="false">
      <c r="A693" s="4" t="s">
        <v>952</v>
      </c>
      <c r="B693" s="17" t="n">
        <v>45805</v>
      </c>
      <c r="C693" s="4" t="n">
        <v>12</v>
      </c>
      <c r="D693" s="4" t="s">
        <v>98</v>
      </c>
      <c r="E693" s="4" t="s">
        <v>65</v>
      </c>
      <c r="F693" s="4" t="s">
        <v>121</v>
      </c>
      <c r="G693" s="4" t="n">
        <v>1</v>
      </c>
      <c r="H693" s="34" t="n">
        <v>170</v>
      </c>
      <c r="I693" s="18" t="n">
        <v>0.1</v>
      </c>
      <c r="J693" s="4" t="s">
        <v>76</v>
      </c>
      <c r="K693" s="4" t="s">
        <v>71</v>
      </c>
      <c r="L693" s="35" t="n">
        <f aca="false">G693*H693</f>
        <v>170</v>
      </c>
      <c r="M693" s="35" t="n">
        <f aca="false">L693*I693</f>
        <v>17</v>
      </c>
      <c r="N693" s="35" t="n">
        <f aca="false">L693-M693</f>
        <v>153</v>
      </c>
      <c r="O693" s="4" t="n">
        <f aca="false">MONTH(B693)</f>
        <v>5</v>
      </c>
      <c r="P693" s="4" t="str">
        <f aca="false">CHOOSE(WEEKDAY(B693,2),"Mon","Tue","Wed","Thu","Fri","Sat","Sun")</f>
        <v>Wed</v>
      </c>
      <c r="Q693" s="4" t="str">
        <f aca="false">IF(WEEKDAY(B693,2)&gt;5,"Weekend","Weekday")</f>
        <v>Weekday</v>
      </c>
      <c r="R693" s="4" t="str">
        <f aca="false">IF(C693&lt;11,"Morning (7-10)",IF(C693&lt;14,"Lunch (11-13)",IF(C693&lt;18,"Afternoon (14-17)","Evening (18-20)")))</f>
        <v>Lunch (11-13)</v>
      </c>
      <c r="S693" s="4" t="str">
        <f aca="false">IF(AND(O693&gt;=3,O693&lt;=5),"Hot Dry (Mar-May)",IF(AND(O693&gt;=6,O693&lt;=11),"Rainy (Jun-Nov)","Cool Dry (Dec-Feb)"))</f>
        <v>Hot Dry (Mar-May)</v>
      </c>
      <c r="T693" s="4" t="str">
        <f aca="false">CHOOSE(O693,"Jan","Feb","Mar","Apr","May","Jun","Jul","Aug","Sep","Oct","Nov","Dec")</f>
        <v>May</v>
      </c>
    </row>
    <row r="694" customFormat="false" ht="15" hidden="false" customHeight="false" outlineLevel="0" collapsed="false">
      <c r="A694" s="4" t="s">
        <v>953</v>
      </c>
      <c r="B694" s="17" t="n">
        <v>45805</v>
      </c>
      <c r="C694" s="4" t="n">
        <v>13</v>
      </c>
      <c r="D694" s="4" t="s">
        <v>98</v>
      </c>
      <c r="E694" s="4" t="s">
        <v>79</v>
      </c>
      <c r="F694" s="4" t="s">
        <v>80</v>
      </c>
      <c r="G694" s="4" t="n">
        <v>2</v>
      </c>
      <c r="H694" s="34" t="n">
        <v>160</v>
      </c>
      <c r="I694" s="18" t="n">
        <v>0</v>
      </c>
      <c r="J694" s="4" t="s">
        <v>112</v>
      </c>
      <c r="K694" s="4" t="s">
        <v>68</v>
      </c>
      <c r="L694" s="35" t="n">
        <f aca="false">G694*H694</f>
        <v>320</v>
      </c>
      <c r="M694" s="35" t="n">
        <f aca="false">L694*I694</f>
        <v>0</v>
      </c>
      <c r="N694" s="35" t="n">
        <f aca="false">L694-M694</f>
        <v>320</v>
      </c>
      <c r="O694" s="4" t="n">
        <f aca="false">MONTH(B694)</f>
        <v>5</v>
      </c>
      <c r="P694" s="4" t="str">
        <f aca="false">CHOOSE(WEEKDAY(B694,2),"Mon","Tue","Wed","Thu","Fri","Sat","Sun")</f>
        <v>Wed</v>
      </c>
      <c r="Q694" s="4" t="str">
        <f aca="false">IF(WEEKDAY(B694,2)&gt;5,"Weekend","Weekday")</f>
        <v>Weekday</v>
      </c>
      <c r="R694" s="4" t="str">
        <f aca="false">IF(C694&lt;11,"Morning (7-10)",IF(C694&lt;14,"Lunch (11-13)",IF(C694&lt;18,"Afternoon (14-17)","Evening (18-20)")))</f>
        <v>Lunch (11-13)</v>
      </c>
      <c r="S694" s="4" t="str">
        <f aca="false">IF(AND(O694&gt;=3,O694&lt;=5),"Hot Dry (Mar-May)",IF(AND(O694&gt;=6,O694&lt;=11),"Rainy (Jun-Nov)","Cool Dry (Dec-Feb)"))</f>
        <v>Hot Dry (Mar-May)</v>
      </c>
      <c r="T694" s="4" t="str">
        <f aca="false">CHOOSE(O694,"Jan","Feb","Mar","Apr","May","Jun","Jul","Aug","Sep","Oct","Nov","Dec")</f>
        <v>May</v>
      </c>
    </row>
    <row r="695" customFormat="false" ht="15" hidden="false" customHeight="false" outlineLevel="0" collapsed="false">
      <c r="A695" s="4" t="s">
        <v>954</v>
      </c>
      <c r="B695" s="17" t="n">
        <v>45805</v>
      </c>
      <c r="C695" s="4" t="n">
        <v>14</v>
      </c>
      <c r="D695" s="4" t="s">
        <v>64</v>
      </c>
      <c r="E695" s="4" t="s">
        <v>65</v>
      </c>
      <c r="F695" s="4" t="s">
        <v>121</v>
      </c>
      <c r="G695" s="4" t="n">
        <v>2</v>
      </c>
      <c r="H695" s="34" t="n">
        <v>170</v>
      </c>
      <c r="I695" s="18" t="n">
        <v>0.1</v>
      </c>
      <c r="J695" s="4" t="s">
        <v>67</v>
      </c>
      <c r="K695" s="4" t="s">
        <v>71</v>
      </c>
      <c r="L695" s="35" t="n">
        <f aca="false">G695*H695</f>
        <v>340</v>
      </c>
      <c r="M695" s="35" t="n">
        <f aca="false">L695*I695</f>
        <v>34</v>
      </c>
      <c r="N695" s="35" t="n">
        <f aca="false">L695-M695</f>
        <v>306</v>
      </c>
      <c r="O695" s="4" t="n">
        <f aca="false">MONTH(B695)</f>
        <v>5</v>
      </c>
      <c r="P695" s="4" t="str">
        <f aca="false">CHOOSE(WEEKDAY(B695,2),"Mon","Tue","Wed","Thu","Fri","Sat","Sun")</f>
        <v>Wed</v>
      </c>
      <c r="Q695" s="4" t="str">
        <f aca="false">IF(WEEKDAY(B695,2)&gt;5,"Weekend","Weekday")</f>
        <v>Weekday</v>
      </c>
      <c r="R695" s="4" t="str">
        <f aca="false">IF(C695&lt;11,"Morning (7-10)",IF(C695&lt;14,"Lunch (11-13)",IF(C695&lt;18,"Afternoon (14-17)","Evening (18-20)")))</f>
        <v>Afternoon (14-17)</v>
      </c>
      <c r="S695" s="4" t="str">
        <f aca="false">IF(AND(O695&gt;=3,O695&lt;=5),"Hot Dry (Mar-May)",IF(AND(O695&gt;=6,O695&lt;=11),"Rainy (Jun-Nov)","Cool Dry (Dec-Feb)"))</f>
        <v>Hot Dry (Mar-May)</v>
      </c>
      <c r="T695" s="4" t="str">
        <f aca="false">CHOOSE(O695,"Jan","Feb","Mar","Apr","May","Jun","Jul","Aug","Sep","Oct","Nov","Dec")</f>
        <v>May</v>
      </c>
    </row>
    <row r="696" customFormat="false" ht="15" hidden="false" customHeight="false" outlineLevel="0" collapsed="false">
      <c r="A696" s="4" t="s">
        <v>955</v>
      </c>
      <c r="B696" s="17" t="n">
        <v>45806</v>
      </c>
      <c r="C696" s="4" t="n">
        <v>9</v>
      </c>
      <c r="D696" s="4" t="s">
        <v>70</v>
      </c>
      <c r="E696" s="4" t="s">
        <v>74</v>
      </c>
      <c r="F696" s="4" t="s">
        <v>75</v>
      </c>
      <c r="G696" s="4" t="n">
        <v>1</v>
      </c>
      <c r="H696" s="34" t="n">
        <v>220</v>
      </c>
      <c r="I696" s="18" t="n">
        <v>0.15</v>
      </c>
      <c r="J696" s="4" t="s">
        <v>67</v>
      </c>
      <c r="K696" s="4" t="s">
        <v>68</v>
      </c>
      <c r="L696" s="35" t="n">
        <f aca="false">G696*H696</f>
        <v>220</v>
      </c>
      <c r="M696" s="35" t="n">
        <f aca="false">L696*I696</f>
        <v>33</v>
      </c>
      <c r="N696" s="35" t="n">
        <f aca="false">L696-M696</f>
        <v>187</v>
      </c>
      <c r="O696" s="4" t="n">
        <f aca="false">MONTH(B696)</f>
        <v>5</v>
      </c>
      <c r="P696" s="4" t="str">
        <f aca="false">CHOOSE(WEEKDAY(B696,2),"Mon","Tue","Wed","Thu","Fri","Sat","Sun")</f>
        <v>Thu</v>
      </c>
      <c r="Q696" s="4" t="str">
        <f aca="false">IF(WEEKDAY(B696,2)&gt;5,"Weekend","Weekday")</f>
        <v>Weekday</v>
      </c>
      <c r="R696" s="4" t="str">
        <f aca="false">IF(C696&lt;11,"Morning (7-10)",IF(C696&lt;14,"Lunch (11-13)",IF(C696&lt;18,"Afternoon (14-17)","Evening (18-20)")))</f>
        <v>Morning (7-10)</v>
      </c>
      <c r="S696" s="4" t="str">
        <f aca="false">IF(AND(O696&gt;=3,O696&lt;=5),"Hot Dry (Mar-May)",IF(AND(O696&gt;=6,O696&lt;=11),"Rainy (Jun-Nov)","Cool Dry (Dec-Feb)"))</f>
        <v>Hot Dry (Mar-May)</v>
      </c>
      <c r="T696" s="4" t="str">
        <f aca="false">CHOOSE(O696,"Jan","Feb","Mar","Apr","May","Jun","Jul","Aug","Sep","Oct","Nov","Dec")</f>
        <v>May</v>
      </c>
    </row>
    <row r="697" customFormat="false" ht="15" hidden="false" customHeight="false" outlineLevel="0" collapsed="false">
      <c r="A697" s="4" t="s">
        <v>956</v>
      </c>
      <c r="B697" s="17" t="n">
        <v>45806</v>
      </c>
      <c r="C697" s="4" t="n">
        <v>9</v>
      </c>
      <c r="D697" s="4" t="s">
        <v>64</v>
      </c>
      <c r="E697" s="4" t="s">
        <v>74</v>
      </c>
      <c r="F697" s="4" t="s">
        <v>91</v>
      </c>
      <c r="G697" s="4" t="n">
        <v>1</v>
      </c>
      <c r="H697" s="34" t="n">
        <v>200</v>
      </c>
      <c r="I697" s="18" t="n">
        <v>0.15</v>
      </c>
      <c r="J697" s="4" t="s">
        <v>88</v>
      </c>
      <c r="K697" s="4" t="s">
        <v>77</v>
      </c>
      <c r="L697" s="35" t="n">
        <f aca="false">G697*H697</f>
        <v>200</v>
      </c>
      <c r="M697" s="35" t="n">
        <f aca="false">L697*I697</f>
        <v>30</v>
      </c>
      <c r="N697" s="35" t="n">
        <f aca="false">L697-M697</f>
        <v>170</v>
      </c>
      <c r="O697" s="4" t="n">
        <f aca="false">MONTH(B697)</f>
        <v>5</v>
      </c>
      <c r="P697" s="4" t="str">
        <f aca="false">CHOOSE(WEEKDAY(B697,2),"Mon","Tue","Wed","Thu","Fri","Sat","Sun")</f>
        <v>Thu</v>
      </c>
      <c r="Q697" s="4" t="str">
        <f aca="false">IF(WEEKDAY(B697,2)&gt;5,"Weekend","Weekday")</f>
        <v>Weekday</v>
      </c>
      <c r="R697" s="4" t="str">
        <f aca="false">IF(C697&lt;11,"Morning (7-10)",IF(C697&lt;14,"Lunch (11-13)",IF(C697&lt;18,"Afternoon (14-17)","Evening (18-20)")))</f>
        <v>Morning (7-10)</v>
      </c>
      <c r="S697" s="4" t="str">
        <f aca="false">IF(AND(O697&gt;=3,O697&lt;=5),"Hot Dry (Mar-May)",IF(AND(O697&gt;=6,O697&lt;=11),"Rainy (Jun-Nov)","Cool Dry (Dec-Feb)"))</f>
        <v>Hot Dry (Mar-May)</v>
      </c>
      <c r="T697" s="4" t="str">
        <f aca="false">CHOOSE(O697,"Jan","Feb","Mar","Apr","May","Jun","Jul","Aug","Sep","Oct","Nov","Dec")</f>
        <v>May</v>
      </c>
    </row>
    <row r="698" customFormat="false" ht="15" hidden="false" customHeight="false" outlineLevel="0" collapsed="false">
      <c r="A698" s="4" t="s">
        <v>959</v>
      </c>
      <c r="B698" s="17" t="n">
        <v>45806</v>
      </c>
      <c r="C698" s="4" t="n">
        <v>12</v>
      </c>
      <c r="D698" s="4" t="s">
        <v>70</v>
      </c>
      <c r="E698" s="4" t="s">
        <v>65</v>
      </c>
      <c r="F698" s="4" t="s">
        <v>87</v>
      </c>
      <c r="G698" s="4" t="n">
        <v>1</v>
      </c>
      <c r="H698" s="34" t="n">
        <v>160</v>
      </c>
      <c r="I698" s="18" t="n">
        <v>0.05</v>
      </c>
      <c r="J698" s="4" t="s">
        <v>67</v>
      </c>
      <c r="K698" s="4" t="s">
        <v>82</v>
      </c>
      <c r="L698" s="35" t="n">
        <f aca="false">G698*H698</f>
        <v>160</v>
      </c>
      <c r="M698" s="35" t="n">
        <f aca="false">L698*I698</f>
        <v>8</v>
      </c>
      <c r="N698" s="35" t="n">
        <f aca="false">L698-M698</f>
        <v>152</v>
      </c>
      <c r="O698" s="4" t="n">
        <f aca="false">MONTH(B698)</f>
        <v>5</v>
      </c>
      <c r="P698" s="4" t="str">
        <f aca="false">CHOOSE(WEEKDAY(B698,2),"Mon","Tue","Wed","Thu","Fri","Sat","Sun")</f>
        <v>Thu</v>
      </c>
      <c r="Q698" s="4" t="str">
        <f aca="false">IF(WEEKDAY(B698,2)&gt;5,"Weekend","Weekday")</f>
        <v>Weekday</v>
      </c>
      <c r="R698" s="4" t="str">
        <f aca="false">IF(C698&lt;11,"Morning (7-10)",IF(C698&lt;14,"Lunch (11-13)",IF(C698&lt;18,"Afternoon (14-17)","Evening (18-20)")))</f>
        <v>Lunch (11-13)</v>
      </c>
      <c r="S698" s="4" t="str">
        <f aca="false">IF(AND(O698&gt;=3,O698&lt;=5),"Hot Dry (Mar-May)",IF(AND(O698&gt;=6,O698&lt;=11),"Rainy (Jun-Nov)","Cool Dry (Dec-Feb)"))</f>
        <v>Hot Dry (Mar-May)</v>
      </c>
      <c r="T698" s="4" t="str">
        <f aca="false">CHOOSE(O698,"Jan","Feb","Mar","Apr","May","Jun","Jul","Aug","Sep","Oct","Nov","Dec")</f>
        <v>May</v>
      </c>
    </row>
    <row r="699" customFormat="false" ht="15" hidden="false" customHeight="false" outlineLevel="0" collapsed="false">
      <c r="A699" s="4" t="s">
        <v>960</v>
      </c>
      <c r="B699" s="17" t="n">
        <v>45806</v>
      </c>
      <c r="C699" s="4" t="n">
        <v>15</v>
      </c>
      <c r="D699" s="4" t="s">
        <v>70</v>
      </c>
      <c r="E699" s="4" t="s">
        <v>84</v>
      </c>
      <c r="F699" s="4" t="s">
        <v>85</v>
      </c>
      <c r="G699" s="4" t="n">
        <v>1</v>
      </c>
      <c r="H699" s="34" t="n">
        <v>150</v>
      </c>
      <c r="I699" s="18" t="n">
        <v>0.15</v>
      </c>
      <c r="J699" s="4" t="s">
        <v>81</v>
      </c>
      <c r="K699" s="4" t="s">
        <v>82</v>
      </c>
      <c r="L699" s="35" t="n">
        <f aca="false">G699*H699</f>
        <v>150</v>
      </c>
      <c r="M699" s="35" t="n">
        <f aca="false">L699*I699</f>
        <v>22.5</v>
      </c>
      <c r="N699" s="35" t="n">
        <f aca="false">L699-M699</f>
        <v>127.5</v>
      </c>
      <c r="O699" s="4" t="n">
        <f aca="false">MONTH(B699)</f>
        <v>5</v>
      </c>
      <c r="P699" s="4" t="str">
        <f aca="false">CHOOSE(WEEKDAY(B699,2),"Mon","Tue","Wed","Thu","Fri","Sat","Sun")</f>
        <v>Thu</v>
      </c>
      <c r="Q699" s="4" t="str">
        <f aca="false">IF(WEEKDAY(B699,2)&gt;5,"Weekend","Weekday")</f>
        <v>Weekday</v>
      </c>
      <c r="R699" s="4" t="str">
        <f aca="false">IF(C699&lt;11,"Morning (7-10)",IF(C699&lt;14,"Lunch (11-13)",IF(C699&lt;18,"Afternoon (14-17)","Evening (18-20)")))</f>
        <v>Afternoon (14-17)</v>
      </c>
      <c r="S699" s="4" t="str">
        <f aca="false">IF(AND(O699&gt;=3,O699&lt;=5),"Hot Dry (Mar-May)",IF(AND(O699&gt;=6,O699&lt;=11),"Rainy (Jun-Nov)","Cool Dry (Dec-Feb)"))</f>
        <v>Hot Dry (Mar-May)</v>
      </c>
      <c r="T699" s="4" t="str">
        <f aca="false">CHOOSE(O699,"Jan","Feb","Mar","Apr","May","Jun","Jul","Aug","Sep","Oct","Nov","Dec")</f>
        <v>May</v>
      </c>
    </row>
    <row r="700" customFormat="false" ht="15" hidden="false" customHeight="false" outlineLevel="0" collapsed="false">
      <c r="A700" s="4" t="s">
        <v>961</v>
      </c>
      <c r="B700" s="17" t="n">
        <v>45806</v>
      </c>
      <c r="C700" s="4" t="n">
        <v>17</v>
      </c>
      <c r="D700" s="4" t="s">
        <v>73</v>
      </c>
      <c r="E700" s="4" t="s">
        <v>84</v>
      </c>
      <c r="F700" s="4" t="s">
        <v>114</v>
      </c>
      <c r="G700" s="4" t="n">
        <v>1</v>
      </c>
      <c r="H700" s="34" t="n">
        <v>85</v>
      </c>
      <c r="I700" s="18" t="n">
        <v>0</v>
      </c>
      <c r="J700" s="4" t="s">
        <v>76</v>
      </c>
      <c r="K700" s="4" t="s">
        <v>77</v>
      </c>
      <c r="L700" s="35" t="n">
        <f aca="false">G700*H700</f>
        <v>85</v>
      </c>
      <c r="M700" s="35" t="n">
        <f aca="false">L700*I700</f>
        <v>0</v>
      </c>
      <c r="N700" s="35" t="n">
        <f aca="false">L700-M700</f>
        <v>85</v>
      </c>
      <c r="O700" s="4" t="n">
        <f aca="false">MONTH(B700)</f>
        <v>5</v>
      </c>
      <c r="P700" s="4" t="str">
        <f aca="false">CHOOSE(WEEKDAY(B700,2),"Mon","Tue","Wed","Thu","Fri","Sat","Sun")</f>
        <v>Thu</v>
      </c>
      <c r="Q700" s="4" t="str">
        <f aca="false">IF(WEEKDAY(B700,2)&gt;5,"Weekend","Weekday")</f>
        <v>Weekday</v>
      </c>
      <c r="R700" s="4" t="str">
        <f aca="false">IF(C700&lt;11,"Morning (7-10)",IF(C700&lt;14,"Lunch (11-13)",IF(C700&lt;18,"Afternoon (14-17)","Evening (18-20)")))</f>
        <v>Afternoon (14-17)</v>
      </c>
      <c r="S700" s="4" t="str">
        <f aca="false">IF(AND(O700&gt;=3,O700&lt;=5),"Hot Dry (Mar-May)",IF(AND(O700&gt;=6,O700&lt;=11),"Rainy (Jun-Nov)","Cool Dry (Dec-Feb)"))</f>
        <v>Hot Dry (Mar-May)</v>
      </c>
      <c r="T700" s="4" t="str">
        <f aca="false">CHOOSE(O700,"Jan","Feb","Mar","Apr","May","Jun","Jul","Aug","Sep","Oct","Nov","Dec")</f>
        <v>May</v>
      </c>
    </row>
    <row r="701" customFormat="false" ht="15" hidden="false" customHeight="false" outlineLevel="0" collapsed="false">
      <c r="A701" s="4" t="s">
        <v>962</v>
      </c>
      <c r="B701" s="17" t="n">
        <v>45806</v>
      </c>
      <c r="C701" s="4" t="n">
        <v>19</v>
      </c>
      <c r="D701" s="4" t="s">
        <v>64</v>
      </c>
      <c r="E701" s="4" t="s">
        <v>65</v>
      </c>
      <c r="F701" s="4" t="s">
        <v>94</v>
      </c>
      <c r="G701" s="4" t="n">
        <v>1</v>
      </c>
      <c r="H701" s="34" t="n">
        <v>150</v>
      </c>
      <c r="I701" s="18" t="n">
        <v>0</v>
      </c>
      <c r="J701" s="4" t="s">
        <v>81</v>
      </c>
      <c r="K701" s="4" t="s">
        <v>77</v>
      </c>
      <c r="L701" s="35" t="n">
        <f aca="false">G701*H701</f>
        <v>150</v>
      </c>
      <c r="M701" s="35" t="n">
        <f aca="false">L701*I701</f>
        <v>0</v>
      </c>
      <c r="N701" s="35" t="n">
        <f aca="false">L701-M701</f>
        <v>150</v>
      </c>
      <c r="O701" s="4" t="n">
        <f aca="false">MONTH(B701)</f>
        <v>5</v>
      </c>
      <c r="P701" s="4" t="str">
        <f aca="false">CHOOSE(WEEKDAY(B701,2),"Mon","Tue","Wed","Thu","Fri","Sat","Sun")</f>
        <v>Thu</v>
      </c>
      <c r="Q701" s="4" t="str">
        <f aca="false">IF(WEEKDAY(B701,2)&gt;5,"Weekend","Weekday")</f>
        <v>Weekday</v>
      </c>
      <c r="R701" s="4" t="str">
        <f aca="false">IF(C701&lt;11,"Morning (7-10)",IF(C701&lt;14,"Lunch (11-13)",IF(C701&lt;18,"Afternoon (14-17)","Evening (18-20)")))</f>
        <v>Evening (18-20)</v>
      </c>
      <c r="S701" s="4" t="str">
        <f aca="false">IF(AND(O701&gt;=3,O701&lt;=5),"Hot Dry (Mar-May)",IF(AND(O701&gt;=6,O701&lt;=11),"Rainy (Jun-Nov)","Cool Dry (Dec-Feb)"))</f>
        <v>Hot Dry (Mar-May)</v>
      </c>
      <c r="T701" s="4" t="str">
        <f aca="false">CHOOSE(O701,"Jan","Feb","Mar","Apr","May","Jun","Jul","Aug","Sep","Oct","Nov","Dec")</f>
        <v>May</v>
      </c>
    </row>
    <row r="702" customFormat="false" ht="15" hidden="false" customHeight="false" outlineLevel="0" collapsed="false">
      <c r="A702" s="4" t="s">
        <v>963</v>
      </c>
      <c r="B702" s="17" t="n">
        <v>45807</v>
      </c>
      <c r="C702" s="4" t="n">
        <v>7</v>
      </c>
      <c r="D702" s="4" t="s">
        <v>70</v>
      </c>
      <c r="E702" s="4" t="s">
        <v>74</v>
      </c>
      <c r="F702" s="4" t="s">
        <v>75</v>
      </c>
      <c r="G702" s="4" t="n">
        <v>1</v>
      </c>
      <c r="H702" s="34" t="n">
        <v>220</v>
      </c>
      <c r="I702" s="18" t="n">
        <v>0.1</v>
      </c>
      <c r="J702" s="4" t="s">
        <v>112</v>
      </c>
      <c r="K702" s="4" t="s">
        <v>71</v>
      </c>
      <c r="L702" s="35" t="n">
        <f aca="false">G702*H702</f>
        <v>220</v>
      </c>
      <c r="M702" s="35" t="n">
        <f aca="false">L702*I702</f>
        <v>22</v>
      </c>
      <c r="N702" s="35" t="n">
        <f aca="false">L702-M702</f>
        <v>198</v>
      </c>
      <c r="O702" s="4" t="n">
        <f aca="false">MONTH(B702)</f>
        <v>5</v>
      </c>
      <c r="P702" s="4" t="str">
        <f aca="false">CHOOSE(WEEKDAY(B702,2),"Mon","Tue","Wed","Thu","Fri","Sat","Sun")</f>
        <v>Fri</v>
      </c>
      <c r="Q702" s="4" t="str">
        <f aca="false">IF(WEEKDAY(B702,2)&gt;5,"Weekend","Weekday")</f>
        <v>Weekday</v>
      </c>
      <c r="R702" s="4" t="str">
        <f aca="false">IF(C702&lt;11,"Morning (7-10)",IF(C702&lt;14,"Lunch (11-13)",IF(C702&lt;18,"Afternoon (14-17)","Evening (18-20)")))</f>
        <v>Morning (7-10)</v>
      </c>
      <c r="S702" s="4" t="str">
        <f aca="false">IF(AND(O702&gt;=3,O702&lt;=5),"Hot Dry (Mar-May)",IF(AND(O702&gt;=6,O702&lt;=11),"Rainy (Jun-Nov)","Cool Dry (Dec-Feb)"))</f>
        <v>Hot Dry (Mar-May)</v>
      </c>
      <c r="T702" s="4" t="str">
        <f aca="false">CHOOSE(O702,"Jan","Feb","Mar","Apr","May","Jun","Jul","Aug","Sep","Oct","Nov","Dec")</f>
        <v>May</v>
      </c>
    </row>
    <row r="703" customFormat="false" ht="15" hidden="false" customHeight="false" outlineLevel="0" collapsed="false">
      <c r="A703" s="4" t="s">
        <v>964</v>
      </c>
      <c r="B703" s="17" t="n">
        <v>45807</v>
      </c>
      <c r="C703" s="4" t="n">
        <v>7</v>
      </c>
      <c r="D703" s="4" t="s">
        <v>73</v>
      </c>
      <c r="E703" s="4" t="s">
        <v>65</v>
      </c>
      <c r="F703" s="4" t="s">
        <v>94</v>
      </c>
      <c r="G703" s="4" t="n">
        <v>1</v>
      </c>
      <c r="H703" s="34" t="n">
        <v>150</v>
      </c>
      <c r="I703" s="18" t="n">
        <v>0</v>
      </c>
      <c r="J703" s="4" t="s">
        <v>76</v>
      </c>
      <c r="K703" s="4" t="s">
        <v>77</v>
      </c>
      <c r="L703" s="35" t="n">
        <f aca="false">G703*H703</f>
        <v>150</v>
      </c>
      <c r="M703" s="35" t="n">
        <f aca="false">L703*I703</f>
        <v>0</v>
      </c>
      <c r="N703" s="35" t="n">
        <f aca="false">L703-M703</f>
        <v>150</v>
      </c>
      <c r="O703" s="4" t="n">
        <f aca="false">MONTH(B703)</f>
        <v>5</v>
      </c>
      <c r="P703" s="4" t="str">
        <f aca="false">CHOOSE(WEEKDAY(B703,2),"Mon","Tue","Wed","Thu","Fri","Sat","Sun")</f>
        <v>Fri</v>
      </c>
      <c r="Q703" s="4" t="str">
        <f aca="false">IF(WEEKDAY(B703,2)&gt;5,"Weekend","Weekday")</f>
        <v>Weekday</v>
      </c>
      <c r="R703" s="4" t="str">
        <f aca="false">IF(C703&lt;11,"Morning (7-10)",IF(C703&lt;14,"Lunch (11-13)",IF(C703&lt;18,"Afternoon (14-17)","Evening (18-20)")))</f>
        <v>Morning (7-10)</v>
      </c>
      <c r="S703" s="4" t="str">
        <f aca="false">IF(AND(O703&gt;=3,O703&lt;=5),"Hot Dry (Mar-May)",IF(AND(O703&gt;=6,O703&lt;=11),"Rainy (Jun-Nov)","Cool Dry (Dec-Feb)"))</f>
        <v>Hot Dry (Mar-May)</v>
      </c>
      <c r="T703" s="4" t="str">
        <f aca="false">CHOOSE(O703,"Jan","Feb","Mar","Apr","May","Jun","Jul","Aug","Sep","Oct","Nov","Dec")</f>
        <v>May</v>
      </c>
    </row>
    <row r="704" customFormat="false" ht="15" hidden="false" customHeight="false" outlineLevel="0" collapsed="false">
      <c r="A704" s="4" t="s">
        <v>965</v>
      </c>
      <c r="B704" s="17" t="n">
        <v>45807</v>
      </c>
      <c r="C704" s="4" t="n">
        <v>7</v>
      </c>
      <c r="D704" s="4" t="s">
        <v>73</v>
      </c>
      <c r="E704" s="4" t="s">
        <v>84</v>
      </c>
      <c r="F704" s="4" t="s">
        <v>85</v>
      </c>
      <c r="G704" s="4" t="n">
        <v>1</v>
      </c>
      <c r="H704" s="34" t="n">
        <v>150</v>
      </c>
      <c r="I704" s="18" t="n">
        <v>0</v>
      </c>
      <c r="J704" s="4" t="s">
        <v>88</v>
      </c>
      <c r="K704" s="4" t="s">
        <v>68</v>
      </c>
      <c r="L704" s="35" t="n">
        <f aca="false">G704*H704</f>
        <v>150</v>
      </c>
      <c r="M704" s="35" t="n">
        <f aca="false">L704*I704</f>
        <v>0</v>
      </c>
      <c r="N704" s="35" t="n">
        <f aca="false">L704-M704</f>
        <v>150</v>
      </c>
      <c r="O704" s="4" t="n">
        <f aca="false">MONTH(B704)</f>
        <v>5</v>
      </c>
      <c r="P704" s="4" t="str">
        <f aca="false">CHOOSE(WEEKDAY(B704,2),"Mon","Tue","Wed","Thu","Fri","Sat","Sun")</f>
        <v>Fri</v>
      </c>
      <c r="Q704" s="4" t="str">
        <f aca="false">IF(WEEKDAY(B704,2)&gt;5,"Weekend","Weekday")</f>
        <v>Weekday</v>
      </c>
      <c r="R704" s="4" t="str">
        <f aca="false">IF(C704&lt;11,"Morning (7-10)",IF(C704&lt;14,"Lunch (11-13)",IF(C704&lt;18,"Afternoon (14-17)","Evening (18-20)")))</f>
        <v>Morning (7-10)</v>
      </c>
      <c r="S704" s="4" t="str">
        <f aca="false">IF(AND(O704&gt;=3,O704&lt;=5),"Hot Dry (Mar-May)",IF(AND(O704&gt;=6,O704&lt;=11),"Rainy (Jun-Nov)","Cool Dry (Dec-Feb)"))</f>
        <v>Hot Dry (Mar-May)</v>
      </c>
      <c r="T704" s="4" t="str">
        <f aca="false">CHOOSE(O704,"Jan","Feb","Mar","Apr","May","Jun","Jul","Aug","Sep","Oct","Nov","Dec")</f>
        <v>May</v>
      </c>
    </row>
    <row r="705" customFormat="false" ht="15" hidden="false" customHeight="false" outlineLevel="0" collapsed="false">
      <c r="A705" s="4" t="s">
        <v>966</v>
      </c>
      <c r="B705" s="17" t="n">
        <v>45807</v>
      </c>
      <c r="C705" s="4" t="n">
        <v>10</v>
      </c>
      <c r="D705" s="4" t="s">
        <v>73</v>
      </c>
      <c r="E705" s="4" t="s">
        <v>65</v>
      </c>
      <c r="F705" s="4" t="s">
        <v>94</v>
      </c>
      <c r="G705" s="4" t="n">
        <v>1</v>
      </c>
      <c r="H705" s="34" t="n">
        <v>150</v>
      </c>
      <c r="I705" s="18" t="n">
        <v>0</v>
      </c>
      <c r="J705" s="4" t="s">
        <v>2289</v>
      </c>
      <c r="K705" s="4" t="s">
        <v>68</v>
      </c>
      <c r="L705" s="35" t="n">
        <f aca="false">G705*H705</f>
        <v>150</v>
      </c>
      <c r="M705" s="35" t="n">
        <f aca="false">L705*I705</f>
        <v>0</v>
      </c>
      <c r="N705" s="35" t="n">
        <f aca="false">L705-M705</f>
        <v>150</v>
      </c>
      <c r="O705" s="4" t="n">
        <f aca="false">MONTH(B705)</f>
        <v>5</v>
      </c>
      <c r="P705" s="4" t="str">
        <f aca="false">CHOOSE(WEEKDAY(B705,2),"Mon","Tue","Wed","Thu","Fri","Sat","Sun")</f>
        <v>Fri</v>
      </c>
      <c r="Q705" s="4" t="str">
        <f aca="false">IF(WEEKDAY(B705,2)&gt;5,"Weekend","Weekday")</f>
        <v>Weekday</v>
      </c>
      <c r="R705" s="4" t="str">
        <f aca="false">IF(C705&lt;11,"Morning (7-10)",IF(C705&lt;14,"Lunch (11-13)",IF(C705&lt;18,"Afternoon (14-17)","Evening (18-20)")))</f>
        <v>Morning (7-10)</v>
      </c>
      <c r="S705" s="4" t="str">
        <f aca="false">IF(AND(O705&gt;=3,O705&lt;=5),"Hot Dry (Mar-May)",IF(AND(O705&gt;=6,O705&lt;=11),"Rainy (Jun-Nov)","Cool Dry (Dec-Feb)"))</f>
        <v>Hot Dry (Mar-May)</v>
      </c>
      <c r="T705" s="4" t="str">
        <f aca="false">CHOOSE(O705,"Jan","Feb","Mar","Apr","May","Jun","Jul","Aug","Sep","Oct","Nov","Dec")</f>
        <v>May</v>
      </c>
    </row>
    <row r="706" customFormat="false" ht="15" hidden="false" customHeight="false" outlineLevel="0" collapsed="false">
      <c r="A706" s="4" t="s">
        <v>967</v>
      </c>
      <c r="B706" s="17" t="n">
        <v>45807</v>
      </c>
      <c r="C706" s="4" t="n">
        <v>11</v>
      </c>
      <c r="D706" s="4" t="s">
        <v>70</v>
      </c>
      <c r="E706" s="4" t="s">
        <v>79</v>
      </c>
      <c r="F706" s="4" t="s">
        <v>148</v>
      </c>
      <c r="G706" s="4" t="n">
        <v>2</v>
      </c>
      <c r="H706" s="34" t="n">
        <v>120</v>
      </c>
      <c r="I706" s="18" t="n">
        <v>0</v>
      </c>
      <c r="J706" s="4" t="s">
        <v>81</v>
      </c>
      <c r="K706" s="4" t="s">
        <v>77</v>
      </c>
      <c r="L706" s="35" t="n">
        <f aca="false">G706*H706</f>
        <v>240</v>
      </c>
      <c r="M706" s="35" t="n">
        <f aca="false">L706*I706</f>
        <v>0</v>
      </c>
      <c r="N706" s="35" t="n">
        <f aca="false">L706-M706</f>
        <v>240</v>
      </c>
      <c r="O706" s="4" t="n">
        <f aca="false">MONTH(B706)</f>
        <v>5</v>
      </c>
      <c r="P706" s="4" t="str">
        <f aca="false">CHOOSE(WEEKDAY(B706,2),"Mon","Tue","Wed","Thu","Fri","Sat","Sun")</f>
        <v>Fri</v>
      </c>
      <c r="Q706" s="4" t="str">
        <f aca="false">IF(WEEKDAY(B706,2)&gt;5,"Weekend","Weekday")</f>
        <v>Weekday</v>
      </c>
      <c r="R706" s="4" t="str">
        <f aca="false">IF(C706&lt;11,"Morning (7-10)",IF(C706&lt;14,"Lunch (11-13)",IF(C706&lt;18,"Afternoon (14-17)","Evening (18-20)")))</f>
        <v>Lunch (11-13)</v>
      </c>
      <c r="S706" s="4" t="str">
        <f aca="false">IF(AND(O706&gt;=3,O706&lt;=5),"Hot Dry (Mar-May)",IF(AND(O706&gt;=6,O706&lt;=11),"Rainy (Jun-Nov)","Cool Dry (Dec-Feb)"))</f>
        <v>Hot Dry (Mar-May)</v>
      </c>
      <c r="T706" s="4" t="str">
        <f aca="false">CHOOSE(O706,"Jan","Feb","Mar","Apr","May","Jun","Jul","Aug","Sep","Oct","Nov","Dec")</f>
        <v>May</v>
      </c>
    </row>
    <row r="707" customFormat="false" ht="15" hidden="false" customHeight="false" outlineLevel="0" collapsed="false">
      <c r="A707" s="4" t="s">
        <v>968</v>
      </c>
      <c r="B707" s="17" t="n">
        <v>45807</v>
      </c>
      <c r="C707" s="4" t="n">
        <v>12</v>
      </c>
      <c r="D707" s="4" t="s">
        <v>98</v>
      </c>
      <c r="E707" s="4" t="s">
        <v>65</v>
      </c>
      <c r="F707" s="4" t="s">
        <v>121</v>
      </c>
      <c r="G707" s="4" t="n">
        <v>1</v>
      </c>
      <c r="H707" s="34" t="n">
        <v>170</v>
      </c>
      <c r="I707" s="18" t="n">
        <v>0.05</v>
      </c>
      <c r="J707" s="4" t="s">
        <v>67</v>
      </c>
      <c r="K707" s="4" t="s">
        <v>82</v>
      </c>
      <c r="L707" s="35" t="n">
        <f aca="false">G707*H707</f>
        <v>170</v>
      </c>
      <c r="M707" s="35" t="n">
        <f aca="false">L707*I707</f>
        <v>8.5</v>
      </c>
      <c r="N707" s="35" t="n">
        <f aca="false">L707-M707</f>
        <v>161.5</v>
      </c>
      <c r="O707" s="4" t="n">
        <f aca="false">MONTH(B707)</f>
        <v>5</v>
      </c>
      <c r="P707" s="4" t="str">
        <f aca="false">CHOOSE(WEEKDAY(B707,2),"Mon","Tue","Wed","Thu","Fri","Sat","Sun")</f>
        <v>Fri</v>
      </c>
      <c r="Q707" s="4" t="str">
        <f aca="false">IF(WEEKDAY(B707,2)&gt;5,"Weekend","Weekday")</f>
        <v>Weekday</v>
      </c>
      <c r="R707" s="4" t="str">
        <f aca="false">IF(C707&lt;11,"Morning (7-10)",IF(C707&lt;14,"Lunch (11-13)",IF(C707&lt;18,"Afternoon (14-17)","Evening (18-20)")))</f>
        <v>Lunch (11-13)</v>
      </c>
      <c r="S707" s="4" t="str">
        <f aca="false">IF(AND(O707&gt;=3,O707&lt;=5),"Hot Dry (Mar-May)",IF(AND(O707&gt;=6,O707&lt;=11),"Rainy (Jun-Nov)","Cool Dry (Dec-Feb)"))</f>
        <v>Hot Dry (Mar-May)</v>
      </c>
      <c r="T707" s="4" t="str">
        <f aca="false">CHOOSE(O707,"Jan","Feb","Mar","Apr","May","Jun","Jul","Aug","Sep","Oct","Nov","Dec")</f>
        <v>May</v>
      </c>
    </row>
    <row r="708" customFormat="false" ht="15" hidden="false" customHeight="false" outlineLevel="0" collapsed="false">
      <c r="A708" s="4" t="s">
        <v>970</v>
      </c>
      <c r="B708" s="17" t="n">
        <v>45807</v>
      </c>
      <c r="C708" s="4" t="n">
        <v>15</v>
      </c>
      <c r="D708" s="4" t="s">
        <v>98</v>
      </c>
      <c r="E708" s="4" t="s">
        <v>65</v>
      </c>
      <c r="F708" s="4" t="s">
        <v>121</v>
      </c>
      <c r="G708" s="4" t="n">
        <v>2</v>
      </c>
      <c r="H708" s="34" t="n">
        <v>170</v>
      </c>
      <c r="I708" s="18" t="n">
        <v>0.05</v>
      </c>
      <c r="J708" s="4" t="s">
        <v>76</v>
      </c>
      <c r="K708" s="4" t="s">
        <v>82</v>
      </c>
      <c r="L708" s="35" t="n">
        <f aca="false">G708*H708</f>
        <v>340</v>
      </c>
      <c r="M708" s="35" t="n">
        <f aca="false">L708*I708</f>
        <v>17</v>
      </c>
      <c r="N708" s="35" t="n">
        <f aca="false">L708-M708</f>
        <v>323</v>
      </c>
      <c r="O708" s="4" t="n">
        <f aca="false">MONTH(B708)</f>
        <v>5</v>
      </c>
      <c r="P708" s="4" t="str">
        <f aca="false">CHOOSE(WEEKDAY(B708,2),"Mon","Tue","Wed","Thu","Fri","Sat","Sun")</f>
        <v>Fri</v>
      </c>
      <c r="Q708" s="4" t="str">
        <f aca="false">IF(WEEKDAY(B708,2)&gt;5,"Weekend","Weekday")</f>
        <v>Weekday</v>
      </c>
      <c r="R708" s="4" t="str">
        <f aca="false">IF(C708&lt;11,"Morning (7-10)",IF(C708&lt;14,"Lunch (11-13)",IF(C708&lt;18,"Afternoon (14-17)","Evening (18-20)")))</f>
        <v>Afternoon (14-17)</v>
      </c>
      <c r="S708" s="4" t="str">
        <f aca="false">IF(AND(O708&gt;=3,O708&lt;=5),"Hot Dry (Mar-May)",IF(AND(O708&gt;=6,O708&lt;=11),"Rainy (Jun-Nov)","Cool Dry (Dec-Feb)"))</f>
        <v>Hot Dry (Mar-May)</v>
      </c>
      <c r="T708" s="4" t="str">
        <f aca="false">CHOOSE(O708,"Jan","Feb","Mar","Apr","May","Jun","Jul","Aug","Sep","Oct","Nov","Dec")</f>
        <v>May</v>
      </c>
    </row>
    <row r="709" customFormat="false" ht="15" hidden="false" customHeight="false" outlineLevel="0" collapsed="false">
      <c r="A709" s="4" t="s">
        <v>971</v>
      </c>
      <c r="B709" s="17" t="n">
        <v>45807</v>
      </c>
      <c r="C709" s="4" t="n">
        <v>16</v>
      </c>
      <c r="D709" s="4" t="s">
        <v>64</v>
      </c>
      <c r="E709" s="4" t="s">
        <v>74</v>
      </c>
      <c r="F709" s="4" t="s">
        <v>139</v>
      </c>
      <c r="G709" s="4" t="n">
        <v>1</v>
      </c>
      <c r="H709" s="34" t="n">
        <v>260</v>
      </c>
      <c r="I709" s="18" t="n">
        <v>0</v>
      </c>
      <c r="J709" s="4" t="s">
        <v>76</v>
      </c>
      <c r="K709" s="4" t="s">
        <v>68</v>
      </c>
      <c r="L709" s="35" t="n">
        <f aca="false">G709*H709</f>
        <v>260</v>
      </c>
      <c r="M709" s="35" t="n">
        <f aca="false">L709*I709</f>
        <v>0</v>
      </c>
      <c r="N709" s="35" t="n">
        <f aca="false">L709-M709</f>
        <v>260</v>
      </c>
      <c r="O709" s="4" t="n">
        <f aca="false">MONTH(B709)</f>
        <v>5</v>
      </c>
      <c r="P709" s="4" t="str">
        <f aca="false">CHOOSE(WEEKDAY(B709,2),"Mon","Tue","Wed","Thu","Fri","Sat","Sun")</f>
        <v>Fri</v>
      </c>
      <c r="Q709" s="4" t="str">
        <f aca="false">IF(WEEKDAY(B709,2)&gt;5,"Weekend","Weekday")</f>
        <v>Weekday</v>
      </c>
      <c r="R709" s="4" t="str">
        <f aca="false">IF(C709&lt;11,"Morning (7-10)",IF(C709&lt;14,"Lunch (11-13)",IF(C709&lt;18,"Afternoon (14-17)","Evening (18-20)")))</f>
        <v>Afternoon (14-17)</v>
      </c>
      <c r="S709" s="4" t="str">
        <f aca="false">IF(AND(O709&gt;=3,O709&lt;=5),"Hot Dry (Mar-May)",IF(AND(O709&gt;=6,O709&lt;=11),"Rainy (Jun-Nov)","Cool Dry (Dec-Feb)"))</f>
        <v>Hot Dry (Mar-May)</v>
      </c>
      <c r="T709" s="4" t="str">
        <f aca="false">CHOOSE(O709,"Jan","Feb","Mar","Apr","May","Jun","Jul","Aug","Sep","Oct","Nov","Dec")</f>
        <v>May</v>
      </c>
    </row>
    <row r="710" customFormat="false" ht="15" hidden="false" customHeight="false" outlineLevel="0" collapsed="false">
      <c r="A710" s="4" t="s">
        <v>972</v>
      </c>
      <c r="B710" s="17" t="n">
        <v>45807</v>
      </c>
      <c r="C710" s="4" t="n">
        <v>16</v>
      </c>
      <c r="D710" s="4" t="s">
        <v>64</v>
      </c>
      <c r="E710" s="4" t="s">
        <v>65</v>
      </c>
      <c r="F710" s="4" t="s">
        <v>66</v>
      </c>
      <c r="G710" s="4" t="n">
        <v>1</v>
      </c>
      <c r="H710" s="34" t="n">
        <v>120</v>
      </c>
      <c r="I710" s="18" t="n">
        <v>0.15</v>
      </c>
      <c r="J710" s="4" t="s">
        <v>81</v>
      </c>
      <c r="K710" s="4" t="s">
        <v>68</v>
      </c>
      <c r="L710" s="35" t="n">
        <f aca="false">G710*H710</f>
        <v>120</v>
      </c>
      <c r="M710" s="35" t="n">
        <f aca="false">L710*I710</f>
        <v>18</v>
      </c>
      <c r="N710" s="35" t="n">
        <f aca="false">L710-M710</f>
        <v>102</v>
      </c>
      <c r="O710" s="4" t="n">
        <f aca="false">MONTH(B710)</f>
        <v>5</v>
      </c>
      <c r="P710" s="4" t="str">
        <f aca="false">CHOOSE(WEEKDAY(B710,2),"Mon","Tue","Wed","Thu","Fri","Sat","Sun")</f>
        <v>Fri</v>
      </c>
      <c r="Q710" s="4" t="str">
        <f aca="false">IF(WEEKDAY(B710,2)&gt;5,"Weekend","Weekday")</f>
        <v>Weekday</v>
      </c>
      <c r="R710" s="4" t="str">
        <f aca="false">IF(C710&lt;11,"Morning (7-10)",IF(C710&lt;14,"Lunch (11-13)",IF(C710&lt;18,"Afternoon (14-17)","Evening (18-20)")))</f>
        <v>Afternoon (14-17)</v>
      </c>
      <c r="S710" s="4" t="str">
        <f aca="false">IF(AND(O710&gt;=3,O710&lt;=5),"Hot Dry (Mar-May)",IF(AND(O710&gt;=6,O710&lt;=11),"Rainy (Jun-Nov)","Cool Dry (Dec-Feb)"))</f>
        <v>Hot Dry (Mar-May)</v>
      </c>
      <c r="T710" s="4" t="str">
        <f aca="false">CHOOSE(O710,"Jan","Feb","Mar","Apr","May","Jun","Jul","Aug","Sep","Oct","Nov","Dec")</f>
        <v>May</v>
      </c>
    </row>
    <row r="711" customFormat="false" ht="15" hidden="false" customHeight="false" outlineLevel="0" collapsed="false">
      <c r="A711" s="4" t="s">
        <v>973</v>
      </c>
      <c r="B711" s="17" t="n">
        <v>45807</v>
      </c>
      <c r="C711" s="4" t="n">
        <v>17</v>
      </c>
      <c r="D711" s="4" t="s">
        <v>70</v>
      </c>
      <c r="E711" s="4" t="s">
        <v>65</v>
      </c>
      <c r="F711" s="4" t="s">
        <v>94</v>
      </c>
      <c r="G711" s="4" t="n">
        <v>1</v>
      </c>
      <c r="H711" s="34" t="n">
        <v>150</v>
      </c>
      <c r="I711" s="18" t="n">
        <v>0.05</v>
      </c>
      <c r="J711" s="4" t="s">
        <v>81</v>
      </c>
      <c r="K711" s="4" t="s">
        <v>82</v>
      </c>
      <c r="L711" s="35" t="n">
        <f aca="false">G711*H711</f>
        <v>150</v>
      </c>
      <c r="M711" s="35" t="n">
        <f aca="false">L711*I711</f>
        <v>7.5</v>
      </c>
      <c r="N711" s="35" t="n">
        <f aca="false">L711-M711</f>
        <v>142.5</v>
      </c>
      <c r="O711" s="4" t="n">
        <f aca="false">MONTH(B711)</f>
        <v>5</v>
      </c>
      <c r="P711" s="4" t="str">
        <f aca="false">CHOOSE(WEEKDAY(B711,2),"Mon","Tue","Wed","Thu","Fri","Sat","Sun")</f>
        <v>Fri</v>
      </c>
      <c r="Q711" s="4" t="str">
        <f aca="false">IF(WEEKDAY(B711,2)&gt;5,"Weekend","Weekday")</f>
        <v>Weekday</v>
      </c>
      <c r="R711" s="4" t="str">
        <f aca="false">IF(C711&lt;11,"Morning (7-10)",IF(C711&lt;14,"Lunch (11-13)",IF(C711&lt;18,"Afternoon (14-17)","Evening (18-20)")))</f>
        <v>Afternoon (14-17)</v>
      </c>
      <c r="S711" s="4" t="str">
        <f aca="false">IF(AND(O711&gt;=3,O711&lt;=5),"Hot Dry (Mar-May)",IF(AND(O711&gt;=6,O711&lt;=11),"Rainy (Jun-Nov)","Cool Dry (Dec-Feb)"))</f>
        <v>Hot Dry (Mar-May)</v>
      </c>
      <c r="T711" s="4" t="str">
        <f aca="false">CHOOSE(O711,"Jan","Feb","Mar","Apr","May","Jun","Jul","Aug","Sep","Oct","Nov","Dec")</f>
        <v>May</v>
      </c>
    </row>
    <row r="712" customFormat="false" ht="15" hidden="false" customHeight="false" outlineLevel="0" collapsed="false">
      <c r="A712" s="4" t="s">
        <v>974</v>
      </c>
      <c r="B712" s="17" t="n">
        <v>45808</v>
      </c>
      <c r="C712" s="4" t="n">
        <v>7</v>
      </c>
      <c r="D712" s="4" t="s">
        <v>73</v>
      </c>
      <c r="E712" s="4" t="s">
        <v>99</v>
      </c>
      <c r="F712" s="4" t="s">
        <v>102</v>
      </c>
      <c r="G712" s="4" t="n">
        <v>1</v>
      </c>
      <c r="H712" s="34" t="n">
        <v>140</v>
      </c>
      <c r="I712" s="18" t="n">
        <v>0</v>
      </c>
      <c r="J712" s="4" t="s">
        <v>81</v>
      </c>
      <c r="K712" s="4" t="s">
        <v>71</v>
      </c>
      <c r="L712" s="35" t="n">
        <f aca="false">G712*H712</f>
        <v>140</v>
      </c>
      <c r="M712" s="35" t="n">
        <f aca="false">L712*I712</f>
        <v>0</v>
      </c>
      <c r="N712" s="35" t="n">
        <f aca="false">L712-M712</f>
        <v>140</v>
      </c>
      <c r="O712" s="4" t="n">
        <f aca="false">MONTH(B712)</f>
        <v>5</v>
      </c>
      <c r="P712" s="4" t="str">
        <f aca="false">CHOOSE(WEEKDAY(B712,2),"Mon","Tue","Wed","Thu","Fri","Sat","Sun")</f>
        <v>Sat</v>
      </c>
      <c r="Q712" s="4" t="str">
        <f aca="false">IF(WEEKDAY(B712,2)&gt;5,"Weekend","Weekday")</f>
        <v>Weekend</v>
      </c>
      <c r="R712" s="4" t="str">
        <f aca="false">IF(C712&lt;11,"Morning (7-10)",IF(C712&lt;14,"Lunch (11-13)",IF(C712&lt;18,"Afternoon (14-17)","Evening (18-20)")))</f>
        <v>Morning (7-10)</v>
      </c>
      <c r="S712" s="4" t="str">
        <f aca="false">IF(AND(O712&gt;=3,O712&lt;=5),"Hot Dry (Mar-May)",IF(AND(O712&gt;=6,O712&lt;=11),"Rainy (Jun-Nov)","Cool Dry (Dec-Feb)"))</f>
        <v>Hot Dry (Mar-May)</v>
      </c>
      <c r="T712" s="4" t="str">
        <f aca="false">CHOOSE(O712,"Jan","Feb","Mar","Apr","May","Jun","Jul","Aug","Sep","Oct","Nov","Dec")</f>
        <v>May</v>
      </c>
    </row>
    <row r="713" customFormat="false" ht="15" hidden="false" customHeight="false" outlineLevel="0" collapsed="false">
      <c r="A713" s="4" t="s">
        <v>976</v>
      </c>
      <c r="B713" s="17" t="n">
        <v>45808</v>
      </c>
      <c r="C713" s="4" t="n">
        <v>7</v>
      </c>
      <c r="D713" s="4" t="s">
        <v>98</v>
      </c>
      <c r="E713" s="4" t="s">
        <v>65</v>
      </c>
      <c r="F713" s="4" t="s">
        <v>121</v>
      </c>
      <c r="G713" s="4" t="n">
        <v>1</v>
      </c>
      <c r="H713" s="34" t="n">
        <v>170</v>
      </c>
      <c r="I713" s="18" t="n">
        <v>0</v>
      </c>
      <c r="J713" s="4" t="s">
        <v>112</v>
      </c>
      <c r="K713" s="4" t="s">
        <v>68</v>
      </c>
      <c r="L713" s="35" t="n">
        <f aca="false">G713*H713</f>
        <v>170</v>
      </c>
      <c r="M713" s="35" t="n">
        <f aca="false">L713*I713</f>
        <v>0</v>
      </c>
      <c r="N713" s="35" t="n">
        <f aca="false">L713-M713</f>
        <v>170</v>
      </c>
      <c r="O713" s="4" t="n">
        <f aca="false">MONTH(B713)</f>
        <v>5</v>
      </c>
      <c r="P713" s="4" t="str">
        <f aca="false">CHOOSE(WEEKDAY(B713,2),"Mon","Tue","Wed","Thu","Fri","Sat","Sun")</f>
        <v>Sat</v>
      </c>
      <c r="Q713" s="4" t="str">
        <f aca="false">IF(WEEKDAY(B713,2)&gt;5,"Weekend","Weekday")</f>
        <v>Weekend</v>
      </c>
      <c r="R713" s="4" t="str">
        <f aca="false">IF(C713&lt;11,"Morning (7-10)",IF(C713&lt;14,"Lunch (11-13)",IF(C713&lt;18,"Afternoon (14-17)","Evening (18-20)")))</f>
        <v>Morning (7-10)</v>
      </c>
      <c r="S713" s="4" t="str">
        <f aca="false">IF(AND(O713&gt;=3,O713&lt;=5),"Hot Dry (Mar-May)",IF(AND(O713&gt;=6,O713&lt;=11),"Rainy (Jun-Nov)","Cool Dry (Dec-Feb)"))</f>
        <v>Hot Dry (Mar-May)</v>
      </c>
      <c r="T713" s="4" t="str">
        <f aca="false">CHOOSE(O713,"Jan","Feb","Mar","Apr","May","Jun","Jul","Aug","Sep","Oct","Nov","Dec")</f>
        <v>May</v>
      </c>
    </row>
    <row r="714" customFormat="false" ht="15" hidden="false" customHeight="false" outlineLevel="0" collapsed="false">
      <c r="A714" s="4" t="s">
        <v>977</v>
      </c>
      <c r="B714" s="17" t="n">
        <v>45808</v>
      </c>
      <c r="C714" s="4" t="n">
        <v>7</v>
      </c>
      <c r="D714" s="4" t="s">
        <v>98</v>
      </c>
      <c r="E714" s="4" t="s">
        <v>79</v>
      </c>
      <c r="F714" s="4" t="s">
        <v>80</v>
      </c>
      <c r="G714" s="4" t="n">
        <v>2</v>
      </c>
      <c r="H714" s="34" t="n">
        <v>160</v>
      </c>
      <c r="I714" s="18" t="n">
        <v>0</v>
      </c>
      <c r="J714" s="4" t="s">
        <v>67</v>
      </c>
      <c r="K714" s="4" t="s">
        <v>77</v>
      </c>
      <c r="L714" s="35" t="n">
        <f aca="false">G714*H714</f>
        <v>320</v>
      </c>
      <c r="M714" s="35" t="n">
        <f aca="false">L714*I714</f>
        <v>0</v>
      </c>
      <c r="N714" s="35" t="n">
        <f aca="false">L714-M714</f>
        <v>320</v>
      </c>
      <c r="O714" s="4" t="n">
        <f aca="false">MONTH(B714)</f>
        <v>5</v>
      </c>
      <c r="P714" s="4" t="str">
        <f aca="false">CHOOSE(WEEKDAY(B714,2),"Mon","Tue","Wed","Thu","Fri","Sat","Sun")</f>
        <v>Sat</v>
      </c>
      <c r="Q714" s="4" t="str">
        <f aca="false">IF(WEEKDAY(B714,2)&gt;5,"Weekend","Weekday")</f>
        <v>Weekend</v>
      </c>
      <c r="R714" s="4" t="str">
        <f aca="false">IF(C714&lt;11,"Morning (7-10)",IF(C714&lt;14,"Lunch (11-13)",IF(C714&lt;18,"Afternoon (14-17)","Evening (18-20)")))</f>
        <v>Morning (7-10)</v>
      </c>
      <c r="S714" s="4" t="str">
        <f aca="false">IF(AND(O714&gt;=3,O714&lt;=5),"Hot Dry (Mar-May)",IF(AND(O714&gt;=6,O714&lt;=11),"Rainy (Jun-Nov)","Cool Dry (Dec-Feb)"))</f>
        <v>Hot Dry (Mar-May)</v>
      </c>
      <c r="T714" s="4" t="str">
        <f aca="false">CHOOSE(O714,"Jan","Feb","Mar","Apr","May","Jun","Jul","Aug","Sep","Oct","Nov","Dec")</f>
        <v>May</v>
      </c>
    </row>
    <row r="715" customFormat="false" ht="15" hidden="false" customHeight="false" outlineLevel="0" collapsed="false">
      <c r="A715" s="4" t="s">
        <v>978</v>
      </c>
      <c r="B715" s="17" t="n">
        <v>45808</v>
      </c>
      <c r="C715" s="4" t="n">
        <v>8</v>
      </c>
      <c r="D715" s="4" t="s">
        <v>64</v>
      </c>
      <c r="E715" s="4" t="s">
        <v>65</v>
      </c>
      <c r="F715" s="4" t="s">
        <v>94</v>
      </c>
      <c r="G715" s="4" t="n">
        <v>3</v>
      </c>
      <c r="H715" s="34" t="n">
        <v>150</v>
      </c>
      <c r="I715" s="18" t="n">
        <v>0.1</v>
      </c>
      <c r="J715" s="4" t="s">
        <v>76</v>
      </c>
      <c r="K715" s="4" t="s">
        <v>68</v>
      </c>
      <c r="L715" s="35" t="n">
        <f aca="false">G715*H715</f>
        <v>450</v>
      </c>
      <c r="M715" s="35" t="n">
        <f aca="false">L715*I715</f>
        <v>45</v>
      </c>
      <c r="N715" s="35" t="n">
        <f aca="false">L715-M715</f>
        <v>405</v>
      </c>
      <c r="O715" s="4" t="n">
        <f aca="false">MONTH(B715)</f>
        <v>5</v>
      </c>
      <c r="P715" s="4" t="str">
        <f aca="false">CHOOSE(WEEKDAY(B715,2),"Mon","Tue","Wed","Thu","Fri","Sat","Sun")</f>
        <v>Sat</v>
      </c>
      <c r="Q715" s="4" t="str">
        <f aca="false">IF(WEEKDAY(B715,2)&gt;5,"Weekend","Weekday")</f>
        <v>Weekend</v>
      </c>
      <c r="R715" s="4" t="str">
        <f aca="false">IF(C715&lt;11,"Morning (7-10)",IF(C715&lt;14,"Lunch (11-13)",IF(C715&lt;18,"Afternoon (14-17)","Evening (18-20)")))</f>
        <v>Morning (7-10)</v>
      </c>
      <c r="S715" s="4" t="str">
        <f aca="false">IF(AND(O715&gt;=3,O715&lt;=5),"Hot Dry (Mar-May)",IF(AND(O715&gt;=6,O715&lt;=11),"Rainy (Jun-Nov)","Cool Dry (Dec-Feb)"))</f>
        <v>Hot Dry (Mar-May)</v>
      </c>
      <c r="T715" s="4" t="str">
        <f aca="false">CHOOSE(O715,"Jan","Feb","Mar","Apr","May","Jun","Jul","Aug","Sep","Oct","Nov","Dec")</f>
        <v>May</v>
      </c>
    </row>
    <row r="716" customFormat="false" ht="15" hidden="false" customHeight="false" outlineLevel="0" collapsed="false">
      <c r="A716" s="4" t="s">
        <v>979</v>
      </c>
      <c r="B716" s="17" t="n">
        <v>45808</v>
      </c>
      <c r="C716" s="4" t="n">
        <v>10</v>
      </c>
      <c r="D716" s="4" t="s">
        <v>70</v>
      </c>
      <c r="E716" s="4" t="s">
        <v>74</v>
      </c>
      <c r="F716" s="4" t="s">
        <v>75</v>
      </c>
      <c r="G716" s="4" t="n">
        <v>3</v>
      </c>
      <c r="H716" s="34" t="n">
        <v>220</v>
      </c>
      <c r="I716" s="18" t="n">
        <v>0</v>
      </c>
      <c r="J716" s="4" t="s">
        <v>67</v>
      </c>
      <c r="K716" s="4" t="s">
        <v>77</v>
      </c>
      <c r="L716" s="35" t="n">
        <f aca="false">G716*H716</f>
        <v>660</v>
      </c>
      <c r="M716" s="35" t="n">
        <f aca="false">L716*I716</f>
        <v>0</v>
      </c>
      <c r="N716" s="35" t="n">
        <f aca="false">L716-M716</f>
        <v>660</v>
      </c>
      <c r="O716" s="4" t="n">
        <f aca="false">MONTH(B716)</f>
        <v>5</v>
      </c>
      <c r="P716" s="4" t="str">
        <f aca="false">CHOOSE(WEEKDAY(B716,2),"Mon","Tue","Wed","Thu","Fri","Sat","Sun")</f>
        <v>Sat</v>
      </c>
      <c r="Q716" s="4" t="str">
        <f aca="false">IF(WEEKDAY(B716,2)&gt;5,"Weekend","Weekday")</f>
        <v>Weekend</v>
      </c>
      <c r="R716" s="4" t="str">
        <f aca="false">IF(C716&lt;11,"Morning (7-10)",IF(C716&lt;14,"Lunch (11-13)",IF(C716&lt;18,"Afternoon (14-17)","Evening (18-20)")))</f>
        <v>Morning (7-10)</v>
      </c>
      <c r="S716" s="4" t="str">
        <f aca="false">IF(AND(O716&gt;=3,O716&lt;=5),"Hot Dry (Mar-May)",IF(AND(O716&gt;=6,O716&lt;=11),"Rainy (Jun-Nov)","Cool Dry (Dec-Feb)"))</f>
        <v>Hot Dry (Mar-May)</v>
      </c>
      <c r="T716" s="4" t="str">
        <f aca="false">CHOOSE(O716,"Jan","Feb","Mar","Apr","May","Jun","Jul","Aug","Sep","Oct","Nov","Dec")</f>
        <v>May</v>
      </c>
    </row>
    <row r="717" customFormat="false" ht="15" hidden="false" customHeight="false" outlineLevel="0" collapsed="false">
      <c r="A717" s="4" t="s">
        <v>980</v>
      </c>
      <c r="B717" s="17" t="n">
        <v>45808</v>
      </c>
      <c r="C717" s="4" t="n">
        <v>12</v>
      </c>
      <c r="D717" s="4" t="s">
        <v>98</v>
      </c>
      <c r="E717" s="4" t="s">
        <v>99</v>
      </c>
      <c r="F717" s="4" t="s">
        <v>133</v>
      </c>
      <c r="G717" s="4" t="n">
        <v>3</v>
      </c>
      <c r="H717" s="34" t="n">
        <v>90</v>
      </c>
      <c r="I717" s="18" t="n">
        <v>0.15</v>
      </c>
      <c r="J717" s="4" t="s">
        <v>67</v>
      </c>
      <c r="K717" s="4" t="s">
        <v>71</v>
      </c>
      <c r="L717" s="35" t="n">
        <f aca="false">G717*H717</f>
        <v>270</v>
      </c>
      <c r="M717" s="35" t="n">
        <f aca="false">L717*I717</f>
        <v>40.5</v>
      </c>
      <c r="N717" s="35" t="n">
        <f aca="false">L717-M717</f>
        <v>229.5</v>
      </c>
      <c r="O717" s="4" t="n">
        <f aca="false">MONTH(B717)</f>
        <v>5</v>
      </c>
      <c r="P717" s="4" t="str">
        <f aca="false">CHOOSE(WEEKDAY(B717,2),"Mon","Tue","Wed","Thu","Fri","Sat","Sun")</f>
        <v>Sat</v>
      </c>
      <c r="Q717" s="4" t="str">
        <f aca="false">IF(WEEKDAY(B717,2)&gt;5,"Weekend","Weekday")</f>
        <v>Weekend</v>
      </c>
      <c r="R717" s="4" t="str">
        <f aca="false">IF(C717&lt;11,"Morning (7-10)",IF(C717&lt;14,"Lunch (11-13)",IF(C717&lt;18,"Afternoon (14-17)","Evening (18-20)")))</f>
        <v>Lunch (11-13)</v>
      </c>
      <c r="S717" s="4" t="str">
        <f aca="false">IF(AND(O717&gt;=3,O717&lt;=5),"Hot Dry (Mar-May)",IF(AND(O717&gt;=6,O717&lt;=11),"Rainy (Jun-Nov)","Cool Dry (Dec-Feb)"))</f>
        <v>Hot Dry (Mar-May)</v>
      </c>
      <c r="T717" s="4" t="str">
        <f aca="false">CHOOSE(O717,"Jan","Feb","Mar","Apr","May","Jun","Jul","Aug","Sep","Oct","Nov","Dec")</f>
        <v>May</v>
      </c>
    </row>
    <row r="718" customFormat="false" ht="15" hidden="false" customHeight="false" outlineLevel="0" collapsed="false">
      <c r="A718" s="4" t="s">
        <v>981</v>
      </c>
      <c r="B718" s="17" t="n">
        <v>45808</v>
      </c>
      <c r="C718" s="4" t="n">
        <v>15</v>
      </c>
      <c r="D718" s="4" t="s">
        <v>64</v>
      </c>
      <c r="E718" s="4" t="s">
        <v>65</v>
      </c>
      <c r="F718" s="4" t="s">
        <v>94</v>
      </c>
      <c r="G718" s="4" t="n">
        <v>2</v>
      </c>
      <c r="H718" s="34" t="n">
        <v>150</v>
      </c>
      <c r="I718" s="18" t="n">
        <v>0</v>
      </c>
      <c r="J718" s="4" t="s">
        <v>67</v>
      </c>
      <c r="K718" s="4" t="s">
        <v>68</v>
      </c>
      <c r="L718" s="35" t="n">
        <f aca="false">G718*H718</f>
        <v>300</v>
      </c>
      <c r="M718" s="35" t="n">
        <f aca="false">L718*I718</f>
        <v>0</v>
      </c>
      <c r="N718" s="35" t="n">
        <f aca="false">L718-M718</f>
        <v>300</v>
      </c>
      <c r="O718" s="4" t="n">
        <f aca="false">MONTH(B718)</f>
        <v>5</v>
      </c>
      <c r="P718" s="4" t="str">
        <f aca="false">CHOOSE(WEEKDAY(B718,2),"Mon","Tue","Wed","Thu","Fri","Sat","Sun")</f>
        <v>Sat</v>
      </c>
      <c r="Q718" s="4" t="str">
        <f aca="false">IF(WEEKDAY(B718,2)&gt;5,"Weekend","Weekday")</f>
        <v>Weekend</v>
      </c>
      <c r="R718" s="4" t="str">
        <f aca="false">IF(C718&lt;11,"Morning (7-10)",IF(C718&lt;14,"Lunch (11-13)",IF(C718&lt;18,"Afternoon (14-17)","Evening (18-20)")))</f>
        <v>Afternoon (14-17)</v>
      </c>
      <c r="S718" s="4" t="str">
        <f aca="false">IF(AND(O718&gt;=3,O718&lt;=5),"Hot Dry (Mar-May)",IF(AND(O718&gt;=6,O718&lt;=11),"Rainy (Jun-Nov)","Cool Dry (Dec-Feb)"))</f>
        <v>Hot Dry (Mar-May)</v>
      </c>
      <c r="T718" s="4" t="str">
        <f aca="false">CHOOSE(O718,"Jan","Feb","Mar","Apr","May","Jun","Jul","Aug","Sep","Oct","Nov","Dec")</f>
        <v>May</v>
      </c>
    </row>
    <row r="719" customFormat="false" ht="15" hidden="false" customHeight="false" outlineLevel="0" collapsed="false">
      <c r="A719" s="4" t="s">
        <v>982</v>
      </c>
      <c r="B719" s="17" t="n">
        <v>45808</v>
      </c>
      <c r="C719" s="4" t="n">
        <v>16</v>
      </c>
      <c r="D719" s="4" t="s">
        <v>70</v>
      </c>
      <c r="E719" s="4" t="s">
        <v>74</v>
      </c>
      <c r="F719" s="4" t="s">
        <v>75</v>
      </c>
      <c r="G719" s="4" t="n">
        <v>3</v>
      </c>
      <c r="H719" s="34" t="n">
        <v>220</v>
      </c>
      <c r="I719" s="18" t="n">
        <v>0</v>
      </c>
      <c r="J719" s="4" t="s">
        <v>81</v>
      </c>
      <c r="K719" s="4" t="s">
        <v>68</v>
      </c>
      <c r="L719" s="35" t="n">
        <f aca="false">G719*H719</f>
        <v>660</v>
      </c>
      <c r="M719" s="35" t="n">
        <f aca="false">L719*I719</f>
        <v>0</v>
      </c>
      <c r="N719" s="35" t="n">
        <f aca="false">L719-M719</f>
        <v>660</v>
      </c>
      <c r="O719" s="4" t="n">
        <f aca="false">MONTH(B719)</f>
        <v>5</v>
      </c>
      <c r="P719" s="4" t="str">
        <f aca="false">CHOOSE(WEEKDAY(B719,2),"Mon","Tue","Wed","Thu","Fri","Sat","Sun")</f>
        <v>Sat</v>
      </c>
      <c r="Q719" s="4" t="str">
        <f aca="false">IF(WEEKDAY(B719,2)&gt;5,"Weekend","Weekday")</f>
        <v>Weekend</v>
      </c>
      <c r="R719" s="4" t="str">
        <f aca="false">IF(C719&lt;11,"Morning (7-10)",IF(C719&lt;14,"Lunch (11-13)",IF(C719&lt;18,"Afternoon (14-17)","Evening (18-20)")))</f>
        <v>Afternoon (14-17)</v>
      </c>
      <c r="S719" s="4" t="str">
        <f aca="false">IF(AND(O719&gt;=3,O719&lt;=5),"Hot Dry (Mar-May)",IF(AND(O719&gt;=6,O719&lt;=11),"Rainy (Jun-Nov)","Cool Dry (Dec-Feb)"))</f>
        <v>Hot Dry (Mar-May)</v>
      </c>
      <c r="T719" s="4" t="str">
        <f aca="false">CHOOSE(O719,"Jan","Feb","Mar","Apr","May","Jun","Jul","Aug","Sep","Oct","Nov","Dec")</f>
        <v>May</v>
      </c>
    </row>
    <row r="720" customFormat="false" ht="15" hidden="false" customHeight="false" outlineLevel="0" collapsed="false">
      <c r="A720" s="4" t="s">
        <v>983</v>
      </c>
      <c r="B720" s="17" t="n">
        <v>45808</v>
      </c>
      <c r="C720" s="4" t="n">
        <v>17</v>
      </c>
      <c r="D720" s="4" t="s">
        <v>73</v>
      </c>
      <c r="E720" s="4" t="s">
        <v>74</v>
      </c>
      <c r="F720" s="4" t="s">
        <v>139</v>
      </c>
      <c r="G720" s="4" t="n">
        <v>1</v>
      </c>
      <c r="H720" s="34" t="n">
        <v>260</v>
      </c>
      <c r="I720" s="18" t="n">
        <v>0</v>
      </c>
      <c r="J720" s="4" t="s">
        <v>67</v>
      </c>
      <c r="K720" s="4" t="s">
        <v>68</v>
      </c>
      <c r="L720" s="35" t="n">
        <f aca="false">G720*H720</f>
        <v>260</v>
      </c>
      <c r="M720" s="35" t="n">
        <f aca="false">L720*I720</f>
        <v>0</v>
      </c>
      <c r="N720" s="35" t="n">
        <f aca="false">L720-M720</f>
        <v>260</v>
      </c>
      <c r="O720" s="4" t="n">
        <f aca="false">MONTH(B720)</f>
        <v>5</v>
      </c>
      <c r="P720" s="4" t="str">
        <f aca="false">CHOOSE(WEEKDAY(B720,2),"Mon","Tue","Wed","Thu","Fri","Sat","Sun")</f>
        <v>Sat</v>
      </c>
      <c r="Q720" s="4" t="str">
        <f aca="false">IF(WEEKDAY(B720,2)&gt;5,"Weekend","Weekday")</f>
        <v>Weekend</v>
      </c>
      <c r="R720" s="4" t="str">
        <f aca="false">IF(C720&lt;11,"Morning (7-10)",IF(C720&lt;14,"Lunch (11-13)",IF(C720&lt;18,"Afternoon (14-17)","Evening (18-20)")))</f>
        <v>Afternoon (14-17)</v>
      </c>
      <c r="S720" s="4" t="str">
        <f aca="false">IF(AND(O720&gt;=3,O720&lt;=5),"Hot Dry (Mar-May)",IF(AND(O720&gt;=6,O720&lt;=11),"Rainy (Jun-Nov)","Cool Dry (Dec-Feb)"))</f>
        <v>Hot Dry (Mar-May)</v>
      </c>
      <c r="T720" s="4" t="str">
        <f aca="false">CHOOSE(O720,"Jan","Feb","Mar","Apr","May","Jun","Jul","Aug","Sep","Oct","Nov","Dec")</f>
        <v>May</v>
      </c>
    </row>
    <row r="721" customFormat="false" ht="15" hidden="false" customHeight="false" outlineLevel="0" collapsed="false">
      <c r="A721" s="4" t="s">
        <v>984</v>
      </c>
      <c r="B721" s="17" t="n">
        <v>45808</v>
      </c>
      <c r="C721" s="4" t="n">
        <v>20</v>
      </c>
      <c r="D721" s="4" t="s">
        <v>73</v>
      </c>
      <c r="E721" s="4" t="s">
        <v>79</v>
      </c>
      <c r="F721" s="4" t="s">
        <v>80</v>
      </c>
      <c r="G721" s="4" t="n">
        <v>3</v>
      </c>
      <c r="H721" s="34" t="n">
        <v>160</v>
      </c>
      <c r="I721" s="18" t="n">
        <v>0.1</v>
      </c>
      <c r="J721" s="4" t="s">
        <v>67</v>
      </c>
      <c r="K721" s="4" t="s">
        <v>71</v>
      </c>
      <c r="L721" s="35" t="n">
        <f aca="false">G721*H721</f>
        <v>480</v>
      </c>
      <c r="M721" s="35" t="n">
        <f aca="false">L721*I721</f>
        <v>48</v>
      </c>
      <c r="N721" s="35" t="n">
        <f aca="false">L721-M721</f>
        <v>432</v>
      </c>
      <c r="O721" s="4" t="n">
        <f aca="false">MONTH(B721)</f>
        <v>5</v>
      </c>
      <c r="P721" s="4" t="str">
        <f aca="false">CHOOSE(WEEKDAY(B721,2),"Mon","Tue","Wed","Thu","Fri","Sat","Sun")</f>
        <v>Sat</v>
      </c>
      <c r="Q721" s="4" t="str">
        <f aca="false">IF(WEEKDAY(B721,2)&gt;5,"Weekend","Weekday")</f>
        <v>Weekend</v>
      </c>
      <c r="R721" s="4" t="str">
        <f aca="false">IF(C721&lt;11,"Morning (7-10)",IF(C721&lt;14,"Lunch (11-13)",IF(C721&lt;18,"Afternoon (14-17)","Evening (18-20)")))</f>
        <v>Evening (18-20)</v>
      </c>
      <c r="S721" s="4" t="str">
        <f aca="false">IF(AND(O721&gt;=3,O721&lt;=5),"Hot Dry (Mar-May)",IF(AND(O721&gt;=6,O721&lt;=11),"Rainy (Jun-Nov)","Cool Dry (Dec-Feb)"))</f>
        <v>Hot Dry (Mar-May)</v>
      </c>
      <c r="T721" s="4" t="str">
        <f aca="false">CHOOSE(O721,"Jan","Feb","Mar","Apr","May","Jun","Jul","Aug","Sep","Oct","Nov","Dec")</f>
        <v>May</v>
      </c>
    </row>
    <row r="722" customFormat="false" ht="15" hidden="false" customHeight="false" outlineLevel="0" collapsed="false">
      <c r="A722" s="4" t="s">
        <v>985</v>
      </c>
      <c r="B722" s="17" t="n">
        <v>45809</v>
      </c>
      <c r="C722" s="4" t="n">
        <v>8</v>
      </c>
      <c r="D722" s="4" t="s">
        <v>70</v>
      </c>
      <c r="E722" s="4" t="s">
        <v>99</v>
      </c>
      <c r="F722" s="4" t="s">
        <v>102</v>
      </c>
      <c r="G722" s="4" t="n">
        <v>1</v>
      </c>
      <c r="H722" s="34" t="n">
        <v>140</v>
      </c>
      <c r="I722" s="18" t="n">
        <v>0.05</v>
      </c>
      <c r="J722" s="4" t="s">
        <v>76</v>
      </c>
      <c r="K722" s="4" t="s">
        <v>82</v>
      </c>
      <c r="L722" s="35" t="n">
        <f aca="false">G722*H722</f>
        <v>140</v>
      </c>
      <c r="M722" s="35" t="n">
        <f aca="false">L722*I722</f>
        <v>7</v>
      </c>
      <c r="N722" s="35" t="n">
        <f aca="false">L722-M722</f>
        <v>133</v>
      </c>
      <c r="O722" s="4" t="n">
        <f aca="false">MONTH(B722)</f>
        <v>6</v>
      </c>
      <c r="P722" s="4" t="str">
        <f aca="false">CHOOSE(WEEKDAY(B722,2),"Mon","Tue","Wed","Thu","Fri","Sat","Sun")</f>
        <v>Sun</v>
      </c>
      <c r="Q722" s="4" t="str">
        <f aca="false">IF(WEEKDAY(B722,2)&gt;5,"Weekend","Weekday")</f>
        <v>Weekend</v>
      </c>
      <c r="R722" s="4" t="str">
        <f aca="false">IF(C722&lt;11,"Morning (7-10)",IF(C722&lt;14,"Lunch (11-13)",IF(C722&lt;18,"Afternoon (14-17)","Evening (18-20)")))</f>
        <v>Morning (7-10)</v>
      </c>
      <c r="S722" s="4" t="str">
        <f aca="false">IF(AND(O722&gt;=3,O722&lt;=5),"Hot Dry (Mar-May)",IF(AND(O722&gt;=6,O722&lt;=11),"Rainy (Jun-Nov)","Cool Dry (Dec-Feb)"))</f>
        <v>Rainy (Jun-Nov)</v>
      </c>
      <c r="T722" s="4" t="str">
        <f aca="false">CHOOSE(O722,"Jan","Feb","Mar","Apr","May","Jun","Jul","Aug","Sep","Oct","Nov","Dec")</f>
        <v>Jun</v>
      </c>
    </row>
    <row r="723" customFormat="false" ht="15" hidden="false" customHeight="false" outlineLevel="0" collapsed="false">
      <c r="A723" s="4" t="s">
        <v>986</v>
      </c>
      <c r="B723" s="17" t="n">
        <v>45809</v>
      </c>
      <c r="C723" s="4" t="n">
        <v>8</v>
      </c>
      <c r="D723" s="4" t="s">
        <v>64</v>
      </c>
      <c r="E723" s="4" t="s">
        <v>65</v>
      </c>
      <c r="F723" s="4" t="s">
        <v>87</v>
      </c>
      <c r="G723" s="4" t="n">
        <v>1</v>
      </c>
      <c r="H723" s="34" t="n">
        <v>160</v>
      </c>
      <c r="I723" s="18" t="n">
        <v>0.05</v>
      </c>
      <c r="J723" s="4" t="s">
        <v>81</v>
      </c>
      <c r="K723" s="4" t="s">
        <v>82</v>
      </c>
      <c r="L723" s="35" t="n">
        <f aca="false">G723*H723</f>
        <v>160</v>
      </c>
      <c r="M723" s="35" t="n">
        <f aca="false">L723*I723</f>
        <v>8</v>
      </c>
      <c r="N723" s="35" t="n">
        <f aca="false">L723-M723</f>
        <v>152</v>
      </c>
      <c r="O723" s="4" t="n">
        <f aca="false">MONTH(B723)</f>
        <v>6</v>
      </c>
      <c r="P723" s="4" t="str">
        <f aca="false">CHOOSE(WEEKDAY(B723,2),"Mon","Tue","Wed","Thu","Fri","Sat","Sun")</f>
        <v>Sun</v>
      </c>
      <c r="Q723" s="4" t="str">
        <f aca="false">IF(WEEKDAY(B723,2)&gt;5,"Weekend","Weekday")</f>
        <v>Weekend</v>
      </c>
      <c r="R723" s="4" t="str">
        <f aca="false">IF(C723&lt;11,"Morning (7-10)",IF(C723&lt;14,"Lunch (11-13)",IF(C723&lt;18,"Afternoon (14-17)","Evening (18-20)")))</f>
        <v>Morning (7-10)</v>
      </c>
      <c r="S723" s="4" t="str">
        <f aca="false">IF(AND(O723&gt;=3,O723&lt;=5),"Hot Dry (Mar-May)",IF(AND(O723&gt;=6,O723&lt;=11),"Rainy (Jun-Nov)","Cool Dry (Dec-Feb)"))</f>
        <v>Rainy (Jun-Nov)</v>
      </c>
      <c r="T723" s="4" t="str">
        <f aca="false">CHOOSE(O723,"Jan","Feb","Mar","Apr","May","Jun","Jul","Aug","Sep","Oct","Nov","Dec")</f>
        <v>Jun</v>
      </c>
    </row>
    <row r="724" customFormat="false" ht="15" hidden="false" customHeight="false" outlineLevel="0" collapsed="false">
      <c r="A724" s="4" t="s">
        <v>987</v>
      </c>
      <c r="B724" s="17" t="n">
        <v>45809</v>
      </c>
      <c r="C724" s="4" t="n">
        <v>9</v>
      </c>
      <c r="D724" s="4" t="s">
        <v>98</v>
      </c>
      <c r="E724" s="4" t="s">
        <v>84</v>
      </c>
      <c r="F724" s="4" t="s">
        <v>85</v>
      </c>
      <c r="G724" s="4" t="n">
        <v>4</v>
      </c>
      <c r="H724" s="34" t="n">
        <v>150</v>
      </c>
      <c r="I724" s="18" t="n">
        <v>0</v>
      </c>
      <c r="J724" s="4" t="s">
        <v>67</v>
      </c>
      <c r="K724" s="4" t="s">
        <v>68</v>
      </c>
      <c r="L724" s="35" t="n">
        <f aca="false">G724*H724</f>
        <v>600</v>
      </c>
      <c r="M724" s="35" t="n">
        <f aca="false">L724*I724</f>
        <v>0</v>
      </c>
      <c r="N724" s="35" t="n">
        <f aca="false">L724-M724</f>
        <v>600</v>
      </c>
      <c r="O724" s="4" t="n">
        <f aca="false">MONTH(B724)</f>
        <v>6</v>
      </c>
      <c r="P724" s="4" t="str">
        <f aca="false">CHOOSE(WEEKDAY(B724,2),"Mon","Tue","Wed","Thu","Fri","Sat","Sun")</f>
        <v>Sun</v>
      </c>
      <c r="Q724" s="4" t="str">
        <f aca="false">IF(WEEKDAY(B724,2)&gt;5,"Weekend","Weekday")</f>
        <v>Weekend</v>
      </c>
      <c r="R724" s="4" t="str">
        <f aca="false">IF(C724&lt;11,"Morning (7-10)",IF(C724&lt;14,"Lunch (11-13)",IF(C724&lt;18,"Afternoon (14-17)","Evening (18-20)")))</f>
        <v>Morning (7-10)</v>
      </c>
      <c r="S724" s="4" t="str">
        <f aca="false">IF(AND(O724&gt;=3,O724&lt;=5),"Hot Dry (Mar-May)",IF(AND(O724&gt;=6,O724&lt;=11),"Rainy (Jun-Nov)","Cool Dry (Dec-Feb)"))</f>
        <v>Rainy (Jun-Nov)</v>
      </c>
      <c r="T724" s="4" t="str">
        <f aca="false">CHOOSE(O724,"Jan","Feb","Mar","Apr","May","Jun","Jul","Aug","Sep","Oct","Nov","Dec")</f>
        <v>Jun</v>
      </c>
    </row>
    <row r="725" customFormat="false" ht="15" hidden="false" customHeight="false" outlineLevel="0" collapsed="false">
      <c r="A725" s="4" t="s">
        <v>988</v>
      </c>
      <c r="B725" s="17" t="n">
        <v>45809</v>
      </c>
      <c r="C725" s="4" t="n">
        <v>10</v>
      </c>
      <c r="D725" s="4" t="s">
        <v>98</v>
      </c>
      <c r="E725" s="4" t="s">
        <v>99</v>
      </c>
      <c r="F725" s="4" t="s">
        <v>109</v>
      </c>
      <c r="G725" s="4" t="n">
        <v>2</v>
      </c>
      <c r="H725" s="34" t="n">
        <v>130</v>
      </c>
      <c r="I725" s="18" t="n">
        <v>0.15</v>
      </c>
      <c r="J725" s="4" t="s">
        <v>67</v>
      </c>
      <c r="K725" s="4" t="s">
        <v>68</v>
      </c>
      <c r="L725" s="35" t="n">
        <f aca="false">G725*H725</f>
        <v>260</v>
      </c>
      <c r="M725" s="35" t="n">
        <f aca="false">L725*I725</f>
        <v>39</v>
      </c>
      <c r="N725" s="35" t="n">
        <f aca="false">L725-M725</f>
        <v>221</v>
      </c>
      <c r="O725" s="4" t="n">
        <f aca="false">MONTH(B725)</f>
        <v>6</v>
      </c>
      <c r="P725" s="4" t="str">
        <f aca="false">CHOOSE(WEEKDAY(B725,2),"Mon","Tue","Wed","Thu","Fri","Sat","Sun")</f>
        <v>Sun</v>
      </c>
      <c r="Q725" s="4" t="str">
        <f aca="false">IF(WEEKDAY(B725,2)&gt;5,"Weekend","Weekday")</f>
        <v>Weekend</v>
      </c>
      <c r="R725" s="4" t="str">
        <f aca="false">IF(C725&lt;11,"Morning (7-10)",IF(C725&lt;14,"Lunch (11-13)",IF(C725&lt;18,"Afternoon (14-17)","Evening (18-20)")))</f>
        <v>Morning (7-10)</v>
      </c>
      <c r="S725" s="4" t="str">
        <f aca="false">IF(AND(O725&gt;=3,O725&lt;=5),"Hot Dry (Mar-May)",IF(AND(O725&gt;=6,O725&lt;=11),"Rainy (Jun-Nov)","Cool Dry (Dec-Feb)"))</f>
        <v>Rainy (Jun-Nov)</v>
      </c>
      <c r="T725" s="4" t="str">
        <f aca="false">CHOOSE(O725,"Jan","Feb","Mar","Apr","May","Jun","Jul","Aug","Sep","Oct","Nov","Dec")</f>
        <v>Jun</v>
      </c>
    </row>
    <row r="726" customFormat="false" ht="15" hidden="false" customHeight="false" outlineLevel="0" collapsed="false">
      <c r="A726" s="4" t="s">
        <v>989</v>
      </c>
      <c r="B726" s="17" t="n">
        <v>45809</v>
      </c>
      <c r="C726" s="4" t="n">
        <v>11</v>
      </c>
      <c r="D726" s="4" t="s">
        <v>98</v>
      </c>
      <c r="E726" s="4" t="s">
        <v>65</v>
      </c>
      <c r="F726" s="4" t="s">
        <v>66</v>
      </c>
      <c r="G726" s="4" t="n">
        <v>1</v>
      </c>
      <c r="H726" s="34" t="n">
        <v>120</v>
      </c>
      <c r="I726" s="18" t="n">
        <v>0</v>
      </c>
      <c r="J726" s="4" t="s">
        <v>81</v>
      </c>
      <c r="K726" s="4" t="s">
        <v>68</v>
      </c>
      <c r="L726" s="35" t="n">
        <f aca="false">G726*H726</f>
        <v>120</v>
      </c>
      <c r="M726" s="35" t="n">
        <f aca="false">L726*I726</f>
        <v>0</v>
      </c>
      <c r="N726" s="35" t="n">
        <f aca="false">L726-M726</f>
        <v>120</v>
      </c>
      <c r="O726" s="4" t="n">
        <f aca="false">MONTH(B726)</f>
        <v>6</v>
      </c>
      <c r="P726" s="4" t="str">
        <f aca="false">CHOOSE(WEEKDAY(B726,2),"Mon","Tue","Wed","Thu","Fri","Sat","Sun")</f>
        <v>Sun</v>
      </c>
      <c r="Q726" s="4" t="str">
        <f aca="false">IF(WEEKDAY(B726,2)&gt;5,"Weekend","Weekday")</f>
        <v>Weekend</v>
      </c>
      <c r="R726" s="4" t="str">
        <f aca="false">IF(C726&lt;11,"Morning (7-10)",IF(C726&lt;14,"Lunch (11-13)",IF(C726&lt;18,"Afternoon (14-17)","Evening (18-20)")))</f>
        <v>Lunch (11-13)</v>
      </c>
      <c r="S726" s="4" t="str">
        <f aca="false">IF(AND(O726&gt;=3,O726&lt;=5),"Hot Dry (Mar-May)",IF(AND(O726&gt;=6,O726&lt;=11),"Rainy (Jun-Nov)","Cool Dry (Dec-Feb)"))</f>
        <v>Rainy (Jun-Nov)</v>
      </c>
      <c r="T726" s="4" t="str">
        <f aca="false">CHOOSE(O726,"Jan","Feb","Mar","Apr","May","Jun","Jul","Aug","Sep","Oct","Nov","Dec")</f>
        <v>Jun</v>
      </c>
    </row>
    <row r="727" customFormat="false" ht="15" hidden="false" customHeight="false" outlineLevel="0" collapsed="false">
      <c r="A727" s="4" t="s">
        <v>991</v>
      </c>
      <c r="B727" s="17" t="n">
        <v>45809</v>
      </c>
      <c r="C727" s="4" t="n">
        <v>12</v>
      </c>
      <c r="D727" s="4" t="s">
        <v>98</v>
      </c>
      <c r="E727" s="4" t="s">
        <v>79</v>
      </c>
      <c r="F727" s="4" t="s">
        <v>80</v>
      </c>
      <c r="G727" s="4" t="n">
        <v>3</v>
      </c>
      <c r="H727" s="34" t="n">
        <v>160</v>
      </c>
      <c r="I727" s="18" t="n">
        <v>0.1</v>
      </c>
      <c r="J727" s="4" t="s">
        <v>76</v>
      </c>
      <c r="K727" s="4" t="s">
        <v>71</v>
      </c>
      <c r="L727" s="35" t="n">
        <f aca="false">G727*H727</f>
        <v>480</v>
      </c>
      <c r="M727" s="35" t="n">
        <f aca="false">L727*I727</f>
        <v>48</v>
      </c>
      <c r="N727" s="35" t="n">
        <f aca="false">L727-M727</f>
        <v>432</v>
      </c>
      <c r="O727" s="4" t="n">
        <f aca="false">MONTH(B727)</f>
        <v>6</v>
      </c>
      <c r="P727" s="4" t="str">
        <f aca="false">CHOOSE(WEEKDAY(B727,2),"Mon","Tue","Wed","Thu","Fri","Sat","Sun")</f>
        <v>Sun</v>
      </c>
      <c r="Q727" s="4" t="str">
        <f aca="false">IF(WEEKDAY(B727,2)&gt;5,"Weekend","Weekday")</f>
        <v>Weekend</v>
      </c>
      <c r="R727" s="4" t="str">
        <f aca="false">IF(C727&lt;11,"Morning (7-10)",IF(C727&lt;14,"Lunch (11-13)",IF(C727&lt;18,"Afternoon (14-17)","Evening (18-20)")))</f>
        <v>Lunch (11-13)</v>
      </c>
      <c r="S727" s="4" t="str">
        <f aca="false">IF(AND(O727&gt;=3,O727&lt;=5),"Hot Dry (Mar-May)",IF(AND(O727&gt;=6,O727&lt;=11),"Rainy (Jun-Nov)","Cool Dry (Dec-Feb)"))</f>
        <v>Rainy (Jun-Nov)</v>
      </c>
      <c r="T727" s="4" t="str">
        <f aca="false">CHOOSE(O727,"Jan","Feb","Mar","Apr","May","Jun","Jul","Aug","Sep","Oct","Nov","Dec")</f>
        <v>Jun</v>
      </c>
    </row>
    <row r="728" customFormat="false" ht="15" hidden="false" customHeight="false" outlineLevel="0" collapsed="false">
      <c r="A728" s="4" t="s">
        <v>992</v>
      </c>
      <c r="B728" s="17" t="n">
        <v>45809</v>
      </c>
      <c r="C728" s="4" t="n">
        <v>12</v>
      </c>
      <c r="D728" s="4" t="s">
        <v>70</v>
      </c>
      <c r="E728" s="4" t="s">
        <v>99</v>
      </c>
      <c r="F728" s="4" t="s">
        <v>102</v>
      </c>
      <c r="G728" s="4" t="n">
        <v>3</v>
      </c>
      <c r="H728" s="34" t="n">
        <v>140</v>
      </c>
      <c r="I728" s="18" t="n">
        <v>0</v>
      </c>
      <c r="J728" s="4" t="s">
        <v>81</v>
      </c>
      <c r="K728" s="4" t="s">
        <v>77</v>
      </c>
      <c r="L728" s="35" t="n">
        <f aca="false">G728*H728</f>
        <v>420</v>
      </c>
      <c r="M728" s="35" t="n">
        <f aca="false">L728*I728</f>
        <v>0</v>
      </c>
      <c r="N728" s="35" t="n">
        <f aca="false">L728-M728</f>
        <v>420</v>
      </c>
      <c r="O728" s="4" t="n">
        <f aca="false">MONTH(B728)</f>
        <v>6</v>
      </c>
      <c r="P728" s="4" t="str">
        <f aca="false">CHOOSE(WEEKDAY(B728,2),"Mon","Tue","Wed","Thu","Fri","Sat","Sun")</f>
        <v>Sun</v>
      </c>
      <c r="Q728" s="4" t="str">
        <f aca="false">IF(WEEKDAY(B728,2)&gt;5,"Weekend","Weekday")</f>
        <v>Weekend</v>
      </c>
      <c r="R728" s="4" t="str">
        <f aca="false">IF(C728&lt;11,"Morning (7-10)",IF(C728&lt;14,"Lunch (11-13)",IF(C728&lt;18,"Afternoon (14-17)","Evening (18-20)")))</f>
        <v>Lunch (11-13)</v>
      </c>
      <c r="S728" s="4" t="str">
        <f aca="false">IF(AND(O728&gt;=3,O728&lt;=5),"Hot Dry (Mar-May)",IF(AND(O728&gt;=6,O728&lt;=11),"Rainy (Jun-Nov)","Cool Dry (Dec-Feb)"))</f>
        <v>Rainy (Jun-Nov)</v>
      </c>
      <c r="T728" s="4" t="str">
        <f aca="false">CHOOSE(O728,"Jan","Feb","Mar","Apr","May","Jun","Jul","Aug","Sep","Oct","Nov","Dec")</f>
        <v>Jun</v>
      </c>
    </row>
    <row r="729" customFormat="false" ht="15" hidden="false" customHeight="false" outlineLevel="0" collapsed="false">
      <c r="A729" s="4" t="s">
        <v>993</v>
      </c>
      <c r="B729" s="17" t="n">
        <v>45809</v>
      </c>
      <c r="C729" s="4" t="n">
        <v>13</v>
      </c>
      <c r="D729" s="4" t="s">
        <v>98</v>
      </c>
      <c r="E729" s="4" t="s">
        <v>84</v>
      </c>
      <c r="F729" s="4" t="s">
        <v>85</v>
      </c>
      <c r="G729" s="4" t="n">
        <v>3</v>
      </c>
      <c r="H729" s="34" t="n">
        <v>150</v>
      </c>
      <c r="I729" s="18" t="n">
        <v>0</v>
      </c>
      <c r="J729" s="4" t="s">
        <v>67</v>
      </c>
      <c r="K729" s="4" t="s">
        <v>71</v>
      </c>
      <c r="L729" s="35" t="n">
        <f aca="false">G729*H729</f>
        <v>450</v>
      </c>
      <c r="M729" s="35" t="n">
        <f aca="false">L729*I729</f>
        <v>0</v>
      </c>
      <c r="N729" s="35" t="n">
        <f aca="false">L729-M729</f>
        <v>450</v>
      </c>
      <c r="O729" s="4" t="n">
        <f aca="false">MONTH(B729)</f>
        <v>6</v>
      </c>
      <c r="P729" s="4" t="str">
        <f aca="false">CHOOSE(WEEKDAY(B729,2),"Mon","Tue","Wed","Thu","Fri","Sat","Sun")</f>
        <v>Sun</v>
      </c>
      <c r="Q729" s="4" t="str">
        <f aca="false">IF(WEEKDAY(B729,2)&gt;5,"Weekend","Weekday")</f>
        <v>Weekend</v>
      </c>
      <c r="R729" s="4" t="str">
        <f aca="false">IF(C729&lt;11,"Morning (7-10)",IF(C729&lt;14,"Lunch (11-13)",IF(C729&lt;18,"Afternoon (14-17)","Evening (18-20)")))</f>
        <v>Lunch (11-13)</v>
      </c>
      <c r="S729" s="4" t="str">
        <f aca="false">IF(AND(O729&gt;=3,O729&lt;=5),"Hot Dry (Mar-May)",IF(AND(O729&gt;=6,O729&lt;=11),"Rainy (Jun-Nov)","Cool Dry (Dec-Feb)"))</f>
        <v>Rainy (Jun-Nov)</v>
      </c>
      <c r="T729" s="4" t="str">
        <f aca="false">CHOOSE(O729,"Jan","Feb","Mar","Apr","May","Jun","Jul","Aug","Sep","Oct","Nov","Dec")</f>
        <v>Jun</v>
      </c>
    </row>
    <row r="730" customFormat="false" ht="15" hidden="false" customHeight="false" outlineLevel="0" collapsed="false">
      <c r="A730" s="4" t="s">
        <v>994</v>
      </c>
      <c r="B730" s="17" t="n">
        <v>45809</v>
      </c>
      <c r="C730" s="4" t="n">
        <v>19</v>
      </c>
      <c r="D730" s="4" t="s">
        <v>64</v>
      </c>
      <c r="E730" s="4" t="s">
        <v>65</v>
      </c>
      <c r="F730" s="4" t="s">
        <v>94</v>
      </c>
      <c r="G730" s="4" t="n">
        <v>3</v>
      </c>
      <c r="H730" s="34" t="n">
        <v>150</v>
      </c>
      <c r="I730" s="18" t="n">
        <v>0.2</v>
      </c>
      <c r="J730" s="4" t="s">
        <v>67</v>
      </c>
      <c r="K730" s="4" t="s">
        <v>82</v>
      </c>
      <c r="L730" s="35" t="n">
        <f aca="false">G730*H730</f>
        <v>450</v>
      </c>
      <c r="M730" s="35" t="n">
        <f aca="false">L730*I730</f>
        <v>90</v>
      </c>
      <c r="N730" s="35" t="n">
        <f aca="false">L730-M730</f>
        <v>360</v>
      </c>
      <c r="O730" s="4" t="n">
        <f aca="false">MONTH(B730)</f>
        <v>6</v>
      </c>
      <c r="P730" s="4" t="str">
        <f aca="false">CHOOSE(WEEKDAY(B730,2),"Mon","Tue","Wed","Thu","Fri","Sat","Sun")</f>
        <v>Sun</v>
      </c>
      <c r="Q730" s="4" t="str">
        <f aca="false">IF(WEEKDAY(B730,2)&gt;5,"Weekend","Weekday")</f>
        <v>Weekend</v>
      </c>
      <c r="R730" s="4" t="str">
        <f aca="false">IF(C730&lt;11,"Morning (7-10)",IF(C730&lt;14,"Lunch (11-13)",IF(C730&lt;18,"Afternoon (14-17)","Evening (18-20)")))</f>
        <v>Evening (18-20)</v>
      </c>
      <c r="S730" s="4" t="str">
        <f aca="false">IF(AND(O730&gt;=3,O730&lt;=5),"Hot Dry (Mar-May)",IF(AND(O730&gt;=6,O730&lt;=11),"Rainy (Jun-Nov)","Cool Dry (Dec-Feb)"))</f>
        <v>Rainy (Jun-Nov)</v>
      </c>
      <c r="T730" s="4" t="str">
        <f aca="false">CHOOSE(O730,"Jan","Feb","Mar","Apr","May","Jun","Jul","Aug","Sep","Oct","Nov","Dec")</f>
        <v>Jun</v>
      </c>
    </row>
    <row r="731" customFormat="false" ht="15" hidden="false" customHeight="false" outlineLevel="0" collapsed="false">
      <c r="A731" s="4" t="s">
        <v>995</v>
      </c>
      <c r="B731" s="17" t="n">
        <v>45810</v>
      </c>
      <c r="C731" s="4" t="n">
        <v>7</v>
      </c>
      <c r="D731" s="4" t="s">
        <v>64</v>
      </c>
      <c r="E731" s="4" t="s">
        <v>99</v>
      </c>
      <c r="F731" s="4" t="s">
        <v>109</v>
      </c>
      <c r="G731" s="4" t="n">
        <v>1</v>
      </c>
      <c r="H731" s="34" t="n">
        <v>130</v>
      </c>
      <c r="I731" s="18" t="n">
        <v>0</v>
      </c>
      <c r="J731" s="4" t="s">
        <v>67</v>
      </c>
      <c r="K731" s="4" t="s">
        <v>77</v>
      </c>
      <c r="L731" s="35" t="n">
        <f aca="false">G731*H731</f>
        <v>130</v>
      </c>
      <c r="M731" s="35" t="n">
        <f aca="false">L731*I731</f>
        <v>0</v>
      </c>
      <c r="N731" s="35" t="n">
        <f aca="false">L731-M731</f>
        <v>130</v>
      </c>
      <c r="O731" s="4" t="n">
        <f aca="false">MONTH(B731)</f>
        <v>6</v>
      </c>
      <c r="P731" s="4" t="str">
        <f aca="false">CHOOSE(WEEKDAY(B731,2),"Mon","Tue","Wed","Thu","Fri","Sat","Sun")</f>
        <v>Mon</v>
      </c>
      <c r="Q731" s="4" t="str">
        <f aca="false">IF(WEEKDAY(B731,2)&gt;5,"Weekend","Weekday")</f>
        <v>Weekday</v>
      </c>
      <c r="R731" s="4" t="str">
        <f aca="false">IF(C731&lt;11,"Morning (7-10)",IF(C731&lt;14,"Lunch (11-13)",IF(C731&lt;18,"Afternoon (14-17)","Evening (18-20)")))</f>
        <v>Morning (7-10)</v>
      </c>
      <c r="S731" s="4" t="str">
        <f aca="false">IF(AND(O731&gt;=3,O731&lt;=5),"Hot Dry (Mar-May)",IF(AND(O731&gt;=6,O731&lt;=11),"Rainy (Jun-Nov)","Cool Dry (Dec-Feb)"))</f>
        <v>Rainy (Jun-Nov)</v>
      </c>
      <c r="T731" s="4" t="str">
        <f aca="false">CHOOSE(O731,"Jan","Feb","Mar","Apr","May","Jun","Jul","Aug","Sep","Oct","Nov","Dec")</f>
        <v>Jun</v>
      </c>
    </row>
    <row r="732" customFormat="false" ht="15" hidden="false" customHeight="false" outlineLevel="0" collapsed="false">
      <c r="A732" s="4" t="s">
        <v>996</v>
      </c>
      <c r="B732" s="17" t="n">
        <v>45810</v>
      </c>
      <c r="C732" s="4" t="n">
        <v>9</v>
      </c>
      <c r="D732" s="4" t="s">
        <v>73</v>
      </c>
      <c r="E732" s="4" t="s">
        <v>79</v>
      </c>
      <c r="F732" s="4" t="s">
        <v>80</v>
      </c>
      <c r="G732" s="4" t="n">
        <v>1</v>
      </c>
      <c r="H732" s="34" t="n">
        <v>160</v>
      </c>
      <c r="I732" s="18" t="n">
        <v>0</v>
      </c>
      <c r="J732" s="4" t="s">
        <v>67</v>
      </c>
      <c r="K732" s="4" t="s">
        <v>68</v>
      </c>
      <c r="L732" s="35" t="n">
        <f aca="false">G732*H732</f>
        <v>160</v>
      </c>
      <c r="M732" s="35" t="n">
        <f aca="false">L732*I732</f>
        <v>0</v>
      </c>
      <c r="N732" s="35" t="n">
        <f aca="false">L732-M732</f>
        <v>160</v>
      </c>
      <c r="O732" s="4" t="n">
        <f aca="false">MONTH(B732)</f>
        <v>6</v>
      </c>
      <c r="P732" s="4" t="str">
        <f aca="false">CHOOSE(WEEKDAY(B732,2),"Mon","Tue","Wed","Thu","Fri","Sat","Sun")</f>
        <v>Mon</v>
      </c>
      <c r="Q732" s="4" t="str">
        <f aca="false">IF(WEEKDAY(B732,2)&gt;5,"Weekend","Weekday")</f>
        <v>Weekday</v>
      </c>
      <c r="R732" s="4" t="str">
        <f aca="false">IF(C732&lt;11,"Morning (7-10)",IF(C732&lt;14,"Lunch (11-13)",IF(C732&lt;18,"Afternoon (14-17)","Evening (18-20)")))</f>
        <v>Morning (7-10)</v>
      </c>
      <c r="S732" s="4" t="str">
        <f aca="false">IF(AND(O732&gt;=3,O732&lt;=5),"Hot Dry (Mar-May)",IF(AND(O732&gt;=6,O732&lt;=11),"Rainy (Jun-Nov)","Cool Dry (Dec-Feb)"))</f>
        <v>Rainy (Jun-Nov)</v>
      </c>
      <c r="T732" s="4" t="str">
        <f aca="false">CHOOSE(O732,"Jan","Feb","Mar","Apr","May","Jun","Jul","Aug","Sep","Oct","Nov","Dec")</f>
        <v>Jun</v>
      </c>
    </row>
    <row r="733" customFormat="false" ht="15" hidden="false" customHeight="false" outlineLevel="0" collapsed="false">
      <c r="A733" s="4" t="s">
        <v>997</v>
      </c>
      <c r="B733" s="17" t="n">
        <v>45810</v>
      </c>
      <c r="C733" s="4" t="n">
        <v>13</v>
      </c>
      <c r="D733" s="4" t="s">
        <v>73</v>
      </c>
      <c r="E733" s="4" t="s">
        <v>84</v>
      </c>
      <c r="F733" s="4" t="s">
        <v>117</v>
      </c>
      <c r="G733" s="4" t="n">
        <v>1</v>
      </c>
      <c r="H733" s="34" t="n">
        <v>95</v>
      </c>
      <c r="I733" s="18" t="n">
        <v>0.1</v>
      </c>
      <c r="J733" s="4" t="s">
        <v>67</v>
      </c>
      <c r="K733" s="4" t="s">
        <v>71</v>
      </c>
      <c r="L733" s="35" t="n">
        <f aca="false">G733*H733</f>
        <v>95</v>
      </c>
      <c r="M733" s="35" t="n">
        <f aca="false">L733*I733</f>
        <v>9.5</v>
      </c>
      <c r="N733" s="35" t="n">
        <f aca="false">L733-M733</f>
        <v>85.5</v>
      </c>
      <c r="O733" s="4" t="n">
        <f aca="false">MONTH(B733)</f>
        <v>6</v>
      </c>
      <c r="P733" s="4" t="str">
        <f aca="false">CHOOSE(WEEKDAY(B733,2),"Mon","Tue","Wed","Thu","Fri","Sat","Sun")</f>
        <v>Mon</v>
      </c>
      <c r="Q733" s="4" t="str">
        <f aca="false">IF(WEEKDAY(B733,2)&gt;5,"Weekend","Weekday")</f>
        <v>Weekday</v>
      </c>
      <c r="R733" s="4" t="str">
        <f aca="false">IF(C733&lt;11,"Morning (7-10)",IF(C733&lt;14,"Lunch (11-13)",IF(C733&lt;18,"Afternoon (14-17)","Evening (18-20)")))</f>
        <v>Lunch (11-13)</v>
      </c>
      <c r="S733" s="4" t="str">
        <f aca="false">IF(AND(O733&gt;=3,O733&lt;=5),"Hot Dry (Mar-May)",IF(AND(O733&gt;=6,O733&lt;=11),"Rainy (Jun-Nov)","Cool Dry (Dec-Feb)"))</f>
        <v>Rainy (Jun-Nov)</v>
      </c>
      <c r="T733" s="4" t="str">
        <f aca="false">CHOOSE(O733,"Jan","Feb","Mar","Apr","May","Jun","Jul","Aug","Sep","Oct","Nov","Dec")</f>
        <v>Jun</v>
      </c>
    </row>
    <row r="734" customFormat="false" ht="15" hidden="false" customHeight="false" outlineLevel="0" collapsed="false">
      <c r="A734" s="4" t="s">
        <v>998</v>
      </c>
      <c r="B734" s="17" t="n">
        <v>45810</v>
      </c>
      <c r="C734" s="4" t="n">
        <v>15</v>
      </c>
      <c r="D734" s="4" t="s">
        <v>70</v>
      </c>
      <c r="E734" s="4" t="s">
        <v>84</v>
      </c>
      <c r="F734" s="4" t="s">
        <v>85</v>
      </c>
      <c r="G734" s="4" t="n">
        <v>1</v>
      </c>
      <c r="H734" s="34" t="n">
        <v>150</v>
      </c>
      <c r="I734" s="18" t="n">
        <v>0.1</v>
      </c>
      <c r="J734" s="4" t="s">
        <v>81</v>
      </c>
      <c r="K734" s="4" t="s">
        <v>71</v>
      </c>
      <c r="L734" s="35" t="n">
        <f aca="false">G734*H734</f>
        <v>150</v>
      </c>
      <c r="M734" s="35" t="n">
        <f aca="false">L734*I734</f>
        <v>15</v>
      </c>
      <c r="N734" s="35" t="n">
        <f aca="false">L734-M734</f>
        <v>135</v>
      </c>
      <c r="O734" s="4" t="n">
        <f aca="false">MONTH(B734)</f>
        <v>6</v>
      </c>
      <c r="P734" s="4" t="str">
        <f aca="false">CHOOSE(WEEKDAY(B734,2),"Mon","Tue","Wed","Thu","Fri","Sat","Sun")</f>
        <v>Mon</v>
      </c>
      <c r="Q734" s="4" t="str">
        <f aca="false">IF(WEEKDAY(B734,2)&gt;5,"Weekend","Weekday")</f>
        <v>Weekday</v>
      </c>
      <c r="R734" s="4" t="str">
        <f aca="false">IF(C734&lt;11,"Morning (7-10)",IF(C734&lt;14,"Lunch (11-13)",IF(C734&lt;18,"Afternoon (14-17)","Evening (18-20)")))</f>
        <v>Afternoon (14-17)</v>
      </c>
      <c r="S734" s="4" t="str">
        <f aca="false">IF(AND(O734&gt;=3,O734&lt;=5),"Hot Dry (Mar-May)",IF(AND(O734&gt;=6,O734&lt;=11),"Rainy (Jun-Nov)","Cool Dry (Dec-Feb)"))</f>
        <v>Rainy (Jun-Nov)</v>
      </c>
      <c r="T734" s="4" t="str">
        <f aca="false">CHOOSE(O734,"Jan","Feb","Mar","Apr","May","Jun","Jul","Aug","Sep","Oct","Nov","Dec")</f>
        <v>Jun</v>
      </c>
    </row>
    <row r="735" customFormat="false" ht="15" hidden="false" customHeight="false" outlineLevel="0" collapsed="false">
      <c r="A735" s="4" t="s">
        <v>999</v>
      </c>
      <c r="B735" s="17" t="n">
        <v>45811</v>
      </c>
      <c r="C735" s="4" t="n">
        <v>8</v>
      </c>
      <c r="D735" s="4" t="s">
        <v>70</v>
      </c>
      <c r="E735" s="4" t="s">
        <v>65</v>
      </c>
      <c r="F735" s="4" t="s">
        <v>66</v>
      </c>
      <c r="G735" s="4" t="n">
        <v>2</v>
      </c>
      <c r="H735" s="34" t="n">
        <v>120</v>
      </c>
      <c r="I735" s="18" t="n">
        <v>0</v>
      </c>
      <c r="J735" s="4" t="s">
        <v>112</v>
      </c>
      <c r="K735" s="4" t="s">
        <v>77</v>
      </c>
      <c r="L735" s="35" t="n">
        <f aca="false">G735*H735</f>
        <v>240</v>
      </c>
      <c r="M735" s="35" t="n">
        <f aca="false">L735*I735</f>
        <v>0</v>
      </c>
      <c r="N735" s="35" t="n">
        <f aca="false">L735-M735</f>
        <v>240</v>
      </c>
      <c r="O735" s="4" t="n">
        <f aca="false">MONTH(B735)</f>
        <v>6</v>
      </c>
      <c r="P735" s="4" t="str">
        <f aca="false">CHOOSE(WEEKDAY(B735,2),"Mon","Tue","Wed","Thu","Fri","Sat","Sun")</f>
        <v>Tue</v>
      </c>
      <c r="Q735" s="4" t="str">
        <f aca="false">IF(WEEKDAY(B735,2)&gt;5,"Weekend","Weekday")</f>
        <v>Weekday</v>
      </c>
      <c r="R735" s="4" t="str">
        <f aca="false">IF(C735&lt;11,"Morning (7-10)",IF(C735&lt;14,"Lunch (11-13)",IF(C735&lt;18,"Afternoon (14-17)","Evening (18-20)")))</f>
        <v>Morning (7-10)</v>
      </c>
      <c r="S735" s="4" t="str">
        <f aca="false">IF(AND(O735&gt;=3,O735&lt;=5),"Hot Dry (Mar-May)",IF(AND(O735&gt;=6,O735&lt;=11),"Rainy (Jun-Nov)","Cool Dry (Dec-Feb)"))</f>
        <v>Rainy (Jun-Nov)</v>
      </c>
      <c r="T735" s="4" t="str">
        <f aca="false">CHOOSE(O735,"Jan","Feb","Mar","Apr","May","Jun","Jul","Aug","Sep","Oct","Nov","Dec")</f>
        <v>Jun</v>
      </c>
    </row>
    <row r="736" customFormat="false" ht="15" hidden="false" customHeight="false" outlineLevel="0" collapsed="false">
      <c r="A736" s="4" t="s">
        <v>1001</v>
      </c>
      <c r="B736" s="17" t="n">
        <v>45811</v>
      </c>
      <c r="C736" s="4" t="n">
        <v>9</v>
      </c>
      <c r="D736" s="4" t="s">
        <v>73</v>
      </c>
      <c r="E736" s="4" t="s">
        <v>99</v>
      </c>
      <c r="F736" s="4" t="s">
        <v>109</v>
      </c>
      <c r="G736" s="4" t="n">
        <v>4</v>
      </c>
      <c r="H736" s="34" t="n">
        <v>130</v>
      </c>
      <c r="I736" s="18" t="n">
        <v>0.1</v>
      </c>
      <c r="J736" s="4" t="s">
        <v>76</v>
      </c>
      <c r="K736" s="4" t="s">
        <v>71</v>
      </c>
      <c r="L736" s="35" t="n">
        <f aca="false">G736*H736</f>
        <v>520</v>
      </c>
      <c r="M736" s="35" t="n">
        <f aca="false">L736*I736</f>
        <v>52</v>
      </c>
      <c r="N736" s="35" t="n">
        <f aca="false">L736-M736</f>
        <v>468</v>
      </c>
      <c r="O736" s="4" t="n">
        <f aca="false">MONTH(B736)</f>
        <v>6</v>
      </c>
      <c r="P736" s="4" t="str">
        <f aca="false">CHOOSE(WEEKDAY(B736,2),"Mon","Tue","Wed","Thu","Fri","Sat","Sun")</f>
        <v>Tue</v>
      </c>
      <c r="Q736" s="4" t="str">
        <f aca="false">IF(WEEKDAY(B736,2)&gt;5,"Weekend","Weekday")</f>
        <v>Weekday</v>
      </c>
      <c r="R736" s="4" t="str">
        <f aca="false">IF(C736&lt;11,"Morning (7-10)",IF(C736&lt;14,"Lunch (11-13)",IF(C736&lt;18,"Afternoon (14-17)","Evening (18-20)")))</f>
        <v>Morning (7-10)</v>
      </c>
      <c r="S736" s="4" t="str">
        <f aca="false">IF(AND(O736&gt;=3,O736&lt;=5),"Hot Dry (Mar-May)",IF(AND(O736&gt;=6,O736&lt;=11),"Rainy (Jun-Nov)","Cool Dry (Dec-Feb)"))</f>
        <v>Rainy (Jun-Nov)</v>
      </c>
      <c r="T736" s="4" t="str">
        <f aca="false">CHOOSE(O736,"Jan","Feb","Mar","Apr","May","Jun","Jul","Aug","Sep","Oct","Nov","Dec")</f>
        <v>Jun</v>
      </c>
    </row>
    <row r="737" customFormat="false" ht="15" hidden="false" customHeight="false" outlineLevel="0" collapsed="false">
      <c r="A737" s="4" t="s">
        <v>1003</v>
      </c>
      <c r="B737" s="17" t="n">
        <v>45811</v>
      </c>
      <c r="C737" s="4" t="n">
        <v>14</v>
      </c>
      <c r="D737" s="4" t="s">
        <v>73</v>
      </c>
      <c r="E737" s="4" t="s">
        <v>79</v>
      </c>
      <c r="F737" s="4" t="s">
        <v>80</v>
      </c>
      <c r="G737" s="4" t="n">
        <v>1</v>
      </c>
      <c r="H737" s="34" t="n">
        <v>160</v>
      </c>
      <c r="I737" s="18" t="n">
        <v>0</v>
      </c>
      <c r="J737" s="4" t="s">
        <v>88</v>
      </c>
      <c r="K737" s="4" t="s">
        <v>68</v>
      </c>
      <c r="L737" s="35" t="n">
        <f aca="false">G737*H737</f>
        <v>160</v>
      </c>
      <c r="M737" s="35" t="n">
        <f aca="false">L737*I737</f>
        <v>0</v>
      </c>
      <c r="N737" s="35" t="n">
        <f aca="false">L737-M737</f>
        <v>160</v>
      </c>
      <c r="O737" s="4" t="n">
        <f aca="false">MONTH(B737)</f>
        <v>6</v>
      </c>
      <c r="P737" s="4" t="str">
        <f aca="false">CHOOSE(WEEKDAY(B737,2),"Mon","Tue","Wed","Thu","Fri","Sat","Sun")</f>
        <v>Tue</v>
      </c>
      <c r="Q737" s="4" t="str">
        <f aca="false">IF(WEEKDAY(B737,2)&gt;5,"Weekend","Weekday")</f>
        <v>Weekday</v>
      </c>
      <c r="R737" s="4" t="str">
        <f aca="false">IF(C737&lt;11,"Morning (7-10)",IF(C737&lt;14,"Lunch (11-13)",IF(C737&lt;18,"Afternoon (14-17)","Evening (18-20)")))</f>
        <v>Afternoon (14-17)</v>
      </c>
      <c r="S737" s="4" t="str">
        <f aca="false">IF(AND(O737&gt;=3,O737&lt;=5),"Hot Dry (Mar-May)",IF(AND(O737&gt;=6,O737&lt;=11),"Rainy (Jun-Nov)","Cool Dry (Dec-Feb)"))</f>
        <v>Rainy (Jun-Nov)</v>
      </c>
      <c r="T737" s="4" t="str">
        <f aca="false">CHOOSE(O737,"Jan","Feb","Mar","Apr","May","Jun","Jul","Aug","Sep","Oct","Nov","Dec")</f>
        <v>Jun</v>
      </c>
    </row>
    <row r="738" customFormat="false" ht="15" hidden="false" customHeight="false" outlineLevel="0" collapsed="false">
      <c r="A738" s="4" t="s">
        <v>1004</v>
      </c>
      <c r="B738" s="17" t="n">
        <v>45811</v>
      </c>
      <c r="C738" s="4" t="n">
        <v>15</v>
      </c>
      <c r="D738" s="4" t="s">
        <v>70</v>
      </c>
      <c r="E738" s="4" t="s">
        <v>65</v>
      </c>
      <c r="F738" s="4" t="s">
        <v>94</v>
      </c>
      <c r="G738" s="4" t="n">
        <v>1</v>
      </c>
      <c r="H738" s="34" t="n">
        <v>150</v>
      </c>
      <c r="I738" s="18" t="n">
        <v>0</v>
      </c>
      <c r="J738" s="4" t="s">
        <v>76</v>
      </c>
      <c r="K738" s="4" t="s">
        <v>77</v>
      </c>
      <c r="L738" s="35" t="n">
        <f aca="false">G738*H738</f>
        <v>150</v>
      </c>
      <c r="M738" s="35" t="n">
        <f aca="false">L738*I738</f>
        <v>0</v>
      </c>
      <c r="N738" s="35" t="n">
        <f aca="false">L738-M738</f>
        <v>150</v>
      </c>
      <c r="O738" s="4" t="n">
        <f aca="false">MONTH(B738)</f>
        <v>6</v>
      </c>
      <c r="P738" s="4" t="str">
        <f aca="false">CHOOSE(WEEKDAY(B738,2),"Mon","Tue","Wed","Thu","Fri","Sat","Sun")</f>
        <v>Tue</v>
      </c>
      <c r="Q738" s="4" t="str">
        <f aca="false">IF(WEEKDAY(B738,2)&gt;5,"Weekend","Weekday")</f>
        <v>Weekday</v>
      </c>
      <c r="R738" s="4" t="str">
        <f aca="false">IF(C738&lt;11,"Morning (7-10)",IF(C738&lt;14,"Lunch (11-13)",IF(C738&lt;18,"Afternoon (14-17)","Evening (18-20)")))</f>
        <v>Afternoon (14-17)</v>
      </c>
      <c r="S738" s="4" t="str">
        <f aca="false">IF(AND(O738&gt;=3,O738&lt;=5),"Hot Dry (Mar-May)",IF(AND(O738&gt;=6,O738&lt;=11),"Rainy (Jun-Nov)","Cool Dry (Dec-Feb)"))</f>
        <v>Rainy (Jun-Nov)</v>
      </c>
      <c r="T738" s="4" t="str">
        <f aca="false">CHOOSE(O738,"Jan","Feb","Mar","Apr","May","Jun","Jul","Aug","Sep","Oct","Nov","Dec")</f>
        <v>Jun</v>
      </c>
    </row>
    <row r="739" customFormat="false" ht="15" hidden="false" customHeight="false" outlineLevel="0" collapsed="false">
      <c r="A739" s="4" t="s">
        <v>1005</v>
      </c>
      <c r="B739" s="17" t="n">
        <v>45811</v>
      </c>
      <c r="C739" s="4" t="n">
        <v>18</v>
      </c>
      <c r="D739" s="4" t="s">
        <v>70</v>
      </c>
      <c r="E739" s="4" t="s">
        <v>84</v>
      </c>
      <c r="F739" s="4" t="s">
        <v>85</v>
      </c>
      <c r="G739" s="4" t="n">
        <v>1</v>
      </c>
      <c r="H739" s="34" t="n">
        <v>150</v>
      </c>
      <c r="I739" s="18" t="n">
        <v>0</v>
      </c>
      <c r="J739" s="4" t="s">
        <v>88</v>
      </c>
      <c r="K739" s="4" t="s">
        <v>77</v>
      </c>
      <c r="L739" s="35" t="n">
        <f aca="false">G739*H739</f>
        <v>150</v>
      </c>
      <c r="M739" s="35" t="n">
        <f aca="false">L739*I739</f>
        <v>0</v>
      </c>
      <c r="N739" s="35" t="n">
        <f aca="false">L739-M739</f>
        <v>150</v>
      </c>
      <c r="O739" s="4" t="n">
        <f aca="false">MONTH(B739)</f>
        <v>6</v>
      </c>
      <c r="P739" s="4" t="str">
        <f aca="false">CHOOSE(WEEKDAY(B739,2),"Mon","Tue","Wed","Thu","Fri","Sat","Sun")</f>
        <v>Tue</v>
      </c>
      <c r="Q739" s="4" t="str">
        <f aca="false">IF(WEEKDAY(B739,2)&gt;5,"Weekend","Weekday")</f>
        <v>Weekday</v>
      </c>
      <c r="R739" s="4" t="str">
        <f aca="false">IF(C739&lt;11,"Morning (7-10)",IF(C739&lt;14,"Lunch (11-13)",IF(C739&lt;18,"Afternoon (14-17)","Evening (18-20)")))</f>
        <v>Evening (18-20)</v>
      </c>
      <c r="S739" s="4" t="str">
        <f aca="false">IF(AND(O739&gt;=3,O739&lt;=5),"Hot Dry (Mar-May)",IF(AND(O739&gt;=6,O739&lt;=11),"Rainy (Jun-Nov)","Cool Dry (Dec-Feb)"))</f>
        <v>Rainy (Jun-Nov)</v>
      </c>
      <c r="T739" s="4" t="str">
        <f aca="false">CHOOSE(O739,"Jan","Feb","Mar","Apr","May","Jun","Jul","Aug","Sep","Oct","Nov","Dec")</f>
        <v>Jun</v>
      </c>
    </row>
    <row r="740" customFormat="false" ht="15" hidden="false" customHeight="false" outlineLevel="0" collapsed="false">
      <c r="A740" s="4" t="s">
        <v>1006</v>
      </c>
      <c r="B740" s="17" t="n">
        <v>45812</v>
      </c>
      <c r="C740" s="4" t="n">
        <v>10</v>
      </c>
      <c r="D740" s="4" t="s">
        <v>64</v>
      </c>
      <c r="E740" s="4" t="s">
        <v>99</v>
      </c>
      <c r="F740" s="4" t="s">
        <v>109</v>
      </c>
      <c r="G740" s="4" t="n">
        <v>1</v>
      </c>
      <c r="H740" s="34" t="n">
        <v>130</v>
      </c>
      <c r="I740" s="18" t="n">
        <v>0</v>
      </c>
      <c r="J740" s="4" t="s">
        <v>67</v>
      </c>
      <c r="K740" s="4" t="s">
        <v>68</v>
      </c>
      <c r="L740" s="35" t="n">
        <f aca="false">G740*H740</f>
        <v>130</v>
      </c>
      <c r="M740" s="35" t="n">
        <f aca="false">L740*I740</f>
        <v>0</v>
      </c>
      <c r="N740" s="35" t="n">
        <f aca="false">L740-M740</f>
        <v>130</v>
      </c>
      <c r="O740" s="4" t="n">
        <f aca="false">MONTH(B740)</f>
        <v>6</v>
      </c>
      <c r="P740" s="4" t="str">
        <f aca="false">CHOOSE(WEEKDAY(B740,2),"Mon","Tue","Wed","Thu","Fri","Sat","Sun")</f>
        <v>Wed</v>
      </c>
      <c r="Q740" s="4" t="str">
        <f aca="false">IF(WEEKDAY(B740,2)&gt;5,"Weekend","Weekday")</f>
        <v>Weekday</v>
      </c>
      <c r="R740" s="4" t="str">
        <f aca="false">IF(C740&lt;11,"Morning (7-10)",IF(C740&lt;14,"Lunch (11-13)",IF(C740&lt;18,"Afternoon (14-17)","Evening (18-20)")))</f>
        <v>Morning (7-10)</v>
      </c>
      <c r="S740" s="4" t="str">
        <f aca="false">IF(AND(O740&gt;=3,O740&lt;=5),"Hot Dry (Mar-May)",IF(AND(O740&gt;=6,O740&lt;=11),"Rainy (Jun-Nov)","Cool Dry (Dec-Feb)"))</f>
        <v>Rainy (Jun-Nov)</v>
      </c>
      <c r="T740" s="4" t="str">
        <f aca="false">CHOOSE(O740,"Jan","Feb","Mar","Apr","May","Jun","Jul","Aug","Sep","Oct","Nov","Dec")</f>
        <v>Jun</v>
      </c>
    </row>
    <row r="741" customFormat="false" ht="15" hidden="false" customHeight="false" outlineLevel="0" collapsed="false">
      <c r="A741" s="4" t="s">
        <v>1007</v>
      </c>
      <c r="B741" s="17" t="n">
        <v>45812</v>
      </c>
      <c r="C741" s="4" t="n">
        <v>10</v>
      </c>
      <c r="D741" s="4" t="s">
        <v>98</v>
      </c>
      <c r="E741" s="4" t="s">
        <v>99</v>
      </c>
      <c r="F741" s="4" t="s">
        <v>102</v>
      </c>
      <c r="G741" s="4" t="n">
        <v>1</v>
      </c>
      <c r="H741" s="34" t="n">
        <v>140</v>
      </c>
      <c r="I741" s="18" t="n">
        <v>0.1</v>
      </c>
      <c r="J741" s="4" t="s">
        <v>67</v>
      </c>
      <c r="K741" s="4" t="s">
        <v>71</v>
      </c>
      <c r="L741" s="35" t="n">
        <f aca="false">G741*H741</f>
        <v>140</v>
      </c>
      <c r="M741" s="35" t="n">
        <f aca="false">L741*I741</f>
        <v>14</v>
      </c>
      <c r="N741" s="35" t="n">
        <f aca="false">L741-M741</f>
        <v>126</v>
      </c>
      <c r="O741" s="4" t="n">
        <f aca="false">MONTH(B741)</f>
        <v>6</v>
      </c>
      <c r="P741" s="4" t="str">
        <f aca="false">CHOOSE(WEEKDAY(B741,2),"Mon","Tue","Wed","Thu","Fri","Sat","Sun")</f>
        <v>Wed</v>
      </c>
      <c r="Q741" s="4" t="str">
        <f aca="false">IF(WEEKDAY(B741,2)&gt;5,"Weekend","Weekday")</f>
        <v>Weekday</v>
      </c>
      <c r="R741" s="4" t="str">
        <f aca="false">IF(C741&lt;11,"Morning (7-10)",IF(C741&lt;14,"Lunch (11-13)",IF(C741&lt;18,"Afternoon (14-17)","Evening (18-20)")))</f>
        <v>Morning (7-10)</v>
      </c>
      <c r="S741" s="4" t="str">
        <f aca="false">IF(AND(O741&gt;=3,O741&lt;=5),"Hot Dry (Mar-May)",IF(AND(O741&gt;=6,O741&lt;=11),"Rainy (Jun-Nov)","Cool Dry (Dec-Feb)"))</f>
        <v>Rainy (Jun-Nov)</v>
      </c>
      <c r="T741" s="4" t="str">
        <f aca="false">CHOOSE(O741,"Jan","Feb","Mar","Apr","May","Jun","Jul","Aug","Sep","Oct","Nov","Dec")</f>
        <v>Jun</v>
      </c>
    </row>
    <row r="742" customFormat="false" ht="15" hidden="false" customHeight="false" outlineLevel="0" collapsed="false">
      <c r="A742" s="4" t="s">
        <v>1008</v>
      </c>
      <c r="B742" s="17" t="n">
        <v>45812</v>
      </c>
      <c r="C742" s="4" t="n">
        <v>11</v>
      </c>
      <c r="D742" s="4" t="s">
        <v>70</v>
      </c>
      <c r="E742" s="4" t="s">
        <v>65</v>
      </c>
      <c r="F742" s="4" t="s">
        <v>66</v>
      </c>
      <c r="G742" s="4" t="n">
        <v>2</v>
      </c>
      <c r="H742" s="34" t="n">
        <v>120</v>
      </c>
      <c r="I742" s="18" t="n">
        <v>0</v>
      </c>
      <c r="J742" s="4" t="s">
        <v>2289</v>
      </c>
      <c r="K742" s="4" t="s">
        <v>77</v>
      </c>
      <c r="L742" s="35" t="n">
        <f aca="false">G742*H742</f>
        <v>240</v>
      </c>
      <c r="M742" s="35" t="n">
        <f aca="false">L742*I742</f>
        <v>0</v>
      </c>
      <c r="N742" s="35" t="n">
        <f aca="false">L742-M742</f>
        <v>240</v>
      </c>
      <c r="O742" s="4" t="n">
        <f aca="false">MONTH(B742)</f>
        <v>6</v>
      </c>
      <c r="P742" s="4" t="str">
        <f aca="false">CHOOSE(WEEKDAY(B742,2),"Mon","Tue","Wed","Thu","Fri","Sat","Sun")</f>
        <v>Wed</v>
      </c>
      <c r="Q742" s="4" t="str">
        <f aca="false">IF(WEEKDAY(B742,2)&gt;5,"Weekend","Weekday")</f>
        <v>Weekday</v>
      </c>
      <c r="R742" s="4" t="str">
        <f aca="false">IF(C742&lt;11,"Morning (7-10)",IF(C742&lt;14,"Lunch (11-13)",IF(C742&lt;18,"Afternoon (14-17)","Evening (18-20)")))</f>
        <v>Lunch (11-13)</v>
      </c>
      <c r="S742" s="4" t="str">
        <f aca="false">IF(AND(O742&gt;=3,O742&lt;=5),"Hot Dry (Mar-May)",IF(AND(O742&gt;=6,O742&lt;=11),"Rainy (Jun-Nov)","Cool Dry (Dec-Feb)"))</f>
        <v>Rainy (Jun-Nov)</v>
      </c>
      <c r="T742" s="4" t="str">
        <f aca="false">CHOOSE(O742,"Jan","Feb","Mar","Apr","May","Jun","Jul","Aug","Sep","Oct","Nov","Dec")</f>
        <v>Jun</v>
      </c>
    </row>
    <row r="743" customFormat="false" ht="15" hidden="false" customHeight="false" outlineLevel="0" collapsed="false">
      <c r="A743" s="4" t="s">
        <v>1009</v>
      </c>
      <c r="B743" s="17" t="n">
        <v>45812</v>
      </c>
      <c r="C743" s="4" t="n">
        <v>13</v>
      </c>
      <c r="D743" s="4" t="s">
        <v>70</v>
      </c>
      <c r="E743" s="4" t="s">
        <v>79</v>
      </c>
      <c r="F743" s="4" t="s">
        <v>80</v>
      </c>
      <c r="G743" s="4" t="n">
        <v>1</v>
      </c>
      <c r="H743" s="34" t="n">
        <v>160</v>
      </c>
      <c r="I743" s="18" t="n">
        <v>0.2</v>
      </c>
      <c r="J743" s="4" t="s">
        <v>67</v>
      </c>
      <c r="K743" s="4" t="s">
        <v>71</v>
      </c>
      <c r="L743" s="35" t="n">
        <f aca="false">G743*H743</f>
        <v>160</v>
      </c>
      <c r="M743" s="35" t="n">
        <f aca="false">L743*I743</f>
        <v>32</v>
      </c>
      <c r="N743" s="35" t="n">
        <f aca="false">L743-M743</f>
        <v>128</v>
      </c>
      <c r="O743" s="4" t="n">
        <f aca="false">MONTH(B743)</f>
        <v>6</v>
      </c>
      <c r="P743" s="4" t="str">
        <f aca="false">CHOOSE(WEEKDAY(B743,2),"Mon","Tue","Wed","Thu","Fri","Sat","Sun")</f>
        <v>Wed</v>
      </c>
      <c r="Q743" s="4" t="str">
        <f aca="false">IF(WEEKDAY(B743,2)&gt;5,"Weekend","Weekday")</f>
        <v>Weekday</v>
      </c>
      <c r="R743" s="4" t="str">
        <f aca="false">IF(C743&lt;11,"Morning (7-10)",IF(C743&lt;14,"Lunch (11-13)",IF(C743&lt;18,"Afternoon (14-17)","Evening (18-20)")))</f>
        <v>Lunch (11-13)</v>
      </c>
      <c r="S743" s="4" t="str">
        <f aca="false">IF(AND(O743&gt;=3,O743&lt;=5),"Hot Dry (Mar-May)",IF(AND(O743&gt;=6,O743&lt;=11),"Rainy (Jun-Nov)","Cool Dry (Dec-Feb)"))</f>
        <v>Rainy (Jun-Nov)</v>
      </c>
      <c r="T743" s="4" t="str">
        <f aca="false">CHOOSE(O743,"Jan","Feb","Mar","Apr","May","Jun","Jul","Aug","Sep","Oct","Nov","Dec")</f>
        <v>Jun</v>
      </c>
    </row>
    <row r="744" customFormat="false" ht="15" hidden="false" customHeight="false" outlineLevel="0" collapsed="false">
      <c r="A744" s="4" t="s">
        <v>1010</v>
      </c>
      <c r="B744" s="17" t="n">
        <v>45812</v>
      </c>
      <c r="C744" s="4" t="n">
        <v>13</v>
      </c>
      <c r="D744" s="4" t="s">
        <v>70</v>
      </c>
      <c r="E744" s="4" t="s">
        <v>65</v>
      </c>
      <c r="F744" s="4" t="s">
        <v>94</v>
      </c>
      <c r="G744" s="4" t="n">
        <v>2</v>
      </c>
      <c r="H744" s="34" t="n">
        <v>150</v>
      </c>
      <c r="I744" s="18" t="n">
        <v>0</v>
      </c>
      <c r="J744" s="4" t="s">
        <v>67</v>
      </c>
      <c r="K744" s="4" t="s">
        <v>77</v>
      </c>
      <c r="L744" s="35" t="n">
        <f aca="false">G744*H744</f>
        <v>300</v>
      </c>
      <c r="M744" s="35" t="n">
        <f aca="false">L744*I744</f>
        <v>0</v>
      </c>
      <c r="N744" s="35" t="n">
        <f aca="false">L744-M744</f>
        <v>300</v>
      </c>
      <c r="O744" s="4" t="n">
        <f aca="false">MONTH(B744)</f>
        <v>6</v>
      </c>
      <c r="P744" s="4" t="str">
        <f aca="false">CHOOSE(WEEKDAY(B744,2),"Mon","Tue","Wed","Thu","Fri","Sat","Sun")</f>
        <v>Wed</v>
      </c>
      <c r="Q744" s="4" t="str">
        <f aca="false">IF(WEEKDAY(B744,2)&gt;5,"Weekend","Weekday")</f>
        <v>Weekday</v>
      </c>
      <c r="R744" s="4" t="str">
        <f aca="false">IF(C744&lt;11,"Morning (7-10)",IF(C744&lt;14,"Lunch (11-13)",IF(C744&lt;18,"Afternoon (14-17)","Evening (18-20)")))</f>
        <v>Lunch (11-13)</v>
      </c>
      <c r="S744" s="4" t="str">
        <f aca="false">IF(AND(O744&gt;=3,O744&lt;=5),"Hot Dry (Mar-May)",IF(AND(O744&gt;=6,O744&lt;=11),"Rainy (Jun-Nov)","Cool Dry (Dec-Feb)"))</f>
        <v>Rainy (Jun-Nov)</v>
      </c>
      <c r="T744" s="4" t="str">
        <f aca="false">CHOOSE(O744,"Jan","Feb","Mar","Apr","May","Jun","Jul","Aug","Sep","Oct","Nov","Dec")</f>
        <v>Jun</v>
      </c>
    </row>
    <row r="745" customFormat="false" ht="15" hidden="false" customHeight="false" outlineLevel="0" collapsed="false">
      <c r="A745" s="4" t="s">
        <v>1011</v>
      </c>
      <c r="B745" s="17" t="n">
        <v>45812</v>
      </c>
      <c r="C745" s="4" t="n">
        <v>15</v>
      </c>
      <c r="D745" s="4" t="s">
        <v>70</v>
      </c>
      <c r="E745" s="4" t="s">
        <v>65</v>
      </c>
      <c r="F745" s="4" t="s">
        <v>94</v>
      </c>
      <c r="G745" s="4" t="n">
        <v>4</v>
      </c>
      <c r="H745" s="34" t="n">
        <v>150</v>
      </c>
      <c r="I745" s="18" t="n">
        <v>0.1</v>
      </c>
      <c r="J745" s="4" t="s">
        <v>81</v>
      </c>
      <c r="K745" s="4" t="s">
        <v>71</v>
      </c>
      <c r="L745" s="35" t="n">
        <f aca="false">G745*H745</f>
        <v>600</v>
      </c>
      <c r="M745" s="35" t="n">
        <f aca="false">L745*I745</f>
        <v>60</v>
      </c>
      <c r="N745" s="35" t="n">
        <f aca="false">L745-M745</f>
        <v>540</v>
      </c>
      <c r="O745" s="4" t="n">
        <f aca="false">MONTH(B745)</f>
        <v>6</v>
      </c>
      <c r="P745" s="4" t="str">
        <f aca="false">CHOOSE(WEEKDAY(B745,2),"Mon","Tue","Wed","Thu","Fri","Sat","Sun")</f>
        <v>Wed</v>
      </c>
      <c r="Q745" s="4" t="str">
        <f aca="false">IF(WEEKDAY(B745,2)&gt;5,"Weekend","Weekday")</f>
        <v>Weekday</v>
      </c>
      <c r="R745" s="4" t="str">
        <f aca="false">IF(C745&lt;11,"Morning (7-10)",IF(C745&lt;14,"Lunch (11-13)",IF(C745&lt;18,"Afternoon (14-17)","Evening (18-20)")))</f>
        <v>Afternoon (14-17)</v>
      </c>
      <c r="S745" s="4" t="str">
        <f aca="false">IF(AND(O745&gt;=3,O745&lt;=5),"Hot Dry (Mar-May)",IF(AND(O745&gt;=6,O745&lt;=11),"Rainy (Jun-Nov)","Cool Dry (Dec-Feb)"))</f>
        <v>Rainy (Jun-Nov)</v>
      </c>
      <c r="T745" s="4" t="str">
        <f aca="false">CHOOSE(O745,"Jan","Feb","Mar","Apr","May","Jun","Jul","Aug","Sep","Oct","Nov","Dec")</f>
        <v>Jun</v>
      </c>
    </row>
    <row r="746" customFormat="false" ht="15" hidden="false" customHeight="false" outlineLevel="0" collapsed="false">
      <c r="A746" s="4" t="s">
        <v>1012</v>
      </c>
      <c r="B746" s="17" t="n">
        <v>45813</v>
      </c>
      <c r="C746" s="4" t="n">
        <v>16</v>
      </c>
      <c r="D746" s="4" t="s">
        <v>73</v>
      </c>
      <c r="E746" s="4" t="s">
        <v>65</v>
      </c>
      <c r="F746" s="4" t="s">
        <v>66</v>
      </c>
      <c r="G746" s="4" t="n">
        <v>2</v>
      </c>
      <c r="H746" s="34" t="n">
        <v>120</v>
      </c>
      <c r="I746" s="18" t="n">
        <v>0</v>
      </c>
      <c r="J746" s="4" t="s">
        <v>67</v>
      </c>
      <c r="K746" s="4" t="s">
        <v>68</v>
      </c>
      <c r="L746" s="35" t="n">
        <f aca="false">G746*H746</f>
        <v>240</v>
      </c>
      <c r="M746" s="35" t="n">
        <f aca="false">L746*I746</f>
        <v>0</v>
      </c>
      <c r="N746" s="35" t="n">
        <f aca="false">L746-M746</f>
        <v>240</v>
      </c>
      <c r="O746" s="4" t="n">
        <f aca="false">MONTH(B746)</f>
        <v>6</v>
      </c>
      <c r="P746" s="4" t="str">
        <f aca="false">CHOOSE(WEEKDAY(B746,2),"Mon","Tue","Wed","Thu","Fri","Sat","Sun")</f>
        <v>Thu</v>
      </c>
      <c r="Q746" s="4" t="str">
        <f aca="false">IF(WEEKDAY(B746,2)&gt;5,"Weekend","Weekday")</f>
        <v>Weekday</v>
      </c>
      <c r="R746" s="4" t="str">
        <f aca="false">IF(C746&lt;11,"Morning (7-10)",IF(C746&lt;14,"Lunch (11-13)",IF(C746&lt;18,"Afternoon (14-17)","Evening (18-20)")))</f>
        <v>Afternoon (14-17)</v>
      </c>
      <c r="S746" s="4" t="str">
        <f aca="false">IF(AND(O746&gt;=3,O746&lt;=5),"Hot Dry (Mar-May)",IF(AND(O746&gt;=6,O746&lt;=11),"Rainy (Jun-Nov)","Cool Dry (Dec-Feb)"))</f>
        <v>Rainy (Jun-Nov)</v>
      </c>
      <c r="T746" s="4" t="str">
        <f aca="false">CHOOSE(O746,"Jan","Feb","Mar","Apr","May","Jun","Jul","Aug","Sep","Oct","Nov","Dec")</f>
        <v>Jun</v>
      </c>
    </row>
    <row r="747" customFormat="false" ht="15" hidden="false" customHeight="false" outlineLevel="0" collapsed="false">
      <c r="A747" s="4" t="s">
        <v>1014</v>
      </c>
      <c r="B747" s="17" t="n">
        <v>45813</v>
      </c>
      <c r="C747" s="4" t="n">
        <v>16</v>
      </c>
      <c r="D747" s="4" t="s">
        <v>70</v>
      </c>
      <c r="E747" s="4" t="s">
        <v>65</v>
      </c>
      <c r="F747" s="4" t="s">
        <v>66</v>
      </c>
      <c r="G747" s="4" t="n">
        <v>1</v>
      </c>
      <c r="H747" s="34" t="n">
        <v>120</v>
      </c>
      <c r="I747" s="18" t="n">
        <v>0</v>
      </c>
      <c r="J747" s="4" t="s">
        <v>81</v>
      </c>
      <c r="K747" s="4" t="s">
        <v>68</v>
      </c>
      <c r="L747" s="35" t="n">
        <f aca="false">G747*H747</f>
        <v>120</v>
      </c>
      <c r="M747" s="35" t="n">
        <f aca="false">L747*I747</f>
        <v>0</v>
      </c>
      <c r="N747" s="35" t="n">
        <f aca="false">L747-M747</f>
        <v>120</v>
      </c>
      <c r="O747" s="4" t="n">
        <f aca="false">MONTH(B747)</f>
        <v>6</v>
      </c>
      <c r="P747" s="4" t="str">
        <f aca="false">CHOOSE(WEEKDAY(B747,2),"Mon","Tue","Wed","Thu","Fri","Sat","Sun")</f>
        <v>Thu</v>
      </c>
      <c r="Q747" s="4" t="str">
        <f aca="false">IF(WEEKDAY(B747,2)&gt;5,"Weekend","Weekday")</f>
        <v>Weekday</v>
      </c>
      <c r="R747" s="4" t="str">
        <f aca="false">IF(C747&lt;11,"Morning (7-10)",IF(C747&lt;14,"Lunch (11-13)",IF(C747&lt;18,"Afternoon (14-17)","Evening (18-20)")))</f>
        <v>Afternoon (14-17)</v>
      </c>
      <c r="S747" s="4" t="str">
        <f aca="false">IF(AND(O747&gt;=3,O747&lt;=5),"Hot Dry (Mar-May)",IF(AND(O747&gt;=6,O747&lt;=11),"Rainy (Jun-Nov)","Cool Dry (Dec-Feb)"))</f>
        <v>Rainy (Jun-Nov)</v>
      </c>
      <c r="T747" s="4" t="str">
        <f aca="false">CHOOSE(O747,"Jan","Feb","Mar","Apr","May","Jun","Jul","Aug","Sep","Oct","Nov","Dec")</f>
        <v>Jun</v>
      </c>
    </row>
    <row r="748" customFormat="false" ht="15" hidden="false" customHeight="false" outlineLevel="0" collapsed="false">
      <c r="A748" s="4" t="s">
        <v>1015</v>
      </c>
      <c r="B748" s="17" t="n">
        <v>45814</v>
      </c>
      <c r="C748" s="4" t="n">
        <v>7</v>
      </c>
      <c r="D748" s="4" t="s">
        <v>73</v>
      </c>
      <c r="E748" s="4" t="s">
        <v>65</v>
      </c>
      <c r="F748" s="4" t="s">
        <v>87</v>
      </c>
      <c r="G748" s="4" t="n">
        <v>1</v>
      </c>
      <c r="H748" s="34" t="n">
        <v>160</v>
      </c>
      <c r="I748" s="18" t="n">
        <v>0.1</v>
      </c>
      <c r="J748" s="4" t="s">
        <v>81</v>
      </c>
      <c r="K748" s="4" t="s">
        <v>68</v>
      </c>
      <c r="L748" s="35" t="n">
        <f aca="false">G748*H748</f>
        <v>160</v>
      </c>
      <c r="M748" s="35" t="n">
        <f aca="false">L748*I748</f>
        <v>16</v>
      </c>
      <c r="N748" s="35" t="n">
        <f aca="false">L748-M748</f>
        <v>144</v>
      </c>
      <c r="O748" s="4" t="n">
        <f aca="false">MONTH(B748)</f>
        <v>6</v>
      </c>
      <c r="P748" s="4" t="str">
        <f aca="false">CHOOSE(WEEKDAY(B748,2),"Mon","Tue","Wed","Thu","Fri","Sat","Sun")</f>
        <v>Fri</v>
      </c>
      <c r="Q748" s="4" t="str">
        <f aca="false">IF(WEEKDAY(B748,2)&gt;5,"Weekend","Weekday")</f>
        <v>Weekday</v>
      </c>
      <c r="R748" s="4" t="str">
        <f aca="false">IF(C748&lt;11,"Morning (7-10)",IF(C748&lt;14,"Lunch (11-13)",IF(C748&lt;18,"Afternoon (14-17)","Evening (18-20)")))</f>
        <v>Morning (7-10)</v>
      </c>
      <c r="S748" s="4" t="str">
        <f aca="false">IF(AND(O748&gt;=3,O748&lt;=5),"Hot Dry (Mar-May)",IF(AND(O748&gt;=6,O748&lt;=11),"Rainy (Jun-Nov)","Cool Dry (Dec-Feb)"))</f>
        <v>Rainy (Jun-Nov)</v>
      </c>
      <c r="T748" s="4" t="str">
        <f aca="false">CHOOSE(O748,"Jan","Feb","Mar","Apr","May","Jun","Jul","Aug","Sep","Oct","Nov","Dec")</f>
        <v>Jun</v>
      </c>
    </row>
    <row r="749" customFormat="false" ht="15" hidden="false" customHeight="false" outlineLevel="0" collapsed="false">
      <c r="A749" s="4" t="s">
        <v>1016</v>
      </c>
      <c r="B749" s="17" t="n">
        <v>45814</v>
      </c>
      <c r="C749" s="4" t="n">
        <v>8</v>
      </c>
      <c r="D749" s="4" t="s">
        <v>64</v>
      </c>
      <c r="E749" s="4" t="s">
        <v>65</v>
      </c>
      <c r="F749" s="4" t="s">
        <v>66</v>
      </c>
      <c r="G749" s="4" t="n">
        <v>2</v>
      </c>
      <c r="H749" s="34" t="n">
        <v>120</v>
      </c>
      <c r="I749" s="18" t="n">
        <v>0.1</v>
      </c>
      <c r="J749" s="4" t="s">
        <v>76</v>
      </c>
      <c r="K749" s="4" t="s">
        <v>71</v>
      </c>
      <c r="L749" s="35" t="n">
        <f aca="false">G749*H749</f>
        <v>240</v>
      </c>
      <c r="M749" s="35" t="n">
        <f aca="false">L749*I749</f>
        <v>24</v>
      </c>
      <c r="N749" s="35" t="n">
        <f aca="false">L749-M749</f>
        <v>216</v>
      </c>
      <c r="O749" s="4" t="n">
        <f aca="false">MONTH(B749)</f>
        <v>6</v>
      </c>
      <c r="P749" s="4" t="str">
        <f aca="false">CHOOSE(WEEKDAY(B749,2),"Mon","Tue","Wed","Thu","Fri","Sat","Sun")</f>
        <v>Fri</v>
      </c>
      <c r="Q749" s="4" t="str">
        <f aca="false">IF(WEEKDAY(B749,2)&gt;5,"Weekend","Weekday")</f>
        <v>Weekday</v>
      </c>
      <c r="R749" s="4" t="str">
        <f aca="false">IF(C749&lt;11,"Morning (7-10)",IF(C749&lt;14,"Lunch (11-13)",IF(C749&lt;18,"Afternoon (14-17)","Evening (18-20)")))</f>
        <v>Morning (7-10)</v>
      </c>
      <c r="S749" s="4" t="str">
        <f aca="false">IF(AND(O749&gt;=3,O749&lt;=5),"Hot Dry (Mar-May)",IF(AND(O749&gt;=6,O749&lt;=11),"Rainy (Jun-Nov)","Cool Dry (Dec-Feb)"))</f>
        <v>Rainy (Jun-Nov)</v>
      </c>
      <c r="T749" s="4" t="str">
        <f aca="false">CHOOSE(O749,"Jan","Feb","Mar","Apr","May","Jun","Jul","Aug","Sep","Oct","Nov","Dec")</f>
        <v>Jun</v>
      </c>
    </row>
    <row r="750" customFormat="false" ht="15" hidden="false" customHeight="false" outlineLevel="0" collapsed="false">
      <c r="A750" s="4" t="s">
        <v>1018</v>
      </c>
      <c r="B750" s="17" t="n">
        <v>45814</v>
      </c>
      <c r="C750" s="4" t="n">
        <v>9</v>
      </c>
      <c r="D750" s="4" t="s">
        <v>70</v>
      </c>
      <c r="E750" s="4" t="s">
        <v>99</v>
      </c>
      <c r="F750" s="4" t="s">
        <v>100</v>
      </c>
      <c r="G750" s="4" t="n">
        <v>2</v>
      </c>
      <c r="H750" s="34" t="n">
        <v>110</v>
      </c>
      <c r="I750" s="18" t="n">
        <v>0.05</v>
      </c>
      <c r="J750" s="4" t="s">
        <v>112</v>
      </c>
      <c r="K750" s="4" t="s">
        <v>82</v>
      </c>
      <c r="L750" s="35" t="n">
        <f aca="false">G750*H750</f>
        <v>220</v>
      </c>
      <c r="M750" s="35" t="n">
        <f aca="false">L750*I750</f>
        <v>11</v>
      </c>
      <c r="N750" s="35" t="n">
        <f aca="false">L750-M750</f>
        <v>209</v>
      </c>
      <c r="O750" s="4" t="n">
        <f aca="false">MONTH(B750)</f>
        <v>6</v>
      </c>
      <c r="P750" s="4" t="str">
        <f aca="false">CHOOSE(WEEKDAY(B750,2),"Mon","Tue","Wed","Thu","Fri","Sat","Sun")</f>
        <v>Fri</v>
      </c>
      <c r="Q750" s="4" t="str">
        <f aca="false">IF(WEEKDAY(B750,2)&gt;5,"Weekend","Weekday")</f>
        <v>Weekday</v>
      </c>
      <c r="R750" s="4" t="str">
        <f aca="false">IF(C750&lt;11,"Morning (7-10)",IF(C750&lt;14,"Lunch (11-13)",IF(C750&lt;18,"Afternoon (14-17)","Evening (18-20)")))</f>
        <v>Morning (7-10)</v>
      </c>
      <c r="S750" s="4" t="str">
        <f aca="false">IF(AND(O750&gt;=3,O750&lt;=5),"Hot Dry (Mar-May)",IF(AND(O750&gt;=6,O750&lt;=11),"Rainy (Jun-Nov)","Cool Dry (Dec-Feb)"))</f>
        <v>Rainy (Jun-Nov)</v>
      </c>
      <c r="T750" s="4" t="str">
        <f aca="false">CHOOSE(O750,"Jan","Feb","Mar","Apr","May","Jun","Jul","Aug","Sep","Oct","Nov","Dec")</f>
        <v>Jun</v>
      </c>
    </row>
    <row r="751" customFormat="false" ht="15" hidden="false" customHeight="false" outlineLevel="0" collapsed="false">
      <c r="A751" s="4" t="s">
        <v>1019</v>
      </c>
      <c r="B751" s="17" t="n">
        <v>45814</v>
      </c>
      <c r="C751" s="4" t="n">
        <v>9</v>
      </c>
      <c r="D751" s="4" t="s">
        <v>64</v>
      </c>
      <c r="E751" s="4" t="s">
        <v>99</v>
      </c>
      <c r="F751" s="4" t="s">
        <v>102</v>
      </c>
      <c r="G751" s="4" t="n">
        <v>2</v>
      </c>
      <c r="H751" s="34" t="n">
        <v>140</v>
      </c>
      <c r="I751" s="18" t="n">
        <v>0.1</v>
      </c>
      <c r="J751" s="4" t="s">
        <v>67</v>
      </c>
      <c r="K751" s="4" t="s">
        <v>71</v>
      </c>
      <c r="L751" s="35" t="n">
        <f aca="false">G751*H751</f>
        <v>280</v>
      </c>
      <c r="M751" s="35" t="n">
        <f aca="false">L751*I751</f>
        <v>28</v>
      </c>
      <c r="N751" s="35" t="n">
        <f aca="false">L751-M751</f>
        <v>252</v>
      </c>
      <c r="O751" s="4" t="n">
        <f aca="false">MONTH(B751)</f>
        <v>6</v>
      </c>
      <c r="P751" s="4" t="str">
        <f aca="false">CHOOSE(WEEKDAY(B751,2),"Mon","Tue","Wed","Thu","Fri","Sat","Sun")</f>
        <v>Fri</v>
      </c>
      <c r="Q751" s="4" t="str">
        <f aca="false">IF(WEEKDAY(B751,2)&gt;5,"Weekend","Weekday")</f>
        <v>Weekday</v>
      </c>
      <c r="R751" s="4" t="str">
        <f aca="false">IF(C751&lt;11,"Morning (7-10)",IF(C751&lt;14,"Lunch (11-13)",IF(C751&lt;18,"Afternoon (14-17)","Evening (18-20)")))</f>
        <v>Morning (7-10)</v>
      </c>
      <c r="S751" s="4" t="str">
        <f aca="false">IF(AND(O751&gt;=3,O751&lt;=5),"Hot Dry (Mar-May)",IF(AND(O751&gt;=6,O751&lt;=11),"Rainy (Jun-Nov)","Cool Dry (Dec-Feb)"))</f>
        <v>Rainy (Jun-Nov)</v>
      </c>
      <c r="T751" s="4" t="str">
        <f aca="false">CHOOSE(O751,"Jan","Feb","Mar","Apr","May","Jun","Jul","Aug","Sep","Oct","Nov","Dec")</f>
        <v>Jun</v>
      </c>
    </row>
    <row r="752" customFormat="false" ht="15" hidden="false" customHeight="false" outlineLevel="0" collapsed="false">
      <c r="A752" s="4" t="s">
        <v>1020</v>
      </c>
      <c r="B752" s="17" t="n">
        <v>45814</v>
      </c>
      <c r="C752" s="4" t="n">
        <v>9</v>
      </c>
      <c r="D752" s="4" t="s">
        <v>70</v>
      </c>
      <c r="E752" s="4" t="s">
        <v>65</v>
      </c>
      <c r="F752" s="4" t="s">
        <v>87</v>
      </c>
      <c r="G752" s="4" t="n">
        <v>3</v>
      </c>
      <c r="H752" s="34" t="n">
        <v>160</v>
      </c>
      <c r="I752" s="18" t="n">
        <v>0.15</v>
      </c>
      <c r="J752" s="4" t="s">
        <v>112</v>
      </c>
      <c r="K752" s="4" t="s">
        <v>82</v>
      </c>
      <c r="L752" s="35" t="n">
        <f aca="false">G752*H752</f>
        <v>480</v>
      </c>
      <c r="M752" s="35" t="n">
        <f aca="false">L752*I752</f>
        <v>72</v>
      </c>
      <c r="N752" s="35" t="n">
        <f aca="false">L752-M752</f>
        <v>408</v>
      </c>
      <c r="O752" s="4" t="n">
        <f aca="false">MONTH(B752)</f>
        <v>6</v>
      </c>
      <c r="P752" s="4" t="str">
        <f aca="false">CHOOSE(WEEKDAY(B752,2),"Mon","Tue","Wed","Thu","Fri","Sat","Sun")</f>
        <v>Fri</v>
      </c>
      <c r="Q752" s="4" t="str">
        <f aca="false">IF(WEEKDAY(B752,2)&gt;5,"Weekend","Weekday")</f>
        <v>Weekday</v>
      </c>
      <c r="R752" s="4" t="str">
        <f aca="false">IF(C752&lt;11,"Morning (7-10)",IF(C752&lt;14,"Lunch (11-13)",IF(C752&lt;18,"Afternoon (14-17)","Evening (18-20)")))</f>
        <v>Morning (7-10)</v>
      </c>
      <c r="S752" s="4" t="str">
        <f aca="false">IF(AND(O752&gt;=3,O752&lt;=5),"Hot Dry (Mar-May)",IF(AND(O752&gt;=6,O752&lt;=11),"Rainy (Jun-Nov)","Cool Dry (Dec-Feb)"))</f>
        <v>Rainy (Jun-Nov)</v>
      </c>
      <c r="T752" s="4" t="str">
        <f aca="false">CHOOSE(O752,"Jan","Feb","Mar","Apr","May","Jun","Jul","Aug","Sep","Oct","Nov","Dec")</f>
        <v>Jun</v>
      </c>
    </row>
    <row r="753" customFormat="false" ht="15" hidden="false" customHeight="false" outlineLevel="0" collapsed="false">
      <c r="A753" s="4" t="s">
        <v>1021</v>
      </c>
      <c r="B753" s="17" t="n">
        <v>45814</v>
      </c>
      <c r="C753" s="4" t="n">
        <v>9</v>
      </c>
      <c r="D753" s="4" t="s">
        <v>64</v>
      </c>
      <c r="E753" s="4" t="s">
        <v>99</v>
      </c>
      <c r="F753" s="4" t="s">
        <v>100</v>
      </c>
      <c r="G753" s="4" t="n">
        <v>2</v>
      </c>
      <c r="H753" s="34" t="n">
        <v>110</v>
      </c>
      <c r="I753" s="18" t="n">
        <v>0</v>
      </c>
      <c r="J753" s="4" t="s">
        <v>81</v>
      </c>
      <c r="K753" s="4" t="s">
        <v>77</v>
      </c>
      <c r="L753" s="35" t="n">
        <f aca="false">G753*H753</f>
        <v>220</v>
      </c>
      <c r="M753" s="35" t="n">
        <f aca="false">L753*I753</f>
        <v>0</v>
      </c>
      <c r="N753" s="35" t="n">
        <f aca="false">L753-M753</f>
        <v>220</v>
      </c>
      <c r="O753" s="4" t="n">
        <f aca="false">MONTH(B753)</f>
        <v>6</v>
      </c>
      <c r="P753" s="4" t="str">
        <f aca="false">CHOOSE(WEEKDAY(B753,2),"Mon","Tue","Wed","Thu","Fri","Sat","Sun")</f>
        <v>Fri</v>
      </c>
      <c r="Q753" s="4" t="str">
        <f aca="false">IF(WEEKDAY(B753,2)&gt;5,"Weekend","Weekday")</f>
        <v>Weekday</v>
      </c>
      <c r="R753" s="4" t="str">
        <f aca="false">IF(C753&lt;11,"Morning (7-10)",IF(C753&lt;14,"Lunch (11-13)",IF(C753&lt;18,"Afternoon (14-17)","Evening (18-20)")))</f>
        <v>Morning (7-10)</v>
      </c>
      <c r="S753" s="4" t="str">
        <f aca="false">IF(AND(O753&gt;=3,O753&lt;=5),"Hot Dry (Mar-May)",IF(AND(O753&gt;=6,O753&lt;=11),"Rainy (Jun-Nov)","Cool Dry (Dec-Feb)"))</f>
        <v>Rainy (Jun-Nov)</v>
      </c>
      <c r="T753" s="4" t="str">
        <f aca="false">CHOOSE(O753,"Jan","Feb","Mar","Apr","May","Jun","Jul","Aug","Sep","Oct","Nov","Dec")</f>
        <v>Jun</v>
      </c>
    </row>
    <row r="754" customFormat="false" ht="15" hidden="false" customHeight="false" outlineLevel="0" collapsed="false">
      <c r="A754" s="4" t="s">
        <v>1022</v>
      </c>
      <c r="B754" s="17" t="n">
        <v>45814</v>
      </c>
      <c r="C754" s="4" t="n">
        <v>10</v>
      </c>
      <c r="D754" s="4" t="s">
        <v>64</v>
      </c>
      <c r="E754" s="4" t="s">
        <v>99</v>
      </c>
      <c r="F754" s="4" t="s">
        <v>109</v>
      </c>
      <c r="G754" s="4" t="n">
        <v>1</v>
      </c>
      <c r="H754" s="34" t="n">
        <v>130</v>
      </c>
      <c r="I754" s="18" t="n">
        <v>0.15</v>
      </c>
      <c r="J754" s="4" t="s">
        <v>112</v>
      </c>
      <c r="K754" s="4" t="s">
        <v>77</v>
      </c>
      <c r="L754" s="35" t="n">
        <f aca="false">G754*H754</f>
        <v>130</v>
      </c>
      <c r="M754" s="35" t="n">
        <f aca="false">L754*I754</f>
        <v>19.5</v>
      </c>
      <c r="N754" s="35" t="n">
        <f aca="false">L754-M754</f>
        <v>110.5</v>
      </c>
      <c r="O754" s="4" t="n">
        <f aca="false">MONTH(B754)</f>
        <v>6</v>
      </c>
      <c r="P754" s="4" t="str">
        <f aca="false">CHOOSE(WEEKDAY(B754,2),"Mon","Tue","Wed","Thu","Fri","Sat","Sun")</f>
        <v>Fri</v>
      </c>
      <c r="Q754" s="4" t="str">
        <f aca="false">IF(WEEKDAY(B754,2)&gt;5,"Weekend","Weekday")</f>
        <v>Weekday</v>
      </c>
      <c r="R754" s="4" t="str">
        <f aca="false">IF(C754&lt;11,"Morning (7-10)",IF(C754&lt;14,"Lunch (11-13)",IF(C754&lt;18,"Afternoon (14-17)","Evening (18-20)")))</f>
        <v>Morning (7-10)</v>
      </c>
      <c r="S754" s="4" t="str">
        <f aca="false">IF(AND(O754&gt;=3,O754&lt;=5),"Hot Dry (Mar-May)",IF(AND(O754&gt;=6,O754&lt;=11),"Rainy (Jun-Nov)","Cool Dry (Dec-Feb)"))</f>
        <v>Rainy (Jun-Nov)</v>
      </c>
      <c r="T754" s="4" t="str">
        <f aca="false">CHOOSE(O754,"Jan","Feb","Mar","Apr","May","Jun","Jul","Aug","Sep","Oct","Nov","Dec")</f>
        <v>Jun</v>
      </c>
    </row>
    <row r="755" customFormat="false" ht="15" hidden="false" customHeight="false" outlineLevel="0" collapsed="false">
      <c r="A755" s="4" t="s">
        <v>1023</v>
      </c>
      <c r="B755" s="17" t="n">
        <v>45814</v>
      </c>
      <c r="C755" s="4" t="n">
        <v>10</v>
      </c>
      <c r="D755" s="4" t="s">
        <v>70</v>
      </c>
      <c r="E755" s="4" t="s">
        <v>65</v>
      </c>
      <c r="F755" s="4" t="s">
        <v>121</v>
      </c>
      <c r="G755" s="4" t="n">
        <v>4</v>
      </c>
      <c r="H755" s="34" t="n">
        <v>170</v>
      </c>
      <c r="I755" s="18" t="n">
        <v>0</v>
      </c>
      <c r="J755" s="4" t="s">
        <v>2289</v>
      </c>
      <c r="K755" s="4" t="s">
        <v>2289</v>
      </c>
      <c r="L755" s="35" t="n">
        <f aca="false">G755*H755</f>
        <v>680</v>
      </c>
      <c r="M755" s="35" t="n">
        <f aca="false">L755*I755</f>
        <v>0</v>
      </c>
      <c r="N755" s="35" t="n">
        <f aca="false">L755-M755</f>
        <v>680</v>
      </c>
      <c r="O755" s="4" t="n">
        <f aca="false">MONTH(B755)</f>
        <v>6</v>
      </c>
      <c r="P755" s="4" t="str">
        <f aca="false">CHOOSE(WEEKDAY(B755,2),"Mon","Tue","Wed","Thu","Fri","Sat","Sun")</f>
        <v>Fri</v>
      </c>
      <c r="Q755" s="4" t="str">
        <f aca="false">IF(WEEKDAY(B755,2)&gt;5,"Weekend","Weekday")</f>
        <v>Weekday</v>
      </c>
      <c r="R755" s="4" t="str">
        <f aca="false">IF(C755&lt;11,"Morning (7-10)",IF(C755&lt;14,"Lunch (11-13)",IF(C755&lt;18,"Afternoon (14-17)","Evening (18-20)")))</f>
        <v>Morning (7-10)</v>
      </c>
      <c r="S755" s="4" t="str">
        <f aca="false">IF(AND(O755&gt;=3,O755&lt;=5),"Hot Dry (Mar-May)",IF(AND(O755&gt;=6,O755&lt;=11),"Rainy (Jun-Nov)","Cool Dry (Dec-Feb)"))</f>
        <v>Rainy (Jun-Nov)</v>
      </c>
      <c r="T755" s="4" t="str">
        <f aca="false">CHOOSE(O755,"Jan","Feb","Mar","Apr","May","Jun","Jul","Aug","Sep","Oct","Nov","Dec")</f>
        <v>Jun</v>
      </c>
    </row>
    <row r="756" customFormat="false" ht="15" hidden="false" customHeight="false" outlineLevel="0" collapsed="false">
      <c r="A756" s="4" t="s">
        <v>1024</v>
      </c>
      <c r="B756" s="17" t="n">
        <v>45814</v>
      </c>
      <c r="C756" s="4" t="n">
        <v>12</v>
      </c>
      <c r="D756" s="4" t="s">
        <v>70</v>
      </c>
      <c r="E756" s="4" t="s">
        <v>65</v>
      </c>
      <c r="F756" s="4" t="s">
        <v>94</v>
      </c>
      <c r="G756" s="4" t="n">
        <v>2</v>
      </c>
      <c r="H756" s="34" t="n">
        <v>150</v>
      </c>
      <c r="I756" s="18" t="n">
        <v>0</v>
      </c>
      <c r="J756" s="4" t="s">
        <v>81</v>
      </c>
      <c r="K756" s="4" t="s">
        <v>68</v>
      </c>
      <c r="L756" s="35" t="n">
        <f aca="false">G756*H756</f>
        <v>300</v>
      </c>
      <c r="M756" s="35" t="n">
        <f aca="false">L756*I756</f>
        <v>0</v>
      </c>
      <c r="N756" s="35" t="n">
        <f aca="false">L756-M756</f>
        <v>300</v>
      </c>
      <c r="O756" s="4" t="n">
        <f aca="false">MONTH(B756)</f>
        <v>6</v>
      </c>
      <c r="P756" s="4" t="str">
        <f aca="false">CHOOSE(WEEKDAY(B756,2),"Mon","Tue","Wed","Thu","Fri","Sat","Sun")</f>
        <v>Fri</v>
      </c>
      <c r="Q756" s="4" t="str">
        <f aca="false">IF(WEEKDAY(B756,2)&gt;5,"Weekend","Weekday")</f>
        <v>Weekday</v>
      </c>
      <c r="R756" s="4" t="str">
        <f aca="false">IF(C756&lt;11,"Morning (7-10)",IF(C756&lt;14,"Lunch (11-13)",IF(C756&lt;18,"Afternoon (14-17)","Evening (18-20)")))</f>
        <v>Lunch (11-13)</v>
      </c>
      <c r="S756" s="4" t="str">
        <f aca="false">IF(AND(O756&gt;=3,O756&lt;=5),"Hot Dry (Mar-May)",IF(AND(O756&gt;=6,O756&lt;=11),"Rainy (Jun-Nov)","Cool Dry (Dec-Feb)"))</f>
        <v>Rainy (Jun-Nov)</v>
      </c>
      <c r="T756" s="4" t="str">
        <f aca="false">CHOOSE(O756,"Jan","Feb","Mar","Apr","May","Jun","Jul","Aug","Sep","Oct","Nov","Dec")</f>
        <v>Jun</v>
      </c>
    </row>
    <row r="757" customFormat="false" ht="15" hidden="false" customHeight="false" outlineLevel="0" collapsed="false">
      <c r="A757" s="4" t="s">
        <v>1025</v>
      </c>
      <c r="B757" s="17" t="n">
        <v>45814</v>
      </c>
      <c r="C757" s="4" t="n">
        <v>13</v>
      </c>
      <c r="D757" s="4" t="s">
        <v>73</v>
      </c>
      <c r="E757" s="4" t="s">
        <v>84</v>
      </c>
      <c r="F757" s="4" t="s">
        <v>114</v>
      </c>
      <c r="G757" s="4" t="n">
        <v>1</v>
      </c>
      <c r="H757" s="34" t="n">
        <v>85</v>
      </c>
      <c r="I757" s="18" t="n">
        <v>0</v>
      </c>
      <c r="J757" s="4" t="s">
        <v>76</v>
      </c>
      <c r="K757" s="4" t="s">
        <v>2289</v>
      </c>
      <c r="L757" s="35" t="n">
        <f aca="false">G757*H757</f>
        <v>85</v>
      </c>
      <c r="M757" s="35" t="n">
        <f aca="false">L757*I757</f>
        <v>0</v>
      </c>
      <c r="N757" s="35" t="n">
        <f aca="false">L757-M757</f>
        <v>85</v>
      </c>
      <c r="O757" s="4" t="n">
        <f aca="false">MONTH(B757)</f>
        <v>6</v>
      </c>
      <c r="P757" s="4" t="str">
        <f aca="false">CHOOSE(WEEKDAY(B757,2),"Mon","Tue","Wed","Thu","Fri","Sat","Sun")</f>
        <v>Fri</v>
      </c>
      <c r="Q757" s="4" t="str">
        <f aca="false">IF(WEEKDAY(B757,2)&gt;5,"Weekend","Weekday")</f>
        <v>Weekday</v>
      </c>
      <c r="R757" s="4" t="str">
        <f aca="false">IF(C757&lt;11,"Morning (7-10)",IF(C757&lt;14,"Lunch (11-13)",IF(C757&lt;18,"Afternoon (14-17)","Evening (18-20)")))</f>
        <v>Lunch (11-13)</v>
      </c>
      <c r="S757" s="4" t="str">
        <f aca="false">IF(AND(O757&gt;=3,O757&lt;=5),"Hot Dry (Mar-May)",IF(AND(O757&gt;=6,O757&lt;=11),"Rainy (Jun-Nov)","Cool Dry (Dec-Feb)"))</f>
        <v>Rainy (Jun-Nov)</v>
      </c>
      <c r="T757" s="4" t="str">
        <f aca="false">CHOOSE(O757,"Jan","Feb","Mar","Apr","May","Jun","Jul","Aug","Sep","Oct","Nov","Dec")</f>
        <v>Jun</v>
      </c>
    </row>
    <row r="758" customFormat="false" ht="15" hidden="false" customHeight="false" outlineLevel="0" collapsed="false">
      <c r="A758" s="4" t="s">
        <v>1026</v>
      </c>
      <c r="B758" s="17" t="n">
        <v>45814</v>
      </c>
      <c r="C758" s="4" t="n">
        <v>13</v>
      </c>
      <c r="D758" s="4" t="s">
        <v>70</v>
      </c>
      <c r="E758" s="4" t="s">
        <v>65</v>
      </c>
      <c r="F758" s="4" t="s">
        <v>121</v>
      </c>
      <c r="G758" s="4" t="n">
        <v>1</v>
      </c>
      <c r="H758" s="34" t="n">
        <v>170</v>
      </c>
      <c r="I758" s="18" t="n">
        <v>0</v>
      </c>
      <c r="J758" s="4" t="s">
        <v>67</v>
      </c>
      <c r="K758" s="4" t="s">
        <v>77</v>
      </c>
      <c r="L758" s="35" t="n">
        <f aca="false">G758*H758</f>
        <v>170</v>
      </c>
      <c r="M758" s="35" t="n">
        <f aca="false">L758*I758</f>
        <v>0</v>
      </c>
      <c r="N758" s="35" t="n">
        <f aca="false">L758-M758</f>
        <v>170</v>
      </c>
      <c r="O758" s="4" t="n">
        <f aca="false">MONTH(B758)</f>
        <v>6</v>
      </c>
      <c r="P758" s="4" t="str">
        <f aca="false">CHOOSE(WEEKDAY(B758,2),"Mon","Tue","Wed","Thu","Fri","Sat","Sun")</f>
        <v>Fri</v>
      </c>
      <c r="Q758" s="4" t="str">
        <f aca="false">IF(WEEKDAY(B758,2)&gt;5,"Weekend","Weekday")</f>
        <v>Weekday</v>
      </c>
      <c r="R758" s="4" t="str">
        <f aca="false">IF(C758&lt;11,"Morning (7-10)",IF(C758&lt;14,"Lunch (11-13)",IF(C758&lt;18,"Afternoon (14-17)","Evening (18-20)")))</f>
        <v>Lunch (11-13)</v>
      </c>
      <c r="S758" s="4" t="str">
        <f aca="false">IF(AND(O758&gt;=3,O758&lt;=5),"Hot Dry (Mar-May)",IF(AND(O758&gt;=6,O758&lt;=11),"Rainy (Jun-Nov)","Cool Dry (Dec-Feb)"))</f>
        <v>Rainy (Jun-Nov)</v>
      </c>
      <c r="T758" s="4" t="str">
        <f aca="false">CHOOSE(O758,"Jan","Feb","Mar","Apr","May","Jun","Jul","Aug","Sep","Oct","Nov","Dec")</f>
        <v>Jun</v>
      </c>
    </row>
    <row r="759" customFormat="false" ht="15" hidden="false" customHeight="false" outlineLevel="0" collapsed="false">
      <c r="A759" s="4" t="s">
        <v>1027</v>
      </c>
      <c r="B759" s="17" t="n">
        <v>45814</v>
      </c>
      <c r="C759" s="4" t="n">
        <v>14</v>
      </c>
      <c r="D759" s="4" t="s">
        <v>64</v>
      </c>
      <c r="E759" s="4" t="s">
        <v>99</v>
      </c>
      <c r="F759" s="4" t="s">
        <v>100</v>
      </c>
      <c r="G759" s="4" t="n">
        <v>2</v>
      </c>
      <c r="H759" s="34" t="n">
        <v>110</v>
      </c>
      <c r="I759" s="18" t="n">
        <v>0</v>
      </c>
      <c r="J759" s="4" t="s">
        <v>76</v>
      </c>
      <c r="K759" s="4" t="s">
        <v>68</v>
      </c>
      <c r="L759" s="35" t="n">
        <f aca="false">G759*H759</f>
        <v>220</v>
      </c>
      <c r="M759" s="35" t="n">
        <f aca="false">L759*I759</f>
        <v>0</v>
      </c>
      <c r="N759" s="35" t="n">
        <f aca="false">L759-M759</f>
        <v>220</v>
      </c>
      <c r="O759" s="4" t="n">
        <f aca="false">MONTH(B759)</f>
        <v>6</v>
      </c>
      <c r="P759" s="4" t="str">
        <f aca="false">CHOOSE(WEEKDAY(B759,2),"Mon","Tue","Wed","Thu","Fri","Sat","Sun")</f>
        <v>Fri</v>
      </c>
      <c r="Q759" s="4" t="str">
        <f aca="false">IF(WEEKDAY(B759,2)&gt;5,"Weekend","Weekday")</f>
        <v>Weekday</v>
      </c>
      <c r="R759" s="4" t="str">
        <f aca="false">IF(C759&lt;11,"Morning (7-10)",IF(C759&lt;14,"Lunch (11-13)",IF(C759&lt;18,"Afternoon (14-17)","Evening (18-20)")))</f>
        <v>Afternoon (14-17)</v>
      </c>
      <c r="S759" s="4" t="str">
        <f aca="false">IF(AND(O759&gt;=3,O759&lt;=5),"Hot Dry (Mar-May)",IF(AND(O759&gt;=6,O759&lt;=11),"Rainy (Jun-Nov)","Cool Dry (Dec-Feb)"))</f>
        <v>Rainy (Jun-Nov)</v>
      </c>
      <c r="T759" s="4" t="str">
        <f aca="false">CHOOSE(O759,"Jan","Feb","Mar","Apr","May","Jun","Jul","Aug","Sep","Oct","Nov","Dec")</f>
        <v>Jun</v>
      </c>
    </row>
    <row r="760" customFormat="false" ht="15" hidden="false" customHeight="false" outlineLevel="0" collapsed="false">
      <c r="A760" s="4" t="s">
        <v>1028</v>
      </c>
      <c r="B760" s="17" t="n">
        <v>45814</v>
      </c>
      <c r="C760" s="4" t="n">
        <v>16</v>
      </c>
      <c r="D760" s="4" t="s">
        <v>64</v>
      </c>
      <c r="E760" s="4" t="s">
        <v>99</v>
      </c>
      <c r="F760" s="4" t="s">
        <v>100</v>
      </c>
      <c r="G760" s="4" t="n">
        <v>1</v>
      </c>
      <c r="H760" s="34" t="n">
        <v>110</v>
      </c>
      <c r="I760" s="18" t="n">
        <v>0</v>
      </c>
      <c r="J760" s="4" t="s">
        <v>81</v>
      </c>
      <c r="K760" s="4" t="s">
        <v>68</v>
      </c>
      <c r="L760" s="35" t="n">
        <f aca="false">G760*H760</f>
        <v>110</v>
      </c>
      <c r="M760" s="35" t="n">
        <f aca="false">L760*I760</f>
        <v>0</v>
      </c>
      <c r="N760" s="35" t="n">
        <f aca="false">L760-M760</f>
        <v>110</v>
      </c>
      <c r="O760" s="4" t="n">
        <f aca="false">MONTH(B760)</f>
        <v>6</v>
      </c>
      <c r="P760" s="4" t="str">
        <f aca="false">CHOOSE(WEEKDAY(B760,2),"Mon","Tue","Wed","Thu","Fri","Sat","Sun")</f>
        <v>Fri</v>
      </c>
      <c r="Q760" s="4" t="str">
        <f aca="false">IF(WEEKDAY(B760,2)&gt;5,"Weekend","Weekday")</f>
        <v>Weekday</v>
      </c>
      <c r="R760" s="4" t="str">
        <f aca="false">IF(C760&lt;11,"Morning (7-10)",IF(C760&lt;14,"Lunch (11-13)",IF(C760&lt;18,"Afternoon (14-17)","Evening (18-20)")))</f>
        <v>Afternoon (14-17)</v>
      </c>
      <c r="S760" s="4" t="str">
        <f aca="false">IF(AND(O760&gt;=3,O760&lt;=5),"Hot Dry (Mar-May)",IF(AND(O760&gt;=6,O760&lt;=11),"Rainy (Jun-Nov)","Cool Dry (Dec-Feb)"))</f>
        <v>Rainy (Jun-Nov)</v>
      </c>
      <c r="T760" s="4" t="str">
        <f aca="false">CHOOSE(O760,"Jan","Feb","Mar","Apr","May","Jun","Jul","Aug","Sep","Oct","Nov","Dec")</f>
        <v>Jun</v>
      </c>
    </row>
    <row r="761" customFormat="false" ht="15" hidden="false" customHeight="false" outlineLevel="0" collapsed="false">
      <c r="A761" s="4" t="s">
        <v>1030</v>
      </c>
      <c r="B761" s="17" t="n">
        <v>45814</v>
      </c>
      <c r="C761" s="4" t="n">
        <v>17</v>
      </c>
      <c r="D761" s="4" t="s">
        <v>70</v>
      </c>
      <c r="E761" s="4" t="s">
        <v>99</v>
      </c>
      <c r="F761" s="4" t="s">
        <v>109</v>
      </c>
      <c r="G761" s="4" t="n">
        <v>1</v>
      </c>
      <c r="H761" s="34" t="n">
        <v>130</v>
      </c>
      <c r="I761" s="18" t="n">
        <v>0.1</v>
      </c>
      <c r="J761" s="4" t="s">
        <v>81</v>
      </c>
      <c r="K761" s="4" t="s">
        <v>82</v>
      </c>
      <c r="L761" s="35" t="n">
        <f aca="false">G761*H761</f>
        <v>130</v>
      </c>
      <c r="M761" s="35" t="n">
        <f aca="false">L761*I761</f>
        <v>13</v>
      </c>
      <c r="N761" s="35" t="n">
        <f aca="false">L761-M761</f>
        <v>117</v>
      </c>
      <c r="O761" s="4" t="n">
        <f aca="false">MONTH(B761)</f>
        <v>6</v>
      </c>
      <c r="P761" s="4" t="str">
        <f aca="false">CHOOSE(WEEKDAY(B761,2),"Mon","Tue","Wed","Thu","Fri","Sat","Sun")</f>
        <v>Fri</v>
      </c>
      <c r="Q761" s="4" t="str">
        <f aca="false">IF(WEEKDAY(B761,2)&gt;5,"Weekend","Weekday")</f>
        <v>Weekday</v>
      </c>
      <c r="R761" s="4" t="str">
        <f aca="false">IF(C761&lt;11,"Morning (7-10)",IF(C761&lt;14,"Lunch (11-13)",IF(C761&lt;18,"Afternoon (14-17)","Evening (18-20)")))</f>
        <v>Afternoon (14-17)</v>
      </c>
      <c r="S761" s="4" t="str">
        <f aca="false">IF(AND(O761&gt;=3,O761&lt;=5),"Hot Dry (Mar-May)",IF(AND(O761&gt;=6,O761&lt;=11),"Rainy (Jun-Nov)","Cool Dry (Dec-Feb)"))</f>
        <v>Rainy (Jun-Nov)</v>
      </c>
      <c r="T761" s="4" t="str">
        <f aca="false">CHOOSE(O761,"Jan","Feb","Mar","Apr","May","Jun","Jul","Aug","Sep","Oct","Nov","Dec")</f>
        <v>Jun</v>
      </c>
    </row>
    <row r="762" customFormat="false" ht="15" hidden="false" customHeight="false" outlineLevel="0" collapsed="false">
      <c r="A762" s="4" t="s">
        <v>1031</v>
      </c>
      <c r="B762" s="17" t="n">
        <v>45815</v>
      </c>
      <c r="C762" s="4" t="n">
        <v>10</v>
      </c>
      <c r="D762" s="4" t="s">
        <v>70</v>
      </c>
      <c r="E762" s="4" t="s">
        <v>99</v>
      </c>
      <c r="F762" s="4" t="s">
        <v>102</v>
      </c>
      <c r="G762" s="4" t="n">
        <v>1</v>
      </c>
      <c r="H762" s="34" t="n">
        <v>140</v>
      </c>
      <c r="I762" s="18" t="n">
        <v>0</v>
      </c>
      <c r="J762" s="4" t="s">
        <v>67</v>
      </c>
      <c r="K762" s="4" t="s">
        <v>68</v>
      </c>
      <c r="L762" s="35" t="n">
        <f aca="false">G762*H762</f>
        <v>140</v>
      </c>
      <c r="M762" s="35" t="n">
        <f aca="false">L762*I762</f>
        <v>0</v>
      </c>
      <c r="N762" s="35" t="n">
        <f aca="false">L762-M762</f>
        <v>140</v>
      </c>
      <c r="O762" s="4" t="n">
        <f aca="false">MONTH(B762)</f>
        <v>6</v>
      </c>
      <c r="P762" s="4" t="str">
        <f aca="false">CHOOSE(WEEKDAY(B762,2),"Mon","Tue","Wed","Thu","Fri","Sat","Sun")</f>
        <v>Sat</v>
      </c>
      <c r="Q762" s="4" t="str">
        <f aca="false">IF(WEEKDAY(B762,2)&gt;5,"Weekend","Weekday")</f>
        <v>Weekend</v>
      </c>
      <c r="R762" s="4" t="str">
        <f aca="false">IF(C762&lt;11,"Morning (7-10)",IF(C762&lt;14,"Lunch (11-13)",IF(C762&lt;18,"Afternoon (14-17)","Evening (18-20)")))</f>
        <v>Morning (7-10)</v>
      </c>
      <c r="S762" s="4" t="str">
        <f aca="false">IF(AND(O762&gt;=3,O762&lt;=5),"Hot Dry (Mar-May)",IF(AND(O762&gt;=6,O762&lt;=11),"Rainy (Jun-Nov)","Cool Dry (Dec-Feb)"))</f>
        <v>Rainy (Jun-Nov)</v>
      </c>
      <c r="T762" s="4" t="str">
        <f aca="false">CHOOSE(O762,"Jan","Feb","Mar","Apr","May","Jun","Jul","Aug","Sep","Oct","Nov","Dec")</f>
        <v>Jun</v>
      </c>
    </row>
    <row r="763" customFormat="false" ht="15" hidden="false" customHeight="false" outlineLevel="0" collapsed="false">
      <c r="A763" s="4" t="s">
        <v>1032</v>
      </c>
      <c r="B763" s="17" t="n">
        <v>45815</v>
      </c>
      <c r="C763" s="4" t="n">
        <v>19</v>
      </c>
      <c r="D763" s="4" t="s">
        <v>73</v>
      </c>
      <c r="E763" s="4" t="s">
        <v>99</v>
      </c>
      <c r="F763" s="4" t="s">
        <v>102</v>
      </c>
      <c r="G763" s="4" t="n">
        <v>1</v>
      </c>
      <c r="H763" s="34" t="n">
        <v>140</v>
      </c>
      <c r="I763" s="18" t="n">
        <v>0.15</v>
      </c>
      <c r="J763" s="4" t="s">
        <v>67</v>
      </c>
      <c r="K763" s="4" t="s">
        <v>71</v>
      </c>
      <c r="L763" s="35" t="n">
        <f aca="false">G763*H763</f>
        <v>140</v>
      </c>
      <c r="M763" s="35" t="n">
        <f aca="false">L763*I763</f>
        <v>21</v>
      </c>
      <c r="N763" s="35" t="n">
        <f aca="false">L763-M763</f>
        <v>119</v>
      </c>
      <c r="O763" s="4" t="n">
        <f aca="false">MONTH(B763)</f>
        <v>6</v>
      </c>
      <c r="P763" s="4" t="str">
        <f aca="false">CHOOSE(WEEKDAY(B763,2),"Mon","Tue","Wed","Thu","Fri","Sat","Sun")</f>
        <v>Sat</v>
      </c>
      <c r="Q763" s="4" t="str">
        <f aca="false">IF(WEEKDAY(B763,2)&gt;5,"Weekend","Weekday")</f>
        <v>Weekend</v>
      </c>
      <c r="R763" s="4" t="str">
        <f aca="false">IF(C763&lt;11,"Morning (7-10)",IF(C763&lt;14,"Lunch (11-13)",IF(C763&lt;18,"Afternoon (14-17)","Evening (18-20)")))</f>
        <v>Evening (18-20)</v>
      </c>
      <c r="S763" s="4" t="str">
        <f aca="false">IF(AND(O763&gt;=3,O763&lt;=5),"Hot Dry (Mar-May)",IF(AND(O763&gt;=6,O763&lt;=11),"Rainy (Jun-Nov)","Cool Dry (Dec-Feb)"))</f>
        <v>Rainy (Jun-Nov)</v>
      </c>
      <c r="T763" s="4" t="str">
        <f aca="false">CHOOSE(O763,"Jan","Feb","Mar","Apr","May","Jun","Jul","Aug","Sep","Oct","Nov","Dec")</f>
        <v>Jun</v>
      </c>
    </row>
    <row r="764" customFormat="false" ht="15" hidden="false" customHeight="false" outlineLevel="0" collapsed="false">
      <c r="A764" s="4" t="s">
        <v>1033</v>
      </c>
      <c r="B764" s="17" t="n">
        <v>45815</v>
      </c>
      <c r="C764" s="4" t="n">
        <v>20</v>
      </c>
      <c r="D764" s="4" t="s">
        <v>98</v>
      </c>
      <c r="E764" s="4" t="s">
        <v>65</v>
      </c>
      <c r="F764" s="4" t="s">
        <v>87</v>
      </c>
      <c r="G764" s="4" t="n">
        <v>1</v>
      </c>
      <c r="H764" s="34" t="n">
        <v>160</v>
      </c>
      <c r="I764" s="18" t="n">
        <v>0</v>
      </c>
      <c r="J764" s="4" t="s">
        <v>81</v>
      </c>
      <c r="K764" s="4" t="s">
        <v>68</v>
      </c>
      <c r="L764" s="35" t="n">
        <f aca="false">G764*H764</f>
        <v>160</v>
      </c>
      <c r="M764" s="35" t="n">
        <f aca="false">L764*I764</f>
        <v>0</v>
      </c>
      <c r="N764" s="35" t="n">
        <f aca="false">L764-M764</f>
        <v>160</v>
      </c>
      <c r="O764" s="4" t="n">
        <f aca="false">MONTH(B764)</f>
        <v>6</v>
      </c>
      <c r="P764" s="4" t="str">
        <f aca="false">CHOOSE(WEEKDAY(B764,2),"Mon","Tue","Wed","Thu","Fri","Sat","Sun")</f>
        <v>Sat</v>
      </c>
      <c r="Q764" s="4" t="str">
        <f aca="false">IF(WEEKDAY(B764,2)&gt;5,"Weekend","Weekday")</f>
        <v>Weekend</v>
      </c>
      <c r="R764" s="4" t="str">
        <f aca="false">IF(C764&lt;11,"Morning (7-10)",IF(C764&lt;14,"Lunch (11-13)",IF(C764&lt;18,"Afternoon (14-17)","Evening (18-20)")))</f>
        <v>Evening (18-20)</v>
      </c>
      <c r="S764" s="4" t="str">
        <f aca="false">IF(AND(O764&gt;=3,O764&lt;=5),"Hot Dry (Mar-May)",IF(AND(O764&gt;=6,O764&lt;=11),"Rainy (Jun-Nov)","Cool Dry (Dec-Feb)"))</f>
        <v>Rainy (Jun-Nov)</v>
      </c>
      <c r="T764" s="4" t="str">
        <f aca="false">CHOOSE(O764,"Jan","Feb","Mar","Apr","May","Jun","Jul","Aug","Sep","Oct","Nov","Dec")</f>
        <v>Jun</v>
      </c>
    </row>
    <row r="765" customFormat="false" ht="15" hidden="false" customHeight="false" outlineLevel="0" collapsed="false">
      <c r="A765" s="4" t="s">
        <v>1034</v>
      </c>
      <c r="B765" s="17" t="n">
        <v>45816</v>
      </c>
      <c r="C765" s="4" t="n">
        <v>7</v>
      </c>
      <c r="D765" s="4" t="s">
        <v>64</v>
      </c>
      <c r="E765" s="4" t="s">
        <v>79</v>
      </c>
      <c r="F765" s="4" t="s">
        <v>135</v>
      </c>
      <c r="G765" s="4" t="n">
        <v>3</v>
      </c>
      <c r="H765" s="34" t="n">
        <v>130</v>
      </c>
      <c r="I765" s="18" t="n">
        <v>0</v>
      </c>
      <c r="J765" s="4" t="s">
        <v>67</v>
      </c>
      <c r="K765" s="4" t="s">
        <v>77</v>
      </c>
      <c r="L765" s="35" t="n">
        <f aca="false">G765*H765</f>
        <v>390</v>
      </c>
      <c r="M765" s="35" t="n">
        <f aca="false">L765*I765</f>
        <v>0</v>
      </c>
      <c r="N765" s="35" t="n">
        <f aca="false">L765-M765</f>
        <v>390</v>
      </c>
      <c r="O765" s="4" t="n">
        <f aca="false">MONTH(B765)</f>
        <v>6</v>
      </c>
      <c r="P765" s="4" t="str">
        <f aca="false">CHOOSE(WEEKDAY(B765,2),"Mon","Tue","Wed","Thu","Fri","Sat","Sun")</f>
        <v>Sun</v>
      </c>
      <c r="Q765" s="4" t="str">
        <f aca="false">IF(WEEKDAY(B765,2)&gt;5,"Weekend","Weekday")</f>
        <v>Weekend</v>
      </c>
      <c r="R765" s="4" t="str">
        <f aca="false">IF(C765&lt;11,"Morning (7-10)",IF(C765&lt;14,"Lunch (11-13)",IF(C765&lt;18,"Afternoon (14-17)","Evening (18-20)")))</f>
        <v>Morning (7-10)</v>
      </c>
      <c r="S765" s="4" t="str">
        <f aca="false">IF(AND(O765&gt;=3,O765&lt;=5),"Hot Dry (Mar-May)",IF(AND(O765&gt;=6,O765&lt;=11),"Rainy (Jun-Nov)","Cool Dry (Dec-Feb)"))</f>
        <v>Rainy (Jun-Nov)</v>
      </c>
      <c r="T765" s="4" t="str">
        <f aca="false">CHOOSE(O765,"Jan","Feb","Mar","Apr","May","Jun","Jul","Aug","Sep","Oct","Nov","Dec")</f>
        <v>Jun</v>
      </c>
    </row>
    <row r="766" customFormat="false" ht="15" hidden="false" customHeight="false" outlineLevel="0" collapsed="false">
      <c r="A766" s="4" t="s">
        <v>1036</v>
      </c>
      <c r="B766" s="17" t="n">
        <v>45816</v>
      </c>
      <c r="C766" s="4" t="n">
        <v>10</v>
      </c>
      <c r="D766" s="4" t="s">
        <v>70</v>
      </c>
      <c r="E766" s="4" t="s">
        <v>99</v>
      </c>
      <c r="F766" s="4" t="s">
        <v>100</v>
      </c>
      <c r="G766" s="4" t="n">
        <v>3</v>
      </c>
      <c r="H766" s="34" t="n">
        <v>110</v>
      </c>
      <c r="I766" s="18" t="n">
        <v>0.1</v>
      </c>
      <c r="J766" s="4" t="s">
        <v>76</v>
      </c>
      <c r="K766" s="4" t="s">
        <v>71</v>
      </c>
      <c r="L766" s="35" t="n">
        <f aca="false">G766*H766</f>
        <v>330</v>
      </c>
      <c r="M766" s="35" t="n">
        <f aca="false">L766*I766</f>
        <v>33</v>
      </c>
      <c r="N766" s="35" t="n">
        <f aca="false">L766-M766</f>
        <v>297</v>
      </c>
      <c r="O766" s="4" t="n">
        <f aca="false">MONTH(B766)</f>
        <v>6</v>
      </c>
      <c r="P766" s="4" t="str">
        <f aca="false">CHOOSE(WEEKDAY(B766,2),"Mon","Tue","Wed","Thu","Fri","Sat","Sun")</f>
        <v>Sun</v>
      </c>
      <c r="Q766" s="4" t="str">
        <f aca="false">IF(WEEKDAY(B766,2)&gt;5,"Weekend","Weekday")</f>
        <v>Weekend</v>
      </c>
      <c r="R766" s="4" t="str">
        <f aca="false">IF(C766&lt;11,"Morning (7-10)",IF(C766&lt;14,"Lunch (11-13)",IF(C766&lt;18,"Afternoon (14-17)","Evening (18-20)")))</f>
        <v>Morning (7-10)</v>
      </c>
      <c r="S766" s="4" t="str">
        <f aca="false">IF(AND(O766&gt;=3,O766&lt;=5),"Hot Dry (Mar-May)",IF(AND(O766&gt;=6,O766&lt;=11),"Rainy (Jun-Nov)","Cool Dry (Dec-Feb)"))</f>
        <v>Rainy (Jun-Nov)</v>
      </c>
      <c r="T766" s="4" t="str">
        <f aca="false">CHOOSE(O766,"Jan","Feb","Mar","Apr","May","Jun","Jul","Aug","Sep","Oct","Nov","Dec")</f>
        <v>Jun</v>
      </c>
    </row>
    <row r="767" customFormat="false" ht="15" hidden="false" customHeight="false" outlineLevel="0" collapsed="false">
      <c r="A767" s="4" t="s">
        <v>1037</v>
      </c>
      <c r="B767" s="17" t="n">
        <v>45816</v>
      </c>
      <c r="C767" s="4" t="n">
        <v>13</v>
      </c>
      <c r="D767" s="4" t="s">
        <v>64</v>
      </c>
      <c r="E767" s="4" t="s">
        <v>99</v>
      </c>
      <c r="F767" s="4" t="s">
        <v>100</v>
      </c>
      <c r="G767" s="4" t="n">
        <v>1</v>
      </c>
      <c r="H767" s="34" t="n">
        <v>110</v>
      </c>
      <c r="I767" s="18" t="n">
        <v>0.05</v>
      </c>
      <c r="J767" s="4" t="s">
        <v>76</v>
      </c>
      <c r="K767" s="4" t="s">
        <v>82</v>
      </c>
      <c r="L767" s="35" t="n">
        <f aca="false">G767*H767</f>
        <v>110</v>
      </c>
      <c r="M767" s="35" t="n">
        <f aca="false">L767*I767</f>
        <v>5.5</v>
      </c>
      <c r="N767" s="35" t="n">
        <f aca="false">L767-M767</f>
        <v>104.5</v>
      </c>
      <c r="O767" s="4" t="n">
        <f aca="false">MONTH(B767)</f>
        <v>6</v>
      </c>
      <c r="P767" s="4" t="str">
        <f aca="false">CHOOSE(WEEKDAY(B767,2),"Mon","Tue","Wed","Thu","Fri","Sat","Sun")</f>
        <v>Sun</v>
      </c>
      <c r="Q767" s="4" t="str">
        <f aca="false">IF(WEEKDAY(B767,2)&gt;5,"Weekend","Weekday")</f>
        <v>Weekend</v>
      </c>
      <c r="R767" s="4" t="str">
        <f aca="false">IF(C767&lt;11,"Morning (7-10)",IF(C767&lt;14,"Lunch (11-13)",IF(C767&lt;18,"Afternoon (14-17)","Evening (18-20)")))</f>
        <v>Lunch (11-13)</v>
      </c>
      <c r="S767" s="4" t="str">
        <f aca="false">IF(AND(O767&gt;=3,O767&lt;=5),"Hot Dry (Mar-May)",IF(AND(O767&gt;=6,O767&lt;=11),"Rainy (Jun-Nov)","Cool Dry (Dec-Feb)"))</f>
        <v>Rainy (Jun-Nov)</v>
      </c>
      <c r="T767" s="4" t="str">
        <f aca="false">CHOOSE(O767,"Jan","Feb","Mar","Apr","May","Jun","Jul","Aug","Sep","Oct","Nov","Dec")</f>
        <v>Jun</v>
      </c>
    </row>
    <row r="768" customFormat="false" ht="15" hidden="false" customHeight="false" outlineLevel="0" collapsed="false">
      <c r="A768" s="4" t="s">
        <v>1038</v>
      </c>
      <c r="B768" s="17" t="n">
        <v>45816</v>
      </c>
      <c r="C768" s="4" t="n">
        <v>13</v>
      </c>
      <c r="D768" s="4" t="s">
        <v>70</v>
      </c>
      <c r="E768" s="4" t="s">
        <v>65</v>
      </c>
      <c r="F768" s="4" t="s">
        <v>94</v>
      </c>
      <c r="G768" s="4" t="n">
        <v>4</v>
      </c>
      <c r="H768" s="34" t="n">
        <v>150</v>
      </c>
      <c r="I768" s="18" t="n">
        <v>0</v>
      </c>
      <c r="J768" s="4" t="s">
        <v>81</v>
      </c>
      <c r="K768" s="4" t="s">
        <v>77</v>
      </c>
      <c r="L768" s="35" t="n">
        <f aca="false">G768*H768</f>
        <v>600</v>
      </c>
      <c r="M768" s="35" t="n">
        <f aca="false">L768*I768</f>
        <v>0</v>
      </c>
      <c r="N768" s="35" t="n">
        <f aca="false">L768-M768</f>
        <v>600</v>
      </c>
      <c r="O768" s="4" t="n">
        <f aca="false">MONTH(B768)</f>
        <v>6</v>
      </c>
      <c r="P768" s="4" t="str">
        <f aca="false">CHOOSE(WEEKDAY(B768,2),"Mon","Tue","Wed","Thu","Fri","Sat","Sun")</f>
        <v>Sun</v>
      </c>
      <c r="Q768" s="4" t="str">
        <f aca="false">IF(WEEKDAY(B768,2)&gt;5,"Weekend","Weekday")</f>
        <v>Weekend</v>
      </c>
      <c r="R768" s="4" t="str">
        <f aca="false">IF(C768&lt;11,"Morning (7-10)",IF(C768&lt;14,"Lunch (11-13)",IF(C768&lt;18,"Afternoon (14-17)","Evening (18-20)")))</f>
        <v>Lunch (11-13)</v>
      </c>
      <c r="S768" s="4" t="str">
        <f aca="false">IF(AND(O768&gt;=3,O768&lt;=5),"Hot Dry (Mar-May)",IF(AND(O768&gt;=6,O768&lt;=11),"Rainy (Jun-Nov)","Cool Dry (Dec-Feb)"))</f>
        <v>Rainy (Jun-Nov)</v>
      </c>
      <c r="T768" s="4" t="str">
        <f aca="false">CHOOSE(O768,"Jan","Feb","Mar","Apr","May","Jun","Jul","Aug","Sep","Oct","Nov","Dec")</f>
        <v>Jun</v>
      </c>
    </row>
    <row r="769" customFormat="false" ht="15" hidden="false" customHeight="false" outlineLevel="0" collapsed="false">
      <c r="A769" s="4" t="s">
        <v>1039</v>
      </c>
      <c r="B769" s="17" t="n">
        <v>45817</v>
      </c>
      <c r="C769" s="4" t="n">
        <v>7</v>
      </c>
      <c r="D769" s="4" t="s">
        <v>64</v>
      </c>
      <c r="E769" s="4" t="s">
        <v>99</v>
      </c>
      <c r="F769" s="4" t="s">
        <v>133</v>
      </c>
      <c r="G769" s="4" t="n">
        <v>1</v>
      </c>
      <c r="H769" s="34" t="n">
        <v>90</v>
      </c>
      <c r="I769" s="18" t="n">
        <v>0</v>
      </c>
      <c r="J769" s="4" t="s">
        <v>81</v>
      </c>
      <c r="K769" s="4" t="s">
        <v>77</v>
      </c>
      <c r="L769" s="35" t="n">
        <f aca="false">G769*H769</f>
        <v>90</v>
      </c>
      <c r="M769" s="35" t="n">
        <f aca="false">L769*I769</f>
        <v>0</v>
      </c>
      <c r="N769" s="35" t="n">
        <f aca="false">L769-M769</f>
        <v>90</v>
      </c>
      <c r="O769" s="4" t="n">
        <f aca="false">MONTH(B769)</f>
        <v>6</v>
      </c>
      <c r="P769" s="4" t="str">
        <f aca="false">CHOOSE(WEEKDAY(B769,2),"Mon","Tue","Wed","Thu","Fri","Sat","Sun")</f>
        <v>Mon</v>
      </c>
      <c r="Q769" s="4" t="str">
        <f aca="false">IF(WEEKDAY(B769,2)&gt;5,"Weekend","Weekday")</f>
        <v>Weekday</v>
      </c>
      <c r="R769" s="4" t="str">
        <f aca="false">IF(C769&lt;11,"Morning (7-10)",IF(C769&lt;14,"Lunch (11-13)",IF(C769&lt;18,"Afternoon (14-17)","Evening (18-20)")))</f>
        <v>Morning (7-10)</v>
      </c>
      <c r="S769" s="4" t="str">
        <f aca="false">IF(AND(O769&gt;=3,O769&lt;=5),"Hot Dry (Mar-May)",IF(AND(O769&gt;=6,O769&lt;=11),"Rainy (Jun-Nov)","Cool Dry (Dec-Feb)"))</f>
        <v>Rainy (Jun-Nov)</v>
      </c>
      <c r="T769" s="4" t="str">
        <f aca="false">CHOOSE(O769,"Jan","Feb","Mar","Apr","May","Jun","Jul","Aug","Sep","Oct","Nov","Dec")</f>
        <v>Jun</v>
      </c>
    </row>
    <row r="770" customFormat="false" ht="15" hidden="false" customHeight="false" outlineLevel="0" collapsed="false">
      <c r="A770" s="4" t="s">
        <v>1040</v>
      </c>
      <c r="B770" s="17" t="n">
        <v>45817</v>
      </c>
      <c r="C770" s="4" t="n">
        <v>8</v>
      </c>
      <c r="D770" s="4" t="s">
        <v>73</v>
      </c>
      <c r="E770" s="4" t="s">
        <v>99</v>
      </c>
      <c r="F770" s="4" t="s">
        <v>100</v>
      </c>
      <c r="G770" s="4" t="n">
        <v>1</v>
      </c>
      <c r="H770" s="34" t="n">
        <v>110</v>
      </c>
      <c r="I770" s="18" t="n">
        <v>0.05</v>
      </c>
      <c r="J770" s="4" t="s">
        <v>88</v>
      </c>
      <c r="K770" s="4" t="s">
        <v>82</v>
      </c>
      <c r="L770" s="35" t="n">
        <f aca="false">G770*H770</f>
        <v>110</v>
      </c>
      <c r="M770" s="35" t="n">
        <f aca="false">L770*I770</f>
        <v>5.5</v>
      </c>
      <c r="N770" s="35" t="n">
        <f aca="false">L770-M770</f>
        <v>104.5</v>
      </c>
      <c r="O770" s="4" t="n">
        <f aca="false">MONTH(B770)</f>
        <v>6</v>
      </c>
      <c r="P770" s="4" t="str">
        <f aca="false">CHOOSE(WEEKDAY(B770,2),"Mon","Tue","Wed","Thu","Fri","Sat","Sun")</f>
        <v>Mon</v>
      </c>
      <c r="Q770" s="4" t="str">
        <f aca="false">IF(WEEKDAY(B770,2)&gt;5,"Weekend","Weekday")</f>
        <v>Weekday</v>
      </c>
      <c r="R770" s="4" t="str">
        <f aca="false">IF(C770&lt;11,"Morning (7-10)",IF(C770&lt;14,"Lunch (11-13)",IF(C770&lt;18,"Afternoon (14-17)","Evening (18-20)")))</f>
        <v>Morning (7-10)</v>
      </c>
      <c r="S770" s="4" t="str">
        <f aca="false">IF(AND(O770&gt;=3,O770&lt;=5),"Hot Dry (Mar-May)",IF(AND(O770&gt;=6,O770&lt;=11),"Rainy (Jun-Nov)","Cool Dry (Dec-Feb)"))</f>
        <v>Rainy (Jun-Nov)</v>
      </c>
      <c r="T770" s="4" t="str">
        <f aca="false">CHOOSE(O770,"Jan","Feb","Mar","Apr","May","Jun","Jul","Aug","Sep","Oct","Nov","Dec")</f>
        <v>Jun</v>
      </c>
    </row>
    <row r="771" customFormat="false" ht="15" hidden="false" customHeight="false" outlineLevel="0" collapsed="false">
      <c r="A771" s="4" t="s">
        <v>1041</v>
      </c>
      <c r="B771" s="17" t="n">
        <v>45817</v>
      </c>
      <c r="C771" s="4" t="n">
        <v>11</v>
      </c>
      <c r="D771" s="4" t="s">
        <v>73</v>
      </c>
      <c r="E771" s="4" t="s">
        <v>74</v>
      </c>
      <c r="F771" s="4" t="s">
        <v>91</v>
      </c>
      <c r="G771" s="4" t="n">
        <v>4</v>
      </c>
      <c r="H771" s="34" t="n">
        <v>200</v>
      </c>
      <c r="I771" s="18" t="n">
        <v>0</v>
      </c>
      <c r="J771" s="4" t="s">
        <v>76</v>
      </c>
      <c r="K771" s="4" t="s">
        <v>77</v>
      </c>
      <c r="L771" s="35" t="n">
        <f aca="false">G771*H771</f>
        <v>800</v>
      </c>
      <c r="M771" s="35" t="n">
        <f aca="false">L771*I771</f>
        <v>0</v>
      </c>
      <c r="N771" s="35" t="n">
        <f aca="false">L771-M771</f>
        <v>800</v>
      </c>
      <c r="O771" s="4" t="n">
        <f aca="false">MONTH(B771)</f>
        <v>6</v>
      </c>
      <c r="P771" s="4" t="str">
        <f aca="false">CHOOSE(WEEKDAY(B771,2),"Mon","Tue","Wed","Thu","Fri","Sat","Sun")</f>
        <v>Mon</v>
      </c>
      <c r="Q771" s="4" t="str">
        <f aca="false">IF(WEEKDAY(B771,2)&gt;5,"Weekend","Weekday")</f>
        <v>Weekday</v>
      </c>
      <c r="R771" s="4" t="str">
        <f aca="false">IF(C771&lt;11,"Morning (7-10)",IF(C771&lt;14,"Lunch (11-13)",IF(C771&lt;18,"Afternoon (14-17)","Evening (18-20)")))</f>
        <v>Lunch (11-13)</v>
      </c>
      <c r="S771" s="4" t="str">
        <f aca="false">IF(AND(O771&gt;=3,O771&lt;=5),"Hot Dry (Mar-May)",IF(AND(O771&gt;=6,O771&lt;=11),"Rainy (Jun-Nov)","Cool Dry (Dec-Feb)"))</f>
        <v>Rainy (Jun-Nov)</v>
      </c>
      <c r="T771" s="4" t="str">
        <f aca="false">CHOOSE(O771,"Jan","Feb","Mar","Apr","May","Jun","Jul","Aug","Sep","Oct","Nov","Dec")</f>
        <v>Jun</v>
      </c>
    </row>
    <row r="772" customFormat="false" ht="15" hidden="false" customHeight="false" outlineLevel="0" collapsed="false">
      <c r="A772" s="4" t="s">
        <v>1042</v>
      </c>
      <c r="B772" s="17" t="n">
        <v>45817</v>
      </c>
      <c r="C772" s="4" t="n">
        <v>11</v>
      </c>
      <c r="D772" s="4" t="s">
        <v>70</v>
      </c>
      <c r="E772" s="4" t="s">
        <v>84</v>
      </c>
      <c r="F772" s="4" t="s">
        <v>114</v>
      </c>
      <c r="G772" s="4" t="n">
        <v>1</v>
      </c>
      <c r="H772" s="34" t="n">
        <v>85</v>
      </c>
      <c r="I772" s="18" t="n">
        <v>0</v>
      </c>
      <c r="J772" s="4" t="s">
        <v>112</v>
      </c>
      <c r="K772" s="4" t="s">
        <v>68</v>
      </c>
      <c r="L772" s="35" t="n">
        <f aca="false">G772*H772</f>
        <v>85</v>
      </c>
      <c r="M772" s="35" t="n">
        <f aca="false">L772*I772</f>
        <v>0</v>
      </c>
      <c r="N772" s="35" t="n">
        <f aca="false">L772-M772</f>
        <v>85</v>
      </c>
      <c r="O772" s="4" t="n">
        <f aca="false">MONTH(B772)</f>
        <v>6</v>
      </c>
      <c r="P772" s="4" t="str">
        <f aca="false">CHOOSE(WEEKDAY(B772,2),"Mon","Tue","Wed","Thu","Fri","Sat","Sun")</f>
        <v>Mon</v>
      </c>
      <c r="Q772" s="4" t="str">
        <f aca="false">IF(WEEKDAY(B772,2)&gt;5,"Weekend","Weekday")</f>
        <v>Weekday</v>
      </c>
      <c r="R772" s="4" t="str">
        <f aca="false">IF(C772&lt;11,"Morning (7-10)",IF(C772&lt;14,"Lunch (11-13)",IF(C772&lt;18,"Afternoon (14-17)","Evening (18-20)")))</f>
        <v>Lunch (11-13)</v>
      </c>
      <c r="S772" s="4" t="str">
        <f aca="false">IF(AND(O772&gt;=3,O772&lt;=5),"Hot Dry (Mar-May)",IF(AND(O772&gt;=6,O772&lt;=11),"Rainy (Jun-Nov)","Cool Dry (Dec-Feb)"))</f>
        <v>Rainy (Jun-Nov)</v>
      </c>
      <c r="T772" s="4" t="str">
        <f aca="false">CHOOSE(O772,"Jan","Feb","Mar","Apr","May","Jun","Jul","Aug","Sep","Oct","Nov","Dec")</f>
        <v>Jun</v>
      </c>
    </row>
    <row r="773" customFormat="false" ht="15" hidden="false" customHeight="false" outlineLevel="0" collapsed="false">
      <c r="A773" s="4" t="s">
        <v>1043</v>
      </c>
      <c r="B773" s="17" t="n">
        <v>45817</v>
      </c>
      <c r="C773" s="4" t="n">
        <v>16</v>
      </c>
      <c r="D773" s="4" t="s">
        <v>70</v>
      </c>
      <c r="E773" s="4" t="s">
        <v>84</v>
      </c>
      <c r="F773" s="4" t="s">
        <v>85</v>
      </c>
      <c r="G773" s="4" t="n">
        <v>4</v>
      </c>
      <c r="H773" s="34" t="n">
        <v>150</v>
      </c>
      <c r="I773" s="18" t="n">
        <v>0.15</v>
      </c>
      <c r="J773" s="4" t="s">
        <v>67</v>
      </c>
      <c r="K773" s="4" t="s">
        <v>82</v>
      </c>
      <c r="L773" s="35" t="n">
        <f aca="false">G773*H773</f>
        <v>600</v>
      </c>
      <c r="M773" s="35" t="n">
        <f aca="false">L773*I773</f>
        <v>90</v>
      </c>
      <c r="N773" s="35" t="n">
        <f aca="false">L773-M773</f>
        <v>510</v>
      </c>
      <c r="O773" s="4" t="n">
        <f aca="false">MONTH(B773)</f>
        <v>6</v>
      </c>
      <c r="P773" s="4" t="str">
        <f aca="false">CHOOSE(WEEKDAY(B773,2),"Mon","Tue","Wed","Thu","Fri","Sat","Sun")</f>
        <v>Mon</v>
      </c>
      <c r="Q773" s="4" t="str">
        <f aca="false">IF(WEEKDAY(B773,2)&gt;5,"Weekend","Weekday")</f>
        <v>Weekday</v>
      </c>
      <c r="R773" s="4" t="str">
        <f aca="false">IF(C773&lt;11,"Morning (7-10)",IF(C773&lt;14,"Lunch (11-13)",IF(C773&lt;18,"Afternoon (14-17)","Evening (18-20)")))</f>
        <v>Afternoon (14-17)</v>
      </c>
      <c r="S773" s="4" t="str">
        <f aca="false">IF(AND(O773&gt;=3,O773&lt;=5),"Hot Dry (Mar-May)",IF(AND(O773&gt;=6,O773&lt;=11),"Rainy (Jun-Nov)","Cool Dry (Dec-Feb)"))</f>
        <v>Rainy (Jun-Nov)</v>
      </c>
      <c r="T773" s="4" t="str">
        <f aca="false">CHOOSE(O773,"Jan","Feb","Mar","Apr","May","Jun","Jul","Aug","Sep","Oct","Nov","Dec")</f>
        <v>Jun</v>
      </c>
    </row>
    <row r="774" customFormat="false" ht="15" hidden="false" customHeight="false" outlineLevel="0" collapsed="false">
      <c r="A774" s="4" t="s">
        <v>1044</v>
      </c>
      <c r="B774" s="17" t="n">
        <v>45817</v>
      </c>
      <c r="C774" s="4" t="n">
        <v>16</v>
      </c>
      <c r="D774" s="4" t="s">
        <v>64</v>
      </c>
      <c r="E774" s="4" t="s">
        <v>99</v>
      </c>
      <c r="F774" s="4" t="s">
        <v>133</v>
      </c>
      <c r="G774" s="4" t="n">
        <v>2</v>
      </c>
      <c r="H774" s="34" t="n">
        <v>90</v>
      </c>
      <c r="I774" s="18" t="n">
        <v>0</v>
      </c>
      <c r="J774" s="4" t="s">
        <v>81</v>
      </c>
      <c r="K774" s="4" t="s">
        <v>68</v>
      </c>
      <c r="L774" s="35" t="n">
        <f aca="false">G774*H774</f>
        <v>180</v>
      </c>
      <c r="M774" s="35" t="n">
        <f aca="false">L774*I774</f>
        <v>0</v>
      </c>
      <c r="N774" s="35" t="n">
        <f aca="false">L774-M774</f>
        <v>180</v>
      </c>
      <c r="O774" s="4" t="n">
        <f aca="false">MONTH(B774)</f>
        <v>6</v>
      </c>
      <c r="P774" s="4" t="str">
        <f aca="false">CHOOSE(WEEKDAY(B774,2),"Mon","Tue","Wed","Thu","Fri","Sat","Sun")</f>
        <v>Mon</v>
      </c>
      <c r="Q774" s="4" t="str">
        <f aca="false">IF(WEEKDAY(B774,2)&gt;5,"Weekend","Weekday")</f>
        <v>Weekday</v>
      </c>
      <c r="R774" s="4" t="str">
        <f aca="false">IF(C774&lt;11,"Morning (7-10)",IF(C774&lt;14,"Lunch (11-13)",IF(C774&lt;18,"Afternoon (14-17)","Evening (18-20)")))</f>
        <v>Afternoon (14-17)</v>
      </c>
      <c r="S774" s="4" t="str">
        <f aca="false">IF(AND(O774&gt;=3,O774&lt;=5),"Hot Dry (Mar-May)",IF(AND(O774&gt;=6,O774&lt;=11),"Rainy (Jun-Nov)","Cool Dry (Dec-Feb)"))</f>
        <v>Rainy (Jun-Nov)</v>
      </c>
      <c r="T774" s="4" t="str">
        <f aca="false">CHOOSE(O774,"Jan","Feb","Mar","Apr","May","Jun","Jul","Aug","Sep","Oct","Nov","Dec")</f>
        <v>Jun</v>
      </c>
    </row>
    <row r="775" customFormat="false" ht="15" hidden="false" customHeight="false" outlineLevel="0" collapsed="false">
      <c r="A775" s="4" t="s">
        <v>1045</v>
      </c>
      <c r="B775" s="17" t="n">
        <v>45817</v>
      </c>
      <c r="C775" s="4" t="n">
        <v>18</v>
      </c>
      <c r="D775" s="4" t="s">
        <v>73</v>
      </c>
      <c r="E775" s="4" t="s">
        <v>99</v>
      </c>
      <c r="F775" s="4" t="s">
        <v>133</v>
      </c>
      <c r="G775" s="4" t="n">
        <v>3</v>
      </c>
      <c r="H775" s="34" t="n">
        <v>90</v>
      </c>
      <c r="I775" s="18" t="n">
        <v>0.05</v>
      </c>
      <c r="J775" s="4" t="s">
        <v>88</v>
      </c>
      <c r="K775" s="4" t="s">
        <v>82</v>
      </c>
      <c r="L775" s="35" t="n">
        <f aca="false">G775*H775</f>
        <v>270</v>
      </c>
      <c r="M775" s="35" t="n">
        <f aca="false">L775*I775</f>
        <v>13.5</v>
      </c>
      <c r="N775" s="35" t="n">
        <f aca="false">L775-M775</f>
        <v>256.5</v>
      </c>
      <c r="O775" s="4" t="n">
        <f aca="false">MONTH(B775)</f>
        <v>6</v>
      </c>
      <c r="P775" s="4" t="str">
        <f aca="false">CHOOSE(WEEKDAY(B775,2),"Mon","Tue","Wed","Thu","Fri","Sat","Sun")</f>
        <v>Mon</v>
      </c>
      <c r="Q775" s="4" t="str">
        <f aca="false">IF(WEEKDAY(B775,2)&gt;5,"Weekend","Weekday")</f>
        <v>Weekday</v>
      </c>
      <c r="R775" s="4" t="str">
        <f aca="false">IF(C775&lt;11,"Morning (7-10)",IF(C775&lt;14,"Lunch (11-13)",IF(C775&lt;18,"Afternoon (14-17)","Evening (18-20)")))</f>
        <v>Evening (18-20)</v>
      </c>
      <c r="S775" s="4" t="str">
        <f aca="false">IF(AND(O775&gt;=3,O775&lt;=5),"Hot Dry (Mar-May)",IF(AND(O775&gt;=6,O775&lt;=11),"Rainy (Jun-Nov)","Cool Dry (Dec-Feb)"))</f>
        <v>Rainy (Jun-Nov)</v>
      </c>
      <c r="T775" s="4" t="str">
        <f aca="false">CHOOSE(O775,"Jan","Feb","Mar","Apr","May","Jun","Jul","Aug","Sep","Oct","Nov","Dec")</f>
        <v>Jun</v>
      </c>
    </row>
    <row r="776" customFormat="false" ht="15" hidden="false" customHeight="false" outlineLevel="0" collapsed="false">
      <c r="A776" s="4" t="s">
        <v>1046</v>
      </c>
      <c r="B776" s="17" t="n">
        <v>45817</v>
      </c>
      <c r="C776" s="4" t="n">
        <v>19</v>
      </c>
      <c r="D776" s="4" t="s">
        <v>64</v>
      </c>
      <c r="E776" s="4" t="s">
        <v>74</v>
      </c>
      <c r="F776" s="4" t="s">
        <v>75</v>
      </c>
      <c r="G776" s="4" t="n">
        <v>1</v>
      </c>
      <c r="H776" s="34" t="n">
        <v>220</v>
      </c>
      <c r="I776" s="18" t="n">
        <v>0.1</v>
      </c>
      <c r="J776" s="4" t="s">
        <v>112</v>
      </c>
      <c r="K776" s="4" t="s">
        <v>77</v>
      </c>
      <c r="L776" s="35" t="n">
        <f aca="false">G776*H776</f>
        <v>220</v>
      </c>
      <c r="M776" s="35" t="n">
        <f aca="false">L776*I776</f>
        <v>22</v>
      </c>
      <c r="N776" s="35" t="n">
        <f aca="false">L776-M776</f>
        <v>198</v>
      </c>
      <c r="O776" s="4" t="n">
        <f aca="false">MONTH(B776)</f>
        <v>6</v>
      </c>
      <c r="P776" s="4" t="str">
        <f aca="false">CHOOSE(WEEKDAY(B776,2),"Mon","Tue","Wed","Thu","Fri","Sat","Sun")</f>
        <v>Mon</v>
      </c>
      <c r="Q776" s="4" t="str">
        <f aca="false">IF(WEEKDAY(B776,2)&gt;5,"Weekend","Weekday")</f>
        <v>Weekday</v>
      </c>
      <c r="R776" s="4" t="str">
        <f aca="false">IF(C776&lt;11,"Morning (7-10)",IF(C776&lt;14,"Lunch (11-13)",IF(C776&lt;18,"Afternoon (14-17)","Evening (18-20)")))</f>
        <v>Evening (18-20)</v>
      </c>
      <c r="S776" s="4" t="str">
        <f aca="false">IF(AND(O776&gt;=3,O776&lt;=5),"Hot Dry (Mar-May)",IF(AND(O776&gt;=6,O776&lt;=11),"Rainy (Jun-Nov)","Cool Dry (Dec-Feb)"))</f>
        <v>Rainy (Jun-Nov)</v>
      </c>
      <c r="T776" s="4" t="str">
        <f aca="false">CHOOSE(O776,"Jan","Feb","Mar","Apr","May","Jun","Jul","Aug","Sep","Oct","Nov","Dec")</f>
        <v>Jun</v>
      </c>
    </row>
    <row r="777" customFormat="false" ht="15" hidden="false" customHeight="false" outlineLevel="0" collapsed="false">
      <c r="A777" s="4" t="s">
        <v>1047</v>
      </c>
      <c r="B777" s="17" t="n">
        <v>45818</v>
      </c>
      <c r="C777" s="4" t="n">
        <v>7</v>
      </c>
      <c r="D777" s="4" t="s">
        <v>64</v>
      </c>
      <c r="E777" s="4" t="s">
        <v>65</v>
      </c>
      <c r="F777" s="4" t="s">
        <v>94</v>
      </c>
      <c r="G777" s="4" t="n">
        <v>1</v>
      </c>
      <c r="H777" s="34" t="n">
        <v>150</v>
      </c>
      <c r="I777" s="18" t="n">
        <v>0</v>
      </c>
      <c r="J777" s="4" t="s">
        <v>81</v>
      </c>
      <c r="K777" s="4" t="s">
        <v>68</v>
      </c>
      <c r="L777" s="35" t="n">
        <f aca="false">G777*H777</f>
        <v>150</v>
      </c>
      <c r="M777" s="35" t="n">
        <f aca="false">L777*I777</f>
        <v>0</v>
      </c>
      <c r="N777" s="35" t="n">
        <f aca="false">L777-M777</f>
        <v>150</v>
      </c>
      <c r="O777" s="4" t="n">
        <f aca="false">MONTH(B777)</f>
        <v>6</v>
      </c>
      <c r="P777" s="4" t="str">
        <f aca="false">CHOOSE(WEEKDAY(B777,2),"Mon","Tue","Wed","Thu","Fri","Sat","Sun")</f>
        <v>Tue</v>
      </c>
      <c r="Q777" s="4" t="str">
        <f aca="false">IF(WEEKDAY(B777,2)&gt;5,"Weekend","Weekday")</f>
        <v>Weekday</v>
      </c>
      <c r="R777" s="4" t="str">
        <f aca="false">IF(C777&lt;11,"Morning (7-10)",IF(C777&lt;14,"Lunch (11-13)",IF(C777&lt;18,"Afternoon (14-17)","Evening (18-20)")))</f>
        <v>Morning (7-10)</v>
      </c>
      <c r="S777" s="4" t="str">
        <f aca="false">IF(AND(O777&gt;=3,O777&lt;=5),"Hot Dry (Mar-May)",IF(AND(O777&gt;=6,O777&lt;=11),"Rainy (Jun-Nov)","Cool Dry (Dec-Feb)"))</f>
        <v>Rainy (Jun-Nov)</v>
      </c>
      <c r="T777" s="4" t="str">
        <f aca="false">CHOOSE(O777,"Jan","Feb","Mar","Apr","May","Jun","Jul","Aug","Sep","Oct","Nov","Dec")</f>
        <v>Jun</v>
      </c>
    </row>
    <row r="778" customFormat="false" ht="15" hidden="false" customHeight="false" outlineLevel="0" collapsed="false">
      <c r="A778" s="4" t="s">
        <v>1048</v>
      </c>
      <c r="B778" s="17" t="n">
        <v>45818</v>
      </c>
      <c r="C778" s="4" t="n">
        <v>8</v>
      </c>
      <c r="D778" s="4" t="s">
        <v>73</v>
      </c>
      <c r="E778" s="4" t="s">
        <v>84</v>
      </c>
      <c r="F778" s="4" t="s">
        <v>106</v>
      </c>
      <c r="G778" s="4" t="n">
        <v>1</v>
      </c>
      <c r="H778" s="34" t="n">
        <v>60</v>
      </c>
      <c r="I778" s="18" t="n">
        <v>0.05</v>
      </c>
      <c r="J778" s="4" t="s">
        <v>76</v>
      </c>
      <c r="K778" s="4" t="s">
        <v>82</v>
      </c>
      <c r="L778" s="35" t="n">
        <f aca="false">G778*H778</f>
        <v>60</v>
      </c>
      <c r="M778" s="35" t="n">
        <f aca="false">L778*I778</f>
        <v>3</v>
      </c>
      <c r="N778" s="35" t="n">
        <f aca="false">L778-M778</f>
        <v>57</v>
      </c>
      <c r="O778" s="4" t="n">
        <f aca="false">MONTH(B778)</f>
        <v>6</v>
      </c>
      <c r="P778" s="4" t="str">
        <f aca="false">CHOOSE(WEEKDAY(B778,2),"Mon","Tue","Wed","Thu","Fri","Sat","Sun")</f>
        <v>Tue</v>
      </c>
      <c r="Q778" s="4" t="str">
        <f aca="false">IF(WEEKDAY(B778,2)&gt;5,"Weekend","Weekday")</f>
        <v>Weekday</v>
      </c>
      <c r="R778" s="4" t="str">
        <f aca="false">IF(C778&lt;11,"Morning (7-10)",IF(C778&lt;14,"Lunch (11-13)",IF(C778&lt;18,"Afternoon (14-17)","Evening (18-20)")))</f>
        <v>Morning (7-10)</v>
      </c>
      <c r="S778" s="4" t="str">
        <f aca="false">IF(AND(O778&gt;=3,O778&lt;=5),"Hot Dry (Mar-May)",IF(AND(O778&gt;=6,O778&lt;=11),"Rainy (Jun-Nov)","Cool Dry (Dec-Feb)"))</f>
        <v>Rainy (Jun-Nov)</v>
      </c>
      <c r="T778" s="4" t="str">
        <f aca="false">CHOOSE(O778,"Jan","Feb","Mar","Apr","May","Jun","Jul","Aug","Sep","Oct","Nov","Dec")</f>
        <v>Jun</v>
      </c>
    </row>
    <row r="779" customFormat="false" ht="15" hidden="false" customHeight="false" outlineLevel="0" collapsed="false">
      <c r="A779" s="4" t="s">
        <v>1049</v>
      </c>
      <c r="B779" s="17" t="n">
        <v>45818</v>
      </c>
      <c r="C779" s="4" t="n">
        <v>9</v>
      </c>
      <c r="D779" s="4" t="s">
        <v>64</v>
      </c>
      <c r="E779" s="4" t="s">
        <v>65</v>
      </c>
      <c r="F779" s="4" t="s">
        <v>121</v>
      </c>
      <c r="G779" s="4" t="n">
        <v>1</v>
      </c>
      <c r="H779" s="34" t="n">
        <v>170</v>
      </c>
      <c r="I779" s="18" t="n">
        <v>0</v>
      </c>
      <c r="J779" s="4" t="s">
        <v>81</v>
      </c>
      <c r="K779" s="4" t="s">
        <v>77</v>
      </c>
      <c r="L779" s="35" t="n">
        <f aca="false">G779*H779</f>
        <v>170</v>
      </c>
      <c r="M779" s="35" t="n">
        <f aca="false">L779*I779</f>
        <v>0</v>
      </c>
      <c r="N779" s="35" t="n">
        <f aca="false">L779-M779</f>
        <v>170</v>
      </c>
      <c r="O779" s="4" t="n">
        <f aca="false">MONTH(B779)</f>
        <v>6</v>
      </c>
      <c r="P779" s="4" t="str">
        <f aca="false">CHOOSE(WEEKDAY(B779,2),"Mon","Tue","Wed","Thu","Fri","Sat","Sun")</f>
        <v>Tue</v>
      </c>
      <c r="Q779" s="4" t="str">
        <f aca="false">IF(WEEKDAY(B779,2)&gt;5,"Weekend","Weekday")</f>
        <v>Weekday</v>
      </c>
      <c r="R779" s="4" t="str">
        <f aca="false">IF(C779&lt;11,"Morning (7-10)",IF(C779&lt;14,"Lunch (11-13)",IF(C779&lt;18,"Afternoon (14-17)","Evening (18-20)")))</f>
        <v>Morning (7-10)</v>
      </c>
      <c r="S779" s="4" t="str">
        <f aca="false">IF(AND(O779&gt;=3,O779&lt;=5),"Hot Dry (Mar-May)",IF(AND(O779&gt;=6,O779&lt;=11),"Rainy (Jun-Nov)","Cool Dry (Dec-Feb)"))</f>
        <v>Rainy (Jun-Nov)</v>
      </c>
      <c r="T779" s="4" t="str">
        <f aca="false">CHOOSE(O779,"Jan","Feb","Mar","Apr","May","Jun","Jul","Aug","Sep","Oct","Nov","Dec")</f>
        <v>Jun</v>
      </c>
    </row>
    <row r="780" customFormat="false" ht="15" hidden="false" customHeight="false" outlineLevel="0" collapsed="false">
      <c r="A780" s="4" t="s">
        <v>1050</v>
      </c>
      <c r="B780" s="17" t="n">
        <v>45818</v>
      </c>
      <c r="C780" s="4" t="n">
        <v>10</v>
      </c>
      <c r="D780" s="4" t="s">
        <v>73</v>
      </c>
      <c r="E780" s="4" t="s">
        <v>99</v>
      </c>
      <c r="F780" s="4" t="s">
        <v>109</v>
      </c>
      <c r="G780" s="4" t="n">
        <v>2</v>
      </c>
      <c r="H780" s="34" t="n">
        <v>130</v>
      </c>
      <c r="I780" s="18" t="n">
        <v>0</v>
      </c>
      <c r="J780" s="4" t="s">
        <v>76</v>
      </c>
      <c r="K780" s="4" t="s">
        <v>68</v>
      </c>
      <c r="L780" s="35" t="n">
        <f aca="false">G780*H780</f>
        <v>260</v>
      </c>
      <c r="M780" s="35" t="n">
        <f aca="false">L780*I780</f>
        <v>0</v>
      </c>
      <c r="N780" s="35" t="n">
        <f aca="false">L780-M780</f>
        <v>260</v>
      </c>
      <c r="O780" s="4" t="n">
        <f aca="false">MONTH(B780)</f>
        <v>6</v>
      </c>
      <c r="P780" s="4" t="str">
        <f aca="false">CHOOSE(WEEKDAY(B780,2),"Mon","Tue","Wed","Thu","Fri","Sat","Sun")</f>
        <v>Tue</v>
      </c>
      <c r="Q780" s="4" t="str">
        <f aca="false">IF(WEEKDAY(B780,2)&gt;5,"Weekend","Weekday")</f>
        <v>Weekday</v>
      </c>
      <c r="R780" s="4" t="str">
        <f aca="false">IF(C780&lt;11,"Morning (7-10)",IF(C780&lt;14,"Lunch (11-13)",IF(C780&lt;18,"Afternoon (14-17)","Evening (18-20)")))</f>
        <v>Morning (7-10)</v>
      </c>
      <c r="S780" s="4" t="str">
        <f aca="false">IF(AND(O780&gt;=3,O780&lt;=5),"Hot Dry (Mar-May)",IF(AND(O780&gt;=6,O780&lt;=11),"Rainy (Jun-Nov)","Cool Dry (Dec-Feb)"))</f>
        <v>Rainy (Jun-Nov)</v>
      </c>
      <c r="T780" s="4" t="str">
        <f aca="false">CHOOSE(O780,"Jan","Feb","Mar","Apr","May","Jun","Jul","Aug","Sep","Oct","Nov","Dec")</f>
        <v>Jun</v>
      </c>
    </row>
    <row r="781" customFormat="false" ht="15" hidden="false" customHeight="false" outlineLevel="0" collapsed="false">
      <c r="A781" s="4" t="s">
        <v>1051</v>
      </c>
      <c r="B781" s="17" t="n">
        <v>45818</v>
      </c>
      <c r="C781" s="4" t="n">
        <v>11</v>
      </c>
      <c r="D781" s="4" t="s">
        <v>64</v>
      </c>
      <c r="E781" s="4" t="s">
        <v>99</v>
      </c>
      <c r="F781" s="4" t="s">
        <v>102</v>
      </c>
      <c r="G781" s="4" t="n">
        <v>2</v>
      </c>
      <c r="H781" s="34" t="n">
        <v>140</v>
      </c>
      <c r="I781" s="18" t="n">
        <v>0</v>
      </c>
      <c r="J781" s="4" t="s">
        <v>81</v>
      </c>
      <c r="K781" s="4" t="s">
        <v>68</v>
      </c>
      <c r="L781" s="35" t="n">
        <f aca="false">G781*H781</f>
        <v>280</v>
      </c>
      <c r="M781" s="35" t="n">
        <f aca="false">L781*I781</f>
        <v>0</v>
      </c>
      <c r="N781" s="35" t="n">
        <f aca="false">L781-M781</f>
        <v>280</v>
      </c>
      <c r="O781" s="4" t="n">
        <f aca="false">MONTH(B781)</f>
        <v>6</v>
      </c>
      <c r="P781" s="4" t="str">
        <f aca="false">CHOOSE(WEEKDAY(B781,2),"Mon","Tue","Wed","Thu","Fri","Sat","Sun")</f>
        <v>Tue</v>
      </c>
      <c r="Q781" s="4" t="str">
        <f aca="false">IF(WEEKDAY(B781,2)&gt;5,"Weekend","Weekday")</f>
        <v>Weekday</v>
      </c>
      <c r="R781" s="4" t="str">
        <f aca="false">IF(C781&lt;11,"Morning (7-10)",IF(C781&lt;14,"Lunch (11-13)",IF(C781&lt;18,"Afternoon (14-17)","Evening (18-20)")))</f>
        <v>Lunch (11-13)</v>
      </c>
      <c r="S781" s="4" t="str">
        <f aca="false">IF(AND(O781&gt;=3,O781&lt;=5),"Hot Dry (Mar-May)",IF(AND(O781&gt;=6,O781&lt;=11),"Rainy (Jun-Nov)","Cool Dry (Dec-Feb)"))</f>
        <v>Rainy (Jun-Nov)</v>
      </c>
      <c r="T781" s="4" t="str">
        <f aca="false">CHOOSE(O781,"Jan","Feb","Mar","Apr","May","Jun","Jul","Aug","Sep","Oct","Nov","Dec")</f>
        <v>Jun</v>
      </c>
    </row>
    <row r="782" customFormat="false" ht="15" hidden="false" customHeight="false" outlineLevel="0" collapsed="false">
      <c r="A782" s="4" t="s">
        <v>1052</v>
      </c>
      <c r="B782" s="17" t="n">
        <v>45818</v>
      </c>
      <c r="C782" s="4" t="n">
        <v>12</v>
      </c>
      <c r="D782" s="4" t="s">
        <v>70</v>
      </c>
      <c r="E782" s="4" t="s">
        <v>74</v>
      </c>
      <c r="F782" s="4" t="s">
        <v>139</v>
      </c>
      <c r="G782" s="4" t="n">
        <v>2</v>
      </c>
      <c r="H782" s="34" t="n">
        <v>260</v>
      </c>
      <c r="I782" s="18" t="n">
        <v>0</v>
      </c>
      <c r="J782" s="4" t="s">
        <v>81</v>
      </c>
      <c r="K782" s="4" t="s">
        <v>77</v>
      </c>
      <c r="L782" s="35" t="n">
        <f aca="false">G782*H782</f>
        <v>520</v>
      </c>
      <c r="M782" s="35" t="n">
        <f aca="false">L782*I782</f>
        <v>0</v>
      </c>
      <c r="N782" s="35" t="n">
        <f aca="false">L782-M782</f>
        <v>520</v>
      </c>
      <c r="O782" s="4" t="n">
        <f aca="false">MONTH(B782)</f>
        <v>6</v>
      </c>
      <c r="P782" s="4" t="str">
        <f aca="false">CHOOSE(WEEKDAY(B782,2),"Mon","Tue","Wed","Thu","Fri","Sat","Sun")</f>
        <v>Tue</v>
      </c>
      <c r="Q782" s="4" t="str">
        <f aca="false">IF(WEEKDAY(B782,2)&gt;5,"Weekend","Weekday")</f>
        <v>Weekday</v>
      </c>
      <c r="R782" s="4" t="str">
        <f aca="false">IF(C782&lt;11,"Morning (7-10)",IF(C782&lt;14,"Lunch (11-13)",IF(C782&lt;18,"Afternoon (14-17)","Evening (18-20)")))</f>
        <v>Lunch (11-13)</v>
      </c>
      <c r="S782" s="4" t="str">
        <f aca="false">IF(AND(O782&gt;=3,O782&lt;=5),"Hot Dry (Mar-May)",IF(AND(O782&gt;=6,O782&lt;=11),"Rainy (Jun-Nov)","Cool Dry (Dec-Feb)"))</f>
        <v>Rainy (Jun-Nov)</v>
      </c>
      <c r="T782" s="4" t="str">
        <f aca="false">CHOOSE(O782,"Jan","Feb","Mar","Apr","May","Jun","Jul","Aug","Sep","Oct","Nov","Dec")</f>
        <v>Jun</v>
      </c>
    </row>
    <row r="783" customFormat="false" ht="15" hidden="false" customHeight="false" outlineLevel="0" collapsed="false">
      <c r="A783" s="4" t="s">
        <v>1053</v>
      </c>
      <c r="B783" s="17" t="n">
        <v>45818</v>
      </c>
      <c r="C783" s="4" t="n">
        <v>17</v>
      </c>
      <c r="D783" s="4" t="s">
        <v>70</v>
      </c>
      <c r="E783" s="4" t="s">
        <v>79</v>
      </c>
      <c r="F783" s="4" t="s">
        <v>135</v>
      </c>
      <c r="G783" s="4" t="n">
        <v>3</v>
      </c>
      <c r="H783" s="34" t="n">
        <v>130</v>
      </c>
      <c r="I783" s="18" t="n">
        <v>0</v>
      </c>
      <c r="J783" s="4" t="s">
        <v>76</v>
      </c>
      <c r="K783" s="4" t="s">
        <v>77</v>
      </c>
      <c r="L783" s="35" t="n">
        <f aca="false">G783*H783</f>
        <v>390</v>
      </c>
      <c r="M783" s="35" t="n">
        <f aca="false">L783*I783</f>
        <v>0</v>
      </c>
      <c r="N783" s="35" t="n">
        <f aca="false">L783-M783</f>
        <v>390</v>
      </c>
      <c r="O783" s="4" t="n">
        <f aca="false">MONTH(B783)</f>
        <v>6</v>
      </c>
      <c r="P783" s="4" t="str">
        <f aca="false">CHOOSE(WEEKDAY(B783,2),"Mon","Tue","Wed","Thu","Fri","Sat","Sun")</f>
        <v>Tue</v>
      </c>
      <c r="Q783" s="4" t="str">
        <f aca="false">IF(WEEKDAY(B783,2)&gt;5,"Weekend","Weekday")</f>
        <v>Weekday</v>
      </c>
      <c r="R783" s="4" t="str">
        <f aca="false">IF(C783&lt;11,"Morning (7-10)",IF(C783&lt;14,"Lunch (11-13)",IF(C783&lt;18,"Afternoon (14-17)","Evening (18-20)")))</f>
        <v>Afternoon (14-17)</v>
      </c>
      <c r="S783" s="4" t="str">
        <f aca="false">IF(AND(O783&gt;=3,O783&lt;=5),"Hot Dry (Mar-May)",IF(AND(O783&gt;=6,O783&lt;=11),"Rainy (Jun-Nov)","Cool Dry (Dec-Feb)"))</f>
        <v>Rainy (Jun-Nov)</v>
      </c>
      <c r="T783" s="4" t="str">
        <f aca="false">CHOOSE(O783,"Jan","Feb","Mar","Apr","May","Jun","Jul","Aug","Sep","Oct","Nov","Dec")</f>
        <v>Jun</v>
      </c>
    </row>
    <row r="784" customFormat="false" ht="15" hidden="false" customHeight="false" outlineLevel="0" collapsed="false">
      <c r="A784" s="4" t="s">
        <v>1054</v>
      </c>
      <c r="B784" s="17" t="n">
        <v>45819</v>
      </c>
      <c r="C784" s="4" t="n">
        <v>10</v>
      </c>
      <c r="D784" s="4" t="s">
        <v>98</v>
      </c>
      <c r="E784" s="4" t="s">
        <v>99</v>
      </c>
      <c r="F784" s="4" t="s">
        <v>109</v>
      </c>
      <c r="G784" s="4" t="n">
        <v>1</v>
      </c>
      <c r="H784" s="34" t="n">
        <v>130</v>
      </c>
      <c r="I784" s="18" t="n">
        <v>0.05</v>
      </c>
      <c r="J784" s="4" t="s">
        <v>76</v>
      </c>
      <c r="K784" s="4" t="s">
        <v>82</v>
      </c>
      <c r="L784" s="35" t="n">
        <f aca="false">G784*H784</f>
        <v>130</v>
      </c>
      <c r="M784" s="35" t="n">
        <f aca="false">L784*I784</f>
        <v>6.5</v>
      </c>
      <c r="N784" s="35" t="n">
        <f aca="false">L784-M784</f>
        <v>123.5</v>
      </c>
      <c r="O784" s="4" t="n">
        <f aca="false">MONTH(B784)</f>
        <v>6</v>
      </c>
      <c r="P784" s="4" t="str">
        <f aca="false">CHOOSE(WEEKDAY(B784,2),"Mon","Tue","Wed","Thu","Fri","Sat","Sun")</f>
        <v>Wed</v>
      </c>
      <c r="Q784" s="4" t="str">
        <f aca="false">IF(WEEKDAY(B784,2)&gt;5,"Weekend","Weekday")</f>
        <v>Weekday</v>
      </c>
      <c r="R784" s="4" t="str">
        <f aca="false">IF(C784&lt;11,"Morning (7-10)",IF(C784&lt;14,"Lunch (11-13)",IF(C784&lt;18,"Afternoon (14-17)","Evening (18-20)")))</f>
        <v>Morning (7-10)</v>
      </c>
      <c r="S784" s="4" t="str">
        <f aca="false">IF(AND(O784&gt;=3,O784&lt;=5),"Hot Dry (Mar-May)",IF(AND(O784&gt;=6,O784&lt;=11),"Rainy (Jun-Nov)","Cool Dry (Dec-Feb)"))</f>
        <v>Rainy (Jun-Nov)</v>
      </c>
      <c r="T784" s="4" t="str">
        <f aca="false">CHOOSE(O784,"Jan","Feb","Mar","Apr","May","Jun","Jul","Aug","Sep","Oct","Nov","Dec")</f>
        <v>Jun</v>
      </c>
    </row>
    <row r="785" customFormat="false" ht="15" hidden="false" customHeight="false" outlineLevel="0" collapsed="false">
      <c r="A785" s="4" t="s">
        <v>1055</v>
      </c>
      <c r="B785" s="17" t="n">
        <v>45819</v>
      </c>
      <c r="C785" s="4" t="n">
        <v>12</v>
      </c>
      <c r="D785" s="4" t="s">
        <v>70</v>
      </c>
      <c r="E785" s="4" t="s">
        <v>84</v>
      </c>
      <c r="F785" s="4" t="s">
        <v>114</v>
      </c>
      <c r="G785" s="4" t="n">
        <v>2</v>
      </c>
      <c r="H785" s="34" t="n">
        <v>85</v>
      </c>
      <c r="I785" s="18" t="n">
        <v>0.15</v>
      </c>
      <c r="J785" s="4" t="s">
        <v>76</v>
      </c>
      <c r="K785" s="4" t="s">
        <v>77</v>
      </c>
      <c r="L785" s="35" t="n">
        <f aca="false">G785*H785</f>
        <v>170</v>
      </c>
      <c r="M785" s="35" t="n">
        <f aca="false">L785*I785</f>
        <v>25.5</v>
      </c>
      <c r="N785" s="35" t="n">
        <f aca="false">L785-M785</f>
        <v>144.5</v>
      </c>
      <c r="O785" s="4" t="n">
        <f aca="false">MONTH(B785)</f>
        <v>6</v>
      </c>
      <c r="P785" s="4" t="str">
        <f aca="false">CHOOSE(WEEKDAY(B785,2),"Mon","Tue","Wed","Thu","Fri","Sat","Sun")</f>
        <v>Wed</v>
      </c>
      <c r="Q785" s="4" t="str">
        <f aca="false">IF(WEEKDAY(B785,2)&gt;5,"Weekend","Weekday")</f>
        <v>Weekday</v>
      </c>
      <c r="R785" s="4" t="str">
        <f aca="false">IF(C785&lt;11,"Morning (7-10)",IF(C785&lt;14,"Lunch (11-13)",IF(C785&lt;18,"Afternoon (14-17)","Evening (18-20)")))</f>
        <v>Lunch (11-13)</v>
      </c>
      <c r="S785" s="4" t="str">
        <f aca="false">IF(AND(O785&gt;=3,O785&lt;=5),"Hot Dry (Mar-May)",IF(AND(O785&gt;=6,O785&lt;=11),"Rainy (Jun-Nov)","Cool Dry (Dec-Feb)"))</f>
        <v>Rainy (Jun-Nov)</v>
      </c>
      <c r="T785" s="4" t="str">
        <f aca="false">CHOOSE(O785,"Jan","Feb","Mar","Apr","May","Jun","Jul","Aug","Sep","Oct","Nov","Dec")</f>
        <v>Jun</v>
      </c>
    </row>
    <row r="786" customFormat="false" ht="15" hidden="false" customHeight="false" outlineLevel="0" collapsed="false">
      <c r="A786" s="4" t="s">
        <v>1056</v>
      </c>
      <c r="B786" s="17" t="n">
        <v>45819</v>
      </c>
      <c r="C786" s="4" t="n">
        <v>12</v>
      </c>
      <c r="D786" s="4" t="s">
        <v>98</v>
      </c>
      <c r="E786" s="4" t="s">
        <v>99</v>
      </c>
      <c r="F786" s="4" t="s">
        <v>109</v>
      </c>
      <c r="G786" s="4" t="n">
        <v>2</v>
      </c>
      <c r="H786" s="34" t="n">
        <v>130</v>
      </c>
      <c r="I786" s="18" t="n">
        <v>0</v>
      </c>
      <c r="J786" s="4" t="s">
        <v>76</v>
      </c>
      <c r="K786" s="4" t="s">
        <v>77</v>
      </c>
      <c r="L786" s="35" t="n">
        <f aca="false">G786*H786</f>
        <v>260</v>
      </c>
      <c r="M786" s="35" t="n">
        <f aca="false">L786*I786</f>
        <v>0</v>
      </c>
      <c r="N786" s="35" t="n">
        <f aca="false">L786-M786</f>
        <v>260</v>
      </c>
      <c r="O786" s="4" t="n">
        <f aca="false">MONTH(B786)</f>
        <v>6</v>
      </c>
      <c r="P786" s="4" t="str">
        <f aca="false">CHOOSE(WEEKDAY(B786,2),"Mon","Tue","Wed","Thu","Fri","Sat","Sun")</f>
        <v>Wed</v>
      </c>
      <c r="Q786" s="4" t="str">
        <f aca="false">IF(WEEKDAY(B786,2)&gt;5,"Weekend","Weekday")</f>
        <v>Weekday</v>
      </c>
      <c r="R786" s="4" t="str">
        <f aca="false">IF(C786&lt;11,"Morning (7-10)",IF(C786&lt;14,"Lunch (11-13)",IF(C786&lt;18,"Afternoon (14-17)","Evening (18-20)")))</f>
        <v>Lunch (11-13)</v>
      </c>
      <c r="S786" s="4" t="str">
        <f aca="false">IF(AND(O786&gt;=3,O786&lt;=5),"Hot Dry (Mar-May)",IF(AND(O786&gt;=6,O786&lt;=11),"Rainy (Jun-Nov)","Cool Dry (Dec-Feb)"))</f>
        <v>Rainy (Jun-Nov)</v>
      </c>
      <c r="T786" s="4" t="str">
        <f aca="false">CHOOSE(O786,"Jan","Feb","Mar","Apr","May","Jun","Jul","Aug","Sep","Oct","Nov","Dec")</f>
        <v>Jun</v>
      </c>
    </row>
    <row r="787" customFormat="false" ht="15" hidden="false" customHeight="false" outlineLevel="0" collapsed="false">
      <c r="A787" s="4" t="s">
        <v>1057</v>
      </c>
      <c r="B787" s="17" t="n">
        <v>45819</v>
      </c>
      <c r="C787" s="4" t="n">
        <v>13</v>
      </c>
      <c r="D787" s="4" t="s">
        <v>73</v>
      </c>
      <c r="E787" s="4" t="s">
        <v>74</v>
      </c>
      <c r="F787" s="4" t="s">
        <v>75</v>
      </c>
      <c r="G787" s="4" t="n">
        <v>1</v>
      </c>
      <c r="H787" s="34" t="n">
        <v>220</v>
      </c>
      <c r="I787" s="18" t="n">
        <v>0.1</v>
      </c>
      <c r="J787" s="4" t="s">
        <v>76</v>
      </c>
      <c r="K787" s="4" t="s">
        <v>68</v>
      </c>
      <c r="L787" s="35" t="n">
        <f aca="false">G787*H787</f>
        <v>220</v>
      </c>
      <c r="M787" s="35" t="n">
        <f aca="false">L787*I787</f>
        <v>22</v>
      </c>
      <c r="N787" s="35" t="n">
        <f aca="false">L787-M787</f>
        <v>198</v>
      </c>
      <c r="O787" s="4" t="n">
        <f aca="false">MONTH(B787)</f>
        <v>6</v>
      </c>
      <c r="P787" s="4" t="str">
        <f aca="false">CHOOSE(WEEKDAY(B787,2),"Mon","Tue","Wed","Thu","Fri","Sat","Sun")</f>
        <v>Wed</v>
      </c>
      <c r="Q787" s="4" t="str">
        <f aca="false">IF(WEEKDAY(B787,2)&gt;5,"Weekend","Weekday")</f>
        <v>Weekday</v>
      </c>
      <c r="R787" s="4" t="str">
        <f aca="false">IF(C787&lt;11,"Morning (7-10)",IF(C787&lt;14,"Lunch (11-13)",IF(C787&lt;18,"Afternoon (14-17)","Evening (18-20)")))</f>
        <v>Lunch (11-13)</v>
      </c>
      <c r="S787" s="4" t="str">
        <f aca="false">IF(AND(O787&gt;=3,O787&lt;=5),"Hot Dry (Mar-May)",IF(AND(O787&gt;=6,O787&lt;=11),"Rainy (Jun-Nov)","Cool Dry (Dec-Feb)"))</f>
        <v>Rainy (Jun-Nov)</v>
      </c>
      <c r="T787" s="4" t="str">
        <f aca="false">CHOOSE(O787,"Jan","Feb","Mar","Apr","May","Jun","Jul","Aug","Sep","Oct","Nov","Dec")</f>
        <v>Jun</v>
      </c>
    </row>
    <row r="788" customFormat="false" ht="15" hidden="false" customHeight="false" outlineLevel="0" collapsed="false">
      <c r="A788" s="4" t="s">
        <v>1059</v>
      </c>
      <c r="B788" s="17" t="n">
        <v>45820</v>
      </c>
      <c r="C788" s="4" t="n">
        <v>12</v>
      </c>
      <c r="D788" s="4" t="s">
        <v>73</v>
      </c>
      <c r="E788" s="4" t="s">
        <v>99</v>
      </c>
      <c r="F788" s="4" t="s">
        <v>100</v>
      </c>
      <c r="G788" s="4" t="n">
        <v>2</v>
      </c>
      <c r="H788" s="34" t="n">
        <v>110</v>
      </c>
      <c r="I788" s="18" t="n">
        <v>0.1</v>
      </c>
      <c r="J788" s="4" t="s">
        <v>81</v>
      </c>
      <c r="K788" s="4" t="s">
        <v>71</v>
      </c>
      <c r="L788" s="35" t="n">
        <f aca="false">G788*H788</f>
        <v>220</v>
      </c>
      <c r="M788" s="35" t="n">
        <f aca="false">L788*I788</f>
        <v>22</v>
      </c>
      <c r="N788" s="35" t="n">
        <f aca="false">L788-M788</f>
        <v>198</v>
      </c>
      <c r="O788" s="4" t="n">
        <f aca="false">MONTH(B788)</f>
        <v>6</v>
      </c>
      <c r="P788" s="4" t="str">
        <f aca="false">CHOOSE(WEEKDAY(B788,2),"Mon","Tue","Wed","Thu","Fri","Sat","Sun")</f>
        <v>Thu</v>
      </c>
      <c r="Q788" s="4" t="str">
        <f aca="false">IF(WEEKDAY(B788,2)&gt;5,"Weekend","Weekday")</f>
        <v>Weekday</v>
      </c>
      <c r="R788" s="4" t="str">
        <f aca="false">IF(C788&lt;11,"Morning (7-10)",IF(C788&lt;14,"Lunch (11-13)",IF(C788&lt;18,"Afternoon (14-17)","Evening (18-20)")))</f>
        <v>Lunch (11-13)</v>
      </c>
      <c r="S788" s="4" t="str">
        <f aca="false">IF(AND(O788&gt;=3,O788&lt;=5),"Hot Dry (Mar-May)",IF(AND(O788&gt;=6,O788&lt;=11),"Rainy (Jun-Nov)","Cool Dry (Dec-Feb)"))</f>
        <v>Rainy (Jun-Nov)</v>
      </c>
      <c r="T788" s="4" t="str">
        <f aca="false">CHOOSE(O788,"Jan","Feb","Mar","Apr","May","Jun","Jul","Aug","Sep","Oct","Nov","Dec")</f>
        <v>Jun</v>
      </c>
    </row>
    <row r="789" customFormat="false" ht="15" hidden="false" customHeight="false" outlineLevel="0" collapsed="false">
      <c r="A789" s="4" t="s">
        <v>1061</v>
      </c>
      <c r="B789" s="17" t="n">
        <v>45820</v>
      </c>
      <c r="C789" s="4" t="n">
        <v>12</v>
      </c>
      <c r="D789" s="4" t="s">
        <v>70</v>
      </c>
      <c r="E789" s="4" t="s">
        <v>65</v>
      </c>
      <c r="F789" s="4" t="s">
        <v>94</v>
      </c>
      <c r="G789" s="4" t="n">
        <v>1</v>
      </c>
      <c r="H789" s="34" t="n">
        <v>150</v>
      </c>
      <c r="I789" s="18" t="n">
        <v>0.05</v>
      </c>
      <c r="J789" s="4" t="s">
        <v>67</v>
      </c>
      <c r="K789" s="4" t="s">
        <v>82</v>
      </c>
      <c r="L789" s="35" t="n">
        <f aca="false">G789*H789</f>
        <v>150</v>
      </c>
      <c r="M789" s="35" t="n">
        <f aca="false">L789*I789</f>
        <v>7.5</v>
      </c>
      <c r="N789" s="35" t="n">
        <f aca="false">L789-M789</f>
        <v>142.5</v>
      </c>
      <c r="O789" s="4" t="n">
        <f aca="false">MONTH(B789)</f>
        <v>6</v>
      </c>
      <c r="P789" s="4" t="str">
        <f aca="false">CHOOSE(WEEKDAY(B789,2),"Mon","Tue","Wed","Thu","Fri","Sat","Sun")</f>
        <v>Thu</v>
      </c>
      <c r="Q789" s="4" t="str">
        <f aca="false">IF(WEEKDAY(B789,2)&gt;5,"Weekend","Weekday")</f>
        <v>Weekday</v>
      </c>
      <c r="R789" s="4" t="str">
        <f aca="false">IF(C789&lt;11,"Morning (7-10)",IF(C789&lt;14,"Lunch (11-13)",IF(C789&lt;18,"Afternoon (14-17)","Evening (18-20)")))</f>
        <v>Lunch (11-13)</v>
      </c>
      <c r="S789" s="4" t="str">
        <f aca="false">IF(AND(O789&gt;=3,O789&lt;=5),"Hot Dry (Mar-May)",IF(AND(O789&gt;=6,O789&lt;=11),"Rainy (Jun-Nov)","Cool Dry (Dec-Feb)"))</f>
        <v>Rainy (Jun-Nov)</v>
      </c>
      <c r="T789" s="4" t="str">
        <f aca="false">CHOOSE(O789,"Jan","Feb","Mar","Apr","May","Jun","Jul","Aug","Sep","Oct","Nov","Dec")</f>
        <v>Jun</v>
      </c>
    </row>
    <row r="790" customFormat="false" ht="15" hidden="false" customHeight="false" outlineLevel="0" collapsed="false">
      <c r="A790" s="4" t="s">
        <v>1062</v>
      </c>
      <c r="B790" s="17" t="n">
        <v>45820</v>
      </c>
      <c r="C790" s="4" t="n">
        <v>20</v>
      </c>
      <c r="D790" s="4" t="s">
        <v>64</v>
      </c>
      <c r="E790" s="4" t="s">
        <v>99</v>
      </c>
      <c r="F790" s="4" t="s">
        <v>100</v>
      </c>
      <c r="G790" s="4" t="n">
        <v>1</v>
      </c>
      <c r="H790" s="34" t="n">
        <v>110</v>
      </c>
      <c r="I790" s="18" t="n">
        <v>0</v>
      </c>
      <c r="J790" s="4" t="s">
        <v>76</v>
      </c>
      <c r="K790" s="4" t="s">
        <v>77</v>
      </c>
      <c r="L790" s="35" t="n">
        <f aca="false">G790*H790</f>
        <v>110</v>
      </c>
      <c r="M790" s="35" t="n">
        <f aca="false">L790*I790</f>
        <v>0</v>
      </c>
      <c r="N790" s="35" t="n">
        <f aca="false">L790-M790</f>
        <v>110</v>
      </c>
      <c r="O790" s="4" t="n">
        <f aca="false">MONTH(B790)</f>
        <v>6</v>
      </c>
      <c r="P790" s="4" t="str">
        <f aca="false">CHOOSE(WEEKDAY(B790,2),"Mon","Tue","Wed","Thu","Fri","Sat","Sun")</f>
        <v>Thu</v>
      </c>
      <c r="Q790" s="4" t="str">
        <f aca="false">IF(WEEKDAY(B790,2)&gt;5,"Weekend","Weekday")</f>
        <v>Weekday</v>
      </c>
      <c r="R790" s="4" t="str">
        <f aca="false">IF(C790&lt;11,"Morning (7-10)",IF(C790&lt;14,"Lunch (11-13)",IF(C790&lt;18,"Afternoon (14-17)","Evening (18-20)")))</f>
        <v>Evening (18-20)</v>
      </c>
      <c r="S790" s="4" t="str">
        <f aca="false">IF(AND(O790&gt;=3,O790&lt;=5),"Hot Dry (Mar-May)",IF(AND(O790&gt;=6,O790&lt;=11),"Rainy (Jun-Nov)","Cool Dry (Dec-Feb)"))</f>
        <v>Rainy (Jun-Nov)</v>
      </c>
      <c r="T790" s="4" t="str">
        <f aca="false">CHOOSE(O790,"Jan","Feb","Mar","Apr","May","Jun","Jul","Aug","Sep","Oct","Nov","Dec")</f>
        <v>Jun</v>
      </c>
    </row>
    <row r="791" customFormat="false" ht="15" hidden="false" customHeight="false" outlineLevel="0" collapsed="false">
      <c r="A791" s="4" t="s">
        <v>1063</v>
      </c>
      <c r="B791" s="17" t="n">
        <v>45822</v>
      </c>
      <c r="C791" s="4" t="n">
        <v>8</v>
      </c>
      <c r="D791" s="4" t="s">
        <v>64</v>
      </c>
      <c r="E791" s="4" t="s">
        <v>84</v>
      </c>
      <c r="F791" s="4" t="s">
        <v>117</v>
      </c>
      <c r="G791" s="4" t="n">
        <v>2</v>
      </c>
      <c r="H791" s="34" t="n">
        <v>95</v>
      </c>
      <c r="I791" s="18" t="n">
        <v>0.05</v>
      </c>
      <c r="J791" s="4" t="s">
        <v>67</v>
      </c>
      <c r="K791" s="4" t="s">
        <v>82</v>
      </c>
      <c r="L791" s="35" t="n">
        <f aca="false">G791*H791</f>
        <v>190</v>
      </c>
      <c r="M791" s="35" t="n">
        <f aca="false">L791*I791</f>
        <v>9.5</v>
      </c>
      <c r="N791" s="35" t="n">
        <f aca="false">L791-M791</f>
        <v>180.5</v>
      </c>
      <c r="O791" s="4" t="n">
        <f aca="false">MONTH(B791)</f>
        <v>6</v>
      </c>
      <c r="P791" s="4" t="str">
        <f aca="false">CHOOSE(WEEKDAY(B791,2),"Mon","Tue","Wed","Thu","Fri","Sat","Sun")</f>
        <v>Sat</v>
      </c>
      <c r="Q791" s="4" t="str">
        <f aca="false">IF(WEEKDAY(B791,2)&gt;5,"Weekend","Weekday")</f>
        <v>Weekend</v>
      </c>
      <c r="R791" s="4" t="str">
        <f aca="false">IF(C791&lt;11,"Morning (7-10)",IF(C791&lt;14,"Lunch (11-13)",IF(C791&lt;18,"Afternoon (14-17)","Evening (18-20)")))</f>
        <v>Morning (7-10)</v>
      </c>
      <c r="S791" s="4" t="str">
        <f aca="false">IF(AND(O791&gt;=3,O791&lt;=5),"Hot Dry (Mar-May)",IF(AND(O791&gt;=6,O791&lt;=11),"Rainy (Jun-Nov)","Cool Dry (Dec-Feb)"))</f>
        <v>Rainy (Jun-Nov)</v>
      </c>
      <c r="T791" s="4" t="str">
        <f aca="false">CHOOSE(O791,"Jan","Feb","Mar","Apr","May","Jun","Jul","Aug","Sep","Oct","Nov","Dec")</f>
        <v>Jun</v>
      </c>
    </row>
    <row r="792" customFormat="false" ht="15" hidden="false" customHeight="false" outlineLevel="0" collapsed="false">
      <c r="A792" s="4" t="s">
        <v>1064</v>
      </c>
      <c r="B792" s="17" t="n">
        <v>45822</v>
      </c>
      <c r="C792" s="4" t="n">
        <v>8</v>
      </c>
      <c r="D792" s="4" t="s">
        <v>70</v>
      </c>
      <c r="E792" s="4" t="s">
        <v>65</v>
      </c>
      <c r="F792" s="4" t="s">
        <v>94</v>
      </c>
      <c r="G792" s="4" t="n">
        <v>4</v>
      </c>
      <c r="H792" s="34" t="n">
        <v>150</v>
      </c>
      <c r="I792" s="18" t="n">
        <v>0</v>
      </c>
      <c r="J792" s="4" t="s">
        <v>67</v>
      </c>
      <c r="K792" s="4" t="s">
        <v>68</v>
      </c>
      <c r="L792" s="35" t="n">
        <f aca="false">G792*H792</f>
        <v>600</v>
      </c>
      <c r="M792" s="35" t="n">
        <f aca="false">L792*I792</f>
        <v>0</v>
      </c>
      <c r="N792" s="35" t="n">
        <f aca="false">L792-M792</f>
        <v>600</v>
      </c>
      <c r="O792" s="4" t="n">
        <f aca="false">MONTH(B792)</f>
        <v>6</v>
      </c>
      <c r="P792" s="4" t="str">
        <f aca="false">CHOOSE(WEEKDAY(B792,2),"Mon","Tue","Wed","Thu","Fri","Sat","Sun")</f>
        <v>Sat</v>
      </c>
      <c r="Q792" s="4" t="str">
        <f aca="false">IF(WEEKDAY(B792,2)&gt;5,"Weekend","Weekday")</f>
        <v>Weekend</v>
      </c>
      <c r="R792" s="4" t="str">
        <f aca="false">IF(C792&lt;11,"Morning (7-10)",IF(C792&lt;14,"Lunch (11-13)",IF(C792&lt;18,"Afternoon (14-17)","Evening (18-20)")))</f>
        <v>Morning (7-10)</v>
      </c>
      <c r="S792" s="4" t="str">
        <f aca="false">IF(AND(O792&gt;=3,O792&lt;=5),"Hot Dry (Mar-May)",IF(AND(O792&gt;=6,O792&lt;=11),"Rainy (Jun-Nov)","Cool Dry (Dec-Feb)"))</f>
        <v>Rainy (Jun-Nov)</v>
      </c>
      <c r="T792" s="4" t="str">
        <f aca="false">CHOOSE(O792,"Jan","Feb","Mar","Apr","May","Jun","Jul","Aug","Sep","Oct","Nov","Dec")</f>
        <v>Jun</v>
      </c>
    </row>
    <row r="793" customFormat="false" ht="15" hidden="false" customHeight="false" outlineLevel="0" collapsed="false">
      <c r="A793" s="4" t="s">
        <v>1065</v>
      </c>
      <c r="B793" s="17" t="n">
        <v>45822</v>
      </c>
      <c r="C793" s="4" t="n">
        <v>8</v>
      </c>
      <c r="D793" s="4" t="s">
        <v>73</v>
      </c>
      <c r="E793" s="4" t="s">
        <v>84</v>
      </c>
      <c r="F793" s="4" t="s">
        <v>114</v>
      </c>
      <c r="G793" s="4" t="n">
        <v>1</v>
      </c>
      <c r="H793" s="34" t="n">
        <v>85</v>
      </c>
      <c r="I793" s="18" t="n">
        <v>0</v>
      </c>
      <c r="J793" s="4" t="s">
        <v>112</v>
      </c>
      <c r="K793" s="4" t="s">
        <v>68</v>
      </c>
      <c r="L793" s="35" t="n">
        <f aca="false">G793*H793</f>
        <v>85</v>
      </c>
      <c r="M793" s="35" t="n">
        <f aca="false">L793*I793</f>
        <v>0</v>
      </c>
      <c r="N793" s="35" t="n">
        <f aca="false">L793-M793</f>
        <v>85</v>
      </c>
      <c r="O793" s="4" t="n">
        <f aca="false">MONTH(B793)</f>
        <v>6</v>
      </c>
      <c r="P793" s="4" t="str">
        <f aca="false">CHOOSE(WEEKDAY(B793,2),"Mon","Tue","Wed","Thu","Fri","Sat","Sun")</f>
        <v>Sat</v>
      </c>
      <c r="Q793" s="4" t="str">
        <f aca="false">IF(WEEKDAY(B793,2)&gt;5,"Weekend","Weekday")</f>
        <v>Weekend</v>
      </c>
      <c r="R793" s="4" t="str">
        <f aca="false">IF(C793&lt;11,"Morning (7-10)",IF(C793&lt;14,"Lunch (11-13)",IF(C793&lt;18,"Afternoon (14-17)","Evening (18-20)")))</f>
        <v>Morning (7-10)</v>
      </c>
      <c r="S793" s="4" t="str">
        <f aca="false">IF(AND(O793&gt;=3,O793&lt;=5),"Hot Dry (Mar-May)",IF(AND(O793&gt;=6,O793&lt;=11),"Rainy (Jun-Nov)","Cool Dry (Dec-Feb)"))</f>
        <v>Rainy (Jun-Nov)</v>
      </c>
      <c r="T793" s="4" t="str">
        <f aca="false">CHOOSE(O793,"Jan","Feb","Mar","Apr","May","Jun","Jul","Aug","Sep","Oct","Nov","Dec")</f>
        <v>Jun</v>
      </c>
    </row>
    <row r="794" customFormat="false" ht="15" hidden="false" customHeight="false" outlineLevel="0" collapsed="false">
      <c r="A794" s="4" t="s">
        <v>1066</v>
      </c>
      <c r="B794" s="17" t="n">
        <v>45822</v>
      </c>
      <c r="C794" s="4" t="n">
        <v>12</v>
      </c>
      <c r="D794" s="4" t="s">
        <v>73</v>
      </c>
      <c r="E794" s="4" t="s">
        <v>74</v>
      </c>
      <c r="F794" s="4" t="s">
        <v>91</v>
      </c>
      <c r="G794" s="4" t="n">
        <v>1</v>
      </c>
      <c r="H794" s="34" t="n">
        <v>200</v>
      </c>
      <c r="I794" s="18" t="n">
        <v>0.1</v>
      </c>
      <c r="J794" s="4" t="s">
        <v>67</v>
      </c>
      <c r="K794" s="4" t="s">
        <v>71</v>
      </c>
      <c r="L794" s="35" t="n">
        <f aca="false">G794*H794</f>
        <v>200</v>
      </c>
      <c r="M794" s="35" t="n">
        <f aca="false">L794*I794</f>
        <v>20</v>
      </c>
      <c r="N794" s="35" t="n">
        <f aca="false">L794-M794</f>
        <v>180</v>
      </c>
      <c r="O794" s="4" t="n">
        <f aca="false">MONTH(B794)</f>
        <v>6</v>
      </c>
      <c r="P794" s="4" t="str">
        <f aca="false">CHOOSE(WEEKDAY(B794,2),"Mon","Tue","Wed","Thu","Fri","Sat","Sun")</f>
        <v>Sat</v>
      </c>
      <c r="Q794" s="4" t="str">
        <f aca="false">IF(WEEKDAY(B794,2)&gt;5,"Weekend","Weekday")</f>
        <v>Weekend</v>
      </c>
      <c r="R794" s="4" t="str">
        <f aca="false">IF(C794&lt;11,"Morning (7-10)",IF(C794&lt;14,"Lunch (11-13)",IF(C794&lt;18,"Afternoon (14-17)","Evening (18-20)")))</f>
        <v>Lunch (11-13)</v>
      </c>
      <c r="S794" s="4" t="str">
        <f aca="false">IF(AND(O794&gt;=3,O794&lt;=5),"Hot Dry (Mar-May)",IF(AND(O794&gt;=6,O794&lt;=11),"Rainy (Jun-Nov)","Cool Dry (Dec-Feb)"))</f>
        <v>Rainy (Jun-Nov)</v>
      </c>
      <c r="T794" s="4" t="str">
        <f aca="false">CHOOSE(O794,"Jan","Feb","Mar","Apr","May","Jun","Jul","Aug","Sep","Oct","Nov","Dec")</f>
        <v>Jun</v>
      </c>
    </row>
    <row r="795" customFormat="false" ht="15" hidden="false" customHeight="false" outlineLevel="0" collapsed="false">
      <c r="A795" s="4" t="s">
        <v>1067</v>
      </c>
      <c r="B795" s="17" t="n">
        <v>45823</v>
      </c>
      <c r="C795" s="4" t="n">
        <v>8</v>
      </c>
      <c r="D795" s="4" t="s">
        <v>70</v>
      </c>
      <c r="E795" s="4" t="s">
        <v>99</v>
      </c>
      <c r="F795" s="4" t="s">
        <v>102</v>
      </c>
      <c r="G795" s="4" t="n">
        <v>1</v>
      </c>
      <c r="H795" s="34" t="n">
        <v>140</v>
      </c>
      <c r="I795" s="18" t="n">
        <v>0</v>
      </c>
      <c r="J795" s="4" t="s">
        <v>67</v>
      </c>
      <c r="K795" s="4" t="s">
        <v>68</v>
      </c>
      <c r="L795" s="35" t="n">
        <f aca="false">G795*H795</f>
        <v>140</v>
      </c>
      <c r="M795" s="35" t="n">
        <f aca="false">L795*I795</f>
        <v>0</v>
      </c>
      <c r="N795" s="35" t="n">
        <f aca="false">L795-M795</f>
        <v>140</v>
      </c>
      <c r="O795" s="4" t="n">
        <f aca="false">MONTH(B795)</f>
        <v>6</v>
      </c>
      <c r="P795" s="4" t="str">
        <f aca="false">CHOOSE(WEEKDAY(B795,2),"Mon","Tue","Wed","Thu","Fri","Sat","Sun")</f>
        <v>Sun</v>
      </c>
      <c r="Q795" s="4" t="str">
        <f aca="false">IF(WEEKDAY(B795,2)&gt;5,"Weekend","Weekday")</f>
        <v>Weekend</v>
      </c>
      <c r="R795" s="4" t="str">
        <f aca="false">IF(C795&lt;11,"Morning (7-10)",IF(C795&lt;14,"Lunch (11-13)",IF(C795&lt;18,"Afternoon (14-17)","Evening (18-20)")))</f>
        <v>Morning (7-10)</v>
      </c>
      <c r="S795" s="4" t="str">
        <f aca="false">IF(AND(O795&gt;=3,O795&lt;=5),"Hot Dry (Mar-May)",IF(AND(O795&gt;=6,O795&lt;=11),"Rainy (Jun-Nov)","Cool Dry (Dec-Feb)"))</f>
        <v>Rainy (Jun-Nov)</v>
      </c>
      <c r="T795" s="4" t="str">
        <f aca="false">CHOOSE(O795,"Jan","Feb","Mar","Apr","May","Jun","Jul","Aug","Sep","Oct","Nov","Dec")</f>
        <v>Jun</v>
      </c>
    </row>
    <row r="796" customFormat="false" ht="15" hidden="false" customHeight="false" outlineLevel="0" collapsed="false">
      <c r="A796" s="4" t="s">
        <v>1068</v>
      </c>
      <c r="B796" s="17" t="n">
        <v>45823</v>
      </c>
      <c r="C796" s="4" t="n">
        <v>8</v>
      </c>
      <c r="D796" s="4" t="s">
        <v>73</v>
      </c>
      <c r="E796" s="4" t="s">
        <v>65</v>
      </c>
      <c r="F796" s="4" t="s">
        <v>94</v>
      </c>
      <c r="G796" s="4" t="n">
        <v>1</v>
      </c>
      <c r="H796" s="34" t="n">
        <v>150</v>
      </c>
      <c r="I796" s="18" t="n">
        <v>0.1</v>
      </c>
      <c r="J796" s="4" t="s">
        <v>76</v>
      </c>
      <c r="K796" s="4" t="s">
        <v>71</v>
      </c>
      <c r="L796" s="35" t="n">
        <f aca="false">G796*H796</f>
        <v>150</v>
      </c>
      <c r="M796" s="35" t="n">
        <f aca="false">L796*I796</f>
        <v>15</v>
      </c>
      <c r="N796" s="35" t="n">
        <f aca="false">L796-M796</f>
        <v>135</v>
      </c>
      <c r="O796" s="4" t="n">
        <f aca="false">MONTH(B796)</f>
        <v>6</v>
      </c>
      <c r="P796" s="4" t="str">
        <f aca="false">CHOOSE(WEEKDAY(B796,2),"Mon","Tue","Wed","Thu","Fri","Sat","Sun")</f>
        <v>Sun</v>
      </c>
      <c r="Q796" s="4" t="str">
        <f aca="false">IF(WEEKDAY(B796,2)&gt;5,"Weekend","Weekday")</f>
        <v>Weekend</v>
      </c>
      <c r="R796" s="4" t="str">
        <f aca="false">IF(C796&lt;11,"Morning (7-10)",IF(C796&lt;14,"Lunch (11-13)",IF(C796&lt;18,"Afternoon (14-17)","Evening (18-20)")))</f>
        <v>Morning (7-10)</v>
      </c>
      <c r="S796" s="4" t="str">
        <f aca="false">IF(AND(O796&gt;=3,O796&lt;=5),"Hot Dry (Mar-May)",IF(AND(O796&gt;=6,O796&lt;=11),"Rainy (Jun-Nov)","Cool Dry (Dec-Feb)"))</f>
        <v>Rainy (Jun-Nov)</v>
      </c>
      <c r="T796" s="4" t="str">
        <f aca="false">CHOOSE(O796,"Jan","Feb","Mar","Apr","May","Jun","Jul","Aug","Sep","Oct","Nov","Dec")</f>
        <v>Jun</v>
      </c>
    </row>
    <row r="797" customFormat="false" ht="15" hidden="false" customHeight="false" outlineLevel="0" collapsed="false">
      <c r="A797" s="4" t="s">
        <v>1069</v>
      </c>
      <c r="B797" s="17" t="n">
        <v>45823</v>
      </c>
      <c r="C797" s="4" t="n">
        <v>10</v>
      </c>
      <c r="D797" s="4" t="s">
        <v>70</v>
      </c>
      <c r="E797" s="4" t="s">
        <v>84</v>
      </c>
      <c r="F797" s="4" t="s">
        <v>117</v>
      </c>
      <c r="G797" s="4" t="n">
        <v>2</v>
      </c>
      <c r="H797" s="34" t="n">
        <v>95</v>
      </c>
      <c r="I797" s="18" t="n">
        <v>0.1</v>
      </c>
      <c r="J797" s="4" t="s">
        <v>67</v>
      </c>
      <c r="K797" s="4" t="s">
        <v>71</v>
      </c>
      <c r="L797" s="35" t="n">
        <f aca="false">G797*H797</f>
        <v>190</v>
      </c>
      <c r="M797" s="35" t="n">
        <f aca="false">L797*I797</f>
        <v>19</v>
      </c>
      <c r="N797" s="35" t="n">
        <f aca="false">L797-M797</f>
        <v>171</v>
      </c>
      <c r="O797" s="4" t="n">
        <f aca="false">MONTH(B797)</f>
        <v>6</v>
      </c>
      <c r="P797" s="4" t="str">
        <f aca="false">CHOOSE(WEEKDAY(B797,2),"Mon","Tue","Wed","Thu","Fri","Sat","Sun")</f>
        <v>Sun</v>
      </c>
      <c r="Q797" s="4" t="str">
        <f aca="false">IF(WEEKDAY(B797,2)&gt;5,"Weekend","Weekday")</f>
        <v>Weekend</v>
      </c>
      <c r="R797" s="4" t="str">
        <f aca="false">IF(C797&lt;11,"Morning (7-10)",IF(C797&lt;14,"Lunch (11-13)",IF(C797&lt;18,"Afternoon (14-17)","Evening (18-20)")))</f>
        <v>Morning (7-10)</v>
      </c>
      <c r="S797" s="4" t="str">
        <f aca="false">IF(AND(O797&gt;=3,O797&lt;=5),"Hot Dry (Mar-May)",IF(AND(O797&gt;=6,O797&lt;=11),"Rainy (Jun-Nov)","Cool Dry (Dec-Feb)"))</f>
        <v>Rainy (Jun-Nov)</v>
      </c>
      <c r="T797" s="4" t="str">
        <f aca="false">CHOOSE(O797,"Jan","Feb","Mar","Apr","May","Jun","Jul","Aug","Sep","Oct","Nov","Dec")</f>
        <v>Jun</v>
      </c>
    </row>
    <row r="798" customFormat="false" ht="15" hidden="false" customHeight="false" outlineLevel="0" collapsed="false">
      <c r="A798" s="4" t="s">
        <v>1071</v>
      </c>
      <c r="B798" s="17" t="n">
        <v>45823</v>
      </c>
      <c r="C798" s="4" t="n">
        <v>11</v>
      </c>
      <c r="D798" s="4" t="s">
        <v>64</v>
      </c>
      <c r="E798" s="4" t="s">
        <v>99</v>
      </c>
      <c r="F798" s="4" t="s">
        <v>102</v>
      </c>
      <c r="G798" s="4" t="n">
        <v>3</v>
      </c>
      <c r="H798" s="34" t="n">
        <v>140</v>
      </c>
      <c r="I798" s="18" t="n">
        <v>0</v>
      </c>
      <c r="J798" s="4" t="s">
        <v>112</v>
      </c>
      <c r="K798" s="4" t="s">
        <v>68</v>
      </c>
      <c r="L798" s="35" t="n">
        <f aca="false">G798*H798</f>
        <v>420</v>
      </c>
      <c r="M798" s="35" t="n">
        <f aca="false">L798*I798</f>
        <v>0</v>
      </c>
      <c r="N798" s="35" t="n">
        <f aca="false">L798-M798</f>
        <v>420</v>
      </c>
      <c r="O798" s="4" t="n">
        <f aca="false">MONTH(B798)</f>
        <v>6</v>
      </c>
      <c r="P798" s="4" t="str">
        <f aca="false">CHOOSE(WEEKDAY(B798,2),"Mon","Tue","Wed","Thu","Fri","Sat","Sun")</f>
        <v>Sun</v>
      </c>
      <c r="Q798" s="4" t="str">
        <f aca="false">IF(WEEKDAY(B798,2)&gt;5,"Weekend","Weekday")</f>
        <v>Weekend</v>
      </c>
      <c r="R798" s="4" t="str">
        <f aca="false">IF(C798&lt;11,"Morning (7-10)",IF(C798&lt;14,"Lunch (11-13)",IF(C798&lt;18,"Afternoon (14-17)","Evening (18-20)")))</f>
        <v>Lunch (11-13)</v>
      </c>
      <c r="S798" s="4" t="str">
        <f aca="false">IF(AND(O798&gt;=3,O798&lt;=5),"Hot Dry (Mar-May)",IF(AND(O798&gt;=6,O798&lt;=11),"Rainy (Jun-Nov)","Cool Dry (Dec-Feb)"))</f>
        <v>Rainy (Jun-Nov)</v>
      </c>
      <c r="T798" s="4" t="str">
        <f aca="false">CHOOSE(O798,"Jan","Feb","Mar","Apr","May","Jun","Jul","Aug","Sep","Oct","Nov","Dec")</f>
        <v>Jun</v>
      </c>
    </row>
    <row r="799" customFormat="false" ht="15" hidden="false" customHeight="false" outlineLevel="0" collapsed="false">
      <c r="A799" s="4" t="s">
        <v>1072</v>
      </c>
      <c r="B799" s="17" t="n">
        <v>45823</v>
      </c>
      <c r="C799" s="4" t="n">
        <v>11</v>
      </c>
      <c r="D799" s="4" t="s">
        <v>64</v>
      </c>
      <c r="E799" s="4" t="s">
        <v>79</v>
      </c>
      <c r="F799" s="4" t="s">
        <v>148</v>
      </c>
      <c r="G799" s="4" t="n">
        <v>2</v>
      </c>
      <c r="H799" s="34" t="n">
        <v>120</v>
      </c>
      <c r="I799" s="18" t="n">
        <v>0.2</v>
      </c>
      <c r="J799" s="4" t="s">
        <v>81</v>
      </c>
      <c r="K799" s="4" t="s">
        <v>68</v>
      </c>
      <c r="L799" s="35" t="n">
        <f aca="false">G799*H799</f>
        <v>240</v>
      </c>
      <c r="M799" s="35" t="n">
        <f aca="false">L799*I799</f>
        <v>48</v>
      </c>
      <c r="N799" s="35" t="n">
        <f aca="false">L799-M799</f>
        <v>192</v>
      </c>
      <c r="O799" s="4" t="n">
        <f aca="false">MONTH(B799)</f>
        <v>6</v>
      </c>
      <c r="P799" s="4" t="str">
        <f aca="false">CHOOSE(WEEKDAY(B799,2),"Mon","Tue","Wed","Thu","Fri","Sat","Sun")</f>
        <v>Sun</v>
      </c>
      <c r="Q799" s="4" t="str">
        <f aca="false">IF(WEEKDAY(B799,2)&gt;5,"Weekend","Weekday")</f>
        <v>Weekend</v>
      </c>
      <c r="R799" s="4" t="str">
        <f aca="false">IF(C799&lt;11,"Morning (7-10)",IF(C799&lt;14,"Lunch (11-13)",IF(C799&lt;18,"Afternoon (14-17)","Evening (18-20)")))</f>
        <v>Lunch (11-13)</v>
      </c>
      <c r="S799" s="4" t="str">
        <f aca="false">IF(AND(O799&gt;=3,O799&lt;=5),"Hot Dry (Mar-May)",IF(AND(O799&gt;=6,O799&lt;=11),"Rainy (Jun-Nov)","Cool Dry (Dec-Feb)"))</f>
        <v>Rainy (Jun-Nov)</v>
      </c>
      <c r="T799" s="4" t="str">
        <f aca="false">CHOOSE(O799,"Jan","Feb","Mar","Apr","May","Jun","Jul","Aug","Sep","Oct","Nov","Dec")</f>
        <v>Jun</v>
      </c>
    </row>
    <row r="800" customFormat="false" ht="15" hidden="false" customHeight="false" outlineLevel="0" collapsed="false">
      <c r="A800" s="4" t="s">
        <v>1073</v>
      </c>
      <c r="B800" s="17" t="n">
        <v>45823</v>
      </c>
      <c r="C800" s="4" t="n">
        <v>11</v>
      </c>
      <c r="D800" s="4" t="s">
        <v>64</v>
      </c>
      <c r="E800" s="4" t="s">
        <v>74</v>
      </c>
      <c r="F800" s="4" t="s">
        <v>91</v>
      </c>
      <c r="G800" s="4" t="n">
        <v>1</v>
      </c>
      <c r="H800" s="34" t="n">
        <v>200</v>
      </c>
      <c r="I800" s="18" t="n">
        <v>0.1</v>
      </c>
      <c r="J800" s="4" t="s">
        <v>81</v>
      </c>
      <c r="K800" s="4" t="s">
        <v>71</v>
      </c>
      <c r="L800" s="35" t="n">
        <f aca="false">G800*H800</f>
        <v>200</v>
      </c>
      <c r="M800" s="35" t="n">
        <f aca="false">L800*I800</f>
        <v>20</v>
      </c>
      <c r="N800" s="35" t="n">
        <f aca="false">L800-M800</f>
        <v>180</v>
      </c>
      <c r="O800" s="4" t="n">
        <f aca="false">MONTH(B800)</f>
        <v>6</v>
      </c>
      <c r="P800" s="4" t="str">
        <f aca="false">CHOOSE(WEEKDAY(B800,2),"Mon","Tue","Wed","Thu","Fri","Sat","Sun")</f>
        <v>Sun</v>
      </c>
      <c r="Q800" s="4" t="str">
        <f aca="false">IF(WEEKDAY(B800,2)&gt;5,"Weekend","Weekday")</f>
        <v>Weekend</v>
      </c>
      <c r="R800" s="4" t="str">
        <f aca="false">IF(C800&lt;11,"Morning (7-10)",IF(C800&lt;14,"Lunch (11-13)",IF(C800&lt;18,"Afternoon (14-17)","Evening (18-20)")))</f>
        <v>Lunch (11-13)</v>
      </c>
      <c r="S800" s="4" t="str">
        <f aca="false">IF(AND(O800&gt;=3,O800&lt;=5),"Hot Dry (Mar-May)",IF(AND(O800&gt;=6,O800&lt;=11),"Rainy (Jun-Nov)","Cool Dry (Dec-Feb)"))</f>
        <v>Rainy (Jun-Nov)</v>
      </c>
      <c r="T800" s="4" t="str">
        <f aca="false">CHOOSE(O800,"Jan","Feb","Mar","Apr","May","Jun","Jul","Aug","Sep","Oct","Nov","Dec")</f>
        <v>Jun</v>
      </c>
    </row>
    <row r="801" customFormat="false" ht="15" hidden="false" customHeight="false" outlineLevel="0" collapsed="false">
      <c r="A801" s="4" t="s">
        <v>1074</v>
      </c>
      <c r="B801" s="17" t="n">
        <v>45823</v>
      </c>
      <c r="C801" s="4" t="n">
        <v>12</v>
      </c>
      <c r="D801" s="4" t="s">
        <v>70</v>
      </c>
      <c r="E801" s="4" t="s">
        <v>65</v>
      </c>
      <c r="F801" s="4" t="s">
        <v>121</v>
      </c>
      <c r="G801" s="4" t="n">
        <v>1</v>
      </c>
      <c r="H801" s="34" t="n">
        <v>170</v>
      </c>
      <c r="I801" s="18" t="n">
        <v>0.1</v>
      </c>
      <c r="J801" s="4" t="s">
        <v>67</v>
      </c>
      <c r="K801" s="4" t="s">
        <v>71</v>
      </c>
      <c r="L801" s="35" t="n">
        <f aca="false">G801*H801</f>
        <v>170</v>
      </c>
      <c r="M801" s="35" t="n">
        <f aca="false">L801*I801</f>
        <v>17</v>
      </c>
      <c r="N801" s="35" t="n">
        <f aca="false">L801-M801</f>
        <v>153</v>
      </c>
      <c r="O801" s="4" t="n">
        <f aca="false">MONTH(B801)</f>
        <v>6</v>
      </c>
      <c r="P801" s="4" t="str">
        <f aca="false">CHOOSE(WEEKDAY(B801,2),"Mon","Tue","Wed","Thu","Fri","Sat","Sun")</f>
        <v>Sun</v>
      </c>
      <c r="Q801" s="4" t="str">
        <f aca="false">IF(WEEKDAY(B801,2)&gt;5,"Weekend","Weekday")</f>
        <v>Weekend</v>
      </c>
      <c r="R801" s="4" t="str">
        <f aca="false">IF(C801&lt;11,"Morning (7-10)",IF(C801&lt;14,"Lunch (11-13)",IF(C801&lt;18,"Afternoon (14-17)","Evening (18-20)")))</f>
        <v>Lunch (11-13)</v>
      </c>
      <c r="S801" s="4" t="str">
        <f aca="false">IF(AND(O801&gt;=3,O801&lt;=5),"Hot Dry (Mar-May)",IF(AND(O801&gt;=6,O801&lt;=11),"Rainy (Jun-Nov)","Cool Dry (Dec-Feb)"))</f>
        <v>Rainy (Jun-Nov)</v>
      </c>
      <c r="T801" s="4" t="str">
        <f aca="false">CHOOSE(O801,"Jan","Feb","Mar","Apr","May","Jun","Jul","Aug","Sep","Oct","Nov","Dec")</f>
        <v>Jun</v>
      </c>
    </row>
    <row r="802" customFormat="false" ht="15" hidden="false" customHeight="false" outlineLevel="0" collapsed="false">
      <c r="A802" s="4" t="s">
        <v>1076</v>
      </c>
      <c r="B802" s="17" t="n">
        <v>45824</v>
      </c>
      <c r="C802" s="4" t="n">
        <v>7</v>
      </c>
      <c r="D802" s="4" t="s">
        <v>64</v>
      </c>
      <c r="E802" s="4" t="s">
        <v>74</v>
      </c>
      <c r="F802" s="4" t="s">
        <v>75</v>
      </c>
      <c r="G802" s="4" t="n">
        <v>1</v>
      </c>
      <c r="H802" s="34" t="n">
        <v>220</v>
      </c>
      <c r="I802" s="18" t="n">
        <v>0</v>
      </c>
      <c r="J802" s="4" t="s">
        <v>76</v>
      </c>
      <c r="K802" s="4" t="s">
        <v>68</v>
      </c>
      <c r="L802" s="35" t="n">
        <f aca="false">G802*H802</f>
        <v>220</v>
      </c>
      <c r="M802" s="35" t="n">
        <f aca="false">L802*I802</f>
        <v>0</v>
      </c>
      <c r="N802" s="35" t="n">
        <f aca="false">L802-M802</f>
        <v>220</v>
      </c>
      <c r="O802" s="4" t="n">
        <f aca="false">MONTH(B802)</f>
        <v>6</v>
      </c>
      <c r="P802" s="4" t="str">
        <f aca="false">CHOOSE(WEEKDAY(B802,2),"Mon","Tue","Wed","Thu","Fri","Sat","Sun")</f>
        <v>Mon</v>
      </c>
      <c r="Q802" s="4" t="str">
        <f aca="false">IF(WEEKDAY(B802,2)&gt;5,"Weekend","Weekday")</f>
        <v>Weekday</v>
      </c>
      <c r="R802" s="4" t="str">
        <f aca="false">IF(C802&lt;11,"Morning (7-10)",IF(C802&lt;14,"Lunch (11-13)",IF(C802&lt;18,"Afternoon (14-17)","Evening (18-20)")))</f>
        <v>Morning (7-10)</v>
      </c>
      <c r="S802" s="4" t="str">
        <f aca="false">IF(AND(O802&gt;=3,O802&lt;=5),"Hot Dry (Mar-May)",IF(AND(O802&gt;=6,O802&lt;=11),"Rainy (Jun-Nov)","Cool Dry (Dec-Feb)"))</f>
        <v>Rainy (Jun-Nov)</v>
      </c>
      <c r="T802" s="4" t="str">
        <f aca="false">CHOOSE(O802,"Jan","Feb","Mar","Apr","May","Jun","Jul","Aug","Sep","Oct","Nov","Dec")</f>
        <v>Jun</v>
      </c>
    </row>
    <row r="803" customFormat="false" ht="15" hidden="false" customHeight="false" outlineLevel="0" collapsed="false">
      <c r="A803" s="4" t="s">
        <v>1077</v>
      </c>
      <c r="B803" s="17" t="n">
        <v>45824</v>
      </c>
      <c r="C803" s="4" t="n">
        <v>9</v>
      </c>
      <c r="D803" s="4" t="s">
        <v>98</v>
      </c>
      <c r="E803" s="4" t="s">
        <v>65</v>
      </c>
      <c r="F803" s="4" t="s">
        <v>121</v>
      </c>
      <c r="G803" s="4" t="n">
        <v>3</v>
      </c>
      <c r="H803" s="34" t="n">
        <v>170</v>
      </c>
      <c r="I803" s="18" t="n">
        <v>0</v>
      </c>
      <c r="J803" s="4" t="s">
        <v>112</v>
      </c>
      <c r="K803" s="4" t="s">
        <v>68</v>
      </c>
      <c r="L803" s="35" t="n">
        <f aca="false">G803*H803</f>
        <v>510</v>
      </c>
      <c r="M803" s="35" t="n">
        <f aca="false">L803*I803</f>
        <v>0</v>
      </c>
      <c r="N803" s="35" t="n">
        <f aca="false">L803-M803</f>
        <v>510</v>
      </c>
      <c r="O803" s="4" t="n">
        <f aca="false">MONTH(B803)</f>
        <v>6</v>
      </c>
      <c r="P803" s="4" t="str">
        <f aca="false">CHOOSE(WEEKDAY(B803,2),"Mon","Tue","Wed","Thu","Fri","Sat","Sun")</f>
        <v>Mon</v>
      </c>
      <c r="Q803" s="4" t="str">
        <f aca="false">IF(WEEKDAY(B803,2)&gt;5,"Weekend","Weekday")</f>
        <v>Weekday</v>
      </c>
      <c r="R803" s="4" t="str">
        <f aca="false">IF(C803&lt;11,"Morning (7-10)",IF(C803&lt;14,"Lunch (11-13)",IF(C803&lt;18,"Afternoon (14-17)","Evening (18-20)")))</f>
        <v>Morning (7-10)</v>
      </c>
      <c r="S803" s="4" t="str">
        <f aca="false">IF(AND(O803&gt;=3,O803&lt;=5),"Hot Dry (Mar-May)",IF(AND(O803&gt;=6,O803&lt;=11),"Rainy (Jun-Nov)","Cool Dry (Dec-Feb)"))</f>
        <v>Rainy (Jun-Nov)</v>
      </c>
      <c r="T803" s="4" t="str">
        <f aca="false">CHOOSE(O803,"Jan","Feb","Mar","Apr","May","Jun","Jul","Aug","Sep","Oct","Nov","Dec")</f>
        <v>Jun</v>
      </c>
    </row>
    <row r="804" customFormat="false" ht="15" hidden="false" customHeight="false" outlineLevel="0" collapsed="false">
      <c r="A804" s="4" t="s">
        <v>1078</v>
      </c>
      <c r="B804" s="17" t="n">
        <v>45824</v>
      </c>
      <c r="C804" s="4" t="n">
        <v>14</v>
      </c>
      <c r="D804" s="4" t="s">
        <v>64</v>
      </c>
      <c r="E804" s="4" t="s">
        <v>79</v>
      </c>
      <c r="F804" s="4" t="s">
        <v>148</v>
      </c>
      <c r="G804" s="4" t="n">
        <v>3</v>
      </c>
      <c r="H804" s="34" t="n">
        <v>120</v>
      </c>
      <c r="I804" s="18" t="n">
        <v>0</v>
      </c>
      <c r="J804" s="4" t="s">
        <v>81</v>
      </c>
      <c r="K804" s="4" t="s">
        <v>68</v>
      </c>
      <c r="L804" s="35" t="n">
        <f aca="false">G804*H804</f>
        <v>360</v>
      </c>
      <c r="M804" s="35" t="n">
        <f aca="false">L804*I804</f>
        <v>0</v>
      </c>
      <c r="N804" s="35" t="n">
        <f aca="false">L804-M804</f>
        <v>360</v>
      </c>
      <c r="O804" s="4" t="n">
        <f aca="false">MONTH(B804)</f>
        <v>6</v>
      </c>
      <c r="P804" s="4" t="str">
        <f aca="false">CHOOSE(WEEKDAY(B804,2),"Mon","Tue","Wed","Thu","Fri","Sat","Sun")</f>
        <v>Mon</v>
      </c>
      <c r="Q804" s="4" t="str">
        <f aca="false">IF(WEEKDAY(B804,2)&gt;5,"Weekend","Weekday")</f>
        <v>Weekday</v>
      </c>
      <c r="R804" s="4" t="str">
        <f aca="false">IF(C804&lt;11,"Morning (7-10)",IF(C804&lt;14,"Lunch (11-13)",IF(C804&lt;18,"Afternoon (14-17)","Evening (18-20)")))</f>
        <v>Afternoon (14-17)</v>
      </c>
      <c r="S804" s="4" t="str">
        <f aca="false">IF(AND(O804&gt;=3,O804&lt;=5),"Hot Dry (Mar-May)",IF(AND(O804&gt;=6,O804&lt;=11),"Rainy (Jun-Nov)","Cool Dry (Dec-Feb)"))</f>
        <v>Rainy (Jun-Nov)</v>
      </c>
      <c r="T804" s="4" t="str">
        <f aca="false">CHOOSE(O804,"Jan","Feb","Mar","Apr","May","Jun","Jul","Aug","Sep","Oct","Nov","Dec")</f>
        <v>Jun</v>
      </c>
    </row>
    <row r="805" customFormat="false" ht="15" hidden="false" customHeight="false" outlineLevel="0" collapsed="false">
      <c r="A805" s="4" t="s">
        <v>1079</v>
      </c>
      <c r="B805" s="17" t="n">
        <v>45824</v>
      </c>
      <c r="C805" s="4" t="n">
        <v>15</v>
      </c>
      <c r="D805" s="4" t="s">
        <v>70</v>
      </c>
      <c r="E805" s="4" t="s">
        <v>79</v>
      </c>
      <c r="F805" s="4" t="s">
        <v>80</v>
      </c>
      <c r="G805" s="4" t="n">
        <v>2</v>
      </c>
      <c r="H805" s="34" t="n">
        <v>160</v>
      </c>
      <c r="I805" s="18" t="n">
        <v>0.15</v>
      </c>
      <c r="J805" s="4" t="s">
        <v>81</v>
      </c>
      <c r="K805" s="4" t="s">
        <v>77</v>
      </c>
      <c r="L805" s="35" t="n">
        <f aca="false">G805*H805</f>
        <v>320</v>
      </c>
      <c r="M805" s="35" t="n">
        <f aca="false">L805*I805</f>
        <v>48</v>
      </c>
      <c r="N805" s="35" t="n">
        <f aca="false">L805-M805</f>
        <v>272</v>
      </c>
      <c r="O805" s="4" t="n">
        <f aca="false">MONTH(B805)</f>
        <v>6</v>
      </c>
      <c r="P805" s="4" t="str">
        <f aca="false">CHOOSE(WEEKDAY(B805,2),"Mon","Tue","Wed","Thu","Fri","Sat","Sun")</f>
        <v>Mon</v>
      </c>
      <c r="Q805" s="4" t="str">
        <f aca="false">IF(WEEKDAY(B805,2)&gt;5,"Weekend","Weekday")</f>
        <v>Weekday</v>
      </c>
      <c r="R805" s="4" t="str">
        <f aca="false">IF(C805&lt;11,"Morning (7-10)",IF(C805&lt;14,"Lunch (11-13)",IF(C805&lt;18,"Afternoon (14-17)","Evening (18-20)")))</f>
        <v>Afternoon (14-17)</v>
      </c>
      <c r="S805" s="4" t="str">
        <f aca="false">IF(AND(O805&gt;=3,O805&lt;=5),"Hot Dry (Mar-May)",IF(AND(O805&gt;=6,O805&lt;=11),"Rainy (Jun-Nov)","Cool Dry (Dec-Feb)"))</f>
        <v>Rainy (Jun-Nov)</v>
      </c>
      <c r="T805" s="4" t="str">
        <f aca="false">CHOOSE(O805,"Jan","Feb","Mar","Apr","May","Jun","Jul","Aug","Sep","Oct","Nov","Dec")</f>
        <v>Jun</v>
      </c>
    </row>
    <row r="806" customFormat="false" ht="15" hidden="false" customHeight="false" outlineLevel="0" collapsed="false">
      <c r="A806" s="4" t="s">
        <v>1080</v>
      </c>
      <c r="B806" s="17" t="n">
        <v>45825</v>
      </c>
      <c r="C806" s="4" t="n">
        <v>11</v>
      </c>
      <c r="D806" s="4" t="s">
        <v>64</v>
      </c>
      <c r="E806" s="4" t="s">
        <v>79</v>
      </c>
      <c r="F806" s="4" t="s">
        <v>135</v>
      </c>
      <c r="G806" s="4" t="n">
        <v>1</v>
      </c>
      <c r="H806" s="34" t="n">
        <v>130</v>
      </c>
      <c r="I806" s="18" t="n">
        <v>0.05</v>
      </c>
      <c r="J806" s="4" t="s">
        <v>67</v>
      </c>
      <c r="K806" s="4" t="s">
        <v>82</v>
      </c>
      <c r="L806" s="35" t="n">
        <f aca="false">G806*H806</f>
        <v>130</v>
      </c>
      <c r="M806" s="35" t="n">
        <f aca="false">L806*I806</f>
        <v>6.5</v>
      </c>
      <c r="N806" s="35" t="n">
        <f aca="false">L806-M806</f>
        <v>123.5</v>
      </c>
      <c r="O806" s="4" t="n">
        <f aca="false">MONTH(B806)</f>
        <v>6</v>
      </c>
      <c r="P806" s="4" t="str">
        <f aca="false">CHOOSE(WEEKDAY(B806,2),"Mon","Tue","Wed","Thu","Fri","Sat","Sun")</f>
        <v>Tue</v>
      </c>
      <c r="Q806" s="4" t="str">
        <f aca="false">IF(WEEKDAY(B806,2)&gt;5,"Weekend","Weekday")</f>
        <v>Weekday</v>
      </c>
      <c r="R806" s="4" t="str">
        <f aca="false">IF(C806&lt;11,"Morning (7-10)",IF(C806&lt;14,"Lunch (11-13)",IF(C806&lt;18,"Afternoon (14-17)","Evening (18-20)")))</f>
        <v>Lunch (11-13)</v>
      </c>
      <c r="S806" s="4" t="str">
        <f aca="false">IF(AND(O806&gt;=3,O806&lt;=5),"Hot Dry (Mar-May)",IF(AND(O806&gt;=6,O806&lt;=11),"Rainy (Jun-Nov)","Cool Dry (Dec-Feb)"))</f>
        <v>Rainy (Jun-Nov)</v>
      </c>
      <c r="T806" s="4" t="str">
        <f aca="false">CHOOSE(O806,"Jan","Feb","Mar","Apr","May","Jun","Jul","Aug","Sep","Oct","Nov","Dec")</f>
        <v>Jun</v>
      </c>
    </row>
    <row r="807" customFormat="false" ht="15" hidden="false" customHeight="false" outlineLevel="0" collapsed="false">
      <c r="A807" s="4" t="s">
        <v>1083</v>
      </c>
      <c r="B807" s="17" t="n">
        <v>45825</v>
      </c>
      <c r="C807" s="4" t="n">
        <v>12</v>
      </c>
      <c r="D807" s="4" t="s">
        <v>64</v>
      </c>
      <c r="E807" s="4" t="s">
        <v>84</v>
      </c>
      <c r="F807" s="4" t="s">
        <v>117</v>
      </c>
      <c r="G807" s="4" t="n">
        <v>2</v>
      </c>
      <c r="H807" s="34" t="n">
        <v>95</v>
      </c>
      <c r="I807" s="18" t="n">
        <v>0</v>
      </c>
      <c r="J807" s="4" t="s">
        <v>76</v>
      </c>
      <c r="K807" s="4" t="s">
        <v>68</v>
      </c>
      <c r="L807" s="35" t="n">
        <f aca="false">G807*H807</f>
        <v>190</v>
      </c>
      <c r="M807" s="35" t="n">
        <f aca="false">L807*I807</f>
        <v>0</v>
      </c>
      <c r="N807" s="35" t="n">
        <f aca="false">L807-M807</f>
        <v>190</v>
      </c>
      <c r="O807" s="4" t="n">
        <f aca="false">MONTH(B807)</f>
        <v>6</v>
      </c>
      <c r="P807" s="4" t="str">
        <f aca="false">CHOOSE(WEEKDAY(B807,2),"Mon","Tue","Wed","Thu","Fri","Sat","Sun")</f>
        <v>Tue</v>
      </c>
      <c r="Q807" s="4" t="str">
        <f aca="false">IF(WEEKDAY(B807,2)&gt;5,"Weekend","Weekday")</f>
        <v>Weekday</v>
      </c>
      <c r="R807" s="4" t="str">
        <f aca="false">IF(C807&lt;11,"Morning (7-10)",IF(C807&lt;14,"Lunch (11-13)",IF(C807&lt;18,"Afternoon (14-17)","Evening (18-20)")))</f>
        <v>Lunch (11-13)</v>
      </c>
      <c r="S807" s="4" t="str">
        <f aca="false">IF(AND(O807&gt;=3,O807&lt;=5),"Hot Dry (Mar-May)",IF(AND(O807&gt;=6,O807&lt;=11),"Rainy (Jun-Nov)","Cool Dry (Dec-Feb)"))</f>
        <v>Rainy (Jun-Nov)</v>
      </c>
      <c r="T807" s="4" t="str">
        <f aca="false">CHOOSE(O807,"Jan","Feb","Mar","Apr","May","Jun","Jul","Aug","Sep","Oct","Nov","Dec")</f>
        <v>Jun</v>
      </c>
    </row>
    <row r="808" customFormat="false" ht="15" hidden="false" customHeight="false" outlineLevel="0" collapsed="false">
      <c r="A808" s="4" t="s">
        <v>1084</v>
      </c>
      <c r="B808" s="17" t="n">
        <v>45825</v>
      </c>
      <c r="C808" s="4" t="n">
        <v>14</v>
      </c>
      <c r="D808" s="4" t="s">
        <v>73</v>
      </c>
      <c r="E808" s="4" t="s">
        <v>99</v>
      </c>
      <c r="F808" s="4" t="s">
        <v>102</v>
      </c>
      <c r="G808" s="4" t="n">
        <v>1</v>
      </c>
      <c r="H808" s="34" t="n">
        <v>140</v>
      </c>
      <c r="I808" s="18" t="n">
        <v>0.05</v>
      </c>
      <c r="J808" s="4" t="s">
        <v>67</v>
      </c>
      <c r="K808" s="4" t="s">
        <v>82</v>
      </c>
      <c r="L808" s="35" t="n">
        <f aca="false">G808*H808</f>
        <v>140</v>
      </c>
      <c r="M808" s="35" t="n">
        <f aca="false">L808*I808</f>
        <v>7</v>
      </c>
      <c r="N808" s="35" t="n">
        <f aca="false">L808-M808</f>
        <v>133</v>
      </c>
      <c r="O808" s="4" t="n">
        <f aca="false">MONTH(B808)</f>
        <v>6</v>
      </c>
      <c r="P808" s="4" t="str">
        <f aca="false">CHOOSE(WEEKDAY(B808,2),"Mon","Tue","Wed","Thu","Fri","Sat","Sun")</f>
        <v>Tue</v>
      </c>
      <c r="Q808" s="4" t="str">
        <f aca="false">IF(WEEKDAY(B808,2)&gt;5,"Weekend","Weekday")</f>
        <v>Weekday</v>
      </c>
      <c r="R808" s="4" t="str">
        <f aca="false">IF(C808&lt;11,"Morning (7-10)",IF(C808&lt;14,"Lunch (11-13)",IF(C808&lt;18,"Afternoon (14-17)","Evening (18-20)")))</f>
        <v>Afternoon (14-17)</v>
      </c>
      <c r="S808" s="4" t="str">
        <f aca="false">IF(AND(O808&gt;=3,O808&lt;=5),"Hot Dry (Mar-May)",IF(AND(O808&gt;=6,O808&lt;=11),"Rainy (Jun-Nov)","Cool Dry (Dec-Feb)"))</f>
        <v>Rainy (Jun-Nov)</v>
      </c>
      <c r="T808" s="4" t="str">
        <f aca="false">CHOOSE(O808,"Jan","Feb","Mar","Apr","May","Jun","Jul","Aug","Sep","Oct","Nov","Dec")</f>
        <v>Jun</v>
      </c>
    </row>
    <row r="809" customFormat="false" ht="15" hidden="false" customHeight="false" outlineLevel="0" collapsed="false">
      <c r="A809" s="4" t="s">
        <v>1086</v>
      </c>
      <c r="B809" s="17" t="n">
        <v>45825</v>
      </c>
      <c r="C809" s="4" t="n">
        <v>15</v>
      </c>
      <c r="D809" s="4" t="s">
        <v>70</v>
      </c>
      <c r="E809" s="4" t="s">
        <v>65</v>
      </c>
      <c r="F809" s="4" t="s">
        <v>94</v>
      </c>
      <c r="G809" s="4" t="n">
        <v>1</v>
      </c>
      <c r="H809" s="34" t="n">
        <v>150</v>
      </c>
      <c r="I809" s="18" t="n">
        <v>0</v>
      </c>
      <c r="J809" s="4" t="s">
        <v>76</v>
      </c>
      <c r="K809" s="4" t="s">
        <v>68</v>
      </c>
      <c r="L809" s="35" t="n">
        <f aca="false">G809*H809</f>
        <v>150</v>
      </c>
      <c r="M809" s="35" t="n">
        <f aca="false">L809*I809</f>
        <v>0</v>
      </c>
      <c r="N809" s="35" t="n">
        <f aca="false">L809-M809</f>
        <v>150</v>
      </c>
      <c r="O809" s="4" t="n">
        <f aca="false">MONTH(B809)</f>
        <v>6</v>
      </c>
      <c r="P809" s="4" t="str">
        <f aca="false">CHOOSE(WEEKDAY(B809,2),"Mon","Tue","Wed","Thu","Fri","Sat","Sun")</f>
        <v>Tue</v>
      </c>
      <c r="Q809" s="4" t="str">
        <f aca="false">IF(WEEKDAY(B809,2)&gt;5,"Weekend","Weekday")</f>
        <v>Weekday</v>
      </c>
      <c r="R809" s="4" t="str">
        <f aca="false">IF(C809&lt;11,"Morning (7-10)",IF(C809&lt;14,"Lunch (11-13)",IF(C809&lt;18,"Afternoon (14-17)","Evening (18-20)")))</f>
        <v>Afternoon (14-17)</v>
      </c>
      <c r="S809" s="4" t="str">
        <f aca="false">IF(AND(O809&gt;=3,O809&lt;=5),"Hot Dry (Mar-May)",IF(AND(O809&gt;=6,O809&lt;=11),"Rainy (Jun-Nov)","Cool Dry (Dec-Feb)"))</f>
        <v>Rainy (Jun-Nov)</v>
      </c>
      <c r="T809" s="4" t="str">
        <f aca="false">CHOOSE(O809,"Jan","Feb","Mar","Apr","May","Jun","Jul","Aug","Sep","Oct","Nov","Dec")</f>
        <v>Jun</v>
      </c>
    </row>
    <row r="810" customFormat="false" ht="15" hidden="false" customHeight="false" outlineLevel="0" collapsed="false">
      <c r="A810" s="4" t="s">
        <v>1087</v>
      </c>
      <c r="B810" s="17" t="n">
        <v>45825</v>
      </c>
      <c r="C810" s="4" t="n">
        <v>16</v>
      </c>
      <c r="D810" s="4" t="s">
        <v>70</v>
      </c>
      <c r="E810" s="4" t="s">
        <v>99</v>
      </c>
      <c r="F810" s="4" t="s">
        <v>100</v>
      </c>
      <c r="G810" s="4" t="n">
        <v>4</v>
      </c>
      <c r="H810" s="34" t="n">
        <v>110</v>
      </c>
      <c r="I810" s="18" t="n">
        <v>0</v>
      </c>
      <c r="J810" s="4" t="s">
        <v>112</v>
      </c>
      <c r="K810" s="4" t="s">
        <v>77</v>
      </c>
      <c r="L810" s="35" t="n">
        <f aca="false">G810*H810</f>
        <v>440</v>
      </c>
      <c r="M810" s="35" t="n">
        <f aca="false">L810*I810</f>
        <v>0</v>
      </c>
      <c r="N810" s="35" t="n">
        <f aca="false">L810-M810</f>
        <v>440</v>
      </c>
      <c r="O810" s="4" t="n">
        <f aca="false">MONTH(B810)</f>
        <v>6</v>
      </c>
      <c r="P810" s="4" t="str">
        <f aca="false">CHOOSE(WEEKDAY(B810,2),"Mon","Tue","Wed","Thu","Fri","Sat","Sun")</f>
        <v>Tue</v>
      </c>
      <c r="Q810" s="4" t="str">
        <f aca="false">IF(WEEKDAY(B810,2)&gt;5,"Weekend","Weekday")</f>
        <v>Weekday</v>
      </c>
      <c r="R810" s="4" t="str">
        <f aca="false">IF(C810&lt;11,"Morning (7-10)",IF(C810&lt;14,"Lunch (11-13)",IF(C810&lt;18,"Afternoon (14-17)","Evening (18-20)")))</f>
        <v>Afternoon (14-17)</v>
      </c>
      <c r="S810" s="4" t="str">
        <f aca="false">IF(AND(O810&gt;=3,O810&lt;=5),"Hot Dry (Mar-May)",IF(AND(O810&gt;=6,O810&lt;=11),"Rainy (Jun-Nov)","Cool Dry (Dec-Feb)"))</f>
        <v>Rainy (Jun-Nov)</v>
      </c>
      <c r="T810" s="4" t="str">
        <f aca="false">CHOOSE(O810,"Jan","Feb","Mar","Apr","May","Jun","Jul","Aug","Sep","Oct","Nov","Dec")</f>
        <v>Jun</v>
      </c>
    </row>
    <row r="811" customFormat="false" ht="15" hidden="false" customHeight="false" outlineLevel="0" collapsed="false">
      <c r="A811" s="4" t="s">
        <v>1088</v>
      </c>
      <c r="B811" s="17" t="n">
        <v>45825</v>
      </c>
      <c r="C811" s="4" t="n">
        <v>17</v>
      </c>
      <c r="D811" s="4" t="s">
        <v>73</v>
      </c>
      <c r="E811" s="4" t="s">
        <v>65</v>
      </c>
      <c r="F811" s="4" t="s">
        <v>121</v>
      </c>
      <c r="G811" s="4" t="n">
        <v>1</v>
      </c>
      <c r="H811" s="34" t="n">
        <v>170</v>
      </c>
      <c r="I811" s="18" t="n">
        <v>0</v>
      </c>
      <c r="J811" s="4" t="s">
        <v>112</v>
      </c>
      <c r="K811" s="4" t="s">
        <v>68</v>
      </c>
      <c r="L811" s="35" t="n">
        <f aca="false">G811*H811</f>
        <v>170</v>
      </c>
      <c r="M811" s="35" t="n">
        <f aca="false">L811*I811</f>
        <v>0</v>
      </c>
      <c r="N811" s="35" t="n">
        <f aca="false">L811-M811</f>
        <v>170</v>
      </c>
      <c r="O811" s="4" t="n">
        <f aca="false">MONTH(B811)</f>
        <v>6</v>
      </c>
      <c r="P811" s="4" t="str">
        <f aca="false">CHOOSE(WEEKDAY(B811,2),"Mon","Tue","Wed","Thu","Fri","Sat","Sun")</f>
        <v>Tue</v>
      </c>
      <c r="Q811" s="4" t="str">
        <f aca="false">IF(WEEKDAY(B811,2)&gt;5,"Weekend","Weekday")</f>
        <v>Weekday</v>
      </c>
      <c r="R811" s="4" t="str">
        <f aca="false">IF(C811&lt;11,"Morning (7-10)",IF(C811&lt;14,"Lunch (11-13)",IF(C811&lt;18,"Afternoon (14-17)","Evening (18-20)")))</f>
        <v>Afternoon (14-17)</v>
      </c>
      <c r="S811" s="4" t="str">
        <f aca="false">IF(AND(O811&gt;=3,O811&lt;=5),"Hot Dry (Mar-May)",IF(AND(O811&gt;=6,O811&lt;=11),"Rainy (Jun-Nov)","Cool Dry (Dec-Feb)"))</f>
        <v>Rainy (Jun-Nov)</v>
      </c>
      <c r="T811" s="4" t="str">
        <f aca="false">CHOOSE(O811,"Jan","Feb","Mar","Apr","May","Jun","Jul","Aug","Sep","Oct","Nov","Dec")</f>
        <v>Jun</v>
      </c>
    </row>
    <row r="812" customFormat="false" ht="15" hidden="false" customHeight="false" outlineLevel="0" collapsed="false">
      <c r="A812" s="4" t="s">
        <v>1089</v>
      </c>
      <c r="B812" s="17" t="n">
        <v>45826</v>
      </c>
      <c r="C812" s="4" t="n">
        <v>12</v>
      </c>
      <c r="D812" s="4" t="s">
        <v>73</v>
      </c>
      <c r="E812" s="4" t="s">
        <v>99</v>
      </c>
      <c r="F812" s="4" t="s">
        <v>133</v>
      </c>
      <c r="G812" s="4" t="n">
        <v>3</v>
      </c>
      <c r="H812" s="34" t="n">
        <v>90</v>
      </c>
      <c r="I812" s="18" t="n">
        <v>0.05</v>
      </c>
      <c r="J812" s="4" t="s">
        <v>76</v>
      </c>
      <c r="K812" s="4" t="s">
        <v>82</v>
      </c>
      <c r="L812" s="35" t="n">
        <f aca="false">G812*H812</f>
        <v>270</v>
      </c>
      <c r="M812" s="35" t="n">
        <f aca="false">L812*I812</f>
        <v>13.5</v>
      </c>
      <c r="N812" s="35" t="n">
        <f aca="false">L812-M812</f>
        <v>256.5</v>
      </c>
      <c r="O812" s="4" t="n">
        <f aca="false">MONTH(B812)</f>
        <v>6</v>
      </c>
      <c r="P812" s="4" t="str">
        <f aca="false">CHOOSE(WEEKDAY(B812,2),"Mon","Tue","Wed","Thu","Fri","Sat","Sun")</f>
        <v>Wed</v>
      </c>
      <c r="Q812" s="4" t="str">
        <f aca="false">IF(WEEKDAY(B812,2)&gt;5,"Weekend","Weekday")</f>
        <v>Weekday</v>
      </c>
      <c r="R812" s="4" t="str">
        <f aca="false">IF(C812&lt;11,"Morning (7-10)",IF(C812&lt;14,"Lunch (11-13)",IF(C812&lt;18,"Afternoon (14-17)","Evening (18-20)")))</f>
        <v>Lunch (11-13)</v>
      </c>
      <c r="S812" s="4" t="str">
        <f aca="false">IF(AND(O812&gt;=3,O812&lt;=5),"Hot Dry (Mar-May)",IF(AND(O812&gt;=6,O812&lt;=11),"Rainy (Jun-Nov)","Cool Dry (Dec-Feb)"))</f>
        <v>Rainy (Jun-Nov)</v>
      </c>
      <c r="T812" s="4" t="str">
        <f aca="false">CHOOSE(O812,"Jan","Feb","Mar","Apr","May","Jun","Jul","Aug","Sep","Oct","Nov","Dec")</f>
        <v>Jun</v>
      </c>
    </row>
    <row r="813" customFormat="false" ht="15" hidden="false" customHeight="false" outlineLevel="0" collapsed="false">
      <c r="A813" s="4" t="s">
        <v>1090</v>
      </c>
      <c r="B813" s="17" t="n">
        <v>45826</v>
      </c>
      <c r="C813" s="4" t="n">
        <v>12</v>
      </c>
      <c r="D813" s="4" t="s">
        <v>73</v>
      </c>
      <c r="E813" s="4" t="s">
        <v>79</v>
      </c>
      <c r="F813" s="4" t="s">
        <v>80</v>
      </c>
      <c r="G813" s="4" t="n">
        <v>2</v>
      </c>
      <c r="H813" s="34" t="n">
        <v>160</v>
      </c>
      <c r="I813" s="18" t="n">
        <v>0.05</v>
      </c>
      <c r="J813" s="4" t="s">
        <v>67</v>
      </c>
      <c r="K813" s="4" t="s">
        <v>82</v>
      </c>
      <c r="L813" s="35" t="n">
        <f aca="false">G813*H813</f>
        <v>320</v>
      </c>
      <c r="M813" s="35" t="n">
        <f aca="false">L813*I813</f>
        <v>16</v>
      </c>
      <c r="N813" s="35" t="n">
        <f aca="false">L813-M813</f>
        <v>304</v>
      </c>
      <c r="O813" s="4" t="n">
        <f aca="false">MONTH(B813)</f>
        <v>6</v>
      </c>
      <c r="P813" s="4" t="str">
        <f aca="false">CHOOSE(WEEKDAY(B813,2),"Mon","Tue","Wed","Thu","Fri","Sat","Sun")</f>
        <v>Wed</v>
      </c>
      <c r="Q813" s="4" t="str">
        <f aca="false">IF(WEEKDAY(B813,2)&gt;5,"Weekend","Weekday")</f>
        <v>Weekday</v>
      </c>
      <c r="R813" s="4" t="str">
        <f aca="false">IF(C813&lt;11,"Morning (7-10)",IF(C813&lt;14,"Lunch (11-13)",IF(C813&lt;18,"Afternoon (14-17)","Evening (18-20)")))</f>
        <v>Lunch (11-13)</v>
      </c>
      <c r="S813" s="4" t="str">
        <f aca="false">IF(AND(O813&gt;=3,O813&lt;=5),"Hot Dry (Mar-May)",IF(AND(O813&gt;=6,O813&lt;=11),"Rainy (Jun-Nov)","Cool Dry (Dec-Feb)"))</f>
        <v>Rainy (Jun-Nov)</v>
      </c>
      <c r="T813" s="4" t="str">
        <f aca="false">CHOOSE(O813,"Jan","Feb","Mar","Apr","May","Jun","Jul","Aug","Sep","Oct","Nov","Dec")</f>
        <v>Jun</v>
      </c>
    </row>
    <row r="814" customFormat="false" ht="15" hidden="false" customHeight="false" outlineLevel="0" collapsed="false">
      <c r="A814" s="4" t="s">
        <v>1091</v>
      </c>
      <c r="B814" s="17" t="n">
        <v>45826</v>
      </c>
      <c r="C814" s="4" t="n">
        <v>16</v>
      </c>
      <c r="D814" s="4" t="s">
        <v>98</v>
      </c>
      <c r="E814" s="4" t="s">
        <v>79</v>
      </c>
      <c r="F814" s="4" t="s">
        <v>80</v>
      </c>
      <c r="G814" s="4" t="n">
        <v>2</v>
      </c>
      <c r="H814" s="34" t="n">
        <v>160</v>
      </c>
      <c r="I814" s="18" t="n">
        <v>0.1</v>
      </c>
      <c r="J814" s="4" t="s">
        <v>81</v>
      </c>
      <c r="K814" s="4" t="s">
        <v>71</v>
      </c>
      <c r="L814" s="35" t="n">
        <f aca="false">G814*H814</f>
        <v>320</v>
      </c>
      <c r="M814" s="35" t="n">
        <f aca="false">L814*I814</f>
        <v>32</v>
      </c>
      <c r="N814" s="35" t="n">
        <f aca="false">L814-M814</f>
        <v>288</v>
      </c>
      <c r="O814" s="4" t="n">
        <f aca="false">MONTH(B814)</f>
        <v>6</v>
      </c>
      <c r="P814" s="4" t="str">
        <f aca="false">CHOOSE(WEEKDAY(B814,2),"Mon","Tue","Wed","Thu","Fri","Sat","Sun")</f>
        <v>Wed</v>
      </c>
      <c r="Q814" s="4" t="str">
        <f aca="false">IF(WEEKDAY(B814,2)&gt;5,"Weekend","Weekday")</f>
        <v>Weekday</v>
      </c>
      <c r="R814" s="4" t="str">
        <f aca="false">IF(C814&lt;11,"Morning (7-10)",IF(C814&lt;14,"Lunch (11-13)",IF(C814&lt;18,"Afternoon (14-17)","Evening (18-20)")))</f>
        <v>Afternoon (14-17)</v>
      </c>
      <c r="S814" s="4" t="str">
        <f aca="false">IF(AND(O814&gt;=3,O814&lt;=5),"Hot Dry (Mar-May)",IF(AND(O814&gt;=6,O814&lt;=11),"Rainy (Jun-Nov)","Cool Dry (Dec-Feb)"))</f>
        <v>Rainy (Jun-Nov)</v>
      </c>
      <c r="T814" s="4" t="str">
        <f aca="false">CHOOSE(O814,"Jan","Feb","Mar","Apr","May","Jun","Jul","Aug","Sep","Oct","Nov","Dec")</f>
        <v>Jun</v>
      </c>
    </row>
    <row r="815" customFormat="false" ht="15" hidden="false" customHeight="false" outlineLevel="0" collapsed="false">
      <c r="A815" s="4" t="s">
        <v>1092</v>
      </c>
      <c r="B815" s="17" t="n">
        <v>45827</v>
      </c>
      <c r="C815" s="4" t="n">
        <v>7</v>
      </c>
      <c r="D815" s="4" t="s">
        <v>98</v>
      </c>
      <c r="E815" s="4" t="s">
        <v>99</v>
      </c>
      <c r="F815" s="4" t="s">
        <v>102</v>
      </c>
      <c r="G815" s="4" t="n">
        <v>2</v>
      </c>
      <c r="H815" s="34" t="n">
        <v>140</v>
      </c>
      <c r="I815" s="18" t="n">
        <v>0.05</v>
      </c>
      <c r="J815" s="4" t="s">
        <v>81</v>
      </c>
      <c r="K815" s="4" t="s">
        <v>82</v>
      </c>
      <c r="L815" s="35" t="n">
        <f aca="false">G815*H815</f>
        <v>280</v>
      </c>
      <c r="M815" s="35" t="n">
        <f aca="false">L815*I815</f>
        <v>14</v>
      </c>
      <c r="N815" s="35" t="n">
        <f aca="false">L815-M815</f>
        <v>266</v>
      </c>
      <c r="O815" s="4" t="n">
        <f aca="false">MONTH(B815)</f>
        <v>6</v>
      </c>
      <c r="P815" s="4" t="str">
        <f aca="false">CHOOSE(WEEKDAY(B815,2),"Mon","Tue","Wed","Thu","Fri","Sat","Sun")</f>
        <v>Thu</v>
      </c>
      <c r="Q815" s="4" t="str">
        <f aca="false">IF(WEEKDAY(B815,2)&gt;5,"Weekend","Weekday")</f>
        <v>Weekday</v>
      </c>
      <c r="R815" s="4" t="str">
        <f aca="false">IF(C815&lt;11,"Morning (7-10)",IF(C815&lt;14,"Lunch (11-13)",IF(C815&lt;18,"Afternoon (14-17)","Evening (18-20)")))</f>
        <v>Morning (7-10)</v>
      </c>
      <c r="S815" s="4" t="str">
        <f aca="false">IF(AND(O815&gt;=3,O815&lt;=5),"Hot Dry (Mar-May)",IF(AND(O815&gt;=6,O815&lt;=11),"Rainy (Jun-Nov)","Cool Dry (Dec-Feb)"))</f>
        <v>Rainy (Jun-Nov)</v>
      </c>
      <c r="T815" s="4" t="str">
        <f aca="false">CHOOSE(O815,"Jan","Feb","Mar","Apr","May","Jun","Jul","Aug","Sep","Oct","Nov","Dec")</f>
        <v>Jun</v>
      </c>
    </row>
    <row r="816" customFormat="false" ht="15" hidden="false" customHeight="false" outlineLevel="0" collapsed="false">
      <c r="A816" s="4" t="s">
        <v>1093</v>
      </c>
      <c r="B816" s="17" t="n">
        <v>45827</v>
      </c>
      <c r="C816" s="4" t="n">
        <v>8</v>
      </c>
      <c r="D816" s="4" t="s">
        <v>64</v>
      </c>
      <c r="E816" s="4" t="s">
        <v>99</v>
      </c>
      <c r="F816" s="4" t="s">
        <v>100</v>
      </c>
      <c r="G816" s="4" t="n">
        <v>1</v>
      </c>
      <c r="H816" s="34" t="n">
        <v>110</v>
      </c>
      <c r="I816" s="18" t="n">
        <v>0.1</v>
      </c>
      <c r="J816" s="4" t="s">
        <v>67</v>
      </c>
      <c r="K816" s="4" t="s">
        <v>71</v>
      </c>
      <c r="L816" s="35" t="n">
        <f aca="false">G816*H816</f>
        <v>110</v>
      </c>
      <c r="M816" s="35" t="n">
        <f aca="false">L816*I816</f>
        <v>11</v>
      </c>
      <c r="N816" s="35" t="n">
        <f aca="false">L816-M816</f>
        <v>99</v>
      </c>
      <c r="O816" s="4" t="n">
        <f aca="false">MONTH(B816)</f>
        <v>6</v>
      </c>
      <c r="P816" s="4" t="str">
        <f aca="false">CHOOSE(WEEKDAY(B816,2),"Mon","Tue","Wed","Thu","Fri","Sat","Sun")</f>
        <v>Thu</v>
      </c>
      <c r="Q816" s="4" t="str">
        <f aca="false">IF(WEEKDAY(B816,2)&gt;5,"Weekend","Weekday")</f>
        <v>Weekday</v>
      </c>
      <c r="R816" s="4" t="str">
        <f aca="false">IF(C816&lt;11,"Morning (7-10)",IF(C816&lt;14,"Lunch (11-13)",IF(C816&lt;18,"Afternoon (14-17)","Evening (18-20)")))</f>
        <v>Morning (7-10)</v>
      </c>
      <c r="S816" s="4" t="str">
        <f aca="false">IF(AND(O816&gt;=3,O816&lt;=5),"Hot Dry (Mar-May)",IF(AND(O816&gt;=6,O816&lt;=11),"Rainy (Jun-Nov)","Cool Dry (Dec-Feb)"))</f>
        <v>Rainy (Jun-Nov)</v>
      </c>
      <c r="T816" s="4" t="str">
        <f aca="false">CHOOSE(O816,"Jan","Feb","Mar","Apr","May","Jun","Jul","Aug","Sep","Oct","Nov","Dec")</f>
        <v>Jun</v>
      </c>
    </row>
    <row r="817" customFormat="false" ht="15" hidden="false" customHeight="false" outlineLevel="0" collapsed="false">
      <c r="A817" s="4" t="s">
        <v>1095</v>
      </c>
      <c r="B817" s="17" t="n">
        <v>45827</v>
      </c>
      <c r="C817" s="4" t="n">
        <v>8</v>
      </c>
      <c r="D817" s="4" t="s">
        <v>64</v>
      </c>
      <c r="E817" s="4" t="s">
        <v>99</v>
      </c>
      <c r="F817" s="4" t="s">
        <v>109</v>
      </c>
      <c r="G817" s="4" t="n">
        <v>1</v>
      </c>
      <c r="H817" s="34" t="n">
        <v>130</v>
      </c>
      <c r="I817" s="18" t="n">
        <v>0.05</v>
      </c>
      <c r="J817" s="4" t="s">
        <v>81</v>
      </c>
      <c r="K817" s="4" t="s">
        <v>82</v>
      </c>
      <c r="L817" s="35" t="n">
        <f aca="false">G817*H817</f>
        <v>130</v>
      </c>
      <c r="M817" s="35" t="n">
        <f aca="false">L817*I817</f>
        <v>6.5</v>
      </c>
      <c r="N817" s="35" t="n">
        <f aca="false">L817-M817</f>
        <v>123.5</v>
      </c>
      <c r="O817" s="4" t="n">
        <f aca="false">MONTH(B817)</f>
        <v>6</v>
      </c>
      <c r="P817" s="4" t="str">
        <f aca="false">CHOOSE(WEEKDAY(B817,2),"Mon","Tue","Wed","Thu","Fri","Sat","Sun")</f>
        <v>Thu</v>
      </c>
      <c r="Q817" s="4" t="str">
        <f aca="false">IF(WEEKDAY(B817,2)&gt;5,"Weekend","Weekday")</f>
        <v>Weekday</v>
      </c>
      <c r="R817" s="4" t="str">
        <f aca="false">IF(C817&lt;11,"Morning (7-10)",IF(C817&lt;14,"Lunch (11-13)",IF(C817&lt;18,"Afternoon (14-17)","Evening (18-20)")))</f>
        <v>Morning (7-10)</v>
      </c>
      <c r="S817" s="4" t="str">
        <f aca="false">IF(AND(O817&gt;=3,O817&lt;=5),"Hot Dry (Mar-May)",IF(AND(O817&gt;=6,O817&lt;=11),"Rainy (Jun-Nov)","Cool Dry (Dec-Feb)"))</f>
        <v>Rainy (Jun-Nov)</v>
      </c>
      <c r="T817" s="4" t="str">
        <f aca="false">CHOOSE(O817,"Jan","Feb","Mar","Apr","May","Jun","Jul","Aug","Sep","Oct","Nov","Dec")</f>
        <v>Jun</v>
      </c>
    </row>
    <row r="818" customFormat="false" ht="15" hidden="false" customHeight="false" outlineLevel="0" collapsed="false">
      <c r="A818" s="4" t="s">
        <v>1096</v>
      </c>
      <c r="B818" s="17" t="n">
        <v>45827</v>
      </c>
      <c r="C818" s="4" t="n">
        <v>8</v>
      </c>
      <c r="D818" s="4" t="s">
        <v>70</v>
      </c>
      <c r="E818" s="4" t="s">
        <v>99</v>
      </c>
      <c r="F818" s="4" t="s">
        <v>109</v>
      </c>
      <c r="G818" s="4" t="n">
        <v>1</v>
      </c>
      <c r="H818" s="34" t="n">
        <v>130</v>
      </c>
      <c r="I818" s="18" t="n">
        <v>0.1</v>
      </c>
      <c r="J818" s="4" t="s">
        <v>81</v>
      </c>
      <c r="K818" s="4" t="s">
        <v>71</v>
      </c>
      <c r="L818" s="35" t="n">
        <f aca="false">G818*H818</f>
        <v>130</v>
      </c>
      <c r="M818" s="35" t="n">
        <f aca="false">L818*I818</f>
        <v>13</v>
      </c>
      <c r="N818" s="35" t="n">
        <f aca="false">L818-M818</f>
        <v>117</v>
      </c>
      <c r="O818" s="4" t="n">
        <f aca="false">MONTH(B818)</f>
        <v>6</v>
      </c>
      <c r="P818" s="4" t="str">
        <f aca="false">CHOOSE(WEEKDAY(B818,2),"Mon","Tue","Wed","Thu","Fri","Sat","Sun")</f>
        <v>Thu</v>
      </c>
      <c r="Q818" s="4" t="str">
        <f aca="false">IF(WEEKDAY(B818,2)&gt;5,"Weekend","Weekday")</f>
        <v>Weekday</v>
      </c>
      <c r="R818" s="4" t="str">
        <f aca="false">IF(C818&lt;11,"Morning (7-10)",IF(C818&lt;14,"Lunch (11-13)",IF(C818&lt;18,"Afternoon (14-17)","Evening (18-20)")))</f>
        <v>Morning (7-10)</v>
      </c>
      <c r="S818" s="4" t="str">
        <f aca="false">IF(AND(O818&gt;=3,O818&lt;=5),"Hot Dry (Mar-May)",IF(AND(O818&gt;=6,O818&lt;=11),"Rainy (Jun-Nov)","Cool Dry (Dec-Feb)"))</f>
        <v>Rainy (Jun-Nov)</v>
      </c>
      <c r="T818" s="4" t="str">
        <f aca="false">CHOOSE(O818,"Jan","Feb","Mar","Apr","May","Jun","Jul","Aug","Sep","Oct","Nov","Dec")</f>
        <v>Jun</v>
      </c>
    </row>
    <row r="819" customFormat="false" ht="15" hidden="false" customHeight="false" outlineLevel="0" collapsed="false">
      <c r="A819" s="4" t="s">
        <v>1097</v>
      </c>
      <c r="B819" s="17" t="n">
        <v>45827</v>
      </c>
      <c r="C819" s="4" t="n">
        <v>10</v>
      </c>
      <c r="D819" s="4" t="s">
        <v>70</v>
      </c>
      <c r="E819" s="4" t="s">
        <v>79</v>
      </c>
      <c r="F819" s="4" t="s">
        <v>80</v>
      </c>
      <c r="G819" s="4" t="n">
        <v>1</v>
      </c>
      <c r="H819" s="34" t="n">
        <v>160</v>
      </c>
      <c r="I819" s="18" t="n">
        <v>0</v>
      </c>
      <c r="J819" s="4" t="s">
        <v>81</v>
      </c>
      <c r="K819" s="4" t="s">
        <v>68</v>
      </c>
      <c r="L819" s="35" t="n">
        <f aca="false">G819*H819</f>
        <v>160</v>
      </c>
      <c r="M819" s="35" t="n">
        <f aca="false">L819*I819</f>
        <v>0</v>
      </c>
      <c r="N819" s="35" t="n">
        <f aca="false">L819-M819</f>
        <v>160</v>
      </c>
      <c r="O819" s="4" t="n">
        <f aca="false">MONTH(B819)</f>
        <v>6</v>
      </c>
      <c r="P819" s="4" t="str">
        <f aca="false">CHOOSE(WEEKDAY(B819,2),"Mon","Tue","Wed","Thu","Fri","Sat","Sun")</f>
        <v>Thu</v>
      </c>
      <c r="Q819" s="4" t="str">
        <f aca="false">IF(WEEKDAY(B819,2)&gt;5,"Weekend","Weekday")</f>
        <v>Weekday</v>
      </c>
      <c r="R819" s="4" t="str">
        <f aca="false">IF(C819&lt;11,"Morning (7-10)",IF(C819&lt;14,"Lunch (11-13)",IF(C819&lt;18,"Afternoon (14-17)","Evening (18-20)")))</f>
        <v>Morning (7-10)</v>
      </c>
      <c r="S819" s="4" t="str">
        <f aca="false">IF(AND(O819&gt;=3,O819&lt;=5),"Hot Dry (Mar-May)",IF(AND(O819&gt;=6,O819&lt;=11),"Rainy (Jun-Nov)","Cool Dry (Dec-Feb)"))</f>
        <v>Rainy (Jun-Nov)</v>
      </c>
      <c r="T819" s="4" t="str">
        <f aca="false">CHOOSE(O819,"Jan","Feb","Mar","Apr","May","Jun","Jul","Aug","Sep","Oct","Nov","Dec")</f>
        <v>Jun</v>
      </c>
    </row>
    <row r="820" customFormat="false" ht="15" hidden="false" customHeight="false" outlineLevel="0" collapsed="false">
      <c r="A820" s="4" t="s">
        <v>1099</v>
      </c>
      <c r="B820" s="17" t="n">
        <v>45827</v>
      </c>
      <c r="C820" s="4" t="n">
        <v>13</v>
      </c>
      <c r="D820" s="4" t="s">
        <v>70</v>
      </c>
      <c r="E820" s="4" t="s">
        <v>99</v>
      </c>
      <c r="F820" s="4" t="s">
        <v>109</v>
      </c>
      <c r="G820" s="4" t="n">
        <v>2</v>
      </c>
      <c r="H820" s="34" t="n">
        <v>130</v>
      </c>
      <c r="I820" s="18" t="n">
        <v>0.05</v>
      </c>
      <c r="J820" s="4" t="s">
        <v>76</v>
      </c>
      <c r="K820" s="4" t="s">
        <v>82</v>
      </c>
      <c r="L820" s="35" t="n">
        <f aca="false">G820*H820</f>
        <v>260</v>
      </c>
      <c r="M820" s="35" t="n">
        <f aca="false">L820*I820</f>
        <v>13</v>
      </c>
      <c r="N820" s="35" t="n">
        <f aca="false">L820-M820</f>
        <v>247</v>
      </c>
      <c r="O820" s="4" t="n">
        <f aca="false">MONTH(B820)</f>
        <v>6</v>
      </c>
      <c r="P820" s="4" t="str">
        <f aca="false">CHOOSE(WEEKDAY(B820,2),"Mon","Tue","Wed","Thu","Fri","Sat","Sun")</f>
        <v>Thu</v>
      </c>
      <c r="Q820" s="4" t="str">
        <f aca="false">IF(WEEKDAY(B820,2)&gt;5,"Weekend","Weekday")</f>
        <v>Weekday</v>
      </c>
      <c r="R820" s="4" t="str">
        <f aca="false">IF(C820&lt;11,"Morning (7-10)",IF(C820&lt;14,"Lunch (11-13)",IF(C820&lt;18,"Afternoon (14-17)","Evening (18-20)")))</f>
        <v>Lunch (11-13)</v>
      </c>
      <c r="S820" s="4" t="str">
        <f aca="false">IF(AND(O820&gt;=3,O820&lt;=5),"Hot Dry (Mar-May)",IF(AND(O820&gt;=6,O820&lt;=11),"Rainy (Jun-Nov)","Cool Dry (Dec-Feb)"))</f>
        <v>Rainy (Jun-Nov)</v>
      </c>
      <c r="T820" s="4" t="str">
        <f aca="false">CHOOSE(O820,"Jan","Feb","Mar","Apr","May","Jun","Jul","Aug","Sep","Oct","Nov","Dec")</f>
        <v>Jun</v>
      </c>
    </row>
    <row r="821" customFormat="false" ht="15" hidden="false" customHeight="false" outlineLevel="0" collapsed="false">
      <c r="A821" s="4" t="s">
        <v>1100</v>
      </c>
      <c r="B821" s="17" t="n">
        <v>45827</v>
      </c>
      <c r="C821" s="4" t="n">
        <v>19</v>
      </c>
      <c r="D821" s="4" t="s">
        <v>73</v>
      </c>
      <c r="E821" s="4" t="s">
        <v>65</v>
      </c>
      <c r="F821" s="4" t="s">
        <v>66</v>
      </c>
      <c r="G821" s="4" t="n">
        <v>3</v>
      </c>
      <c r="H821" s="34" t="n">
        <v>120</v>
      </c>
      <c r="I821" s="18" t="n">
        <v>0</v>
      </c>
      <c r="J821" s="4" t="s">
        <v>76</v>
      </c>
      <c r="K821" s="4" t="s">
        <v>68</v>
      </c>
      <c r="L821" s="35" t="n">
        <f aca="false">G821*H821</f>
        <v>360</v>
      </c>
      <c r="M821" s="35" t="n">
        <f aca="false">L821*I821</f>
        <v>0</v>
      </c>
      <c r="N821" s="35" t="n">
        <f aca="false">L821-M821</f>
        <v>360</v>
      </c>
      <c r="O821" s="4" t="n">
        <f aca="false">MONTH(B821)</f>
        <v>6</v>
      </c>
      <c r="P821" s="4" t="str">
        <f aca="false">CHOOSE(WEEKDAY(B821,2),"Mon","Tue","Wed","Thu","Fri","Sat","Sun")</f>
        <v>Thu</v>
      </c>
      <c r="Q821" s="4" t="str">
        <f aca="false">IF(WEEKDAY(B821,2)&gt;5,"Weekend","Weekday")</f>
        <v>Weekday</v>
      </c>
      <c r="R821" s="4" t="str">
        <f aca="false">IF(C821&lt;11,"Morning (7-10)",IF(C821&lt;14,"Lunch (11-13)",IF(C821&lt;18,"Afternoon (14-17)","Evening (18-20)")))</f>
        <v>Evening (18-20)</v>
      </c>
      <c r="S821" s="4" t="str">
        <f aca="false">IF(AND(O821&gt;=3,O821&lt;=5),"Hot Dry (Mar-May)",IF(AND(O821&gt;=6,O821&lt;=11),"Rainy (Jun-Nov)","Cool Dry (Dec-Feb)"))</f>
        <v>Rainy (Jun-Nov)</v>
      </c>
      <c r="T821" s="4" t="str">
        <f aca="false">CHOOSE(O821,"Jan","Feb","Mar","Apr","May","Jun","Jul","Aug","Sep","Oct","Nov","Dec")</f>
        <v>Jun</v>
      </c>
    </row>
    <row r="822" customFormat="false" ht="15" hidden="false" customHeight="false" outlineLevel="0" collapsed="false">
      <c r="A822" s="4" t="s">
        <v>1101</v>
      </c>
      <c r="B822" s="17" t="n">
        <v>45828</v>
      </c>
      <c r="C822" s="4" t="n">
        <v>9</v>
      </c>
      <c r="D822" s="4" t="s">
        <v>73</v>
      </c>
      <c r="E822" s="4" t="s">
        <v>79</v>
      </c>
      <c r="F822" s="4" t="s">
        <v>135</v>
      </c>
      <c r="G822" s="4" t="n">
        <v>2</v>
      </c>
      <c r="H822" s="34" t="n">
        <v>130</v>
      </c>
      <c r="I822" s="18" t="n">
        <v>0</v>
      </c>
      <c r="J822" s="4" t="s">
        <v>88</v>
      </c>
      <c r="K822" s="4" t="s">
        <v>68</v>
      </c>
      <c r="L822" s="35" t="n">
        <f aca="false">G822*H822</f>
        <v>260</v>
      </c>
      <c r="M822" s="35" t="n">
        <f aca="false">L822*I822</f>
        <v>0</v>
      </c>
      <c r="N822" s="35" t="n">
        <f aca="false">L822-M822</f>
        <v>260</v>
      </c>
      <c r="O822" s="4" t="n">
        <f aca="false">MONTH(B822)</f>
        <v>6</v>
      </c>
      <c r="P822" s="4" t="str">
        <f aca="false">CHOOSE(WEEKDAY(B822,2),"Mon","Tue","Wed","Thu","Fri","Sat","Sun")</f>
        <v>Fri</v>
      </c>
      <c r="Q822" s="4" t="str">
        <f aca="false">IF(WEEKDAY(B822,2)&gt;5,"Weekend","Weekday")</f>
        <v>Weekday</v>
      </c>
      <c r="R822" s="4" t="str">
        <f aca="false">IF(C822&lt;11,"Morning (7-10)",IF(C822&lt;14,"Lunch (11-13)",IF(C822&lt;18,"Afternoon (14-17)","Evening (18-20)")))</f>
        <v>Morning (7-10)</v>
      </c>
      <c r="S822" s="4" t="str">
        <f aca="false">IF(AND(O822&gt;=3,O822&lt;=5),"Hot Dry (Mar-May)",IF(AND(O822&gt;=6,O822&lt;=11),"Rainy (Jun-Nov)","Cool Dry (Dec-Feb)"))</f>
        <v>Rainy (Jun-Nov)</v>
      </c>
      <c r="T822" s="4" t="str">
        <f aca="false">CHOOSE(O822,"Jan","Feb","Mar","Apr","May","Jun","Jul","Aug","Sep","Oct","Nov","Dec")</f>
        <v>Jun</v>
      </c>
    </row>
    <row r="823" customFormat="false" ht="15" hidden="false" customHeight="false" outlineLevel="0" collapsed="false">
      <c r="A823" s="4" t="s">
        <v>1103</v>
      </c>
      <c r="B823" s="17" t="n">
        <v>45828</v>
      </c>
      <c r="C823" s="4" t="n">
        <v>9</v>
      </c>
      <c r="D823" s="4" t="s">
        <v>64</v>
      </c>
      <c r="E823" s="4" t="s">
        <v>65</v>
      </c>
      <c r="F823" s="4" t="s">
        <v>87</v>
      </c>
      <c r="G823" s="4" t="n">
        <v>4</v>
      </c>
      <c r="H823" s="34" t="n">
        <v>160</v>
      </c>
      <c r="I823" s="18" t="n">
        <v>0</v>
      </c>
      <c r="J823" s="4" t="s">
        <v>67</v>
      </c>
      <c r="K823" s="4" t="s">
        <v>68</v>
      </c>
      <c r="L823" s="35" t="n">
        <f aca="false">G823*H823</f>
        <v>640</v>
      </c>
      <c r="M823" s="35" t="n">
        <f aca="false">L823*I823</f>
        <v>0</v>
      </c>
      <c r="N823" s="35" t="n">
        <f aca="false">L823-M823</f>
        <v>640</v>
      </c>
      <c r="O823" s="4" t="n">
        <f aca="false">MONTH(B823)</f>
        <v>6</v>
      </c>
      <c r="P823" s="4" t="str">
        <f aca="false">CHOOSE(WEEKDAY(B823,2),"Mon","Tue","Wed","Thu","Fri","Sat","Sun")</f>
        <v>Fri</v>
      </c>
      <c r="Q823" s="4" t="str">
        <f aca="false">IF(WEEKDAY(B823,2)&gt;5,"Weekend","Weekday")</f>
        <v>Weekday</v>
      </c>
      <c r="R823" s="4" t="str">
        <f aca="false">IF(C823&lt;11,"Morning (7-10)",IF(C823&lt;14,"Lunch (11-13)",IF(C823&lt;18,"Afternoon (14-17)","Evening (18-20)")))</f>
        <v>Morning (7-10)</v>
      </c>
      <c r="S823" s="4" t="str">
        <f aca="false">IF(AND(O823&gt;=3,O823&lt;=5),"Hot Dry (Mar-May)",IF(AND(O823&gt;=6,O823&lt;=11),"Rainy (Jun-Nov)","Cool Dry (Dec-Feb)"))</f>
        <v>Rainy (Jun-Nov)</v>
      </c>
      <c r="T823" s="4" t="str">
        <f aca="false">CHOOSE(O823,"Jan","Feb","Mar","Apr","May","Jun","Jul","Aug","Sep","Oct","Nov","Dec")</f>
        <v>Jun</v>
      </c>
    </row>
    <row r="824" customFormat="false" ht="15" hidden="false" customHeight="false" outlineLevel="0" collapsed="false">
      <c r="A824" s="4" t="s">
        <v>1104</v>
      </c>
      <c r="B824" s="17" t="n">
        <v>45828</v>
      </c>
      <c r="C824" s="4" t="n">
        <v>9</v>
      </c>
      <c r="D824" s="4" t="s">
        <v>98</v>
      </c>
      <c r="E824" s="4" t="s">
        <v>79</v>
      </c>
      <c r="F824" s="4" t="s">
        <v>80</v>
      </c>
      <c r="G824" s="4" t="n">
        <v>1</v>
      </c>
      <c r="H824" s="34" t="n">
        <v>160</v>
      </c>
      <c r="I824" s="18" t="n">
        <v>0.1</v>
      </c>
      <c r="J824" s="4" t="s">
        <v>81</v>
      </c>
      <c r="K824" s="4" t="s">
        <v>2289</v>
      </c>
      <c r="L824" s="35" t="n">
        <f aca="false">G824*H824</f>
        <v>160</v>
      </c>
      <c r="M824" s="35" t="n">
        <f aca="false">L824*I824</f>
        <v>16</v>
      </c>
      <c r="N824" s="35" t="n">
        <f aca="false">L824-M824</f>
        <v>144</v>
      </c>
      <c r="O824" s="4" t="n">
        <f aca="false">MONTH(B824)</f>
        <v>6</v>
      </c>
      <c r="P824" s="4" t="str">
        <f aca="false">CHOOSE(WEEKDAY(B824,2),"Mon","Tue","Wed","Thu","Fri","Sat","Sun")</f>
        <v>Fri</v>
      </c>
      <c r="Q824" s="4" t="str">
        <f aca="false">IF(WEEKDAY(B824,2)&gt;5,"Weekend","Weekday")</f>
        <v>Weekday</v>
      </c>
      <c r="R824" s="4" t="str">
        <f aca="false">IF(C824&lt;11,"Morning (7-10)",IF(C824&lt;14,"Lunch (11-13)",IF(C824&lt;18,"Afternoon (14-17)","Evening (18-20)")))</f>
        <v>Morning (7-10)</v>
      </c>
      <c r="S824" s="4" t="str">
        <f aca="false">IF(AND(O824&gt;=3,O824&lt;=5),"Hot Dry (Mar-May)",IF(AND(O824&gt;=6,O824&lt;=11),"Rainy (Jun-Nov)","Cool Dry (Dec-Feb)"))</f>
        <v>Rainy (Jun-Nov)</v>
      </c>
      <c r="T824" s="4" t="str">
        <f aca="false">CHOOSE(O824,"Jan","Feb","Mar","Apr","May","Jun","Jul","Aug","Sep","Oct","Nov","Dec")</f>
        <v>Jun</v>
      </c>
    </row>
    <row r="825" customFormat="false" ht="15" hidden="false" customHeight="false" outlineLevel="0" collapsed="false">
      <c r="A825" s="4" t="s">
        <v>1105</v>
      </c>
      <c r="B825" s="17" t="n">
        <v>45828</v>
      </c>
      <c r="C825" s="4" t="n">
        <v>12</v>
      </c>
      <c r="D825" s="4" t="s">
        <v>70</v>
      </c>
      <c r="E825" s="4" t="s">
        <v>84</v>
      </c>
      <c r="F825" s="4" t="s">
        <v>117</v>
      </c>
      <c r="G825" s="4" t="n">
        <v>1</v>
      </c>
      <c r="H825" s="34" t="n">
        <v>95</v>
      </c>
      <c r="I825" s="18" t="n">
        <v>0.05</v>
      </c>
      <c r="J825" s="4" t="s">
        <v>88</v>
      </c>
      <c r="K825" s="4" t="s">
        <v>82</v>
      </c>
      <c r="L825" s="35" t="n">
        <f aca="false">G825*H825</f>
        <v>95</v>
      </c>
      <c r="M825" s="35" t="n">
        <f aca="false">L825*I825</f>
        <v>4.75</v>
      </c>
      <c r="N825" s="35" t="n">
        <f aca="false">L825-M825</f>
        <v>90.25</v>
      </c>
      <c r="O825" s="4" t="n">
        <f aca="false">MONTH(B825)</f>
        <v>6</v>
      </c>
      <c r="P825" s="4" t="str">
        <f aca="false">CHOOSE(WEEKDAY(B825,2),"Mon","Tue","Wed","Thu","Fri","Sat","Sun")</f>
        <v>Fri</v>
      </c>
      <c r="Q825" s="4" t="str">
        <f aca="false">IF(WEEKDAY(B825,2)&gt;5,"Weekend","Weekday")</f>
        <v>Weekday</v>
      </c>
      <c r="R825" s="4" t="str">
        <f aca="false">IF(C825&lt;11,"Morning (7-10)",IF(C825&lt;14,"Lunch (11-13)",IF(C825&lt;18,"Afternoon (14-17)","Evening (18-20)")))</f>
        <v>Lunch (11-13)</v>
      </c>
      <c r="S825" s="4" t="str">
        <f aca="false">IF(AND(O825&gt;=3,O825&lt;=5),"Hot Dry (Mar-May)",IF(AND(O825&gt;=6,O825&lt;=11),"Rainy (Jun-Nov)","Cool Dry (Dec-Feb)"))</f>
        <v>Rainy (Jun-Nov)</v>
      </c>
      <c r="T825" s="4" t="str">
        <f aca="false">CHOOSE(O825,"Jan","Feb","Mar","Apr","May","Jun","Jul","Aug","Sep","Oct","Nov","Dec")</f>
        <v>Jun</v>
      </c>
    </row>
    <row r="826" customFormat="false" ht="15" hidden="false" customHeight="false" outlineLevel="0" collapsed="false">
      <c r="A826" s="4" t="s">
        <v>1107</v>
      </c>
      <c r="B826" s="17" t="n">
        <v>45828</v>
      </c>
      <c r="C826" s="4" t="n">
        <v>13</v>
      </c>
      <c r="D826" s="4" t="s">
        <v>70</v>
      </c>
      <c r="E826" s="4" t="s">
        <v>84</v>
      </c>
      <c r="F826" s="4" t="s">
        <v>85</v>
      </c>
      <c r="G826" s="4" t="n">
        <v>1</v>
      </c>
      <c r="H826" s="34" t="n">
        <v>150</v>
      </c>
      <c r="I826" s="18" t="n">
        <v>0</v>
      </c>
      <c r="J826" s="4" t="s">
        <v>76</v>
      </c>
      <c r="K826" s="4" t="s">
        <v>68</v>
      </c>
      <c r="L826" s="35" t="n">
        <f aca="false">G826*H826</f>
        <v>150</v>
      </c>
      <c r="M826" s="35" t="n">
        <f aca="false">L826*I826</f>
        <v>0</v>
      </c>
      <c r="N826" s="35" t="n">
        <f aca="false">L826-M826</f>
        <v>150</v>
      </c>
      <c r="O826" s="4" t="n">
        <f aca="false">MONTH(B826)</f>
        <v>6</v>
      </c>
      <c r="P826" s="4" t="str">
        <f aca="false">CHOOSE(WEEKDAY(B826,2),"Mon","Tue","Wed","Thu","Fri","Sat","Sun")</f>
        <v>Fri</v>
      </c>
      <c r="Q826" s="4" t="str">
        <f aca="false">IF(WEEKDAY(B826,2)&gt;5,"Weekend","Weekday")</f>
        <v>Weekday</v>
      </c>
      <c r="R826" s="4" t="str">
        <f aca="false">IF(C826&lt;11,"Morning (7-10)",IF(C826&lt;14,"Lunch (11-13)",IF(C826&lt;18,"Afternoon (14-17)","Evening (18-20)")))</f>
        <v>Lunch (11-13)</v>
      </c>
      <c r="S826" s="4" t="str">
        <f aca="false">IF(AND(O826&gt;=3,O826&lt;=5),"Hot Dry (Mar-May)",IF(AND(O826&gt;=6,O826&lt;=11),"Rainy (Jun-Nov)","Cool Dry (Dec-Feb)"))</f>
        <v>Rainy (Jun-Nov)</v>
      </c>
      <c r="T826" s="4" t="str">
        <f aca="false">CHOOSE(O826,"Jan","Feb","Mar","Apr","May","Jun","Jul","Aug","Sep","Oct","Nov","Dec")</f>
        <v>Jun</v>
      </c>
    </row>
    <row r="827" customFormat="false" ht="15" hidden="false" customHeight="false" outlineLevel="0" collapsed="false">
      <c r="A827" s="4" t="s">
        <v>1108</v>
      </c>
      <c r="B827" s="17" t="n">
        <v>45829</v>
      </c>
      <c r="C827" s="4" t="n">
        <v>11</v>
      </c>
      <c r="D827" s="4" t="s">
        <v>98</v>
      </c>
      <c r="E827" s="4" t="s">
        <v>84</v>
      </c>
      <c r="F827" s="4" t="s">
        <v>106</v>
      </c>
      <c r="G827" s="4" t="n">
        <v>2</v>
      </c>
      <c r="H827" s="34" t="n">
        <v>60</v>
      </c>
      <c r="I827" s="18" t="n">
        <v>0.1</v>
      </c>
      <c r="J827" s="4" t="s">
        <v>67</v>
      </c>
      <c r="K827" s="4" t="s">
        <v>71</v>
      </c>
      <c r="L827" s="35" t="n">
        <f aca="false">G827*H827</f>
        <v>120</v>
      </c>
      <c r="M827" s="35" t="n">
        <f aca="false">L827*I827</f>
        <v>12</v>
      </c>
      <c r="N827" s="35" t="n">
        <f aca="false">L827-M827</f>
        <v>108</v>
      </c>
      <c r="O827" s="4" t="n">
        <f aca="false">MONTH(B827)</f>
        <v>6</v>
      </c>
      <c r="P827" s="4" t="str">
        <f aca="false">CHOOSE(WEEKDAY(B827,2),"Mon","Tue","Wed","Thu","Fri","Sat","Sun")</f>
        <v>Sat</v>
      </c>
      <c r="Q827" s="4" t="str">
        <f aca="false">IF(WEEKDAY(B827,2)&gt;5,"Weekend","Weekday")</f>
        <v>Weekend</v>
      </c>
      <c r="R827" s="4" t="str">
        <f aca="false">IF(C827&lt;11,"Morning (7-10)",IF(C827&lt;14,"Lunch (11-13)",IF(C827&lt;18,"Afternoon (14-17)","Evening (18-20)")))</f>
        <v>Lunch (11-13)</v>
      </c>
      <c r="S827" s="4" t="str">
        <f aca="false">IF(AND(O827&gt;=3,O827&lt;=5),"Hot Dry (Mar-May)",IF(AND(O827&gt;=6,O827&lt;=11),"Rainy (Jun-Nov)","Cool Dry (Dec-Feb)"))</f>
        <v>Rainy (Jun-Nov)</v>
      </c>
      <c r="T827" s="4" t="str">
        <f aca="false">CHOOSE(O827,"Jan","Feb","Mar","Apr","May","Jun","Jul","Aug","Sep","Oct","Nov","Dec")</f>
        <v>Jun</v>
      </c>
    </row>
    <row r="828" customFormat="false" ht="15" hidden="false" customHeight="false" outlineLevel="0" collapsed="false">
      <c r="A828" s="4" t="s">
        <v>1110</v>
      </c>
      <c r="B828" s="17" t="n">
        <v>45830</v>
      </c>
      <c r="C828" s="4" t="n">
        <v>10</v>
      </c>
      <c r="D828" s="4" t="s">
        <v>70</v>
      </c>
      <c r="E828" s="4" t="s">
        <v>84</v>
      </c>
      <c r="F828" s="4" t="s">
        <v>117</v>
      </c>
      <c r="G828" s="4" t="n">
        <v>1</v>
      </c>
      <c r="H828" s="34" t="n">
        <v>95</v>
      </c>
      <c r="I828" s="18" t="n">
        <v>0</v>
      </c>
      <c r="J828" s="4" t="s">
        <v>67</v>
      </c>
      <c r="K828" s="4" t="s">
        <v>77</v>
      </c>
      <c r="L828" s="35" t="n">
        <f aca="false">G828*H828</f>
        <v>95</v>
      </c>
      <c r="M828" s="35" t="n">
        <f aca="false">L828*I828</f>
        <v>0</v>
      </c>
      <c r="N828" s="35" t="n">
        <f aca="false">L828-M828</f>
        <v>95</v>
      </c>
      <c r="O828" s="4" t="n">
        <f aca="false">MONTH(B828)</f>
        <v>6</v>
      </c>
      <c r="P828" s="4" t="str">
        <f aca="false">CHOOSE(WEEKDAY(B828,2),"Mon","Tue","Wed","Thu","Fri","Sat","Sun")</f>
        <v>Sun</v>
      </c>
      <c r="Q828" s="4" t="str">
        <f aca="false">IF(WEEKDAY(B828,2)&gt;5,"Weekend","Weekday")</f>
        <v>Weekend</v>
      </c>
      <c r="R828" s="4" t="str">
        <f aca="false">IF(C828&lt;11,"Morning (7-10)",IF(C828&lt;14,"Lunch (11-13)",IF(C828&lt;18,"Afternoon (14-17)","Evening (18-20)")))</f>
        <v>Morning (7-10)</v>
      </c>
      <c r="S828" s="4" t="str">
        <f aca="false">IF(AND(O828&gt;=3,O828&lt;=5),"Hot Dry (Mar-May)",IF(AND(O828&gt;=6,O828&lt;=11),"Rainy (Jun-Nov)","Cool Dry (Dec-Feb)"))</f>
        <v>Rainy (Jun-Nov)</v>
      </c>
      <c r="T828" s="4" t="str">
        <f aca="false">CHOOSE(O828,"Jan","Feb","Mar","Apr","May","Jun","Jul","Aug","Sep","Oct","Nov","Dec")</f>
        <v>Jun</v>
      </c>
    </row>
    <row r="829" customFormat="false" ht="15" hidden="false" customHeight="false" outlineLevel="0" collapsed="false">
      <c r="A829" s="4" t="s">
        <v>1111</v>
      </c>
      <c r="B829" s="17" t="n">
        <v>45830</v>
      </c>
      <c r="C829" s="4" t="n">
        <v>12</v>
      </c>
      <c r="D829" s="4" t="s">
        <v>70</v>
      </c>
      <c r="E829" s="4" t="s">
        <v>65</v>
      </c>
      <c r="F829" s="4" t="s">
        <v>94</v>
      </c>
      <c r="G829" s="4" t="n">
        <v>1</v>
      </c>
      <c r="H829" s="34" t="n">
        <v>150</v>
      </c>
      <c r="I829" s="18" t="n">
        <v>0</v>
      </c>
      <c r="J829" s="4" t="s">
        <v>76</v>
      </c>
      <c r="K829" s="4" t="s">
        <v>68</v>
      </c>
      <c r="L829" s="35" t="n">
        <f aca="false">G829*H829</f>
        <v>150</v>
      </c>
      <c r="M829" s="35" t="n">
        <f aca="false">L829*I829</f>
        <v>0</v>
      </c>
      <c r="N829" s="35" t="n">
        <f aca="false">L829-M829</f>
        <v>150</v>
      </c>
      <c r="O829" s="4" t="n">
        <f aca="false">MONTH(B829)</f>
        <v>6</v>
      </c>
      <c r="P829" s="4" t="str">
        <f aca="false">CHOOSE(WEEKDAY(B829,2),"Mon","Tue","Wed","Thu","Fri","Sat","Sun")</f>
        <v>Sun</v>
      </c>
      <c r="Q829" s="4" t="str">
        <f aca="false">IF(WEEKDAY(B829,2)&gt;5,"Weekend","Weekday")</f>
        <v>Weekend</v>
      </c>
      <c r="R829" s="4" t="str">
        <f aca="false">IF(C829&lt;11,"Morning (7-10)",IF(C829&lt;14,"Lunch (11-13)",IF(C829&lt;18,"Afternoon (14-17)","Evening (18-20)")))</f>
        <v>Lunch (11-13)</v>
      </c>
      <c r="S829" s="4" t="str">
        <f aca="false">IF(AND(O829&gt;=3,O829&lt;=5),"Hot Dry (Mar-May)",IF(AND(O829&gt;=6,O829&lt;=11),"Rainy (Jun-Nov)","Cool Dry (Dec-Feb)"))</f>
        <v>Rainy (Jun-Nov)</v>
      </c>
      <c r="T829" s="4" t="str">
        <f aca="false">CHOOSE(O829,"Jan","Feb","Mar","Apr","May","Jun","Jul","Aug","Sep","Oct","Nov","Dec")</f>
        <v>Jun</v>
      </c>
    </row>
    <row r="830" customFormat="false" ht="15" hidden="false" customHeight="false" outlineLevel="0" collapsed="false">
      <c r="A830" s="4" t="s">
        <v>1112</v>
      </c>
      <c r="B830" s="17" t="n">
        <v>45830</v>
      </c>
      <c r="C830" s="4" t="n">
        <v>13</v>
      </c>
      <c r="D830" s="4" t="s">
        <v>64</v>
      </c>
      <c r="E830" s="4" t="s">
        <v>84</v>
      </c>
      <c r="F830" s="4" t="s">
        <v>106</v>
      </c>
      <c r="G830" s="4" t="n">
        <v>1</v>
      </c>
      <c r="H830" s="34" t="n">
        <v>60</v>
      </c>
      <c r="I830" s="18" t="n">
        <v>0</v>
      </c>
      <c r="J830" s="4" t="s">
        <v>67</v>
      </c>
      <c r="K830" s="4" t="s">
        <v>2289</v>
      </c>
      <c r="L830" s="35" t="n">
        <f aca="false">G830*H830</f>
        <v>60</v>
      </c>
      <c r="M830" s="35" t="n">
        <f aca="false">L830*I830</f>
        <v>0</v>
      </c>
      <c r="N830" s="35" t="n">
        <f aca="false">L830-M830</f>
        <v>60</v>
      </c>
      <c r="O830" s="4" t="n">
        <f aca="false">MONTH(B830)</f>
        <v>6</v>
      </c>
      <c r="P830" s="4" t="str">
        <f aca="false">CHOOSE(WEEKDAY(B830,2),"Mon","Tue","Wed","Thu","Fri","Sat","Sun")</f>
        <v>Sun</v>
      </c>
      <c r="Q830" s="4" t="str">
        <f aca="false">IF(WEEKDAY(B830,2)&gt;5,"Weekend","Weekday")</f>
        <v>Weekend</v>
      </c>
      <c r="R830" s="4" t="str">
        <f aca="false">IF(C830&lt;11,"Morning (7-10)",IF(C830&lt;14,"Lunch (11-13)",IF(C830&lt;18,"Afternoon (14-17)","Evening (18-20)")))</f>
        <v>Lunch (11-13)</v>
      </c>
      <c r="S830" s="4" t="str">
        <f aca="false">IF(AND(O830&gt;=3,O830&lt;=5),"Hot Dry (Mar-May)",IF(AND(O830&gt;=6,O830&lt;=11),"Rainy (Jun-Nov)","Cool Dry (Dec-Feb)"))</f>
        <v>Rainy (Jun-Nov)</v>
      </c>
      <c r="T830" s="4" t="str">
        <f aca="false">CHOOSE(O830,"Jan","Feb","Mar","Apr","May","Jun","Jul","Aug","Sep","Oct","Nov","Dec")</f>
        <v>Jun</v>
      </c>
    </row>
    <row r="831" customFormat="false" ht="15" hidden="false" customHeight="false" outlineLevel="0" collapsed="false">
      <c r="A831" s="4" t="s">
        <v>1113</v>
      </c>
      <c r="B831" s="17" t="n">
        <v>45830</v>
      </c>
      <c r="C831" s="4" t="n">
        <v>15</v>
      </c>
      <c r="D831" s="4" t="s">
        <v>70</v>
      </c>
      <c r="E831" s="4" t="s">
        <v>79</v>
      </c>
      <c r="F831" s="4" t="s">
        <v>80</v>
      </c>
      <c r="G831" s="4" t="n">
        <v>1</v>
      </c>
      <c r="H831" s="34" t="n">
        <v>160</v>
      </c>
      <c r="I831" s="18" t="n">
        <v>0</v>
      </c>
      <c r="J831" s="4" t="s">
        <v>76</v>
      </c>
      <c r="K831" s="4" t="s">
        <v>68</v>
      </c>
      <c r="L831" s="35" t="n">
        <f aca="false">G831*H831</f>
        <v>160</v>
      </c>
      <c r="M831" s="35" t="n">
        <f aca="false">L831*I831</f>
        <v>0</v>
      </c>
      <c r="N831" s="35" t="n">
        <f aca="false">L831-M831</f>
        <v>160</v>
      </c>
      <c r="O831" s="4" t="n">
        <f aca="false">MONTH(B831)</f>
        <v>6</v>
      </c>
      <c r="P831" s="4" t="str">
        <f aca="false">CHOOSE(WEEKDAY(B831,2),"Mon","Tue","Wed","Thu","Fri","Sat","Sun")</f>
        <v>Sun</v>
      </c>
      <c r="Q831" s="4" t="str">
        <f aca="false">IF(WEEKDAY(B831,2)&gt;5,"Weekend","Weekday")</f>
        <v>Weekend</v>
      </c>
      <c r="R831" s="4" t="str">
        <f aca="false">IF(C831&lt;11,"Morning (7-10)",IF(C831&lt;14,"Lunch (11-13)",IF(C831&lt;18,"Afternoon (14-17)","Evening (18-20)")))</f>
        <v>Afternoon (14-17)</v>
      </c>
      <c r="S831" s="4" t="str">
        <f aca="false">IF(AND(O831&gt;=3,O831&lt;=5),"Hot Dry (Mar-May)",IF(AND(O831&gt;=6,O831&lt;=11),"Rainy (Jun-Nov)","Cool Dry (Dec-Feb)"))</f>
        <v>Rainy (Jun-Nov)</v>
      </c>
      <c r="T831" s="4" t="str">
        <f aca="false">CHOOSE(O831,"Jan","Feb","Mar","Apr","May","Jun","Jul","Aug","Sep","Oct","Nov","Dec")</f>
        <v>Jun</v>
      </c>
    </row>
    <row r="832" customFormat="false" ht="15" hidden="false" customHeight="false" outlineLevel="0" collapsed="false">
      <c r="A832" s="4" t="s">
        <v>1114</v>
      </c>
      <c r="B832" s="17" t="n">
        <v>45830</v>
      </c>
      <c r="C832" s="4" t="n">
        <v>16</v>
      </c>
      <c r="D832" s="4" t="s">
        <v>64</v>
      </c>
      <c r="E832" s="4" t="s">
        <v>99</v>
      </c>
      <c r="F832" s="4" t="s">
        <v>100</v>
      </c>
      <c r="G832" s="4" t="n">
        <v>2</v>
      </c>
      <c r="H832" s="34" t="n">
        <v>110</v>
      </c>
      <c r="I832" s="18" t="n">
        <v>0.1</v>
      </c>
      <c r="J832" s="4" t="s">
        <v>67</v>
      </c>
      <c r="K832" s="4" t="s">
        <v>71</v>
      </c>
      <c r="L832" s="35" t="n">
        <f aca="false">G832*H832</f>
        <v>220</v>
      </c>
      <c r="M832" s="35" t="n">
        <f aca="false">L832*I832</f>
        <v>22</v>
      </c>
      <c r="N832" s="35" t="n">
        <f aca="false">L832-M832</f>
        <v>198</v>
      </c>
      <c r="O832" s="4" t="n">
        <f aca="false">MONTH(B832)</f>
        <v>6</v>
      </c>
      <c r="P832" s="4" t="str">
        <f aca="false">CHOOSE(WEEKDAY(B832,2),"Mon","Tue","Wed","Thu","Fri","Sat","Sun")</f>
        <v>Sun</v>
      </c>
      <c r="Q832" s="4" t="str">
        <f aca="false">IF(WEEKDAY(B832,2)&gt;5,"Weekend","Weekday")</f>
        <v>Weekend</v>
      </c>
      <c r="R832" s="4" t="str">
        <f aca="false">IF(C832&lt;11,"Morning (7-10)",IF(C832&lt;14,"Lunch (11-13)",IF(C832&lt;18,"Afternoon (14-17)","Evening (18-20)")))</f>
        <v>Afternoon (14-17)</v>
      </c>
      <c r="S832" s="4" t="str">
        <f aca="false">IF(AND(O832&gt;=3,O832&lt;=5),"Hot Dry (Mar-May)",IF(AND(O832&gt;=6,O832&lt;=11),"Rainy (Jun-Nov)","Cool Dry (Dec-Feb)"))</f>
        <v>Rainy (Jun-Nov)</v>
      </c>
      <c r="T832" s="4" t="str">
        <f aca="false">CHOOSE(O832,"Jan","Feb","Mar","Apr","May","Jun","Jul","Aug","Sep","Oct","Nov","Dec")</f>
        <v>Jun</v>
      </c>
    </row>
    <row r="833" customFormat="false" ht="15" hidden="false" customHeight="false" outlineLevel="0" collapsed="false">
      <c r="A833" s="4" t="s">
        <v>1116</v>
      </c>
      <c r="B833" s="17" t="n">
        <v>45831</v>
      </c>
      <c r="C833" s="4" t="n">
        <v>8</v>
      </c>
      <c r="D833" s="4" t="s">
        <v>98</v>
      </c>
      <c r="E833" s="4" t="s">
        <v>99</v>
      </c>
      <c r="F833" s="4" t="s">
        <v>133</v>
      </c>
      <c r="G833" s="4" t="n">
        <v>1</v>
      </c>
      <c r="H833" s="34" t="n">
        <v>90</v>
      </c>
      <c r="I833" s="18" t="n">
        <v>0</v>
      </c>
      <c r="J833" s="4" t="s">
        <v>67</v>
      </c>
      <c r="K833" s="4" t="s">
        <v>68</v>
      </c>
      <c r="L833" s="35" t="n">
        <f aca="false">G833*H833</f>
        <v>90</v>
      </c>
      <c r="M833" s="35" t="n">
        <f aca="false">L833*I833</f>
        <v>0</v>
      </c>
      <c r="N833" s="35" t="n">
        <f aca="false">L833-M833</f>
        <v>90</v>
      </c>
      <c r="O833" s="4" t="n">
        <f aca="false">MONTH(B833)</f>
        <v>6</v>
      </c>
      <c r="P833" s="4" t="str">
        <f aca="false">CHOOSE(WEEKDAY(B833,2),"Mon","Tue","Wed","Thu","Fri","Sat","Sun")</f>
        <v>Mon</v>
      </c>
      <c r="Q833" s="4" t="str">
        <f aca="false">IF(WEEKDAY(B833,2)&gt;5,"Weekend","Weekday")</f>
        <v>Weekday</v>
      </c>
      <c r="R833" s="4" t="str">
        <f aca="false">IF(C833&lt;11,"Morning (7-10)",IF(C833&lt;14,"Lunch (11-13)",IF(C833&lt;18,"Afternoon (14-17)","Evening (18-20)")))</f>
        <v>Morning (7-10)</v>
      </c>
      <c r="S833" s="4" t="str">
        <f aca="false">IF(AND(O833&gt;=3,O833&lt;=5),"Hot Dry (Mar-May)",IF(AND(O833&gt;=6,O833&lt;=11),"Rainy (Jun-Nov)","Cool Dry (Dec-Feb)"))</f>
        <v>Rainy (Jun-Nov)</v>
      </c>
      <c r="T833" s="4" t="str">
        <f aca="false">CHOOSE(O833,"Jan","Feb","Mar","Apr","May","Jun","Jul","Aug","Sep","Oct","Nov","Dec")</f>
        <v>Jun</v>
      </c>
    </row>
    <row r="834" customFormat="false" ht="15" hidden="false" customHeight="false" outlineLevel="0" collapsed="false">
      <c r="A834" s="4" t="s">
        <v>1117</v>
      </c>
      <c r="B834" s="17" t="n">
        <v>45831</v>
      </c>
      <c r="C834" s="4" t="n">
        <v>9</v>
      </c>
      <c r="D834" s="4" t="s">
        <v>98</v>
      </c>
      <c r="E834" s="4" t="s">
        <v>99</v>
      </c>
      <c r="F834" s="4" t="s">
        <v>109</v>
      </c>
      <c r="G834" s="4" t="n">
        <v>1</v>
      </c>
      <c r="H834" s="34" t="n">
        <v>130</v>
      </c>
      <c r="I834" s="18" t="n">
        <v>0</v>
      </c>
      <c r="J834" s="4" t="s">
        <v>88</v>
      </c>
      <c r="K834" s="4" t="s">
        <v>68</v>
      </c>
      <c r="L834" s="35" t="n">
        <f aca="false">G834*H834</f>
        <v>130</v>
      </c>
      <c r="M834" s="35" t="n">
        <f aca="false">L834*I834</f>
        <v>0</v>
      </c>
      <c r="N834" s="35" t="n">
        <f aca="false">L834-M834</f>
        <v>130</v>
      </c>
      <c r="O834" s="4" t="n">
        <f aca="false">MONTH(B834)</f>
        <v>6</v>
      </c>
      <c r="P834" s="4" t="str">
        <f aca="false">CHOOSE(WEEKDAY(B834,2),"Mon","Tue","Wed","Thu","Fri","Sat","Sun")</f>
        <v>Mon</v>
      </c>
      <c r="Q834" s="4" t="str">
        <f aca="false">IF(WEEKDAY(B834,2)&gt;5,"Weekend","Weekday")</f>
        <v>Weekday</v>
      </c>
      <c r="R834" s="4" t="str">
        <f aca="false">IF(C834&lt;11,"Morning (7-10)",IF(C834&lt;14,"Lunch (11-13)",IF(C834&lt;18,"Afternoon (14-17)","Evening (18-20)")))</f>
        <v>Morning (7-10)</v>
      </c>
      <c r="S834" s="4" t="str">
        <f aca="false">IF(AND(O834&gt;=3,O834&lt;=5),"Hot Dry (Mar-May)",IF(AND(O834&gt;=6,O834&lt;=11),"Rainy (Jun-Nov)","Cool Dry (Dec-Feb)"))</f>
        <v>Rainy (Jun-Nov)</v>
      </c>
      <c r="T834" s="4" t="str">
        <f aca="false">CHOOSE(O834,"Jan","Feb","Mar","Apr","May","Jun","Jul","Aug","Sep","Oct","Nov","Dec")</f>
        <v>Jun</v>
      </c>
    </row>
    <row r="835" customFormat="false" ht="15" hidden="false" customHeight="false" outlineLevel="0" collapsed="false">
      <c r="A835" s="4" t="s">
        <v>1118</v>
      </c>
      <c r="B835" s="17" t="n">
        <v>45831</v>
      </c>
      <c r="C835" s="4" t="n">
        <v>15</v>
      </c>
      <c r="D835" s="4" t="s">
        <v>98</v>
      </c>
      <c r="E835" s="4" t="s">
        <v>84</v>
      </c>
      <c r="F835" s="4" t="s">
        <v>85</v>
      </c>
      <c r="G835" s="4" t="n">
        <v>1</v>
      </c>
      <c r="H835" s="34" t="n">
        <v>150</v>
      </c>
      <c r="I835" s="18" t="n">
        <v>0.1</v>
      </c>
      <c r="J835" s="4" t="s">
        <v>81</v>
      </c>
      <c r="K835" s="4" t="s">
        <v>71</v>
      </c>
      <c r="L835" s="35" t="n">
        <f aca="false">G835*H835</f>
        <v>150</v>
      </c>
      <c r="M835" s="35" t="n">
        <f aca="false">L835*I835</f>
        <v>15</v>
      </c>
      <c r="N835" s="35" t="n">
        <f aca="false">L835-M835</f>
        <v>135</v>
      </c>
      <c r="O835" s="4" t="n">
        <f aca="false">MONTH(B835)</f>
        <v>6</v>
      </c>
      <c r="P835" s="4" t="str">
        <f aca="false">CHOOSE(WEEKDAY(B835,2),"Mon","Tue","Wed","Thu","Fri","Sat","Sun")</f>
        <v>Mon</v>
      </c>
      <c r="Q835" s="4" t="str">
        <f aca="false">IF(WEEKDAY(B835,2)&gt;5,"Weekend","Weekday")</f>
        <v>Weekday</v>
      </c>
      <c r="R835" s="4" t="str">
        <f aca="false">IF(C835&lt;11,"Morning (7-10)",IF(C835&lt;14,"Lunch (11-13)",IF(C835&lt;18,"Afternoon (14-17)","Evening (18-20)")))</f>
        <v>Afternoon (14-17)</v>
      </c>
      <c r="S835" s="4" t="str">
        <f aca="false">IF(AND(O835&gt;=3,O835&lt;=5),"Hot Dry (Mar-May)",IF(AND(O835&gt;=6,O835&lt;=11),"Rainy (Jun-Nov)","Cool Dry (Dec-Feb)"))</f>
        <v>Rainy (Jun-Nov)</v>
      </c>
      <c r="T835" s="4" t="str">
        <f aca="false">CHOOSE(O835,"Jan","Feb","Mar","Apr","May","Jun","Jul","Aug","Sep","Oct","Nov","Dec")</f>
        <v>Jun</v>
      </c>
    </row>
    <row r="836" customFormat="false" ht="15" hidden="false" customHeight="false" outlineLevel="0" collapsed="false">
      <c r="A836" s="4" t="s">
        <v>1119</v>
      </c>
      <c r="B836" s="17" t="n">
        <v>45831</v>
      </c>
      <c r="C836" s="4" t="n">
        <v>16</v>
      </c>
      <c r="D836" s="4" t="s">
        <v>70</v>
      </c>
      <c r="E836" s="4" t="s">
        <v>79</v>
      </c>
      <c r="F836" s="4" t="s">
        <v>80</v>
      </c>
      <c r="G836" s="4" t="n">
        <v>2</v>
      </c>
      <c r="H836" s="34" t="n">
        <v>160</v>
      </c>
      <c r="I836" s="18" t="n">
        <v>0.05</v>
      </c>
      <c r="J836" s="4" t="s">
        <v>76</v>
      </c>
      <c r="K836" s="4" t="s">
        <v>82</v>
      </c>
      <c r="L836" s="35" t="n">
        <f aca="false">G836*H836</f>
        <v>320</v>
      </c>
      <c r="M836" s="35" t="n">
        <f aca="false">L836*I836</f>
        <v>16</v>
      </c>
      <c r="N836" s="35" t="n">
        <f aca="false">L836-M836</f>
        <v>304</v>
      </c>
      <c r="O836" s="4" t="n">
        <f aca="false">MONTH(B836)</f>
        <v>6</v>
      </c>
      <c r="P836" s="4" t="str">
        <f aca="false">CHOOSE(WEEKDAY(B836,2),"Mon","Tue","Wed","Thu","Fri","Sat","Sun")</f>
        <v>Mon</v>
      </c>
      <c r="Q836" s="4" t="str">
        <f aca="false">IF(WEEKDAY(B836,2)&gt;5,"Weekend","Weekday")</f>
        <v>Weekday</v>
      </c>
      <c r="R836" s="4" t="str">
        <f aca="false">IF(C836&lt;11,"Morning (7-10)",IF(C836&lt;14,"Lunch (11-13)",IF(C836&lt;18,"Afternoon (14-17)","Evening (18-20)")))</f>
        <v>Afternoon (14-17)</v>
      </c>
      <c r="S836" s="4" t="str">
        <f aca="false">IF(AND(O836&gt;=3,O836&lt;=5),"Hot Dry (Mar-May)",IF(AND(O836&gt;=6,O836&lt;=11),"Rainy (Jun-Nov)","Cool Dry (Dec-Feb)"))</f>
        <v>Rainy (Jun-Nov)</v>
      </c>
      <c r="T836" s="4" t="str">
        <f aca="false">CHOOSE(O836,"Jan","Feb","Mar","Apr","May","Jun","Jul","Aug","Sep","Oct","Nov","Dec")</f>
        <v>Jun</v>
      </c>
    </row>
    <row r="837" customFormat="false" ht="15" hidden="false" customHeight="false" outlineLevel="0" collapsed="false">
      <c r="A837" s="4" t="s">
        <v>1120</v>
      </c>
      <c r="B837" s="17" t="n">
        <v>45831</v>
      </c>
      <c r="C837" s="4" t="n">
        <v>16</v>
      </c>
      <c r="D837" s="4" t="s">
        <v>73</v>
      </c>
      <c r="E837" s="4" t="s">
        <v>65</v>
      </c>
      <c r="F837" s="4" t="s">
        <v>87</v>
      </c>
      <c r="G837" s="4" t="n">
        <v>2</v>
      </c>
      <c r="H837" s="34" t="n">
        <v>160</v>
      </c>
      <c r="I837" s="18" t="n">
        <v>0</v>
      </c>
      <c r="J837" s="4" t="s">
        <v>76</v>
      </c>
      <c r="K837" s="4" t="s">
        <v>77</v>
      </c>
      <c r="L837" s="35" t="n">
        <f aca="false">G837*H837</f>
        <v>320</v>
      </c>
      <c r="M837" s="35" t="n">
        <f aca="false">L837*I837</f>
        <v>0</v>
      </c>
      <c r="N837" s="35" t="n">
        <f aca="false">L837-M837</f>
        <v>320</v>
      </c>
      <c r="O837" s="4" t="n">
        <f aca="false">MONTH(B837)</f>
        <v>6</v>
      </c>
      <c r="P837" s="4" t="str">
        <f aca="false">CHOOSE(WEEKDAY(B837,2),"Mon","Tue","Wed","Thu","Fri","Sat","Sun")</f>
        <v>Mon</v>
      </c>
      <c r="Q837" s="4" t="str">
        <f aca="false">IF(WEEKDAY(B837,2)&gt;5,"Weekend","Weekday")</f>
        <v>Weekday</v>
      </c>
      <c r="R837" s="4" t="str">
        <f aca="false">IF(C837&lt;11,"Morning (7-10)",IF(C837&lt;14,"Lunch (11-13)",IF(C837&lt;18,"Afternoon (14-17)","Evening (18-20)")))</f>
        <v>Afternoon (14-17)</v>
      </c>
      <c r="S837" s="4" t="str">
        <f aca="false">IF(AND(O837&gt;=3,O837&lt;=5),"Hot Dry (Mar-May)",IF(AND(O837&gt;=6,O837&lt;=11),"Rainy (Jun-Nov)","Cool Dry (Dec-Feb)"))</f>
        <v>Rainy (Jun-Nov)</v>
      </c>
      <c r="T837" s="4" t="str">
        <f aca="false">CHOOSE(O837,"Jan","Feb","Mar","Apr","May","Jun","Jul","Aug","Sep","Oct","Nov","Dec")</f>
        <v>Jun</v>
      </c>
    </row>
    <row r="838" customFormat="false" ht="15" hidden="false" customHeight="false" outlineLevel="0" collapsed="false">
      <c r="A838" s="4" t="s">
        <v>1122</v>
      </c>
      <c r="B838" s="17" t="n">
        <v>45831</v>
      </c>
      <c r="C838" s="4" t="n">
        <v>17</v>
      </c>
      <c r="D838" s="4" t="s">
        <v>98</v>
      </c>
      <c r="E838" s="4" t="s">
        <v>65</v>
      </c>
      <c r="F838" s="4" t="s">
        <v>87</v>
      </c>
      <c r="G838" s="4" t="n">
        <v>2</v>
      </c>
      <c r="H838" s="34" t="n">
        <v>160</v>
      </c>
      <c r="I838" s="18" t="n">
        <v>0.05</v>
      </c>
      <c r="J838" s="4" t="s">
        <v>81</v>
      </c>
      <c r="K838" s="4" t="s">
        <v>82</v>
      </c>
      <c r="L838" s="35" t="n">
        <f aca="false">G838*H838</f>
        <v>320</v>
      </c>
      <c r="M838" s="35" t="n">
        <f aca="false">L838*I838</f>
        <v>16</v>
      </c>
      <c r="N838" s="35" t="n">
        <f aca="false">L838-M838</f>
        <v>304</v>
      </c>
      <c r="O838" s="4" t="n">
        <f aca="false">MONTH(B838)</f>
        <v>6</v>
      </c>
      <c r="P838" s="4" t="str">
        <f aca="false">CHOOSE(WEEKDAY(B838,2),"Mon","Tue","Wed","Thu","Fri","Sat","Sun")</f>
        <v>Mon</v>
      </c>
      <c r="Q838" s="4" t="str">
        <f aca="false">IF(WEEKDAY(B838,2)&gt;5,"Weekend","Weekday")</f>
        <v>Weekday</v>
      </c>
      <c r="R838" s="4" t="str">
        <f aca="false">IF(C838&lt;11,"Morning (7-10)",IF(C838&lt;14,"Lunch (11-13)",IF(C838&lt;18,"Afternoon (14-17)","Evening (18-20)")))</f>
        <v>Afternoon (14-17)</v>
      </c>
      <c r="S838" s="4" t="str">
        <f aca="false">IF(AND(O838&gt;=3,O838&lt;=5),"Hot Dry (Mar-May)",IF(AND(O838&gt;=6,O838&lt;=11),"Rainy (Jun-Nov)","Cool Dry (Dec-Feb)"))</f>
        <v>Rainy (Jun-Nov)</v>
      </c>
      <c r="T838" s="4" t="str">
        <f aca="false">CHOOSE(O838,"Jan","Feb","Mar","Apr","May","Jun","Jul","Aug","Sep","Oct","Nov","Dec")</f>
        <v>Jun</v>
      </c>
    </row>
    <row r="839" customFormat="false" ht="15" hidden="false" customHeight="false" outlineLevel="0" collapsed="false">
      <c r="A839" s="4" t="s">
        <v>1123</v>
      </c>
      <c r="B839" s="17" t="n">
        <v>45832</v>
      </c>
      <c r="C839" s="4" t="n">
        <v>12</v>
      </c>
      <c r="D839" s="4" t="s">
        <v>70</v>
      </c>
      <c r="E839" s="4" t="s">
        <v>74</v>
      </c>
      <c r="F839" s="4" t="s">
        <v>139</v>
      </c>
      <c r="G839" s="4" t="n">
        <v>2</v>
      </c>
      <c r="H839" s="34" t="n">
        <v>260</v>
      </c>
      <c r="I839" s="18" t="n">
        <v>0</v>
      </c>
      <c r="J839" s="4" t="s">
        <v>88</v>
      </c>
      <c r="K839" s="4" t="s">
        <v>77</v>
      </c>
      <c r="L839" s="35" t="n">
        <f aca="false">G839*H839</f>
        <v>520</v>
      </c>
      <c r="M839" s="35" t="n">
        <f aca="false">L839*I839</f>
        <v>0</v>
      </c>
      <c r="N839" s="35" t="n">
        <f aca="false">L839-M839</f>
        <v>520</v>
      </c>
      <c r="O839" s="4" t="n">
        <f aca="false">MONTH(B839)</f>
        <v>6</v>
      </c>
      <c r="P839" s="4" t="str">
        <f aca="false">CHOOSE(WEEKDAY(B839,2),"Mon","Tue","Wed","Thu","Fri","Sat","Sun")</f>
        <v>Tue</v>
      </c>
      <c r="Q839" s="4" t="str">
        <f aca="false">IF(WEEKDAY(B839,2)&gt;5,"Weekend","Weekday")</f>
        <v>Weekday</v>
      </c>
      <c r="R839" s="4" t="str">
        <f aca="false">IF(C839&lt;11,"Morning (7-10)",IF(C839&lt;14,"Lunch (11-13)",IF(C839&lt;18,"Afternoon (14-17)","Evening (18-20)")))</f>
        <v>Lunch (11-13)</v>
      </c>
      <c r="S839" s="4" t="str">
        <f aca="false">IF(AND(O839&gt;=3,O839&lt;=5),"Hot Dry (Mar-May)",IF(AND(O839&gt;=6,O839&lt;=11),"Rainy (Jun-Nov)","Cool Dry (Dec-Feb)"))</f>
        <v>Rainy (Jun-Nov)</v>
      </c>
      <c r="T839" s="4" t="str">
        <f aca="false">CHOOSE(O839,"Jan","Feb","Mar","Apr","May","Jun","Jul","Aug","Sep","Oct","Nov","Dec")</f>
        <v>Jun</v>
      </c>
    </row>
    <row r="840" customFormat="false" ht="15" hidden="false" customHeight="false" outlineLevel="0" collapsed="false">
      <c r="A840" s="4" t="s">
        <v>1124</v>
      </c>
      <c r="B840" s="17" t="n">
        <v>45832</v>
      </c>
      <c r="C840" s="4" t="n">
        <v>13</v>
      </c>
      <c r="D840" s="4" t="s">
        <v>98</v>
      </c>
      <c r="E840" s="4" t="s">
        <v>84</v>
      </c>
      <c r="F840" s="4" t="s">
        <v>114</v>
      </c>
      <c r="G840" s="4" t="n">
        <v>1</v>
      </c>
      <c r="H840" s="34" t="n">
        <v>85</v>
      </c>
      <c r="I840" s="18" t="n">
        <v>0</v>
      </c>
      <c r="J840" s="4" t="s">
        <v>81</v>
      </c>
      <c r="K840" s="4" t="s">
        <v>68</v>
      </c>
      <c r="L840" s="35" t="n">
        <f aca="false">G840*H840</f>
        <v>85</v>
      </c>
      <c r="M840" s="35" t="n">
        <f aca="false">L840*I840</f>
        <v>0</v>
      </c>
      <c r="N840" s="35" t="n">
        <f aca="false">L840-M840</f>
        <v>85</v>
      </c>
      <c r="O840" s="4" t="n">
        <f aca="false">MONTH(B840)</f>
        <v>6</v>
      </c>
      <c r="P840" s="4" t="str">
        <f aca="false">CHOOSE(WEEKDAY(B840,2),"Mon","Tue","Wed","Thu","Fri","Sat","Sun")</f>
        <v>Tue</v>
      </c>
      <c r="Q840" s="4" t="str">
        <f aca="false">IF(WEEKDAY(B840,2)&gt;5,"Weekend","Weekday")</f>
        <v>Weekday</v>
      </c>
      <c r="R840" s="4" t="str">
        <f aca="false">IF(C840&lt;11,"Morning (7-10)",IF(C840&lt;14,"Lunch (11-13)",IF(C840&lt;18,"Afternoon (14-17)","Evening (18-20)")))</f>
        <v>Lunch (11-13)</v>
      </c>
      <c r="S840" s="4" t="str">
        <f aca="false">IF(AND(O840&gt;=3,O840&lt;=5),"Hot Dry (Mar-May)",IF(AND(O840&gt;=6,O840&lt;=11),"Rainy (Jun-Nov)","Cool Dry (Dec-Feb)"))</f>
        <v>Rainy (Jun-Nov)</v>
      </c>
      <c r="T840" s="4" t="str">
        <f aca="false">CHOOSE(O840,"Jan","Feb","Mar","Apr","May","Jun","Jul","Aug","Sep","Oct","Nov","Dec")</f>
        <v>Jun</v>
      </c>
    </row>
    <row r="841" customFormat="false" ht="15" hidden="false" customHeight="false" outlineLevel="0" collapsed="false">
      <c r="A841" s="4" t="s">
        <v>1125</v>
      </c>
      <c r="B841" s="17" t="n">
        <v>45832</v>
      </c>
      <c r="C841" s="4" t="n">
        <v>13</v>
      </c>
      <c r="D841" s="4" t="s">
        <v>64</v>
      </c>
      <c r="E841" s="4" t="s">
        <v>99</v>
      </c>
      <c r="F841" s="4" t="s">
        <v>100</v>
      </c>
      <c r="G841" s="4" t="n">
        <v>1</v>
      </c>
      <c r="H841" s="34" t="n">
        <v>110</v>
      </c>
      <c r="I841" s="18" t="n">
        <v>0.05</v>
      </c>
      <c r="J841" s="4" t="s">
        <v>76</v>
      </c>
      <c r="K841" s="4" t="s">
        <v>82</v>
      </c>
      <c r="L841" s="35" t="n">
        <f aca="false">G841*H841</f>
        <v>110</v>
      </c>
      <c r="M841" s="35" t="n">
        <f aca="false">L841*I841</f>
        <v>5.5</v>
      </c>
      <c r="N841" s="35" t="n">
        <f aca="false">L841-M841</f>
        <v>104.5</v>
      </c>
      <c r="O841" s="4" t="n">
        <f aca="false">MONTH(B841)</f>
        <v>6</v>
      </c>
      <c r="P841" s="4" t="str">
        <f aca="false">CHOOSE(WEEKDAY(B841,2),"Mon","Tue","Wed","Thu","Fri","Sat","Sun")</f>
        <v>Tue</v>
      </c>
      <c r="Q841" s="4" t="str">
        <f aca="false">IF(WEEKDAY(B841,2)&gt;5,"Weekend","Weekday")</f>
        <v>Weekday</v>
      </c>
      <c r="R841" s="4" t="str">
        <f aca="false">IF(C841&lt;11,"Morning (7-10)",IF(C841&lt;14,"Lunch (11-13)",IF(C841&lt;18,"Afternoon (14-17)","Evening (18-20)")))</f>
        <v>Lunch (11-13)</v>
      </c>
      <c r="S841" s="4" t="str">
        <f aca="false">IF(AND(O841&gt;=3,O841&lt;=5),"Hot Dry (Mar-May)",IF(AND(O841&gt;=6,O841&lt;=11),"Rainy (Jun-Nov)","Cool Dry (Dec-Feb)"))</f>
        <v>Rainy (Jun-Nov)</v>
      </c>
      <c r="T841" s="4" t="str">
        <f aca="false">CHOOSE(O841,"Jan","Feb","Mar","Apr","May","Jun","Jul","Aug","Sep","Oct","Nov","Dec")</f>
        <v>Jun</v>
      </c>
    </row>
    <row r="842" customFormat="false" ht="15" hidden="false" customHeight="false" outlineLevel="0" collapsed="false">
      <c r="A842" s="4" t="s">
        <v>1126</v>
      </c>
      <c r="B842" s="17" t="n">
        <v>45833</v>
      </c>
      <c r="C842" s="4" t="n">
        <v>7</v>
      </c>
      <c r="D842" s="4" t="s">
        <v>70</v>
      </c>
      <c r="E842" s="4" t="s">
        <v>99</v>
      </c>
      <c r="F842" s="4" t="s">
        <v>102</v>
      </c>
      <c r="G842" s="4" t="n">
        <v>2</v>
      </c>
      <c r="H842" s="34" t="n">
        <v>140</v>
      </c>
      <c r="I842" s="18" t="n">
        <v>0.1</v>
      </c>
      <c r="J842" s="4" t="s">
        <v>76</v>
      </c>
      <c r="K842" s="4" t="s">
        <v>71</v>
      </c>
      <c r="L842" s="35" t="n">
        <f aca="false">G842*H842</f>
        <v>280</v>
      </c>
      <c r="M842" s="35" t="n">
        <f aca="false">L842*I842</f>
        <v>28</v>
      </c>
      <c r="N842" s="35" t="n">
        <f aca="false">L842-M842</f>
        <v>252</v>
      </c>
      <c r="O842" s="4" t="n">
        <f aca="false">MONTH(B842)</f>
        <v>6</v>
      </c>
      <c r="P842" s="4" t="str">
        <f aca="false">CHOOSE(WEEKDAY(B842,2),"Mon","Tue","Wed","Thu","Fri","Sat","Sun")</f>
        <v>Wed</v>
      </c>
      <c r="Q842" s="4" t="str">
        <f aca="false">IF(WEEKDAY(B842,2)&gt;5,"Weekend","Weekday")</f>
        <v>Weekday</v>
      </c>
      <c r="R842" s="4" t="str">
        <f aca="false">IF(C842&lt;11,"Morning (7-10)",IF(C842&lt;14,"Lunch (11-13)",IF(C842&lt;18,"Afternoon (14-17)","Evening (18-20)")))</f>
        <v>Morning (7-10)</v>
      </c>
      <c r="S842" s="4" t="str">
        <f aca="false">IF(AND(O842&gt;=3,O842&lt;=5),"Hot Dry (Mar-May)",IF(AND(O842&gt;=6,O842&lt;=11),"Rainy (Jun-Nov)","Cool Dry (Dec-Feb)"))</f>
        <v>Rainy (Jun-Nov)</v>
      </c>
      <c r="T842" s="4" t="str">
        <f aca="false">CHOOSE(O842,"Jan","Feb","Mar","Apr","May","Jun","Jul","Aug","Sep","Oct","Nov","Dec")</f>
        <v>Jun</v>
      </c>
    </row>
    <row r="843" customFormat="false" ht="15" hidden="false" customHeight="false" outlineLevel="0" collapsed="false">
      <c r="A843" s="4" t="s">
        <v>1127</v>
      </c>
      <c r="B843" s="17" t="n">
        <v>45833</v>
      </c>
      <c r="C843" s="4" t="n">
        <v>7</v>
      </c>
      <c r="D843" s="4" t="s">
        <v>70</v>
      </c>
      <c r="E843" s="4" t="s">
        <v>84</v>
      </c>
      <c r="F843" s="4" t="s">
        <v>106</v>
      </c>
      <c r="G843" s="4" t="n">
        <v>1</v>
      </c>
      <c r="H843" s="34" t="n">
        <v>60</v>
      </c>
      <c r="I843" s="18" t="n">
        <v>0</v>
      </c>
      <c r="J843" s="4" t="s">
        <v>67</v>
      </c>
      <c r="K843" s="4" t="s">
        <v>77</v>
      </c>
      <c r="L843" s="35" t="n">
        <f aca="false">G843*H843</f>
        <v>60</v>
      </c>
      <c r="M843" s="35" t="n">
        <f aca="false">L843*I843</f>
        <v>0</v>
      </c>
      <c r="N843" s="35" t="n">
        <f aca="false">L843-M843</f>
        <v>60</v>
      </c>
      <c r="O843" s="4" t="n">
        <f aca="false">MONTH(B843)</f>
        <v>6</v>
      </c>
      <c r="P843" s="4" t="str">
        <f aca="false">CHOOSE(WEEKDAY(B843,2),"Mon","Tue","Wed","Thu","Fri","Sat","Sun")</f>
        <v>Wed</v>
      </c>
      <c r="Q843" s="4" t="str">
        <f aca="false">IF(WEEKDAY(B843,2)&gt;5,"Weekend","Weekday")</f>
        <v>Weekday</v>
      </c>
      <c r="R843" s="4" t="str">
        <f aca="false">IF(C843&lt;11,"Morning (7-10)",IF(C843&lt;14,"Lunch (11-13)",IF(C843&lt;18,"Afternoon (14-17)","Evening (18-20)")))</f>
        <v>Morning (7-10)</v>
      </c>
      <c r="S843" s="4" t="str">
        <f aca="false">IF(AND(O843&gt;=3,O843&lt;=5),"Hot Dry (Mar-May)",IF(AND(O843&gt;=6,O843&lt;=11),"Rainy (Jun-Nov)","Cool Dry (Dec-Feb)"))</f>
        <v>Rainy (Jun-Nov)</v>
      </c>
      <c r="T843" s="4" t="str">
        <f aca="false">CHOOSE(O843,"Jan","Feb","Mar","Apr","May","Jun","Jul","Aug","Sep","Oct","Nov","Dec")</f>
        <v>Jun</v>
      </c>
    </row>
    <row r="844" customFormat="false" ht="15" hidden="false" customHeight="false" outlineLevel="0" collapsed="false">
      <c r="A844" s="4" t="s">
        <v>1128</v>
      </c>
      <c r="B844" s="17" t="n">
        <v>45833</v>
      </c>
      <c r="C844" s="4" t="n">
        <v>12</v>
      </c>
      <c r="D844" s="4" t="s">
        <v>73</v>
      </c>
      <c r="E844" s="4" t="s">
        <v>99</v>
      </c>
      <c r="F844" s="4" t="s">
        <v>133</v>
      </c>
      <c r="G844" s="4" t="n">
        <v>1</v>
      </c>
      <c r="H844" s="34" t="n">
        <v>90</v>
      </c>
      <c r="I844" s="18" t="n">
        <v>0</v>
      </c>
      <c r="J844" s="4" t="s">
        <v>67</v>
      </c>
      <c r="K844" s="4" t="s">
        <v>68</v>
      </c>
      <c r="L844" s="35" t="n">
        <f aca="false">G844*H844</f>
        <v>90</v>
      </c>
      <c r="M844" s="35" t="n">
        <f aca="false">L844*I844</f>
        <v>0</v>
      </c>
      <c r="N844" s="35" t="n">
        <f aca="false">L844-M844</f>
        <v>90</v>
      </c>
      <c r="O844" s="4" t="n">
        <f aca="false">MONTH(B844)</f>
        <v>6</v>
      </c>
      <c r="P844" s="4" t="str">
        <f aca="false">CHOOSE(WEEKDAY(B844,2),"Mon","Tue","Wed","Thu","Fri","Sat","Sun")</f>
        <v>Wed</v>
      </c>
      <c r="Q844" s="4" t="str">
        <f aca="false">IF(WEEKDAY(B844,2)&gt;5,"Weekend","Weekday")</f>
        <v>Weekday</v>
      </c>
      <c r="R844" s="4" t="str">
        <f aca="false">IF(C844&lt;11,"Morning (7-10)",IF(C844&lt;14,"Lunch (11-13)",IF(C844&lt;18,"Afternoon (14-17)","Evening (18-20)")))</f>
        <v>Lunch (11-13)</v>
      </c>
      <c r="S844" s="4" t="str">
        <f aca="false">IF(AND(O844&gt;=3,O844&lt;=5),"Hot Dry (Mar-May)",IF(AND(O844&gt;=6,O844&lt;=11),"Rainy (Jun-Nov)","Cool Dry (Dec-Feb)"))</f>
        <v>Rainy (Jun-Nov)</v>
      </c>
      <c r="T844" s="4" t="str">
        <f aca="false">CHOOSE(O844,"Jan","Feb","Mar","Apr","May","Jun","Jul","Aug","Sep","Oct","Nov","Dec")</f>
        <v>Jun</v>
      </c>
    </row>
    <row r="845" customFormat="false" ht="15" hidden="false" customHeight="false" outlineLevel="0" collapsed="false">
      <c r="A845" s="4" t="s">
        <v>1131</v>
      </c>
      <c r="B845" s="17" t="n">
        <v>45833</v>
      </c>
      <c r="C845" s="4" t="n">
        <v>17</v>
      </c>
      <c r="D845" s="4" t="s">
        <v>64</v>
      </c>
      <c r="E845" s="4" t="s">
        <v>99</v>
      </c>
      <c r="F845" s="4" t="s">
        <v>109</v>
      </c>
      <c r="G845" s="4" t="n">
        <v>1</v>
      </c>
      <c r="H845" s="34" t="n">
        <v>130</v>
      </c>
      <c r="I845" s="18" t="n">
        <v>0</v>
      </c>
      <c r="J845" s="4" t="s">
        <v>81</v>
      </c>
      <c r="K845" s="4" t="s">
        <v>68</v>
      </c>
      <c r="L845" s="35" t="n">
        <f aca="false">G845*H845</f>
        <v>130</v>
      </c>
      <c r="M845" s="35" t="n">
        <f aca="false">L845*I845</f>
        <v>0</v>
      </c>
      <c r="N845" s="35" t="n">
        <f aca="false">L845-M845</f>
        <v>130</v>
      </c>
      <c r="O845" s="4" t="n">
        <f aca="false">MONTH(B845)</f>
        <v>6</v>
      </c>
      <c r="P845" s="4" t="str">
        <f aca="false">CHOOSE(WEEKDAY(B845,2),"Mon","Tue","Wed","Thu","Fri","Sat","Sun")</f>
        <v>Wed</v>
      </c>
      <c r="Q845" s="4" t="str">
        <f aca="false">IF(WEEKDAY(B845,2)&gt;5,"Weekend","Weekday")</f>
        <v>Weekday</v>
      </c>
      <c r="R845" s="4" t="str">
        <f aca="false">IF(C845&lt;11,"Morning (7-10)",IF(C845&lt;14,"Lunch (11-13)",IF(C845&lt;18,"Afternoon (14-17)","Evening (18-20)")))</f>
        <v>Afternoon (14-17)</v>
      </c>
      <c r="S845" s="4" t="str">
        <f aca="false">IF(AND(O845&gt;=3,O845&lt;=5),"Hot Dry (Mar-May)",IF(AND(O845&gt;=6,O845&lt;=11),"Rainy (Jun-Nov)","Cool Dry (Dec-Feb)"))</f>
        <v>Rainy (Jun-Nov)</v>
      </c>
      <c r="T845" s="4" t="str">
        <f aca="false">CHOOSE(O845,"Jan","Feb","Mar","Apr","May","Jun","Jul","Aug","Sep","Oct","Nov","Dec")</f>
        <v>Jun</v>
      </c>
    </row>
    <row r="846" customFormat="false" ht="15" hidden="false" customHeight="false" outlineLevel="0" collapsed="false">
      <c r="A846" s="4" t="s">
        <v>1132</v>
      </c>
      <c r="B846" s="17" t="n">
        <v>45833</v>
      </c>
      <c r="C846" s="4" t="n">
        <v>18</v>
      </c>
      <c r="D846" s="4" t="s">
        <v>98</v>
      </c>
      <c r="E846" s="4" t="s">
        <v>84</v>
      </c>
      <c r="F846" s="4" t="s">
        <v>85</v>
      </c>
      <c r="G846" s="4" t="n">
        <v>2</v>
      </c>
      <c r="H846" s="34" t="n">
        <v>150</v>
      </c>
      <c r="I846" s="18" t="n">
        <v>0.05</v>
      </c>
      <c r="J846" s="4" t="s">
        <v>81</v>
      </c>
      <c r="K846" s="4" t="s">
        <v>82</v>
      </c>
      <c r="L846" s="35" t="n">
        <f aca="false">G846*H846</f>
        <v>300</v>
      </c>
      <c r="M846" s="35" t="n">
        <f aca="false">L846*I846</f>
        <v>15</v>
      </c>
      <c r="N846" s="35" t="n">
        <f aca="false">L846-M846</f>
        <v>285</v>
      </c>
      <c r="O846" s="4" t="n">
        <f aca="false">MONTH(B846)</f>
        <v>6</v>
      </c>
      <c r="P846" s="4" t="str">
        <f aca="false">CHOOSE(WEEKDAY(B846,2),"Mon","Tue","Wed","Thu","Fri","Sat","Sun")</f>
        <v>Wed</v>
      </c>
      <c r="Q846" s="4" t="str">
        <f aca="false">IF(WEEKDAY(B846,2)&gt;5,"Weekend","Weekday")</f>
        <v>Weekday</v>
      </c>
      <c r="R846" s="4" t="str">
        <f aca="false">IF(C846&lt;11,"Morning (7-10)",IF(C846&lt;14,"Lunch (11-13)",IF(C846&lt;18,"Afternoon (14-17)","Evening (18-20)")))</f>
        <v>Evening (18-20)</v>
      </c>
      <c r="S846" s="4" t="str">
        <f aca="false">IF(AND(O846&gt;=3,O846&lt;=5),"Hot Dry (Mar-May)",IF(AND(O846&gt;=6,O846&lt;=11),"Rainy (Jun-Nov)","Cool Dry (Dec-Feb)"))</f>
        <v>Rainy (Jun-Nov)</v>
      </c>
      <c r="T846" s="4" t="str">
        <f aca="false">CHOOSE(O846,"Jan","Feb","Mar","Apr","May","Jun","Jul","Aug","Sep","Oct","Nov","Dec")</f>
        <v>Jun</v>
      </c>
    </row>
    <row r="847" customFormat="false" ht="15" hidden="false" customHeight="false" outlineLevel="0" collapsed="false">
      <c r="A847" s="4" t="s">
        <v>1133</v>
      </c>
      <c r="B847" s="17" t="n">
        <v>45834</v>
      </c>
      <c r="C847" s="4" t="n">
        <v>9</v>
      </c>
      <c r="D847" s="4" t="s">
        <v>73</v>
      </c>
      <c r="E847" s="4" t="s">
        <v>84</v>
      </c>
      <c r="F847" s="4" t="s">
        <v>117</v>
      </c>
      <c r="G847" s="4" t="n">
        <v>1</v>
      </c>
      <c r="H847" s="34" t="n">
        <v>95</v>
      </c>
      <c r="I847" s="18" t="n">
        <v>0</v>
      </c>
      <c r="J847" s="4" t="s">
        <v>67</v>
      </c>
      <c r="K847" s="4" t="s">
        <v>77</v>
      </c>
      <c r="L847" s="35" t="n">
        <f aca="false">G847*H847</f>
        <v>95</v>
      </c>
      <c r="M847" s="35" t="n">
        <f aca="false">L847*I847</f>
        <v>0</v>
      </c>
      <c r="N847" s="35" t="n">
        <f aca="false">L847-M847</f>
        <v>95</v>
      </c>
      <c r="O847" s="4" t="n">
        <f aca="false">MONTH(B847)</f>
        <v>6</v>
      </c>
      <c r="P847" s="4" t="str">
        <f aca="false">CHOOSE(WEEKDAY(B847,2),"Mon","Tue","Wed","Thu","Fri","Sat","Sun")</f>
        <v>Thu</v>
      </c>
      <c r="Q847" s="4" t="str">
        <f aca="false">IF(WEEKDAY(B847,2)&gt;5,"Weekend","Weekday")</f>
        <v>Weekday</v>
      </c>
      <c r="R847" s="4" t="str">
        <f aca="false">IF(C847&lt;11,"Morning (7-10)",IF(C847&lt;14,"Lunch (11-13)",IF(C847&lt;18,"Afternoon (14-17)","Evening (18-20)")))</f>
        <v>Morning (7-10)</v>
      </c>
      <c r="S847" s="4" t="str">
        <f aca="false">IF(AND(O847&gt;=3,O847&lt;=5),"Hot Dry (Mar-May)",IF(AND(O847&gt;=6,O847&lt;=11),"Rainy (Jun-Nov)","Cool Dry (Dec-Feb)"))</f>
        <v>Rainy (Jun-Nov)</v>
      </c>
      <c r="T847" s="4" t="str">
        <f aca="false">CHOOSE(O847,"Jan","Feb","Mar","Apr","May","Jun","Jul","Aug","Sep","Oct","Nov","Dec")</f>
        <v>Jun</v>
      </c>
    </row>
    <row r="848" customFormat="false" ht="15" hidden="false" customHeight="false" outlineLevel="0" collapsed="false">
      <c r="A848" s="4" t="s">
        <v>1135</v>
      </c>
      <c r="B848" s="17" t="n">
        <v>45834</v>
      </c>
      <c r="C848" s="4" t="n">
        <v>12</v>
      </c>
      <c r="D848" s="4" t="s">
        <v>64</v>
      </c>
      <c r="E848" s="4" t="s">
        <v>84</v>
      </c>
      <c r="F848" s="4" t="s">
        <v>114</v>
      </c>
      <c r="G848" s="4" t="n">
        <v>4</v>
      </c>
      <c r="H848" s="34" t="n">
        <v>85</v>
      </c>
      <c r="I848" s="18" t="n">
        <v>0.05</v>
      </c>
      <c r="J848" s="4" t="s">
        <v>67</v>
      </c>
      <c r="K848" s="4" t="s">
        <v>82</v>
      </c>
      <c r="L848" s="35" t="n">
        <f aca="false">G848*H848</f>
        <v>340</v>
      </c>
      <c r="M848" s="35" t="n">
        <f aca="false">L848*I848</f>
        <v>17</v>
      </c>
      <c r="N848" s="35" t="n">
        <f aca="false">L848-M848</f>
        <v>323</v>
      </c>
      <c r="O848" s="4" t="n">
        <f aca="false">MONTH(B848)</f>
        <v>6</v>
      </c>
      <c r="P848" s="4" t="str">
        <f aca="false">CHOOSE(WEEKDAY(B848,2),"Mon","Tue","Wed","Thu","Fri","Sat","Sun")</f>
        <v>Thu</v>
      </c>
      <c r="Q848" s="4" t="str">
        <f aca="false">IF(WEEKDAY(B848,2)&gt;5,"Weekend","Weekday")</f>
        <v>Weekday</v>
      </c>
      <c r="R848" s="4" t="str">
        <f aca="false">IF(C848&lt;11,"Morning (7-10)",IF(C848&lt;14,"Lunch (11-13)",IF(C848&lt;18,"Afternoon (14-17)","Evening (18-20)")))</f>
        <v>Lunch (11-13)</v>
      </c>
      <c r="S848" s="4" t="str">
        <f aca="false">IF(AND(O848&gt;=3,O848&lt;=5),"Hot Dry (Mar-May)",IF(AND(O848&gt;=6,O848&lt;=11),"Rainy (Jun-Nov)","Cool Dry (Dec-Feb)"))</f>
        <v>Rainy (Jun-Nov)</v>
      </c>
      <c r="T848" s="4" t="str">
        <f aca="false">CHOOSE(O848,"Jan","Feb","Mar","Apr","May","Jun","Jul","Aug","Sep","Oct","Nov","Dec")</f>
        <v>Jun</v>
      </c>
    </row>
    <row r="849" customFormat="false" ht="15" hidden="false" customHeight="false" outlineLevel="0" collapsed="false">
      <c r="A849" s="4" t="s">
        <v>1136</v>
      </c>
      <c r="B849" s="17" t="n">
        <v>45834</v>
      </c>
      <c r="C849" s="4" t="n">
        <v>16</v>
      </c>
      <c r="D849" s="4" t="s">
        <v>70</v>
      </c>
      <c r="E849" s="4" t="s">
        <v>65</v>
      </c>
      <c r="F849" s="4" t="s">
        <v>121</v>
      </c>
      <c r="G849" s="4" t="n">
        <v>4</v>
      </c>
      <c r="H849" s="34" t="n">
        <v>170</v>
      </c>
      <c r="I849" s="18" t="n">
        <v>0.1</v>
      </c>
      <c r="J849" s="4" t="s">
        <v>81</v>
      </c>
      <c r="K849" s="4" t="s">
        <v>68</v>
      </c>
      <c r="L849" s="35" t="n">
        <f aca="false">G849*H849</f>
        <v>680</v>
      </c>
      <c r="M849" s="35" t="n">
        <f aca="false">L849*I849</f>
        <v>68</v>
      </c>
      <c r="N849" s="35" t="n">
        <f aca="false">L849-M849</f>
        <v>612</v>
      </c>
      <c r="O849" s="4" t="n">
        <f aca="false">MONTH(B849)</f>
        <v>6</v>
      </c>
      <c r="P849" s="4" t="str">
        <f aca="false">CHOOSE(WEEKDAY(B849,2),"Mon","Tue","Wed","Thu","Fri","Sat","Sun")</f>
        <v>Thu</v>
      </c>
      <c r="Q849" s="4" t="str">
        <f aca="false">IF(WEEKDAY(B849,2)&gt;5,"Weekend","Weekday")</f>
        <v>Weekday</v>
      </c>
      <c r="R849" s="4" t="str">
        <f aca="false">IF(C849&lt;11,"Morning (7-10)",IF(C849&lt;14,"Lunch (11-13)",IF(C849&lt;18,"Afternoon (14-17)","Evening (18-20)")))</f>
        <v>Afternoon (14-17)</v>
      </c>
      <c r="S849" s="4" t="str">
        <f aca="false">IF(AND(O849&gt;=3,O849&lt;=5),"Hot Dry (Mar-May)",IF(AND(O849&gt;=6,O849&lt;=11),"Rainy (Jun-Nov)","Cool Dry (Dec-Feb)"))</f>
        <v>Rainy (Jun-Nov)</v>
      </c>
      <c r="T849" s="4" t="str">
        <f aca="false">CHOOSE(O849,"Jan","Feb","Mar","Apr","May","Jun","Jul","Aug","Sep","Oct","Nov","Dec")</f>
        <v>Jun</v>
      </c>
    </row>
    <row r="850" customFormat="false" ht="15" hidden="false" customHeight="false" outlineLevel="0" collapsed="false">
      <c r="A850" s="4" t="s">
        <v>1137</v>
      </c>
      <c r="B850" s="17" t="n">
        <v>45835</v>
      </c>
      <c r="C850" s="4" t="n">
        <v>9</v>
      </c>
      <c r="D850" s="4" t="s">
        <v>73</v>
      </c>
      <c r="E850" s="4" t="s">
        <v>79</v>
      </c>
      <c r="F850" s="4" t="s">
        <v>148</v>
      </c>
      <c r="G850" s="4" t="n">
        <v>4</v>
      </c>
      <c r="H850" s="34" t="n">
        <v>120</v>
      </c>
      <c r="I850" s="18" t="n">
        <v>0.1</v>
      </c>
      <c r="J850" s="4" t="s">
        <v>81</v>
      </c>
      <c r="K850" s="4" t="s">
        <v>68</v>
      </c>
      <c r="L850" s="35" t="n">
        <f aca="false">G850*H850</f>
        <v>480</v>
      </c>
      <c r="M850" s="35" t="n">
        <f aca="false">L850*I850</f>
        <v>48</v>
      </c>
      <c r="N850" s="35" t="n">
        <f aca="false">L850-M850</f>
        <v>432</v>
      </c>
      <c r="O850" s="4" t="n">
        <f aca="false">MONTH(B850)</f>
        <v>6</v>
      </c>
      <c r="P850" s="4" t="str">
        <f aca="false">CHOOSE(WEEKDAY(B850,2),"Mon","Tue","Wed","Thu","Fri","Sat","Sun")</f>
        <v>Fri</v>
      </c>
      <c r="Q850" s="4" t="str">
        <f aca="false">IF(WEEKDAY(B850,2)&gt;5,"Weekend","Weekday")</f>
        <v>Weekday</v>
      </c>
      <c r="R850" s="4" t="str">
        <f aca="false">IF(C850&lt;11,"Morning (7-10)",IF(C850&lt;14,"Lunch (11-13)",IF(C850&lt;18,"Afternoon (14-17)","Evening (18-20)")))</f>
        <v>Morning (7-10)</v>
      </c>
      <c r="S850" s="4" t="str">
        <f aca="false">IF(AND(O850&gt;=3,O850&lt;=5),"Hot Dry (Mar-May)",IF(AND(O850&gt;=6,O850&lt;=11),"Rainy (Jun-Nov)","Cool Dry (Dec-Feb)"))</f>
        <v>Rainy (Jun-Nov)</v>
      </c>
      <c r="T850" s="4" t="str">
        <f aca="false">CHOOSE(O850,"Jan","Feb","Mar","Apr","May","Jun","Jul","Aug","Sep","Oct","Nov","Dec")</f>
        <v>Jun</v>
      </c>
    </row>
    <row r="851" customFormat="false" ht="15" hidden="false" customHeight="false" outlineLevel="0" collapsed="false">
      <c r="A851" s="4" t="s">
        <v>1138</v>
      </c>
      <c r="B851" s="17" t="n">
        <v>45835</v>
      </c>
      <c r="C851" s="4" t="n">
        <v>9</v>
      </c>
      <c r="D851" s="4" t="s">
        <v>98</v>
      </c>
      <c r="E851" s="4" t="s">
        <v>79</v>
      </c>
      <c r="F851" s="4" t="s">
        <v>148</v>
      </c>
      <c r="G851" s="4" t="n">
        <v>3</v>
      </c>
      <c r="H851" s="34" t="n">
        <v>120</v>
      </c>
      <c r="I851" s="18" t="n">
        <v>0.2</v>
      </c>
      <c r="J851" s="4" t="s">
        <v>88</v>
      </c>
      <c r="K851" s="4" t="s">
        <v>71</v>
      </c>
      <c r="L851" s="35" t="n">
        <f aca="false">G851*H851</f>
        <v>360</v>
      </c>
      <c r="M851" s="35" t="n">
        <f aca="false">L851*I851</f>
        <v>72</v>
      </c>
      <c r="N851" s="35" t="n">
        <f aca="false">L851-M851</f>
        <v>288</v>
      </c>
      <c r="O851" s="4" t="n">
        <f aca="false">MONTH(B851)</f>
        <v>6</v>
      </c>
      <c r="P851" s="4" t="str">
        <f aca="false">CHOOSE(WEEKDAY(B851,2),"Mon","Tue","Wed","Thu","Fri","Sat","Sun")</f>
        <v>Fri</v>
      </c>
      <c r="Q851" s="4" t="str">
        <f aca="false">IF(WEEKDAY(B851,2)&gt;5,"Weekend","Weekday")</f>
        <v>Weekday</v>
      </c>
      <c r="R851" s="4" t="str">
        <f aca="false">IF(C851&lt;11,"Morning (7-10)",IF(C851&lt;14,"Lunch (11-13)",IF(C851&lt;18,"Afternoon (14-17)","Evening (18-20)")))</f>
        <v>Morning (7-10)</v>
      </c>
      <c r="S851" s="4" t="str">
        <f aca="false">IF(AND(O851&gt;=3,O851&lt;=5),"Hot Dry (Mar-May)",IF(AND(O851&gt;=6,O851&lt;=11),"Rainy (Jun-Nov)","Cool Dry (Dec-Feb)"))</f>
        <v>Rainy (Jun-Nov)</v>
      </c>
      <c r="T851" s="4" t="str">
        <f aca="false">CHOOSE(O851,"Jan","Feb","Mar","Apr","May","Jun","Jul","Aug","Sep","Oct","Nov","Dec")</f>
        <v>Jun</v>
      </c>
    </row>
    <row r="852" customFormat="false" ht="15" hidden="false" customHeight="false" outlineLevel="0" collapsed="false">
      <c r="A852" s="4" t="s">
        <v>1139</v>
      </c>
      <c r="B852" s="17" t="n">
        <v>45835</v>
      </c>
      <c r="C852" s="4" t="n">
        <v>12</v>
      </c>
      <c r="D852" s="4" t="s">
        <v>73</v>
      </c>
      <c r="E852" s="4" t="s">
        <v>74</v>
      </c>
      <c r="F852" s="4" t="s">
        <v>91</v>
      </c>
      <c r="G852" s="4" t="n">
        <v>1</v>
      </c>
      <c r="H852" s="34" t="n">
        <v>200</v>
      </c>
      <c r="I852" s="18" t="n">
        <v>0</v>
      </c>
      <c r="J852" s="4" t="s">
        <v>76</v>
      </c>
      <c r="K852" s="4" t="s">
        <v>77</v>
      </c>
      <c r="L852" s="35" t="n">
        <f aca="false">G852*H852</f>
        <v>200</v>
      </c>
      <c r="M852" s="35" t="n">
        <f aca="false">L852*I852</f>
        <v>0</v>
      </c>
      <c r="N852" s="35" t="n">
        <f aca="false">L852-M852</f>
        <v>200</v>
      </c>
      <c r="O852" s="4" t="n">
        <f aca="false">MONTH(B852)</f>
        <v>6</v>
      </c>
      <c r="P852" s="4" t="str">
        <f aca="false">CHOOSE(WEEKDAY(B852,2),"Mon","Tue","Wed","Thu","Fri","Sat","Sun")</f>
        <v>Fri</v>
      </c>
      <c r="Q852" s="4" t="str">
        <f aca="false">IF(WEEKDAY(B852,2)&gt;5,"Weekend","Weekday")</f>
        <v>Weekday</v>
      </c>
      <c r="R852" s="4" t="str">
        <f aca="false">IF(C852&lt;11,"Morning (7-10)",IF(C852&lt;14,"Lunch (11-13)",IF(C852&lt;18,"Afternoon (14-17)","Evening (18-20)")))</f>
        <v>Lunch (11-13)</v>
      </c>
      <c r="S852" s="4" t="str">
        <f aca="false">IF(AND(O852&gt;=3,O852&lt;=5),"Hot Dry (Mar-May)",IF(AND(O852&gt;=6,O852&lt;=11),"Rainy (Jun-Nov)","Cool Dry (Dec-Feb)"))</f>
        <v>Rainy (Jun-Nov)</v>
      </c>
      <c r="T852" s="4" t="str">
        <f aca="false">CHOOSE(O852,"Jan","Feb","Mar","Apr","May","Jun","Jul","Aug","Sep","Oct","Nov","Dec")</f>
        <v>Jun</v>
      </c>
    </row>
    <row r="853" customFormat="false" ht="15" hidden="false" customHeight="false" outlineLevel="0" collapsed="false">
      <c r="A853" s="4" t="s">
        <v>1140</v>
      </c>
      <c r="B853" s="17" t="n">
        <v>45835</v>
      </c>
      <c r="C853" s="4" t="n">
        <v>13</v>
      </c>
      <c r="D853" s="4" t="s">
        <v>64</v>
      </c>
      <c r="E853" s="4" t="s">
        <v>65</v>
      </c>
      <c r="F853" s="4" t="s">
        <v>94</v>
      </c>
      <c r="G853" s="4" t="n">
        <v>1</v>
      </c>
      <c r="H853" s="34" t="n">
        <v>150</v>
      </c>
      <c r="I853" s="18" t="n">
        <v>0</v>
      </c>
      <c r="J853" s="4" t="s">
        <v>76</v>
      </c>
      <c r="K853" s="4" t="s">
        <v>77</v>
      </c>
      <c r="L853" s="35" t="n">
        <f aca="false">G853*H853</f>
        <v>150</v>
      </c>
      <c r="M853" s="35" t="n">
        <f aca="false">L853*I853</f>
        <v>0</v>
      </c>
      <c r="N853" s="35" t="n">
        <f aca="false">L853-M853</f>
        <v>150</v>
      </c>
      <c r="O853" s="4" t="n">
        <f aca="false">MONTH(B853)</f>
        <v>6</v>
      </c>
      <c r="P853" s="4" t="str">
        <f aca="false">CHOOSE(WEEKDAY(B853,2),"Mon","Tue","Wed","Thu","Fri","Sat","Sun")</f>
        <v>Fri</v>
      </c>
      <c r="Q853" s="4" t="str">
        <f aca="false">IF(WEEKDAY(B853,2)&gt;5,"Weekend","Weekday")</f>
        <v>Weekday</v>
      </c>
      <c r="R853" s="4" t="str">
        <f aca="false">IF(C853&lt;11,"Morning (7-10)",IF(C853&lt;14,"Lunch (11-13)",IF(C853&lt;18,"Afternoon (14-17)","Evening (18-20)")))</f>
        <v>Lunch (11-13)</v>
      </c>
      <c r="S853" s="4" t="str">
        <f aca="false">IF(AND(O853&gt;=3,O853&lt;=5),"Hot Dry (Mar-May)",IF(AND(O853&gt;=6,O853&lt;=11),"Rainy (Jun-Nov)","Cool Dry (Dec-Feb)"))</f>
        <v>Rainy (Jun-Nov)</v>
      </c>
      <c r="T853" s="4" t="str">
        <f aca="false">CHOOSE(O853,"Jan","Feb","Mar","Apr","May","Jun","Jul","Aug","Sep","Oct","Nov","Dec")</f>
        <v>Jun</v>
      </c>
    </row>
    <row r="854" customFormat="false" ht="15" hidden="false" customHeight="false" outlineLevel="0" collapsed="false">
      <c r="A854" s="4" t="s">
        <v>1141</v>
      </c>
      <c r="B854" s="17" t="n">
        <v>45835</v>
      </c>
      <c r="C854" s="4" t="n">
        <v>15</v>
      </c>
      <c r="D854" s="4" t="s">
        <v>64</v>
      </c>
      <c r="E854" s="4" t="s">
        <v>65</v>
      </c>
      <c r="F854" s="4" t="s">
        <v>94</v>
      </c>
      <c r="G854" s="4" t="n">
        <v>1</v>
      </c>
      <c r="H854" s="34" t="n">
        <v>150</v>
      </c>
      <c r="I854" s="18" t="n">
        <v>0</v>
      </c>
      <c r="J854" s="4" t="s">
        <v>81</v>
      </c>
      <c r="K854" s="4" t="s">
        <v>77</v>
      </c>
      <c r="L854" s="35" t="n">
        <f aca="false">G854*H854</f>
        <v>150</v>
      </c>
      <c r="M854" s="35" t="n">
        <f aca="false">L854*I854</f>
        <v>0</v>
      </c>
      <c r="N854" s="35" t="n">
        <f aca="false">L854-M854</f>
        <v>150</v>
      </c>
      <c r="O854" s="4" t="n">
        <f aca="false">MONTH(B854)</f>
        <v>6</v>
      </c>
      <c r="P854" s="4" t="str">
        <f aca="false">CHOOSE(WEEKDAY(B854,2),"Mon","Tue","Wed","Thu","Fri","Sat","Sun")</f>
        <v>Fri</v>
      </c>
      <c r="Q854" s="4" t="str">
        <f aca="false">IF(WEEKDAY(B854,2)&gt;5,"Weekend","Weekday")</f>
        <v>Weekday</v>
      </c>
      <c r="R854" s="4" t="str">
        <f aca="false">IF(C854&lt;11,"Morning (7-10)",IF(C854&lt;14,"Lunch (11-13)",IF(C854&lt;18,"Afternoon (14-17)","Evening (18-20)")))</f>
        <v>Afternoon (14-17)</v>
      </c>
      <c r="S854" s="4" t="str">
        <f aca="false">IF(AND(O854&gt;=3,O854&lt;=5),"Hot Dry (Mar-May)",IF(AND(O854&gt;=6,O854&lt;=11),"Rainy (Jun-Nov)","Cool Dry (Dec-Feb)"))</f>
        <v>Rainy (Jun-Nov)</v>
      </c>
      <c r="T854" s="4" t="str">
        <f aca="false">CHOOSE(O854,"Jan","Feb","Mar","Apr","May","Jun","Jul","Aug","Sep","Oct","Nov","Dec")</f>
        <v>Jun</v>
      </c>
    </row>
    <row r="855" customFormat="false" ht="15" hidden="false" customHeight="false" outlineLevel="0" collapsed="false">
      <c r="A855" s="4" t="s">
        <v>1142</v>
      </c>
      <c r="B855" s="17" t="n">
        <v>45835</v>
      </c>
      <c r="C855" s="4" t="n">
        <v>17</v>
      </c>
      <c r="D855" s="4" t="s">
        <v>64</v>
      </c>
      <c r="E855" s="4" t="s">
        <v>99</v>
      </c>
      <c r="F855" s="4" t="s">
        <v>109</v>
      </c>
      <c r="G855" s="4" t="n">
        <v>1</v>
      </c>
      <c r="H855" s="34" t="n">
        <v>130</v>
      </c>
      <c r="I855" s="18" t="n">
        <v>0</v>
      </c>
      <c r="J855" s="4" t="s">
        <v>81</v>
      </c>
      <c r="K855" s="4" t="s">
        <v>68</v>
      </c>
      <c r="L855" s="35" t="n">
        <f aca="false">G855*H855</f>
        <v>130</v>
      </c>
      <c r="M855" s="35" t="n">
        <f aca="false">L855*I855</f>
        <v>0</v>
      </c>
      <c r="N855" s="35" t="n">
        <f aca="false">L855-M855</f>
        <v>130</v>
      </c>
      <c r="O855" s="4" t="n">
        <f aca="false">MONTH(B855)</f>
        <v>6</v>
      </c>
      <c r="P855" s="4" t="str">
        <f aca="false">CHOOSE(WEEKDAY(B855,2),"Mon","Tue","Wed","Thu","Fri","Sat","Sun")</f>
        <v>Fri</v>
      </c>
      <c r="Q855" s="4" t="str">
        <f aca="false">IF(WEEKDAY(B855,2)&gt;5,"Weekend","Weekday")</f>
        <v>Weekday</v>
      </c>
      <c r="R855" s="4" t="str">
        <f aca="false">IF(C855&lt;11,"Morning (7-10)",IF(C855&lt;14,"Lunch (11-13)",IF(C855&lt;18,"Afternoon (14-17)","Evening (18-20)")))</f>
        <v>Afternoon (14-17)</v>
      </c>
      <c r="S855" s="4" t="str">
        <f aca="false">IF(AND(O855&gt;=3,O855&lt;=5),"Hot Dry (Mar-May)",IF(AND(O855&gt;=6,O855&lt;=11),"Rainy (Jun-Nov)","Cool Dry (Dec-Feb)"))</f>
        <v>Rainy (Jun-Nov)</v>
      </c>
      <c r="T855" s="4" t="str">
        <f aca="false">CHOOSE(O855,"Jan","Feb","Mar","Apr","May","Jun","Jul","Aug","Sep","Oct","Nov","Dec")</f>
        <v>Jun</v>
      </c>
    </row>
    <row r="856" customFormat="false" ht="15" hidden="false" customHeight="false" outlineLevel="0" collapsed="false">
      <c r="A856" s="4" t="s">
        <v>1144</v>
      </c>
      <c r="B856" s="17" t="n">
        <v>45836</v>
      </c>
      <c r="C856" s="4" t="n">
        <v>9</v>
      </c>
      <c r="D856" s="4" t="s">
        <v>73</v>
      </c>
      <c r="E856" s="4" t="s">
        <v>84</v>
      </c>
      <c r="F856" s="4" t="s">
        <v>106</v>
      </c>
      <c r="G856" s="4" t="n">
        <v>1</v>
      </c>
      <c r="H856" s="34" t="n">
        <v>60</v>
      </c>
      <c r="I856" s="18" t="n">
        <v>0</v>
      </c>
      <c r="J856" s="4" t="s">
        <v>81</v>
      </c>
      <c r="K856" s="4" t="s">
        <v>68</v>
      </c>
      <c r="L856" s="35" t="n">
        <f aca="false">G856*H856</f>
        <v>60</v>
      </c>
      <c r="M856" s="35" t="n">
        <f aca="false">L856*I856</f>
        <v>0</v>
      </c>
      <c r="N856" s="35" t="n">
        <f aca="false">L856-M856</f>
        <v>60</v>
      </c>
      <c r="O856" s="4" t="n">
        <f aca="false">MONTH(B856)</f>
        <v>6</v>
      </c>
      <c r="P856" s="4" t="str">
        <f aca="false">CHOOSE(WEEKDAY(B856,2),"Mon","Tue","Wed","Thu","Fri","Sat","Sun")</f>
        <v>Sat</v>
      </c>
      <c r="Q856" s="4" t="str">
        <f aca="false">IF(WEEKDAY(B856,2)&gt;5,"Weekend","Weekday")</f>
        <v>Weekend</v>
      </c>
      <c r="R856" s="4" t="str">
        <f aca="false">IF(C856&lt;11,"Morning (7-10)",IF(C856&lt;14,"Lunch (11-13)",IF(C856&lt;18,"Afternoon (14-17)","Evening (18-20)")))</f>
        <v>Morning (7-10)</v>
      </c>
      <c r="S856" s="4" t="str">
        <f aca="false">IF(AND(O856&gt;=3,O856&lt;=5),"Hot Dry (Mar-May)",IF(AND(O856&gt;=6,O856&lt;=11),"Rainy (Jun-Nov)","Cool Dry (Dec-Feb)"))</f>
        <v>Rainy (Jun-Nov)</v>
      </c>
      <c r="T856" s="4" t="str">
        <f aca="false">CHOOSE(O856,"Jan","Feb","Mar","Apr","May","Jun","Jul","Aug","Sep","Oct","Nov","Dec")</f>
        <v>Jun</v>
      </c>
    </row>
    <row r="857" customFormat="false" ht="15" hidden="false" customHeight="false" outlineLevel="0" collapsed="false">
      <c r="A857" s="4" t="s">
        <v>1145</v>
      </c>
      <c r="B857" s="17" t="n">
        <v>45836</v>
      </c>
      <c r="C857" s="4" t="n">
        <v>9</v>
      </c>
      <c r="D857" s="4" t="s">
        <v>98</v>
      </c>
      <c r="E857" s="4" t="s">
        <v>65</v>
      </c>
      <c r="F857" s="4" t="s">
        <v>121</v>
      </c>
      <c r="G857" s="4" t="n">
        <v>2</v>
      </c>
      <c r="H857" s="34" t="n">
        <v>170</v>
      </c>
      <c r="I857" s="18" t="n">
        <v>0.1</v>
      </c>
      <c r="J857" s="4" t="s">
        <v>81</v>
      </c>
      <c r="K857" s="4" t="s">
        <v>71</v>
      </c>
      <c r="L857" s="35" t="n">
        <f aca="false">G857*H857</f>
        <v>340</v>
      </c>
      <c r="M857" s="35" t="n">
        <f aca="false">L857*I857</f>
        <v>34</v>
      </c>
      <c r="N857" s="35" t="n">
        <f aca="false">L857-M857</f>
        <v>306</v>
      </c>
      <c r="O857" s="4" t="n">
        <f aca="false">MONTH(B857)</f>
        <v>6</v>
      </c>
      <c r="P857" s="4" t="str">
        <f aca="false">CHOOSE(WEEKDAY(B857,2),"Mon","Tue","Wed","Thu","Fri","Sat","Sun")</f>
        <v>Sat</v>
      </c>
      <c r="Q857" s="4" t="str">
        <f aca="false">IF(WEEKDAY(B857,2)&gt;5,"Weekend","Weekday")</f>
        <v>Weekend</v>
      </c>
      <c r="R857" s="4" t="str">
        <f aca="false">IF(C857&lt;11,"Morning (7-10)",IF(C857&lt;14,"Lunch (11-13)",IF(C857&lt;18,"Afternoon (14-17)","Evening (18-20)")))</f>
        <v>Morning (7-10)</v>
      </c>
      <c r="S857" s="4" t="str">
        <f aca="false">IF(AND(O857&gt;=3,O857&lt;=5),"Hot Dry (Mar-May)",IF(AND(O857&gt;=6,O857&lt;=11),"Rainy (Jun-Nov)","Cool Dry (Dec-Feb)"))</f>
        <v>Rainy (Jun-Nov)</v>
      </c>
      <c r="T857" s="4" t="str">
        <f aca="false">CHOOSE(O857,"Jan","Feb","Mar","Apr","May","Jun","Jul","Aug","Sep","Oct","Nov","Dec")</f>
        <v>Jun</v>
      </c>
    </row>
    <row r="858" customFormat="false" ht="15" hidden="false" customHeight="false" outlineLevel="0" collapsed="false">
      <c r="A858" s="4" t="s">
        <v>1146</v>
      </c>
      <c r="B858" s="17" t="n">
        <v>45836</v>
      </c>
      <c r="C858" s="4" t="n">
        <v>11</v>
      </c>
      <c r="D858" s="4" t="s">
        <v>98</v>
      </c>
      <c r="E858" s="4" t="s">
        <v>99</v>
      </c>
      <c r="F858" s="4" t="s">
        <v>102</v>
      </c>
      <c r="G858" s="4" t="n">
        <v>2</v>
      </c>
      <c r="H858" s="34" t="n">
        <v>140</v>
      </c>
      <c r="I858" s="18" t="n">
        <v>0.05</v>
      </c>
      <c r="J858" s="4" t="s">
        <v>81</v>
      </c>
      <c r="K858" s="4" t="s">
        <v>82</v>
      </c>
      <c r="L858" s="35" t="n">
        <f aca="false">G858*H858</f>
        <v>280</v>
      </c>
      <c r="M858" s="35" t="n">
        <f aca="false">L858*I858</f>
        <v>14</v>
      </c>
      <c r="N858" s="35" t="n">
        <f aca="false">L858-M858</f>
        <v>266</v>
      </c>
      <c r="O858" s="4" t="n">
        <f aca="false">MONTH(B858)</f>
        <v>6</v>
      </c>
      <c r="P858" s="4" t="str">
        <f aca="false">CHOOSE(WEEKDAY(B858,2),"Mon","Tue","Wed","Thu","Fri","Sat","Sun")</f>
        <v>Sat</v>
      </c>
      <c r="Q858" s="4" t="str">
        <f aca="false">IF(WEEKDAY(B858,2)&gt;5,"Weekend","Weekday")</f>
        <v>Weekend</v>
      </c>
      <c r="R858" s="4" t="str">
        <f aca="false">IF(C858&lt;11,"Morning (7-10)",IF(C858&lt;14,"Lunch (11-13)",IF(C858&lt;18,"Afternoon (14-17)","Evening (18-20)")))</f>
        <v>Lunch (11-13)</v>
      </c>
      <c r="S858" s="4" t="str">
        <f aca="false">IF(AND(O858&gt;=3,O858&lt;=5),"Hot Dry (Mar-May)",IF(AND(O858&gt;=6,O858&lt;=11),"Rainy (Jun-Nov)","Cool Dry (Dec-Feb)"))</f>
        <v>Rainy (Jun-Nov)</v>
      </c>
      <c r="T858" s="4" t="str">
        <f aca="false">CHOOSE(O858,"Jan","Feb","Mar","Apr","May","Jun","Jul","Aug","Sep","Oct","Nov","Dec")</f>
        <v>Jun</v>
      </c>
    </row>
    <row r="859" customFormat="false" ht="15" hidden="false" customHeight="false" outlineLevel="0" collapsed="false">
      <c r="A859" s="4" t="s">
        <v>1147</v>
      </c>
      <c r="B859" s="17" t="n">
        <v>45836</v>
      </c>
      <c r="C859" s="4" t="n">
        <v>17</v>
      </c>
      <c r="D859" s="4" t="s">
        <v>73</v>
      </c>
      <c r="E859" s="4" t="s">
        <v>84</v>
      </c>
      <c r="F859" s="4" t="s">
        <v>117</v>
      </c>
      <c r="G859" s="4" t="n">
        <v>1</v>
      </c>
      <c r="H859" s="34" t="n">
        <v>95</v>
      </c>
      <c r="I859" s="18" t="n">
        <v>0</v>
      </c>
      <c r="J859" s="4" t="s">
        <v>67</v>
      </c>
      <c r="K859" s="4" t="s">
        <v>68</v>
      </c>
      <c r="L859" s="35" t="n">
        <f aca="false">G859*H859</f>
        <v>95</v>
      </c>
      <c r="M859" s="35" t="n">
        <f aca="false">L859*I859</f>
        <v>0</v>
      </c>
      <c r="N859" s="35" t="n">
        <f aca="false">L859-M859</f>
        <v>95</v>
      </c>
      <c r="O859" s="4" t="n">
        <f aca="false">MONTH(B859)</f>
        <v>6</v>
      </c>
      <c r="P859" s="4" t="str">
        <f aca="false">CHOOSE(WEEKDAY(B859,2),"Mon","Tue","Wed","Thu","Fri","Sat","Sun")</f>
        <v>Sat</v>
      </c>
      <c r="Q859" s="4" t="str">
        <f aca="false">IF(WEEKDAY(B859,2)&gt;5,"Weekend","Weekday")</f>
        <v>Weekend</v>
      </c>
      <c r="R859" s="4" t="str">
        <f aca="false">IF(C859&lt;11,"Morning (7-10)",IF(C859&lt;14,"Lunch (11-13)",IF(C859&lt;18,"Afternoon (14-17)","Evening (18-20)")))</f>
        <v>Afternoon (14-17)</v>
      </c>
      <c r="S859" s="4" t="str">
        <f aca="false">IF(AND(O859&gt;=3,O859&lt;=5),"Hot Dry (Mar-May)",IF(AND(O859&gt;=6,O859&lt;=11),"Rainy (Jun-Nov)","Cool Dry (Dec-Feb)"))</f>
        <v>Rainy (Jun-Nov)</v>
      </c>
      <c r="T859" s="4" t="str">
        <f aca="false">CHOOSE(O859,"Jan","Feb","Mar","Apr","May","Jun","Jul","Aug","Sep","Oct","Nov","Dec")</f>
        <v>Jun</v>
      </c>
    </row>
    <row r="860" customFormat="false" ht="15" hidden="false" customHeight="false" outlineLevel="0" collapsed="false">
      <c r="A860" s="4" t="s">
        <v>1148</v>
      </c>
      <c r="B860" s="17" t="n">
        <v>45837</v>
      </c>
      <c r="C860" s="4" t="n">
        <v>9</v>
      </c>
      <c r="D860" s="4" t="s">
        <v>70</v>
      </c>
      <c r="E860" s="4" t="s">
        <v>99</v>
      </c>
      <c r="F860" s="4" t="s">
        <v>102</v>
      </c>
      <c r="G860" s="4" t="n">
        <v>3</v>
      </c>
      <c r="H860" s="34" t="n">
        <v>140</v>
      </c>
      <c r="I860" s="18" t="n">
        <v>0</v>
      </c>
      <c r="J860" s="4" t="s">
        <v>67</v>
      </c>
      <c r="K860" s="4" t="s">
        <v>68</v>
      </c>
      <c r="L860" s="35" t="n">
        <f aca="false">G860*H860</f>
        <v>420</v>
      </c>
      <c r="M860" s="35" t="n">
        <f aca="false">L860*I860</f>
        <v>0</v>
      </c>
      <c r="N860" s="35" t="n">
        <f aca="false">L860-M860</f>
        <v>420</v>
      </c>
      <c r="O860" s="4" t="n">
        <f aca="false">MONTH(B860)</f>
        <v>6</v>
      </c>
      <c r="P860" s="4" t="str">
        <f aca="false">CHOOSE(WEEKDAY(B860,2),"Mon","Tue","Wed","Thu","Fri","Sat","Sun")</f>
        <v>Sun</v>
      </c>
      <c r="Q860" s="4" t="str">
        <f aca="false">IF(WEEKDAY(B860,2)&gt;5,"Weekend","Weekday")</f>
        <v>Weekend</v>
      </c>
      <c r="R860" s="4" t="str">
        <f aca="false">IF(C860&lt;11,"Morning (7-10)",IF(C860&lt;14,"Lunch (11-13)",IF(C860&lt;18,"Afternoon (14-17)","Evening (18-20)")))</f>
        <v>Morning (7-10)</v>
      </c>
      <c r="S860" s="4" t="str">
        <f aca="false">IF(AND(O860&gt;=3,O860&lt;=5),"Hot Dry (Mar-May)",IF(AND(O860&gt;=6,O860&lt;=11),"Rainy (Jun-Nov)","Cool Dry (Dec-Feb)"))</f>
        <v>Rainy (Jun-Nov)</v>
      </c>
      <c r="T860" s="4" t="str">
        <f aca="false">CHOOSE(O860,"Jan","Feb","Mar","Apr","May","Jun","Jul","Aug","Sep","Oct","Nov","Dec")</f>
        <v>Jun</v>
      </c>
    </row>
    <row r="861" customFormat="false" ht="15" hidden="false" customHeight="false" outlineLevel="0" collapsed="false">
      <c r="A861" s="4" t="s">
        <v>1149</v>
      </c>
      <c r="B861" s="17" t="n">
        <v>45837</v>
      </c>
      <c r="C861" s="4" t="n">
        <v>12</v>
      </c>
      <c r="D861" s="4" t="s">
        <v>70</v>
      </c>
      <c r="E861" s="4" t="s">
        <v>74</v>
      </c>
      <c r="F861" s="4" t="s">
        <v>75</v>
      </c>
      <c r="G861" s="4" t="n">
        <v>1</v>
      </c>
      <c r="H861" s="34" t="n">
        <v>220</v>
      </c>
      <c r="I861" s="18" t="n">
        <v>0.1</v>
      </c>
      <c r="J861" s="4" t="s">
        <v>81</v>
      </c>
      <c r="K861" s="4" t="s">
        <v>71</v>
      </c>
      <c r="L861" s="35" t="n">
        <f aca="false">G861*H861</f>
        <v>220</v>
      </c>
      <c r="M861" s="35" t="n">
        <f aca="false">L861*I861</f>
        <v>22</v>
      </c>
      <c r="N861" s="35" t="n">
        <f aca="false">L861-M861</f>
        <v>198</v>
      </c>
      <c r="O861" s="4" t="n">
        <f aca="false">MONTH(B861)</f>
        <v>6</v>
      </c>
      <c r="P861" s="4" t="str">
        <f aca="false">CHOOSE(WEEKDAY(B861,2),"Mon","Tue","Wed","Thu","Fri","Sat","Sun")</f>
        <v>Sun</v>
      </c>
      <c r="Q861" s="4" t="str">
        <f aca="false">IF(WEEKDAY(B861,2)&gt;5,"Weekend","Weekday")</f>
        <v>Weekend</v>
      </c>
      <c r="R861" s="4" t="str">
        <f aca="false">IF(C861&lt;11,"Morning (7-10)",IF(C861&lt;14,"Lunch (11-13)",IF(C861&lt;18,"Afternoon (14-17)","Evening (18-20)")))</f>
        <v>Lunch (11-13)</v>
      </c>
      <c r="S861" s="4" t="str">
        <f aca="false">IF(AND(O861&gt;=3,O861&lt;=5),"Hot Dry (Mar-May)",IF(AND(O861&gt;=6,O861&lt;=11),"Rainy (Jun-Nov)","Cool Dry (Dec-Feb)"))</f>
        <v>Rainy (Jun-Nov)</v>
      </c>
      <c r="T861" s="4" t="str">
        <f aca="false">CHOOSE(O861,"Jan","Feb","Mar","Apr","May","Jun","Jul","Aug","Sep","Oct","Nov","Dec")</f>
        <v>Jun</v>
      </c>
    </row>
    <row r="862" customFormat="false" ht="15" hidden="false" customHeight="false" outlineLevel="0" collapsed="false">
      <c r="A862" s="4" t="s">
        <v>1150</v>
      </c>
      <c r="B862" s="17" t="n">
        <v>45837</v>
      </c>
      <c r="C862" s="4" t="n">
        <v>12</v>
      </c>
      <c r="D862" s="4" t="s">
        <v>64</v>
      </c>
      <c r="E862" s="4" t="s">
        <v>99</v>
      </c>
      <c r="F862" s="4" t="s">
        <v>109</v>
      </c>
      <c r="G862" s="4" t="n">
        <v>1</v>
      </c>
      <c r="H862" s="34" t="n">
        <v>130</v>
      </c>
      <c r="I862" s="18" t="n">
        <v>0</v>
      </c>
      <c r="J862" s="4" t="s">
        <v>67</v>
      </c>
      <c r="K862" s="4" t="s">
        <v>68</v>
      </c>
      <c r="L862" s="35" t="n">
        <f aca="false">G862*H862</f>
        <v>130</v>
      </c>
      <c r="M862" s="35" t="n">
        <f aca="false">L862*I862</f>
        <v>0</v>
      </c>
      <c r="N862" s="35" t="n">
        <f aca="false">L862-M862</f>
        <v>130</v>
      </c>
      <c r="O862" s="4" t="n">
        <f aca="false">MONTH(B862)</f>
        <v>6</v>
      </c>
      <c r="P862" s="4" t="str">
        <f aca="false">CHOOSE(WEEKDAY(B862,2),"Mon","Tue","Wed","Thu","Fri","Sat","Sun")</f>
        <v>Sun</v>
      </c>
      <c r="Q862" s="4" t="str">
        <f aca="false">IF(WEEKDAY(B862,2)&gt;5,"Weekend","Weekday")</f>
        <v>Weekend</v>
      </c>
      <c r="R862" s="4" t="str">
        <f aca="false">IF(C862&lt;11,"Morning (7-10)",IF(C862&lt;14,"Lunch (11-13)",IF(C862&lt;18,"Afternoon (14-17)","Evening (18-20)")))</f>
        <v>Lunch (11-13)</v>
      </c>
      <c r="S862" s="4" t="str">
        <f aca="false">IF(AND(O862&gt;=3,O862&lt;=5),"Hot Dry (Mar-May)",IF(AND(O862&gt;=6,O862&lt;=11),"Rainy (Jun-Nov)","Cool Dry (Dec-Feb)"))</f>
        <v>Rainy (Jun-Nov)</v>
      </c>
      <c r="T862" s="4" t="str">
        <f aca="false">CHOOSE(O862,"Jan","Feb","Mar","Apr","May","Jun","Jul","Aug","Sep","Oct","Nov","Dec")</f>
        <v>Jun</v>
      </c>
    </row>
    <row r="863" customFormat="false" ht="15" hidden="false" customHeight="false" outlineLevel="0" collapsed="false">
      <c r="A863" s="4" t="s">
        <v>1151</v>
      </c>
      <c r="B863" s="17" t="n">
        <v>45837</v>
      </c>
      <c r="C863" s="4" t="n">
        <v>13</v>
      </c>
      <c r="D863" s="4" t="s">
        <v>70</v>
      </c>
      <c r="E863" s="4" t="s">
        <v>79</v>
      </c>
      <c r="F863" s="4" t="s">
        <v>148</v>
      </c>
      <c r="G863" s="4" t="n">
        <v>2</v>
      </c>
      <c r="H863" s="34" t="n">
        <v>120</v>
      </c>
      <c r="I863" s="18" t="n">
        <v>0</v>
      </c>
      <c r="J863" s="4" t="s">
        <v>67</v>
      </c>
      <c r="K863" s="4" t="s">
        <v>77</v>
      </c>
      <c r="L863" s="35" t="n">
        <f aca="false">G863*H863</f>
        <v>240</v>
      </c>
      <c r="M863" s="35" t="n">
        <f aca="false">L863*I863</f>
        <v>0</v>
      </c>
      <c r="N863" s="35" t="n">
        <f aca="false">L863-M863</f>
        <v>240</v>
      </c>
      <c r="O863" s="4" t="n">
        <f aca="false">MONTH(B863)</f>
        <v>6</v>
      </c>
      <c r="P863" s="4" t="str">
        <f aca="false">CHOOSE(WEEKDAY(B863,2),"Mon","Tue","Wed","Thu","Fri","Sat","Sun")</f>
        <v>Sun</v>
      </c>
      <c r="Q863" s="4" t="str">
        <f aca="false">IF(WEEKDAY(B863,2)&gt;5,"Weekend","Weekday")</f>
        <v>Weekend</v>
      </c>
      <c r="R863" s="4" t="str">
        <f aca="false">IF(C863&lt;11,"Morning (7-10)",IF(C863&lt;14,"Lunch (11-13)",IF(C863&lt;18,"Afternoon (14-17)","Evening (18-20)")))</f>
        <v>Lunch (11-13)</v>
      </c>
      <c r="S863" s="4" t="str">
        <f aca="false">IF(AND(O863&gt;=3,O863&lt;=5),"Hot Dry (Mar-May)",IF(AND(O863&gt;=6,O863&lt;=11),"Rainy (Jun-Nov)","Cool Dry (Dec-Feb)"))</f>
        <v>Rainy (Jun-Nov)</v>
      </c>
      <c r="T863" s="4" t="str">
        <f aca="false">CHOOSE(O863,"Jan","Feb","Mar","Apr","May","Jun","Jul","Aug","Sep","Oct","Nov","Dec")</f>
        <v>Jun</v>
      </c>
    </row>
    <row r="864" customFormat="false" ht="15" hidden="false" customHeight="false" outlineLevel="0" collapsed="false">
      <c r="A864" s="4" t="s">
        <v>1152</v>
      </c>
      <c r="B864" s="17" t="n">
        <v>45837</v>
      </c>
      <c r="C864" s="4" t="n">
        <v>15</v>
      </c>
      <c r="D864" s="4" t="s">
        <v>98</v>
      </c>
      <c r="E864" s="4" t="s">
        <v>65</v>
      </c>
      <c r="F864" s="4" t="s">
        <v>66</v>
      </c>
      <c r="G864" s="4" t="n">
        <v>2</v>
      </c>
      <c r="H864" s="34" t="n">
        <v>120</v>
      </c>
      <c r="I864" s="18" t="n">
        <v>0.1</v>
      </c>
      <c r="J864" s="4" t="s">
        <v>76</v>
      </c>
      <c r="K864" s="4" t="s">
        <v>71</v>
      </c>
      <c r="L864" s="35" t="n">
        <f aca="false">G864*H864</f>
        <v>240</v>
      </c>
      <c r="M864" s="35" t="n">
        <f aca="false">L864*I864</f>
        <v>24</v>
      </c>
      <c r="N864" s="35" t="n">
        <f aca="false">L864-M864</f>
        <v>216</v>
      </c>
      <c r="O864" s="4" t="n">
        <f aca="false">MONTH(B864)</f>
        <v>6</v>
      </c>
      <c r="P864" s="4" t="str">
        <f aca="false">CHOOSE(WEEKDAY(B864,2),"Mon","Tue","Wed","Thu","Fri","Sat","Sun")</f>
        <v>Sun</v>
      </c>
      <c r="Q864" s="4" t="str">
        <f aca="false">IF(WEEKDAY(B864,2)&gt;5,"Weekend","Weekday")</f>
        <v>Weekend</v>
      </c>
      <c r="R864" s="4" t="str">
        <f aca="false">IF(C864&lt;11,"Morning (7-10)",IF(C864&lt;14,"Lunch (11-13)",IF(C864&lt;18,"Afternoon (14-17)","Evening (18-20)")))</f>
        <v>Afternoon (14-17)</v>
      </c>
      <c r="S864" s="4" t="str">
        <f aca="false">IF(AND(O864&gt;=3,O864&lt;=5),"Hot Dry (Mar-May)",IF(AND(O864&gt;=6,O864&lt;=11),"Rainy (Jun-Nov)","Cool Dry (Dec-Feb)"))</f>
        <v>Rainy (Jun-Nov)</v>
      </c>
      <c r="T864" s="4" t="str">
        <f aca="false">CHOOSE(O864,"Jan","Feb","Mar","Apr","May","Jun","Jul","Aug","Sep","Oct","Nov","Dec")</f>
        <v>Jun</v>
      </c>
    </row>
    <row r="865" customFormat="false" ht="15" hidden="false" customHeight="false" outlineLevel="0" collapsed="false">
      <c r="A865" s="4" t="s">
        <v>1153</v>
      </c>
      <c r="B865" s="17" t="n">
        <v>45837</v>
      </c>
      <c r="C865" s="4" t="n">
        <v>16</v>
      </c>
      <c r="D865" s="4" t="s">
        <v>98</v>
      </c>
      <c r="E865" s="4" t="s">
        <v>84</v>
      </c>
      <c r="F865" s="4" t="s">
        <v>117</v>
      </c>
      <c r="G865" s="4" t="n">
        <v>3</v>
      </c>
      <c r="H865" s="34" t="n">
        <v>95</v>
      </c>
      <c r="I865" s="18" t="n">
        <v>0.1</v>
      </c>
      <c r="J865" s="4" t="s">
        <v>67</v>
      </c>
      <c r="K865" s="4" t="s">
        <v>71</v>
      </c>
      <c r="L865" s="35" t="n">
        <f aca="false">G865*H865</f>
        <v>285</v>
      </c>
      <c r="M865" s="35" t="n">
        <f aca="false">L865*I865</f>
        <v>28.5</v>
      </c>
      <c r="N865" s="35" t="n">
        <f aca="false">L865-M865</f>
        <v>256.5</v>
      </c>
      <c r="O865" s="4" t="n">
        <f aca="false">MONTH(B865)</f>
        <v>6</v>
      </c>
      <c r="P865" s="4" t="str">
        <f aca="false">CHOOSE(WEEKDAY(B865,2),"Mon","Tue","Wed","Thu","Fri","Sat","Sun")</f>
        <v>Sun</v>
      </c>
      <c r="Q865" s="4" t="str">
        <f aca="false">IF(WEEKDAY(B865,2)&gt;5,"Weekend","Weekday")</f>
        <v>Weekend</v>
      </c>
      <c r="R865" s="4" t="str">
        <f aca="false">IF(C865&lt;11,"Morning (7-10)",IF(C865&lt;14,"Lunch (11-13)",IF(C865&lt;18,"Afternoon (14-17)","Evening (18-20)")))</f>
        <v>Afternoon (14-17)</v>
      </c>
      <c r="S865" s="4" t="str">
        <f aca="false">IF(AND(O865&gt;=3,O865&lt;=5),"Hot Dry (Mar-May)",IF(AND(O865&gt;=6,O865&lt;=11),"Rainy (Jun-Nov)","Cool Dry (Dec-Feb)"))</f>
        <v>Rainy (Jun-Nov)</v>
      </c>
      <c r="T865" s="4" t="str">
        <f aca="false">CHOOSE(O865,"Jan","Feb","Mar","Apr","May","Jun","Jul","Aug","Sep","Oct","Nov","Dec")</f>
        <v>Jun</v>
      </c>
    </row>
    <row r="866" customFormat="false" ht="15" hidden="false" customHeight="false" outlineLevel="0" collapsed="false">
      <c r="A866" s="4" t="s">
        <v>1154</v>
      </c>
      <c r="B866" s="17" t="n">
        <v>45838</v>
      </c>
      <c r="C866" s="4" t="n">
        <v>8</v>
      </c>
      <c r="D866" s="4" t="s">
        <v>70</v>
      </c>
      <c r="E866" s="4" t="s">
        <v>99</v>
      </c>
      <c r="F866" s="4" t="s">
        <v>109</v>
      </c>
      <c r="G866" s="4" t="n">
        <v>2</v>
      </c>
      <c r="H866" s="34" t="n">
        <v>130</v>
      </c>
      <c r="I866" s="18" t="n">
        <v>0.05</v>
      </c>
      <c r="J866" s="4" t="s">
        <v>81</v>
      </c>
      <c r="K866" s="4" t="s">
        <v>82</v>
      </c>
      <c r="L866" s="35" t="n">
        <f aca="false">G866*H866</f>
        <v>260</v>
      </c>
      <c r="M866" s="35" t="n">
        <f aca="false">L866*I866</f>
        <v>13</v>
      </c>
      <c r="N866" s="35" t="n">
        <f aca="false">L866-M866</f>
        <v>247</v>
      </c>
      <c r="O866" s="4" t="n">
        <f aca="false">MONTH(B866)</f>
        <v>6</v>
      </c>
      <c r="P866" s="4" t="str">
        <f aca="false">CHOOSE(WEEKDAY(B866,2),"Mon","Tue","Wed","Thu","Fri","Sat","Sun")</f>
        <v>Mon</v>
      </c>
      <c r="Q866" s="4" t="str">
        <f aca="false">IF(WEEKDAY(B866,2)&gt;5,"Weekend","Weekday")</f>
        <v>Weekday</v>
      </c>
      <c r="R866" s="4" t="str">
        <f aca="false">IF(C866&lt;11,"Morning (7-10)",IF(C866&lt;14,"Lunch (11-13)",IF(C866&lt;18,"Afternoon (14-17)","Evening (18-20)")))</f>
        <v>Morning (7-10)</v>
      </c>
      <c r="S866" s="4" t="str">
        <f aca="false">IF(AND(O866&gt;=3,O866&lt;=5),"Hot Dry (Mar-May)",IF(AND(O866&gt;=6,O866&lt;=11),"Rainy (Jun-Nov)","Cool Dry (Dec-Feb)"))</f>
        <v>Rainy (Jun-Nov)</v>
      </c>
      <c r="T866" s="4" t="str">
        <f aca="false">CHOOSE(O866,"Jan","Feb","Mar","Apr","May","Jun","Jul","Aug","Sep","Oct","Nov","Dec")</f>
        <v>Jun</v>
      </c>
    </row>
    <row r="867" customFormat="false" ht="15" hidden="false" customHeight="false" outlineLevel="0" collapsed="false">
      <c r="A867" s="4" t="s">
        <v>1155</v>
      </c>
      <c r="B867" s="17" t="n">
        <v>45838</v>
      </c>
      <c r="C867" s="4" t="n">
        <v>12</v>
      </c>
      <c r="D867" s="4" t="s">
        <v>64</v>
      </c>
      <c r="E867" s="4" t="s">
        <v>74</v>
      </c>
      <c r="F867" s="4" t="s">
        <v>139</v>
      </c>
      <c r="G867" s="4" t="n">
        <v>2</v>
      </c>
      <c r="H867" s="34" t="n">
        <v>260</v>
      </c>
      <c r="I867" s="18" t="n">
        <v>0.15</v>
      </c>
      <c r="J867" s="4" t="s">
        <v>81</v>
      </c>
      <c r="K867" s="4" t="s">
        <v>77</v>
      </c>
      <c r="L867" s="35" t="n">
        <f aca="false">G867*H867</f>
        <v>520</v>
      </c>
      <c r="M867" s="35" t="n">
        <f aca="false">L867*I867</f>
        <v>78</v>
      </c>
      <c r="N867" s="35" t="n">
        <f aca="false">L867-M867</f>
        <v>442</v>
      </c>
      <c r="O867" s="4" t="n">
        <f aca="false">MONTH(B867)</f>
        <v>6</v>
      </c>
      <c r="P867" s="4" t="str">
        <f aca="false">CHOOSE(WEEKDAY(B867,2),"Mon","Tue","Wed","Thu","Fri","Sat","Sun")</f>
        <v>Mon</v>
      </c>
      <c r="Q867" s="4" t="str">
        <f aca="false">IF(WEEKDAY(B867,2)&gt;5,"Weekend","Weekday")</f>
        <v>Weekday</v>
      </c>
      <c r="R867" s="4" t="str">
        <f aca="false">IF(C867&lt;11,"Morning (7-10)",IF(C867&lt;14,"Lunch (11-13)",IF(C867&lt;18,"Afternoon (14-17)","Evening (18-20)")))</f>
        <v>Lunch (11-13)</v>
      </c>
      <c r="S867" s="4" t="str">
        <f aca="false">IF(AND(O867&gt;=3,O867&lt;=5),"Hot Dry (Mar-May)",IF(AND(O867&gt;=6,O867&lt;=11),"Rainy (Jun-Nov)","Cool Dry (Dec-Feb)"))</f>
        <v>Rainy (Jun-Nov)</v>
      </c>
      <c r="T867" s="4" t="str">
        <f aca="false">CHOOSE(O867,"Jan","Feb","Mar","Apr","May","Jun","Jul","Aug","Sep","Oct","Nov","Dec")</f>
        <v>Jun</v>
      </c>
    </row>
    <row r="868" customFormat="false" ht="15" hidden="false" customHeight="false" outlineLevel="0" collapsed="false">
      <c r="A868" s="4" t="s">
        <v>1156</v>
      </c>
      <c r="B868" s="17" t="n">
        <v>45838</v>
      </c>
      <c r="C868" s="4" t="n">
        <v>13</v>
      </c>
      <c r="D868" s="4" t="s">
        <v>70</v>
      </c>
      <c r="E868" s="4" t="s">
        <v>74</v>
      </c>
      <c r="F868" s="4" t="s">
        <v>139</v>
      </c>
      <c r="G868" s="4" t="n">
        <v>2</v>
      </c>
      <c r="H868" s="34" t="n">
        <v>260</v>
      </c>
      <c r="I868" s="18" t="n">
        <v>0</v>
      </c>
      <c r="J868" s="4" t="s">
        <v>81</v>
      </c>
      <c r="K868" s="4" t="s">
        <v>68</v>
      </c>
      <c r="L868" s="35" t="n">
        <f aca="false">G868*H868</f>
        <v>520</v>
      </c>
      <c r="M868" s="35" t="n">
        <f aca="false">L868*I868</f>
        <v>0</v>
      </c>
      <c r="N868" s="35" t="n">
        <f aca="false">L868-M868</f>
        <v>520</v>
      </c>
      <c r="O868" s="4" t="n">
        <f aca="false">MONTH(B868)</f>
        <v>6</v>
      </c>
      <c r="P868" s="4" t="str">
        <f aca="false">CHOOSE(WEEKDAY(B868,2),"Mon","Tue","Wed","Thu","Fri","Sat","Sun")</f>
        <v>Mon</v>
      </c>
      <c r="Q868" s="4" t="str">
        <f aca="false">IF(WEEKDAY(B868,2)&gt;5,"Weekend","Weekday")</f>
        <v>Weekday</v>
      </c>
      <c r="R868" s="4" t="str">
        <f aca="false">IF(C868&lt;11,"Morning (7-10)",IF(C868&lt;14,"Lunch (11-13)",IF(C868&lt;18,"Afternoon (14-17)","Evening (18-20)")))</f>
        <v>Lunch (11-13)</v>
      </c>
      <c r="S868" s="4" t="str">
        <f aca="false">IF(AND(O868&gt;=3,O868&lt;=5),"Hot Dry (Mar-May)",IF(AND(O868&gt;=6,O868&lt;=11),"Rainy (Jun-Nov)","Cool Dry (Dec-Feb)"))</f>
        <v>Rainy (Jun-Nov)</v>
      </c>
      <c r="T868" s="4" t="str">
        <f aca="false">CHOOSE(O868,"Jan","Feb","Mar","Apr","May","Jun","Jul","Aug","Sep","Oct","Nov","Dec")</f>
        <v>Jun</v>
      </c>
    </row>
    <row r="869" customFormat="false" ht="15" hidden="false" customHeight="false" outlineLevel="0" collapsed="false">
      <c r="A869" s="4" t="s">
        <v>1158</v>
      </c>
      <c r="B869" s="17" t="n">
        <v>45838</v>
      </c>
      <c r="C869" s="4" t="n">
        <v>15</v>
      </c>
      <c r="D869" s="4" t="s">
        <v>70</v>
      </c>
      <c r="E869" s="4" t="s">
        <v>79</v>
      </c>
      <c r="F869" s="4" t="s">
        <v>80</v>
      </c>
      <c r="G869" s="4" t="n">
        <v>1</v>
      </c>
      <c r="H869" s="34" t="n">
        <v>160</v>
      </c>
      <c r="I869" s="18" t="n">
        <v>0</v>
      </c>
      <c r="J869" s="4" t="s">
        <v>112</v>
      </c>
      <c r="K869" s="4" t="s">
        <v>68</v>
      </c>
      <c r="L869" s="35" t="n">
        <f aca="false">G869*H869</f>
        <v>160</v>
      </c>
      <c r="M869" s="35" t="n">
        <f aca="false">L869*I869</f>
        <v>0</v>
      </c>
      <c r="N869" s="35" t="n">
        <f aca="false">L869-M869</f>
        <v>160</v>
      </c>
      <c r="O869" s="4" t="n">
        <f aca="false">MONTH(B869)</f>
        <v>6</v>
      </c>
      <c r="P869" s="4" t="str">
        <f aca="false">CHOOSE(WEEKDAY(B869,2),"Mon","Tue","Wed","Thu","Fri","Sat","Sun")</f>
        <v>Mon</v>
      </c>
      <c r="Q869" s="4" t="str">
        <f aca="false">IF(WEEKDAY(B869,2)&gt;5,"Weekend","Weekday")</f>
        <v>Weekday</v>
      </c>
      <c r="R869" s="4" t="str">
        <f aca="false">IF(C869&lt;11,"Morning (7-10)",IF(C869&lt;14,"Lunch (11-13)",IF(C869&lt;18,"Afternoon (14-17)","Evening (18-20)")))</f>
        <v>Afternoon (14-17)</v>
      </c>
      <c r="S869" s="4" t="str">
        <f aca="false">IF(AND(O869&gt;=3,O869&lt;=5),"Hot Dry (Mar-May)",IF(AND(O869&gt;=6,O869&lt;=11),"Rainy (Jun-Nov)","Cool Dry (Dec-Feb)"))</f>
        <v>Rainy (Jun-Nov)</v>
      </c>
      <c r="T869" s="4" t="str">
        <f aca="false">CHOOSE(O869,"Jan","Feb","Mar","Apr","May","Jun","Jul","Aug","Sep","Oct","Nov","Dec")</f>
        <v>Jun</v>
      </c>
    </row>
    <row r="870" customFormat="false" ht="15" hidden="false" customHeight="false" outlineLevel="0" collapsed="false">
      <c r="A870" s="4" t="s">
        <v>1159</v>
      </c>
      <c r="B870" s="17" t="n">
        <v>45838</v>
      </c>
      <c r="C870" s="4" t="n">
        <v>15</v>
      </c>
      <c r="D870" s="4" t="s">
        <v>73</v>
      </c>
      <c r="E870" s="4" t="s">
        <v>99</v>
      </c>
      <c r="F870" s="4" t="s">
        <v>102</v>
      </c>
      <c r="G870" s="4" t="n">
        <v>2</v>
      </c>
      <c r="H870" s="34" t="n">
        <v>140</v>
      </c>
      <c r="I870" s="18" t="n">
        <v>0</v>
      </c>
      <c r="J870" s="4" t="s">
        <v>81</v>
      </c>
      <c r="K870" s="4" t="s">
        <v>68</v>
      </c>
      <c r="L870" s="35" t="n">
        <f aca="false">G870*H870</f>
        <v>280</v>
      </c>
      <c r="M870" s="35" t="n">
        <f aca="false">L870*I870</f>
        <v>0</v>
      </c>
      <c r="N870" s="35" t="n">
        <f aca="false">L870-M870</f>
        <v>280</v>
      </c>
      <c r="O870" s="4" t="n">
        <f aca="false">MONTH(B870)</f>
        <v>6</v>
      </c>
      <c r="P870" s="4" t="str">
        <f aca="false">CHOOSE(WEEKDAY(B870,2),"Mon","Tue","Wed","Thu","Fri","Sat","Sun")</f>
        <v>Mon</v>
      </c>
      <c r="Q870" s="4" t="str">
        <f aca="false">IF(WEEKDAY(B870,2)&gt;5,"Weekend","Weekday")</f>
        <v>Weekday</v>
      </c>
      <c r="R870" s="4" t="str">
        <f aca="false">IF(C870&lt;11,"Morning (7-10)",IF(C870&lt;14,"Lunch (11-13)",IF(C870&lt;18,"Afternoon (14-17)","Evening (18-20)")))</f>
        <v>Afternoon (14-17)</v>
      </c>
      <c r="S870" s="4" t="str">
        <f aca="false">IF(AND(O870&gt;=3,O870&lt;=5),"Hot Dry (Mar-May)",IF(AND(O870&gt;=6,O870&lt;=11),"Rainy (Jun-Nov)","Cool Dry (Dec-Feb)"))</f>
        <v>Rainy (Jun-Nov)</v>
      </c>
      <c r="T870" s="4" t="str">
        <f aca="false">CHOOSE(O870,"Jan","Feb","Mar","Apr","May","Jun","Jul","Aug","Sep","Oct","Nov","Dec")</f>
        <v>Jun</v>
      </c>
    </row>
    <row r="871" customFormat="false" ht="15" hidden="false" customHeight="false" outlineLevel="0" collapsed="false">
      <c r="A871" s="4" t="s">
        <v>1160</v>
      </c>
      <c r="B871" s="17" t="n">
        <v>45838</v>
      </c>
      <c r="C871" s="4" t="n">
        <v>17</v>
      </c>
      <c r="D871" s="4" t="s">
        <v>64</v>
      </c>
      <c r="E871" s="4" t="s">
        <v>99</v>
      </c>
      <c r="F871" s="4" t="s">
        <v>109</v>
      </c>
      <c r="G871" s="4" t="n">
        <v>2</v>
      </c>
      <c r="H871" s="34" t="n">
        <v>130</v>
      </c>
      <c r="I871" s="18" t="n">
        <v>0.05</v>
      </c>
      <c r="J871" s="4" t="s">
        <v>81</v>
      </c>
      <c r="K871" s="4" t="s">
        <v>82</v>
      </c>
      <c r="L871" s="35" t="n">
        <f aca="false">G871*H871</f>
        <v>260</v>
      </c>
      <c r="M871" s="35" t="n">
        <f aca="false">L871*I871</f>
        <v>13</v>
      </c>
      <c r="N871" s="35" t="n">
        <f aca="false">L871-M871</f>
        <v>247</v>
      </c>
      <c r="O871" s="4" t="n">
        <f aca="false">MONTH(B871)</f>
        <v>6</v>
      </c>
      <c r="P871" s="4" t="str">
        <f aca="false">CHOOSE(WEEKDAY(B871,2),"Mon","Tue","Wed","Thu","Fri","Sat","Sun")</f>
        <v>Mon</v>
      </c>
      <c r="Q871" s="4" t="str">
        <f aca="false">IF(WEEKDAY(B871,2)&gt;5,"Weekend","Weekday")</f>
        <v>Weekday</v>
      </c>
      <c r="R871" s="4" t="str">
        <f aca="false">IF(C871&lt;11,"Morning (7-10)",IF(C871&lt;14,"Lunch (11-13)",IF(C871&lt;18,"Afternoon (14-17)","Evening (18-20)")))</f>
        <v>Afternoon (14-17)</v>
      </c>
      <c r="S871" s="4" t="str">
        <f aca="false">IF(AND(O871&gt;=3,O871&lt;=5),"Hot Dry (Mar-May)",IF(AND(O871&gt;=6,O871&lt;=11),"Rainy (Jun-Nov)","Cool Dry (Dec-Feb)"))</f>
        <v>Rainy (Jun-Nov)</v>
      </c>
      <c r="T871" s="4" t="str">
        <f aca="false">CHOOSE(O871,"Jan","Feb","Mar","Apr","May","Jun","Jul","Aug","Sep","Oct","Nov","Dec")</f>
        <v>Jun</v>
      </c>
    </row>
    <row r="872" customFormat="false" ht="15" hidden="false" customHeight="false" outlineLevel="0" collapsed="false">
      <c r="A872" s="4" t="s">
        <v>1161</v>
      </c>
      <c r="B872" s="17" t="n">
        <v>45839</v>
      </c>
      <c r="C872" s="4" t="n">
        <v>9</v>
      </c>
      <c r="D872" s="4" t="s">
        <v>70</v>
      </c>
      <c r="E872" s="4" t="s">
        <v>65</v>
      </c>
      <c r="F872" s="4" t="s">
        <v>94</v>
      </c>
      <c r="G872" s="4" t="n">
        <v>3</v>
      </c>
      <c r="H872" s="34" t="n">
        <v>150</v>
      </c>
      <c r="I872" s="18" t="n">
        <v>0</v>
      </c>
      <c r="J872" s="4" t="s">
        <v>88</v>
      </c>
      <c r="K872" s="4" t="s">
        <v>77</v>
      </c>
      <c r="L872" s="35" t="n">
        <f aca="false">G872*H872</f>
        <v>450</v>
      </c>
      <c r="M872" s="35" t="n">
        <f aca="false">L872*I872</f>
        <v>0</v>
      </c>
      <c r="N872" s="35" t="n">
        <f aca="false">L872-M872</f>
        <v>450</v>
      </c>
      <c r="O872" s="4" t="n">
        <f aca="false">MONTH(B872)</f>
        <v>7</v>
      </c>
      <c r="P872" s="4" t="str">
        <f aca="false">CHOOSE(WEEKDAY(B872,2),"Mon","Tue","Wed","Thu","Fri","Sat","Sun")</f>
        <v>Tue</v>
      </c>
      <c r="Q872" s="4" t="str">
        <f aca="false">IF(WEEKDAY(B872,2)&gt;5,"Weekend","Weekday")</f>
        <v>Weekday</v>
      </c>
      <c r="R872" s="4" t="str">
        <f aca="false">IF(C872&lt;11,"Morning (7-10)",IF(C872&lt;14,"Lunch (11-13)",IF(C872&lt;18,"Afternoon (14-17)","Evening (18-20)")))</f>
        <v>Morning (7-10)</v>
      </c>
      <c r="S872" s="4" t="str">
        <f aca="false">IF(AND(O872&gt;=3,O872&lt;=5),"Hot Dry (Mar-May)",IF(AND(O872&gt;=6,O872&lt;=11),"Rainy (Jun-Nov)","Cool Dry (Dec-Feb)"))</f>
        <v>Rainy (Jun-Nov)</v>
      </c>
      <c r="T872" s="4" t="str">
        <f aca="false">CHOOSE(O872,"Jan","Feb","Mar","Apr","May","Jun","Jul","Aug","Sep","Oct","Nov","Dec")</f>
        <v>Jul</v>
      </c>
    </row>
    <row r="873" customFormat="false" ht="15" hidden="false" customHeight="false" outlineLevel="0" collapsed="false">
      <c r="A873" s="4" t="s">
        <v>1162</v>
      </c>
      <c r="B873" s="17" t="n">
        <v>45839</v>
      </c>
      <c r="C873" s="4" t="n">
        <v>9</v>
      </c>
      <c r="D873" s="4" t="s">
        <v>64</v>
      </c>
      <c r="E873" s="4" t="s">
        <v>99</v>
      </c>
      <c r="F873" s="4" t="s">
        <v>102</v>
      </c>
      <c r="G873" s="4" t="n">
        <v>3</v>
      </c>
      <c r="H873" s="34" t="n">
        <v>140</v>
      </c>
      <c r="I873" s="18" t="n">
        <v>0.1</v>
      </c>
      <c r="J873" s="4" t="s">
        <v>81</v>
      </c>
      <c r="K873" s="4" t="s">
        <v>77</v>
      </c>
      <c r="L873" s="35" t="n">
        <f aca="false">G873*H873</f>
        <v>420</v>
      </c>
      <c r="M873" s="35" t="n">
        <f aca="false">L873*I873</f>
        <v>42</v>
      </c>
      <c r="N873" s="35" t="n">
        <f aca="false">L873-M873</f>
        <v>378</v>
      </c>
      <c r="O873" s="4" t="n">
        <f aca="false">MONTH(B873)</f>
        <v>7</v>
      </c>
      <c r="P873" s="4" t="str">
        <f aca="false">CHOOSE(WEEKDAY(B873,2),"Mon","Tue","Wed","Thu","Fri","Sat","Sun")</f>
        <v>Tue</v>
      </c>
      <c r="Q873" s="4" t="str">
        <f aca="false">IF(WEEKDAY(B873,2)&gt;5,"Weekend","Weekday")</f>
        <v>Weekday</v>
      </c>
      <c r="R873" s="4" t="str">
        <f aca="false">IF(C873&lt;11,"Morning (7-10)",IF(C873&lt;14,"Lunch (11-13)",IF(C873&lt;18,"Afternoon (14-17)","Evening (18-20)")))</f>
        <v>Morning (7-10)</v>
      </c>
      <c r="S873" s="4" t="str">
        <f aca="false">IF(AND(O873&gt;=3,O873&lt;=5),"Hot Dry (Mar-May)",IF(AND(O873&gt;=6,O873&lt;=11),"Rainy (Jun-Nov)","Cool Dry (Dec-Feb)"))</f>
        <v>Rainy (Jun-Nov)</v>
      </c>
      <c r="T873" s="4" t="str">
        <f aca="false">CHOOSE(O873,"Jan","Feb","Mar","Apr","May","Jun","Jul","Aug","Sep","Oct","Nov","Dec")</f>
        <v>Jul</v>
      </c>
    </row>
    <row r="874" customFormat="false" ht="15" hidden="false" customHeight="false" outlineLevel="0" collapsed="false">
      <c r="A874" s="4" t="s">
        <v>1163</v>
      </c>
      <c r="B874" s="17" t="n">
        <v>45839</v>
      </c>
      <c r="C874" s="4" t="n">
        <v>9</v>
      </c>
      <c r="D874" s="4" t="s">
        <v>73</v>
      </c>
      <c r="E874" s="4" t="s">
        <v>99</v>
      </c>
      <c r="F874" s="4" t="s">
        <v>102</v>
      </c>
      <c r="G874" s="4" t="n">
        <v>1</v>
      </c>
      <c r="H874" s="34" t="n">
        <v>140</v>
      </c>
      <c r="I874" s="18" t="n">
        <v>0</v>
      </c>
      <c r="J874" s="4" t="s">
        <v>88</v>
      </c>
      <c r="K874" s="4" t="s">
        <v>68</v>
      </c>
      <c r="L874" s="35" t="n">
        <f aca="false">G874*H874</f>
        <v>140</v>
      </c>
      <c r="M874" s="35" t="n">
        <f aca="false">L874*I874</f>
        <v>0</v>
      </c>
      <c r="N874" s="35" t="n">
        <f aca="false">L874-M874</f>
        <v>140</v>
      </c>
      <c r="O874" s="4" t="n">
        <f aca="false">MONTH(B874)</f>
        <v>7</v>
      </c>
      <c r="P874" s="4" t="str">
        <f aca="false">CHOOSE(WEEKDAY(B874,2),"Mon","Tue","Wed","Thu","Fri","Sat","Sun")</f>
        <v>Tue</v>
      </c>
      <c r="Q874" s="4" t="str">
        <f aca="false">IF(WEEKDAY(B874,2)&gt;5,"Weekend","Weekday")</f>
        <v>Weekday</v>
      </c>
      <c r="R874" s="4" t="str">
        <f aca="false">IF(C874&lt;11,"Morning (7-10)",IF(C874&lt;14,"Lunch (11-13)",IF(C874&lt;18,"Afternoon (14-17)","Evening (18-20)")))</f>
        <v>Morning (7-10)</v>
      </c>
      <c r="S874" s="4" t="str">
        <f aca="false">IF(AND(O874&gt;=3,O874&lt;=5),"Hot Dry (Mar-May)",IF(AND(O874&gt;=6,O874&lt;=11),"Rainy (Jun-Nov)","Cool Dry (Dec-Feb)"))</f>
        <v>Rainy (Jun-Nov)</v>
      </c>
      <c r="T874" s="4" t="str">
        <f aca="false">CHOOSE(O874,"Jan","Feb","Mar","Apr","May","Jun","Jul","Aug","Sep","Oct","Nov","Dec")</f>
        <v>Jul</v>
      </c>
    </row>
    <row r="875" customFormat="false" ht="15" hidden="false" customHeight="false" outlineLevel="0" collapsed="false">
      <c r="A875" s="4" t="s">
        <v>1164</v>
      </c>
      <c r="B875" s="17" t="n">
        <v>45839</v>
      </c>
      <c r="C875" s="4" t="n">
        <v>11</v>
      </c>
      <c r="D875" s="4" t="s">
        <v>98</v>
      </c>
      <c r="E875" s="4" t="s">
        <v>99</v>
      </c>
      <c r="F875" s="4" t="s">
        <v>102</v>
      </c>
      <c r="G875" s="4" t="n">
        <v>1</v>
      </c>
      <c r="H875" s="34" t="n">
        <v>140</v>
      </c>
      <c r="I875" s="18" t="n">
        <v>0</v>
      </c>
      <c r="J875" s="4" t="s">
        <v>76</v>
      </c>
      <c r="K875" s="4" t="s">
        <v>68</v>
      </c>
      <c r="L875" s="35" t="n">
        <f aca="false">G875*H875</f>
        <v>140</v>
      </c>
      <c r="M875" s="35" t="n">
        <f aca="false">L875*I875</f>
        <v>0</v>
      </c>
      <c r="N875" s="35" t="n">
        <f aca="false">L875-M875</f>
        <v>140</v>
      </c>
      <c r="O875" s="4" t="n">
        <f aca="false">MONTH(B875)</f>
        <v>7</v>
      </c>
      <c r="P875" s="4" t="str">
        <f aca="false">CHOOSE(WEEKDAY(B875,2),"Mon","Tue","Wed","Thu","Fri","Sat","Sun")</f>
        <v>Tue</v>
      </c>
      <c r="Q875" s="4" t="str">
        <f aca="false">IF(WEEKDAY(B875,2)&gt;5,"Weekend","Weekday")</f>
        <v>Weekday</v>
      </c>
      <c r="R875" s="4" t="str">
        <f aca="false">IF(C875&lt;11,"Morning (7-10)",IF(C875&lt;14,"Lunch (11-13)",IF(C875&lt;18,"Afternoon (14-17)","Evening (18-20)")))</f>
        <v>Lunch (11-13)</v>
      </c>
      <c r="S875" s="4" t="str">
        <f aca="false">IF(AND(O875&gt;=3,O875&lt;=5),"Hot Dry (Mar-May)",IF(AND(O875&gt;=6,O875&lt;=11),"Rainy (Jun-Nov)","Cool Dry (Dec-Feb)"))</f>
        <v>Rainy (Jun-Nov)</v>
      </c>
      <c r="T875" s="4" t="str">
        <f aca="false">CHOOSE(O875,"Jan","Feb","Mar","Apr","May","Jun","Jul","Aug","Sep","Oct","Nov","Dec")</f>
        <v>Jul</v>
      </c>
    </row>
    <row r="876" customFormat="false" ht="15" hidden="false" customHeight="false" outlineLevel="0" collapsed="false">
      <c r="A876" s="4" t="s">
        <v>1166</v>
      </c>
      <c r="B876" s="17" t="n">
        <v>45840</v>
      </c>
      <c r="C876" s="4" t="n">
        <v>8</v>
      </c>
      <c r="D876" s="4" t="s">
        <v>64</v>
      </c>
      <c r="E876" s="4" t="s">
        <v>99</v>
      </c>
      <c r="F876" s="4" t="s">
        <v>102</v>
      </c>
      <c r="G876" s="4" t="n">
        <v>1</v>
      </c>
      <c r="H876" s="34" t="n">
        <v>140</v>
      </c>
      <c r="I876" s="18" t="n">
        <v>0</v>
      </c>
      <c r="J876" s="4" t="s">
        <v>81</v>
      </c>
      <c r="K876" s="4" t="s">
        <v>68</v>
      </c>
      <c r="L876" s="35" t="n">
        <f aca="false">G876*H876</f>
        <v>140</v>
      </c>
      <c r="M876" s="35" t="n">
        <f aca="false">L876*I876</f>
        <v>0</v>
      </c>
      <c r="N876" s="35" t="n">
        <f aca="false">L876-M876</f>
        <v>140</v>
      </c>
      <c r="O876" s="4" t="n">
        <f aca="false">MONTH(B876)</f>
        <v>7</v>
      </c>
      <c r="P876" s="4" t="str">
        <f aca="false">CHOOSE(WEEKDAY(B876,2),"Mon","Tue","Wed","Thu","Fri","Sat","Sun")</f>
        <v>Wed</v>
      </c>
      <c r="Q876" s="4" t="str">
        <f aca="false">IF(WEEKDAY(B876,2)&gt;5,"Weekend","Weekday")</f>
        <v>Weekday</v>
      </c>
      <c r="R876" s="4" t="str">
        <f aca="false">IF(C876&lt;11,"Morning (7-10)",IF(C876&lt;14,"Lunch (11-13)",IF(C876&lt;18,"Afternoon (14-17)","Evening (18-20)")))</f>
        <v>Morning (7-10)</v>
      </c>
      <c r="S876" s="4" t="str">
        <f aca="false">IF(AND(O876&gt;=3,O876&lt;=5),"Hot Dry (Mar-May)",IF(AND(O876&gt;=6,O876&lt;=11),"Rainy (Jun-Nov)","Cool Dry (Dec-Feb)"))</f>
        <v>Rainy (Jun-Nov)</v>
      </c>
      <c r="T876" s="4" t="str">
        <f aca="false">CHOOSE(O876,"Jan","Feb","Mar","Apr","May","Jun","Jul","Aug","Sep","Oct","Nov","Dec")</f>
        <v>Jul</v>
      </c>
    </row>
    <row r="877" customFormat="false" ht="15" hidden="false" customHeight="false" outlineLevel="0" collapsed="false">
      <c r="A877" s="4" t="s">
        <v>1167</v>
      </c>
      <c r="B877" s="17" t="n">
        <v>45840</v>
      </c>
      <c r="C877" s="4" t="n">
        <v>10</v>
      </c>
      <c r="D877" s="4" t="s">
        <v>70</v>
      </c>
      <c r="E877" s="4" t="s">
        <v>99</v>
      </c>
      <c r="F877" s="4" t="s">
        <v>102</v>
      </c>
      <c r="G877" s="4" t="n">
        <v>2</v>
      </c>
      <c r="H877" s="34" t="n">
        <v>140</v>
      </c>
      <c r="I877" s="18" t="n">
        <v>0.05</v>
      </c>
      <c r="J877" s="4" t="s">
        <v>88</v>
      </c>
      <c r="K877" s="4" t="s">
        <v>82</v>
      </c>
      <c r="L877" s="35" t="n">
        <f aca="false">G877*H877</f>
        <v>280</v>
      </c>
      <c r="M877" s="35" t="n">
        <f aca="false">L877*I877</f>
        <v>14</v>
      </c>
      <c r="N877" s="35" t="n">
        <f aca="false">L877-M877</f>
        <v>266</v>
      </c>
      <c r="O877" s="4" t="n">
        <f aca="false">MONTH(B877)</f>
        <v>7</v>
      </c>
      <c r="P877" s="4" t="str">
        <f aca="false">CHOOSE(WEEKDAY(B877,2),"Mon","Tue","Wed","Thu","Fri","Sat","Sun")</f>
        <v>Wed</v>
      </c>
      <c r="Q877" s="4" t="str">
        <f aca="false">IF(WEEKDAY(B877,2)&gt;5,"Weekend","Weekday")</f>
        <v>Weekday</v>
      </c>
      <c r="R877" s="4" t="str">
        <f aca="false">IF(C877&lt;11,"Morning (7-10)",IF(C877&lt;14,"Lunch (11-13)",IF(C877&lt;18,"Afternoon (14-17)","Evening (18-20)")))</f>
        <v>Morning (7-10)</v>
      </c>
      <c r="S877" s="4" t="str">
        <f aca="false">IF(AND(O877&gt;=3,O877&lt;=5),"Hot Dry (Mar-May)",IF(AND(O877&gt;=6,O877&lt;=11),"Rainy (Jun-Nov)","Cool Dry (Dec-Feb)"))</f>
        <v>Rainy (Jun-Nov)</v>
      </c>
      <c r="T877" s="4" t="str">
        <f aca="false">CHOOSE(O877,"Jan","Feb","Mar","Apr","May","Jun","Jul","Aug","Sep","Oct","Nov","Dec")</f>
        <v>Jul</v>
      </c>
    </row>
    <row r="878" customFormat="false" ht="15" hidden="false" customHeight="false" outlineLevel="0" collapsed="false">
      <c r="A878" s="4" t="s">
        <v>1168</v>
      </c>
      <c r="B878" s="17" t="n">
        <v>45840</v>
      </c>
      <c r="C878" s="4" t="n">
        <v>16</v>
      </c>
      <c r="D878" s="4" t="s">
        <v>64</v>
      </c>
      <c r="E878" s="4" t="s">
        <v>84</v>
      </c>
      <c r="F878" s="4" t="s">
        <v>85</v>
      </c>
      <c r="G878" s="4" t="n">
        <v>4</v>
      </c>
      <c r="H878" s="34" t="n">
        <v>150</v>
      </c>
      <c r="I878" s="18" t="n">
        <v>0</v>
      </c>
      <c r="J878" s="4" t="s">
        <v>76</v>
      </c>
      <c r="K878" s="4" t="s">
        <v>77</v>
      </c>
      <c r="L878" s="35" t="n">
        <f aca="false">G878*H878</f>
        <v>600</v>
      </c>
      <c r="M878" s="35" t="n">
        <f aca="false">L878*I878</f>
        <v>0</v>
      </c>
      <c r="N878" s="35" t="n">
        <f aca="false">L878-M878</f>
        <v>600</v>
      </c>
      <c r="O878" s="4" t="n">
        <f aca="false">MONTH(B878)</f>
        <v>7</v>
      </c>
      <c r="P878" s="4" t="str">
        <f aca="false">CHOOSE(WEEKDAY(B878,2),"Mon","Tue","Wed","Thu","Fri","Sat","Sun")</f>
        <v>Wed</v>
      </c>
      <c r="Q878" s="4" t="str">
        <f aca="false">IF(WEEKDAY(B878,2)&gt;5,"Weekend","Weekday")</f>
        <v>Weekday</v>
      </c>
      <c r="R878" s="4" t="str">
        <f aca="false">IF(C878&lt;11,"Morning (7-10)",IF(C878&lt;14,"Lunch (11-13)",IF(C878&lt;18,"Afternoon (14-17)","Evening (18-20)")))</f>
        <v>Afternoon (14-17)</v>
      </c>
      <c r="S878" s="4" t="str">
        <f aca="false">IF(AND(O878&gt;=3,O878&lt;=5),"Hot Dry (Mar-May)",IF(AND(O878&gt;=6,O878&lt;=11),"Rainy (Jun-Nov)","Cool Dry (Dec-Feb)"))</f>
        <v>Rainy (Jun-Nov)</v>
      </c>
      <c r="T878" s="4" t="str">
        <f aca="false">CHOOSE(O878,"Jan","Feb","Mar","Apr","May","Jun","Jul","Aug","Sep","Oct","Nov","Dec")</f>
        <v>Jul</v>
      </c>
    </row>
    <row r="879" customFormat="false" ht="15" hidden="false" customHeight="false" outlineLevel="0" collapsed="false">
      <c r="A879" s="4" t="s">
        <v>1169</v>
      </c>
      <c r="B879" s="17" t="n">
        <v>45841</v>
      </c>
      <c r="C879" s="4" t="n">
        <v>9</v>
      </c>
      <c r="D879" s="4" t="s">
        <v>73</v>
      </c>
      <c r="E879" s="4" t="s">
        <v>84</v>
      </c>
      <c r="F879" s="4" t="s">
        <v>114</v>
      </c>
      <c r="G879" s="4" t="n">
        <v>2</v>
      </c>
      <c r="H879" s="34" t="n">
        <v>85</v>
      </c>
      <c r="I879" s="18" t="n">
        <v>0</v>
      </c>
      <c r="J879" s="4" t="s">
        <v>76</v>
      </c>
      <c r="K879" s="4" t="s">
        <v>68</v>
      </c>
      <c r="L879" s="35" t="n">
        <f aca="false">G879*H879</f>
        <v>170</v>
      </c>
      <c r="M879" s="35" t="n">
        <f aca="false">L879*I879</f>
        <v>0</v>
      </c>
      <c r="N879" s="35" t="n">
        <f aca="false">L879-M879</f>
        <v>170</v>
      </c>
      <c r="O879" s="4" t="n">
        <f aca="false">MONTH(B879)</f>
        <v>7</v>
      </c>
      <c r="P879" s="4" t="str">
        <f aca="false">CHOOSE(WEEKDAY(B879,2),"Mon","Tue","Wed","Thu","Fri","Sat","Sun")</f>
        <v>Thu</v>
      </c>
      <c r="Q879" s="4" t="str">
        <f aca="false">IF(WEEKDAY(B879,2)&gt;5,"Weekend","Weekday")</f>
        <v>Weekday</v>
      </c>
      <c r="R879" s="4" t="str">
        <f aca="false">IF(C879&lt;11,"Morning (7-10)",IF(C879&lt;14,"Lunch (11-13)",IF(C879&lt;18,"Afternoon (14-17)","Evening (18-20)")))</f>
        <v>Morning (7-10)</v>
      </c>
      <c r="S879" s="4" t="str">
        <f aca="false">IF(AND(O879&gt;=3,O879&lt;=5),"Hot Dry (Mar-May)",IF(AND(O879&gt;=6,O879&lt;=11),"Rainy (Jun-Nov)","Cool Dry (Dec-Feb)"))</f>
        <v>Rainy (Jun-Nov)</v>
      </c>
      <c r="T879" s="4" t="str">
        <f aca="false">CHOOSE(O879,"Jan","Feb","Mar","Apr","May","Jun","Jul","Aug","Sep","Oct","Nov","Dec")</f>
        <v>Jul</v>
      </c>
    </row>
    <row r="880" customFormat="false" ht="15" hidden="false" customHeight="false" outlineLevel="0" collapsed="false">
      <c r="A880" s="4" t="s">
        <v>1170</v>
      </c>
      <c r="B880" s="17" t="n">
        <v>45841</v>
      </c>
      <c r="C880" s="4" t="n">
        <v>10</v>
      </c>
      <c r="D880" s="4" t="s">
        <v>64</v>
      </c>
      <c r="E880" s="4" t="s">
        <v>84</v>
      </c>
      <c r="F880" s="4" t="s">
        <v>117</v>
      </c>
      <c r="G880" s="4" t="n">
        <v>1</v>
      </c>
      <c r="H880" s="34" t="n">
        <v>95</v>
      </c>
      <c r="I880" s="18" t="n">
        <v>0</v>
      </c>
      <c r="J880" s="4" t="s">
        <v>81</v>
      </c>
      <c r="K880" s="4" t="s">
        <v>68</v>
      </c>
      <c r="L880" s="35" t="n">
        <f aca="false">G880*H880</f>
        <v>95</v>
      </c>
      <c r="M880" s="35" t="n">
        <f aca="false">L880*I880</f>
        <v>0</v>
      </c>
      <c r="N880" s="35" t="n">
        <f aca="false">L880-M880</f>
        <v>95</v>
      </c>
      <c r="O880" s="4" t="n">
        <f aca="false">MONTH(B880)</f>
        <v>7</v>
      </c>
      <c r="P880" s="4" t="str">
        <f aca="false">CHOOSE(WEEKDAY(B880,2),"Mon","Tue","Wed","Thu","Fri","Sat","Sun")</f>
        <v>Thu</v>
      </c>
      <c r="Q880" s="4" t="str">
        <f aca="false">IF(WEEKDAY(B880,2)&gt;5,"Weekend","Weekday")</f>
        <v>Weekday</v>
      </c>
      <c r="R880" s="4" t="str">
        <f aca="false">IF(C880&lt;11,"Morning (7-10)",IF(C880&lt;14,"Lunch (11-13)",IF(C880&lt;18,"Afternoon (14-17)","Evening (18-20)")))</f>
        <v>Morning (7-10)</v>
      </c>
      <c r="S880" s="4" t="str">
        <f aca="false">IF(AND(O880&gt;=3,O880&lt;=5),"Hot Dry (Mar-May)",IF(AND(O880&gt;=6,O880&lt;=11),"Rainy (Jun-Nov)","Cool Dry (Dec-Feb)"))</f>
        <v>Rainy (Jun-Nov)</v>
      </c>
      <c r="T880" s="4" t="str">
        <f aca="false">CHOOSE(O880,"Jan","Feb","Mar","Apr","May","Jun","Jul","Aug","Sep","Oct","Nov","Dec")</f>
        <v>Jul</v>
      </c>
    </row>
    <row r="881" customFormat="false" ht="15" hidden="false" customHeight="false" outlineLevel="0" collapsed="false">
      <c r="A881" s="4" t="s">
        <v>1171</v>
      </c>
      <c r="B881" s="17" t="n">
        <v>45841</v>
      </c>
      <c r="C881" s="4" t="n">
        <v>12</v>
      </c>
      <c r="D881" s="4" t="s">
        <v>73</v>
      </c>
      <c r="E881" s="4" t="s">
        <v>99</v>
      </c>
      <c r="F881" s="4" t="s">
        <v>109</v>
      </c>
      <c r="G881" s="4" t="n">
        <v>1</v>
      </c>
      <c r="H881" s="34" t="n">
        <v>130</v>
      </c>
      <c r="I881" s="18" t="n">
        <v>0</v>
      </c>
      <c r="J881" s="4" t="s">
        <v>88</v>
      </c>
      <c r="K881" s="4" t="s">
        <v>77</v>
      </c>
      <c r="L881" s="35" t="n">
        <f aca="false">G881*H881</f>
        <v>130</v>
      </c>
      <c r="M881" s="35" t="n">
        <f aca="false">L881*I881</f>
        <v>0</v>
      </c>
      <c r="N881" s="35" t="n">
        <f aca="false">L881-M881</f>
        <v>130</v>
      </c>
      <c r="O881" s="4" t="n">
        <f aca="false">MONTH(B881)</f>
        <v>7</v>
      </c>
      <c r="P881" s="4" t="str">
        <f aca="false">CHOOSE(WEEKDAY(B881,2),"Mon","Tue","Wed","Thu","Fri","Sat","Sun")</f>
        <v>Thu</v>
      </c>
      <c r="Q881" s="4" t="str">
        <f aca="false">IF(WEEKDAY(B881,2)&gt;5,"Weekend","Weekday")</f>
        <v>Weekday</v>
      </c>
      <c r="R881" s="4" t="str">
        <f aca="false">IF(C881&lt;11,"Morning (7-10)",IF(C881&lt;14,"Lunch (11-13)",IF(C881&lt;18,"Afternoon (14-17)","Evening (18-20)")))</f>
        <v>Lunch (11-13)</v>
      </c>
      <c r="S881" s="4" t="str">
        <f aca="false">IF(AND(O881&gt;=3,O881&lt;=5),"Hot Dry (Mar-May)",IF(AND(O881&gt;=6,O881&lt;=11),"Rainy (Jun-Nov)","Cool Dry (Dec-Feb)"))</f>
        <v>Rainy (Jun-Nov)</v>
      </c>
      <c r="T881" s="4" t="str">
        <f aca="false">CHOOSE(O881,"Jan","Feb","Mar","Apr","May","Jun","Jul","Aug","Sep","Oct","Nov","Dec")</f>
        <v>Jul</v>
      </c>
    </row>
    <row r="882" customFormat="false" ht="15" hidden="false" customHeight="false" outlineLevel="0" collapsed="false">
      <c r="A882" s="4" t="s">
        <v>1172</v>
      </c>
      <c r="B882" s="17" t="n">
        <v>45841</v>
      </c>
      <c r="C882" s="4" t="n">
        <v>13</v>
      </c>
      <c r="D882" s="4" t="s">
        <v>73</v>
      </c>
      <c r="E882" s="4" t="s">
        <v>84</v>
      </c>
      <c r="F882" s="4" t="s">
        <v>114</v>
      </c>
      <c r="G882" s="4" t="n">
        <v>1</v>
      </c>
      <c r="H882" s="34" t="n">
        <v>85</v>
      </c>
      <c r="I882" s="18" t="n">
        <v>0.2</v>
      </c>
      <c r="J882" s="4" t="s">
        <v>88</v>
      </c>
      <c r="K882" s="4" t="s">
        <v>82</v>
      </c>
      <c r="L882" s="35" t="n">
        <f aca="false">G882*H882</f>
        <v>85</v>
      </c>
      <c r="M882" s="35" t="n">
        <f aca="false">L882*I882</f>
        <v>17</v>
      </c>
      <c r="N882" s="35" t="n">
        <f aca="false">L882-M882</f>
        <v>68</v>
      </c>
      <c r="O882" s="4" t="n">
        <f aca="false">MONTH(B882)</f>
        <v>7</v>
      </c>
      <c r="P882" s="4" t="str">
        <f aca="false">CHOOSE(WEEKDAY(B882,2),"Mon","Tue","Wed","Thu","Fri","Sat","Sun")</f>
        <v>Thu</v>
      </c>
      <c r="Q882" s="4" t="str">
        <f aca="false">IF(WEEKDAY(B882,2)&gt;5,"Weekend","Weekday")</f>
        <v>Weekday</v>
      </c>
      <c r="R882" s="4" t="str">
        <f aca="false">IF(C882&lt;11,"Morning (7-10)",IF(C882&lt;14,"Lunch (11-13)",IF(C882&lt;18,"Afternoon (14-17)","Evening (18-20)")))</f>
        <v>Lunch (11-13)</v>
      </c>
      <c r="S882" s="4" t="str">
        <f aca="false">IF(AND(O882&gt;=3,O882&lt;=5),"Hot Dry (Mar-May)",IF(AND(O882&gt;=6,O882&lt;=11),"Rainy (Jun-Nov)","Cool Dry (Dec-Feb)"))</f>
        <v>Rainy (Jun-Nov)</v>
      </c>
      <c r="T882" s="4" t="str">
        <f aca="false">CHOOSE(O882,"Jan","Feb","Mar","Apr","May","Jun","Jul","Aug","Sep","Oct","Nov","Dec")</f>
        <v>Jul</v>
      </c>
    </row>
    <row r="883" customFormat="false" ht="15" hidden="false" customHeight="false" outlineLevel="0" collapsed="false">
      <c r="A883" s="4" t="s">
        <v>1174</v>
      </c>
      <c r="B883" s="17" t="n">
        <v>45841</v>
      </c>
      <c r="C883" s="4" t="n">
        <v>14</v>
      </c>
      <c r="D883" s="4" t="s">
        <v>70</v>
      </c>
      <c r="E883" s="4" t="s">
        <v>84</v>
      </c>
      <c r="F883" s="4" t="s">
        <v>85</v>
      </c>
      <c r="G883" s="4" t="n">
        <v>1</v>
      </c>
      <c r="H883" s="34" t="n">
        <v>150</v>
      </c>
      <c r="I883" s="18" t="n">
        <v>0.1</v>
      </c>
      <c r="J883" s="4" t="s">
        <v>81</v>
      </c>
      <c r="K883" s="4" t="s">
        <v>71</v>
      </c>
      <c r="L883" s="35" t="n">
        <f aca="false">G883*H883</f>
        <v>150</v>
      </c>
      <c r="M883" s="35" t="n">
        <f aca="false">L883*I883</f>
        <v>15</v>
      </c>
      <c r="N883" s="35" t="n">
        <f aca="false">L883-M883</f>
        <v>135</v>
      </c>
      <c r="O883" s="4" t="n">
        <f aca="false">MONTH(B883)</f>
        <v>7</v>
      </c>
      <c r="P883" s="4" t="str">
        <f aca="false">CHOOSE(WEEKDAY(B883,2),"Mon","Tue","Wed","Thu","Fri","Sat","Sun")</f>
        <v>Thu</v>
      </c>
      <c r="Q883" s="4" t="str">
        <f aca="false">IF(WEEKDAY(B883,2)&gt;5,"Weekend","Weekday")</f>
        <v>Weekday</v>
      </c>
      <c r="R883" s="4" t="str">
        <f aca="false">IF(C883&lt;11,"Morning (7-10)",IF(C883&lt;14,"Lunch (11-13)",IF(C883&lt;18,"Afternoon (14-17)","Evening (18-20)")))</f>
        <v>Afternoon (14-17)</v>
      </c>
      <c r="S883" s="4" t="str">
        <f aca="false">IF(AND(O883&gt;=3,O883&lt;=5),"Hot Dry (Mar-May)",IF(AND(O883&gt;=6,O883&lt;=11),"Rainy (Jun-Nov)","Cool Dry (Dec-Feb)"))</f>
        <v>Rainy (Jun-Nov)</v>
      </c>
      <c r="T883" s="4" t="str">
        <f aca="false">CHOOSE(O883,"Jan","Feb","Mar","Apr","May","Jun","Jul","Aug","Sep","Oct","Nov","Dec")</f>
        <v>Jul</v>
      </c>
    </row>
    <row r="884" customFormat="false" ht="15" hidden="false" customHeight="false" outlineLevel="0" collapsed="false">
      <c r="A884" s="4" t="s">
        <v>1175</v>
      </c>
      <c r="B884" s="17" t="n">
        <v>45841</v>
      </c>
      <c r="C884" s="4" t="n">
        <v>19</v>
      </c>
      <c r="D884" s="4" t="s">
        <v>98</v>
      </c>
      <c r="E884" s="4" t="s">
        <v>84</v>
      </c>
      <c r="F884" s="4" t="s">
        <v>114</v>
      </c>
      <c r="G884" s="4" t="n">
        <v>2</v>
      </c>
      <c r="H884" s="34" t="n">
        <v>85</v>
      </c>
      <c r="I884" s="18" t="n">
        <v>0</v>
      </c>
      <c r="J884" s="4" t="s">
        <v>81</v>
      </c>
      <c r="K884" s="4" t="s">
        <v>68</v>
      </c>
      <c r="L884" s="35" t="n">
        <f aca="false">G884*H884</f>
        <v>170</v>
      </c>
      <c r="M884" s="35" t="n">
        <f aca="false">L884*I884</f>
        <v>0</v>
      </c>
      <c r="N884" s="35" t="n">
        <f aca="false">L884-M884</f>
        <v>170</v>
      </c>
      <c r="O884" s="4" t="n">
        <f aca="false">MONTH(B884)</f>
        <v>7</v>
      </c>
      <c r="P884" s="4" t="str">
        <f aca="false">CHOOSE(WEEKDAY(B884,2),"Mon","Tue","Wed","Thu","Fri","Sat","Sun")</f>
        <v>Thu</v>
      </c>
      <c r="Q884" s="4" t="str">
        <f aca="false">IF(WEEKDAY(B884,2)&gt;5,"Weekend","Weekday")</f>
        <v>Weekday</v>
      </c>
      <c r="R884" s="4" t="str">
        <f aca="false">IF(C884&lt;11,"Morning (7-10)",IF(C884&lt;14,"Lunch (11-13)",IF(C884&lt;18,"Afternoon (14-17)","Evening (18-20)")))</f>
        <v>Evening (18-20)</v>
      </c>
      <c r="S884" s="4" t="str">
        <f aca="false">IF(AND(O884&gt;=3,O884&lt;=5),"Hot Dry (Mar-May)",IF(AND(O884&gt;=6,O884&lt;=11),"Rainy (Jun-Nov)","Cool Dry (Dec-Feb)"))</f>
        <v>Rainy (Jun-Nov)</v>
      </c>
      <c r="T884" s="4" t="str">
        <f aca="false">CHOOSE(O884,"Jan","Feb","Mar","Apr","May","Jun","Jul","Aug","Sep","Oct","Nov","Dec")</f>
        <v>Jul</v>
      </c>
    </row>
    <row r="885" customFormat="false" ht="15" hidden="false" customHeight="false" outlineLevel="0" collapsed="false">
      <c r="A885" s="4" t="s">
        <v>1176</v>
      </c>
      <c r="B885" s="17" t="n">
        <v>45842</v>
      </c>
      <c r="C885" s="4" t="n">
        <v>8</v>
      </c>
      <c r="D885" s="4" t="s">
        <v>64</v>
      </c>
      <c r="E885" s="4" t="s">
        <v>65</v>
      </c>
      <c r="F885" s="4" t="s">
        <v>94</v>
      </c>
      <c r="G885" s="4" t="n">
        <v>1</v>
      </c>
      <c r="H885" s="34" t="n">
        <v>150</v>
      </c>
      <c r="I885" s="18" t="n">
        <v>0.05</v>
      </c>
      <c r="J885" s="4" t="s">
        <v>112</v>
      </c>
      <c r="K885" s="4" t="s">
        <v>82</v>
      </c>
      <c r="L885" s="35" t="n">
        <f aca="false">G885*H885</f>
        <v>150</v>
      </c>
      <c r="M885" s="35" t="n">
        <f aca="false">L885*I885</f>
        <v>7.5</v>
      </c>
      <c r="N885" s="35" t="n">
        <f aca="false">L885-M885</f>
        <v>142.5</v>
      </c>
      <c r="O885" s="4" t="n">
        <f aca="false">MONTH(B885)</f>
        <v>7</v>
      </c>
      <c r="P885" s="4" t="str">
        <f aca="false">CHOOSE(WEEKDAY(B885,2),"Mon","Tue","Wed","Thu","Fri","Sat","Sun")</f>
        <v>Fri</v>
      </c>
      <c r="Q885" s="4" t="str">
        <f aca="false">IF(WEEKDAY(B885,2)&gt;5,"Weekend","Weekday")</f>
        <v>Weekday</v>
      </c>
      <c r="R885" s="4" t="str">
        <f aca="false">IF(C885&lt;11,"Morning (7-10)",IF(C885&lt;14,"Lunch (11-13)",IF(C885&lt;18,"Afternoon (14-17)","Evening (18-20)")))</f>
        <v>Morning (7-10)</v>
      </c>
      <c r="S885" s="4" t="str">
        <f aca="false">IF(AND(O885&gt;=3,O885&lt;=5),"Hot Dry (Mar-May)",IF(AND(O885&gt;=6,O885&lt;=11),"Rainy (Jun-Nov)","Cool Dry (Dec-Feb)"))</f>
        <v>Rainy (Jun-Nov)</v>
      </c>
      <c r="T885" s="4" t="str">
        <f aca="false">CHOOSE(O885,"Jan","Feb","Mar","Apr","May","Jun","Jul","Aug","Sep","Oct","Nov","Dec")</f>
        <v>Jul</v>
      </c>
    </row>
    <row r="886" customFormat="false" ht="15" hidden="false" customHeight="false" outlineLevel="0" collapsed="false">
      <c r="A886" s="4" t="s">
        <v>1177</v>
      </c>
      <c r="B886" s="17" t="n">
        <v>45842</v>
      </c>
      <c r="C886" s="4" t="n">
        <v>13</v>
      </c>
      <c r="D886" s="4" t="s">
        <v>64</v>
      </c>
      <c r="E886" s="4" t="s">
        <v>65</v>
      </c>
      <c r="F886" s="4" t="s">
        <v>66</v>
      </c>
      <c r="G886" s="4" t="n">
        <v>2</v>
      </c>
      <c r="H886" s="34" t="n">
        <v>120</v>
      </c>
      <c r="I886" s="18" t="n">
        <v>0.1</v>
      </c>
      <c r="J886" s="4" t="s">
        <v>81</v>
      </c>
      <c r="K886" s="4" t="s">
        <v>68</v>
      </c>
      <c r="L886" s="35" t="n">
        <f aca="false">G886*H886</f>
        <v>240</v>
      </c>
      <c r="M886" s="35" t="n">
        <f aca="false">L886*I886</f>
        <v>24</v>
      </c>
      <c r="N886" s="35" t="n">
        <f aca="false">L886-M886</f>
        <v>216</v>
      </c>
      <c r="O886" s="4" t="n">
        <f aca="false">MONTH(B886)</f>
        <v>7</v>
      </c>
      <c r="P886" s="4" t="str">
        <f aca="false">CHOOSE(WEEKDAY(B886,2),"Mon","Tue","Wed","Thu","Fri","Sat","Sun")</f>
        <v>Fri</v>
      </c>
      <c r="Q886" s="4" t="str">
        <f aca="false">IF(WEEKDAY(B886,2)&gt;5,"Weekend","Weekday")</f>
        <v>Weekday</v>
      </c>
      <c r="R886" s="4" t="str">
        <f aca="false">IF(C886&lt;11,"Morning (7-10)",IF(C886&lt;14,"Lunch (11-13)",IF(C886&lt;18,"Afternoon (14-17)","Evening (18-20)")))</f>
        <v>Lunch (11-13)</v>
      </c>
      <c r="S886" s="4" t="str">
        <f aca="false">IF(AND(O886&gt;=3,O886&lt;=5),"Hot Dry (Mar-May)",IF(AND(O886&gt;=6,O886&lt;=11),"Rainy (Jun-Nov)","Cool Dry (Dec-Feb)"))</f>
        <v>Rainy (Jun-Nov)</v>
      </c>
      <c r="T886" s="4" t="str">
        <f aca="false">CHOOSE(O886,"Jan","Feb","Mar","Apr","May","Jun","Jul","Aug","Sep","Oct","Nov","Dec")</f>
        <v>Jul</v>
      </c>
    </row>
    <row r="887" customFormat="false" ht="15" hidden="false" customHeight="false" outlineLevel="0" collapsed="false">
      <c r="A887" s="4" t="s">
        <v>1178</v>
      </c>
      <c r="B887" s="17" t="n">
        <v>45842</v>
      </c>
      <c r="C887" s="4" t="n">
        <v>16</v>
      </c>
      <c r="D887" s="4" t="s">
        <v>98</v>
      </c>
      <c r="E887" s="4" t="s">
        <v>99</v>
      </c>
      <c r="F887" s="4" t="s">
        <v>109</v>
      </c>
      <c r="G887" s="4" t="n">
        <v>1</v>
      </c>
      <c r="H887" s="34" t="n">
        <v>130</v>
      </c>
      <c r="I887" s="18" t="n">
        <v>0.1</v>
      </c>
      <c r="J887" s="4" t="s">
        <v>76</v>
      </c>
      <c r="K887" s="4" t="s">
        <v>71</v>
      </c>
      <c r="L887" s="35" t="n">
        <f aca="false">G887*H887</f>
        <v>130</v>
      </c>
      <c r="M887" s="35" t="n">
        <f aca="false">L887*I887</f>
        <v>13</v>
      </c>
      <c r="N887" s="35" t="n">
        <f aca="false">L887-M887</f>
        <v>117</v>
      </c>
      <c r="O887" s="4" t="n">
        <f aca="false">MONTH(B887)</f>
        <v>7</v>
      </c>
      <c r="P887" s="4" t="str">
        <f aca="false">CHOOSE(WEEKDAY(B887,2),"Mon","Tue","Wed","Thu","Fri","Sat","Sun")</f>
        <v>Fri</v>
      </c>
      <c r="Q887" s="4" t="str">
        <f aca="false">IF(WEEKDAY(B887,2)&gt;5,"Weekend","Weekday")</f>
        <v>Weekday</v>
      </c>
      <c r="R887" s="4" t="str">
        <f aca="false">IF(C887&lt;11,"Morning (7-10)",IF(C887&lt;14,"Lunch (11-13)",IF(C887&lt;18,"Afternoon (14-17)","Evening (18-20)")))</f>
        <v>Afternoon (14-17)</v>
      </c>
      <c r="S887" s="4" t="str">
        <f aca="false">IF(AND(O887&gt;=3,O887&lt;=5),"Hot Dry (Mar-May)",IF(AND(O887&gt;=6,O887&lt;=11),"Rainy (Jun-Nov)","Cool Dry (Dec-Feb)"))</f>
        <v>Rainy (Jun-Nov)</v>
      </c>
      <c r="T887" s="4" t="str">
        <f aca="false">CHOOSE(O887,"Jan","Feb","Mar","Apr","May","Jun","Jul","Aug","Sep","Oct","Nov","Dec")</f>
        <v>Jul</v>
      </c>
    </row>
    <row r="888" customFormat="false" ht="15" hidden="false" customHeight="false" outlineLevel="0" collapsed="false">
      <c r="A888" s="4" t="s">
        <v>1180</v>
      </c>
      <c r="B888" s="17" t="n">
        <v>45842</v>
      </c>
      <c r="C888" s="4" t="n">
        <v>16</v>
      </c>
      <c r="D888" s="4" t="s">
        <v>64</v>
      </c>
      <c r="E888" s="4" t="s">
        <v>99</v>
      </c>
      <c r="F888" s="4" t="s">
        <v>102</v>
      </c>
      <c r="G888" s="4" t="n">
        <v>1</v>
      </c>
      <c r="H888" s="34" t="n">
        <v>140</v>
      </c>
      <c r="I888" s="18" t="n">
        <v>0</v>
      </c>
      <c r="J888" s="4" t="s">
        <v>88</v>
      </c>
      <c r="K888" s="4" t="s">
        <v>68</v>
      </c>
      <c r="L888" s="35" t="n">
        <f aca="false">G888*H888</f>
        <v>140</v>
      </c>
      <c r="M888" s="35" t="n">
        <f aca="false">L888*I888</f>
        <v>0</v>
      </c>
      <c r="N888" s="35" t="n">
        <f aca="false">L888-M888</f>
        <v>140</v>
      </c>
      <c r="O888" s="4" t="n">
        <f aca="false">MONTH(B888)</f>
        <v>7</v>
      </c>
      <c r="P888" s="4" t="str">
        <f aca="false">CHOOSE(WEEKDAY(B888,2),"Mon","Tue","Wed","Thu","Fri","Sat","Sun")</f>
        <v>Fri</v>
      </c>
      <c r="Q888" s="4" t="str">
        <f aca="false">IF(WEEKDAY(B888,2)&gt;5,"Weekend","Weekday")</f>
        <v>Weekday</v>
      </c>
      <c r="R888" s="4" t="str">
        <f aca="false">IF(C888&lt;11,"Morning (7-10)",IF(C888&lt;14,"Lunch (11-13)",IF(C888&lt;18,"Afternoon (14-17)","Evening (18-20)")))</f>
        <v>Afternoon (14-17)</v>
      </c>
      <c r="S888" s="4" t="str">
        <f aca="false">IF(AND(O888&gt;=3,O888&lt;=5),"Hot Dry (Mar-May)",IF(AND(O888&gt;=6,O888&lt;=11),"Rainy (Jun-Nov)","Cool Dry (Dec-Feb)"))</f>
        <v>Rainy (Jun-Nov)</v>
      </c>
      <c r="T888" s="4" t="str">
        <f aca="false">CHOOSE(O888,"Jan","Feb","Mar","Apr","May","Jun","Jul","Aug","Sep","Oct","Nov","Dec")</f>
        <v>Jul</v>
      </c>
    </row>
    <row r="889" customFormat="false" ht="15" hidden="false" customHeight="false" outlineLevel="0" collapsed="false">
      <c r="A889" s="4" t="s">
        <v>1181</v>
      </c>
      <c r="B889" s="17" t="n">
        <v>45842</v>
      </c>
      <c r="C889" s="4" t="n">
        <v>17</v>
      </c>
      <c r="D889" s="4" t="s">
        <v>70</v>
      </c>
      <c r="E889" s="4" t="s">
        <v>99</v>
      </c>
      <c r="F889" s="4" t="s">
        <v>100</v>
      </c>
      <c r="G889" s="4" t="n">
        <v>2</v>
      </c>
      <c r="H889" s="34" t="n">
        <v>110</v>
      </c>
      <c r="I889" s="18" t="n">
        <v>0.05</v>
      </c>
      <c r="J889" s="4" t="s">
        <v>67</v>
      </c>
      <c r="K889" s="4" t="s">
        <v>82</v>
      </c>
      <c r="L889" s="35" t="n">
        <f aca="false">G889*H889</f>
        <v>220</v>
      </c>
      <c r="M889" s="35" t="n">
        <f aca="false">L889*I889</f>
        <v>11</v>
      </c>
      <c r="N889" s="35" t="n">
        <f aca="false">L889-M889</f>
        <v>209</v>
      </c>
      <c r="O889" s="4" t="n">
        <f aca="false">MONTH(B889)</f>
        <v>7</v>
      </c>
      <c r="P889" s="4" t="str">
        <f aca="false">CHOOSE(WEEKDAY(B889,2),"Mon","Tue","Wed","Thu","Fri","Sat","Sun")</f>
        <v>Fri</v>
      </c>
      <c r="Q889" s="4" t="str">
        <f aca="false">IF(WEEKDAY(B889,2)&gt;5,"Weekend","Weekday")</f>
        <v>Weekday</v>
      </c>
      <c r="R889" s="4" t="str">
        <f aca="false">IF(C889&lt;11,"Morning (7-10)",IF(C889&lt;14,"Lunch (11-13)",IF(C889&lt;18,"Afternoon (14-17)","Evening (18-20)")))</f>
        <v>Afternoon (14-17)</v>
      </c>
      <c r="S889" s="4" t="str">
        <f aca="false">IF(AND(O889&gt;=3,O889&lt;=5),"Hot Dry (Mar-May)",IF(AND(O889&gt;=6,O889&lt;=11),"Rainy (Jun-Nov)","Cool Dry (Dec-Feb)"))</f>
        <v>Rainy (Jun-Nov)</v>
      </c>
      <c r="T889" s="4" t="str">
        <f aca="false">CHOOSE(O889,"Jan","Feb","Mar","Apr","May","Jun","Jul","Aug","Sep","Oct","Nov","Dec")</f>
        <v>Jul</v>
      </c>
    </row>
    <row r="890" customFormat="false" ht="15" hidden="false" customHeight="false" outlineLevel="0" collapsed="false">
      <c r="A890" s="4" t="s">
        <v>1182</v>
      </c>
      <c r="B890" s="17" t="n">
        <v>45843</v>
      </c>
      <c r="C890" s="4" t="n">
        <v>17</v>
      </c>
      <c r="D890" s="4" t="s">
        <v>64</v>
      </c>
      <c r="E890" s="4" t="s">
        <v>65</v>
      </c>
      <c r="F890" s="4" t="s">
        <v>66</v>
      </c>
      <c r="G890" s="4" t="n">
        <v>1</v>
      </c>
      <c r="H890" s="34" t="n">
        <v>120</v>
      </c>
      <c r="I890" s="18" t="n">
        <v>0.1</v>
      </c>
      <c r="J890" s="4" t="s">
        <v>112</v>
      </c>
      <c r="K890" s="4" t="s">
        <v>71</v>
      </c>
      <c r="L890" s="35" t="n">
        <f aca="false">G890*H890</f>
        <v>120</v>
      </c>
      <c r="M890" s="35" t="n">
        <f aca="false">L890*I890</f>
        <v>12</v>
      </c>
      <c r="N890" s="35" t="n">
        <f aca="false">L890-M890</f>
        <v>108</v>
      </c>
      <c r="O890" s="4" t="n">
        <f aca="false">MONTH(B890)</f>
        <v>7</v>
      </c>
      <c r="P890" s="4" t="str">
        <f aca="false">CHOOSE(WEEKDAY(B890,2),"Mon","Tue","Wed","Thu","Fri","Sat","Sun")</f>
        <v>Sat</v>
      </c>
      <c r="Q890" s="4" t="str">
        <f aca="false">IF(WEEKDAY(B890,2)&gt;5,"Weekend","Weekday")</f>
        <v>Weekend</v>
      </c>
      <c r="R890" s="4" t="str">
        <f aca="false">IF(C890&lt;11,"Morning (7-10)",IF(C890&lt;14,"Lunch (11-13)",IF(C890&lt;18,"Afternoon (14-17)","Evening (18-20)")))</f>
        <v>Afternoon (14-17)</v>
      </c>
      <c r="S890" s="4" t="str">
        <f aca="false">IF(AND(O890&gt;=3,O890&lt;=5),"Hot Dry (Mar-May)",IF(AND(O890&gt;=6,O890&lt;=11),"Rainy (Jun-Nov)","Cool Dry (Dec-Feb)"))</f>
        <v>Rainy (Jun-Nov)</v>
      </c>
      <c r="T890" s="4" t="str">
        <f aca="false">CHOOSE(O890,"Jan","Feb","Mar","Apr","May","Jun","Jul","Aug","Sep","Oct","Nov","Dec")</f>
        <v>Jul</v>
      </c>
    </row>
    <row r="891" customFormat="false" ht="15" hidden="false" customHeight="false" outlineLevel="0" collapsed="false">
      <c r="A891" s="4" t="s">
        <v>1183</v>
      </c>
      <c r="B891" s="17" t="n">
        <v>45844</v>
      </c>
      <c r="C891" s="4" t="n">
        <v>8</v>
      </c>
      <c r="D891" s="4" t="s">
        <v>98</v>
      </c>
      <c r="E891" s="4" t="s">
        <v>65</v>
      </c>
      <c r="F891" s="4" t="s">
        <v>121</v>
      </c>
      <c r="G891" s="4" t="n">
        <v>1</v>
      </c>
      <c r="H891" s="34" t="n">
        <v>170</v>
      </c>
      <c r="I891" s="18" t="n">
        <v>0.05</v>
      </c>
      <c r="J891" s="4" t="s">
        <v>67</v>
      </c>
      <c r="K891" s="4" t="s">
        <v>82</v>
      </c>
      <c r="L891" s="35" t="n">
        <f aca="false">G891*H891</f>
        <v>170</v>
      </c>
      <c r="M891" s="35" t="n">
        <f aca="false">L891*I891</f>
        <v>8.5</v>
      </c>
      <c r="N891" s="35" t="n">
        <f aca="false">L891-M891</f>
        <v>161.5</v>
      </c>
      <c r="O891" s="4" t="n">
        <f aca="false">MONTH(B891)</f>
        <v>7</v>
      </c>
      <c r="P891" s="4" t="str">
        <f aca="false">CHOOSE(WEEKDAY(B891,2),"Mon","Tue","Wed","Thu","Fri","Sat","Sun")</f>
        <v>Sun</v>
      </c>
      <c r="Q891" s="4" t="str">
        <f aca="false">IF(WEEKDAY(B891,2)&gt;5,"Weekend","Weekday")</f>
        <v>Weekend</v>
      </c>
      <c r="R891" s="4" t="str">
        <f aca="false">IF(C891&lt;11,"Morning (7-10)",IF(C891&lt;14,"Lunch (11-13)",IF(C891&lt;18,"Afternoon (14-17)","Evening (18-20)")))</f>
        <v>Morning (7-10)</v>
      </c>
      <c r="S891" s="4" t="str">
        <f aca="false">IF(AND(O891&gt;=3,O891&lt;=5),"Hot Dry (Mar-May)",IF(AND(O891&gt;=6,O891&lt;=11),"Rainy (Jun-Nov)","Cool Dry (Dec-Feb)"))</f>
        <v>Rainy (Jun-Nov)</v>
      </c>
      <c r="T891" s="4" t="str">
        <f aca="false">CHOOSE(O891,"Jan","Feb","Mar","Apr","May","Jun","Jul","Aug","Sep","Oct","Nov","Dec")</f>
        <v>Jul</v>
      </c>
    </row>
    <row r="892" customFormat="false" ht="15" hidden="false" customHeight="false" outlineLevel="0" collapsed="false">
      <c r="A892" s="4" t="s">
        <v>1184</v>
      </c>
      <c r="B892" s="17" t="n">
        <v>45844</v>
      </c>
      <c r="C892" s="4" t="n">
        <v>11</v>
      </c>
      <c r="D892" s="4" t="s">
        <v>70</v>
      </c>
      <c r="E892" s="4" t="s">
        <v>79</v>
      </c>
      <c r="F892" s="4" t="s">
        <v>80</v>
      </c>
      <c r="G892" s="4" t="n">
        <v>3</v>
      </c>
      <c r="H892" s="34" t="n">
        <v>160</v>
      </c>
      <c r="I892" s="18" t="n">
        <v>0</v>
      </c>
      <c r="J892" s="4" t="s">
        <v>81</v>
      </c>
      <c r="K892" s="4" t="s">
        <v>77</v>
      </c>
      <c r="L892" s="35" t="n">
        <f aca="false">G892*H892</f>
        <v>480</v>
      </c>
      <c r="M892" s="35" t="n">
        <f aca="false">L892*I892</f>
        <v>0</v>
      </c>
      <c r="N892" s="35" t="n">
        <f aca="false">L892-M892</f>
        <v>480</v>
      </c>
      <c r="O892" s="4" t="n">
        <f aca="false">MONTH(B892)</f>
        <v>7</v>
      </c>
      <c r="P892" s="4" t="str">
        <f aca="false">CHOOSE(WEEKDAY(B892,2),"Mon","Tue","Wed","Thu","Fri","Sat","Sun")</f>
        <v>Sun</v>
      </c>
      <c r="Q892" s="4" t="str">
        <f aca="false">IF(WEEKDAY(B892,2)&gt;5,"Weekend","Weekday")</f>
        <v>Weekend</v>
      </c>
      <c r="R892" s="4" t="str">
        <f aca="false">IF(C892&lt;11,"Morning (7-10)",IF(C892&lt;14,"Lunch (11-13)",IF(C892&lt;18,"Afternoon (14-17)","Evening (18-20)")))</f>
        <v>Lunch (11-13)</v>
      </c>
      <c r="S892" s="4" t="str">
        <f aca="false">IF(AND(O892&gt;=3,O892&lt;=5),"Hot Dry (Mar-May)",IF(AND(O892&gt;=6,O892&lt;=11),"Rainy (Jun-Nov)","Cool Dry (Dec-Feb)"))</f>
        <v>Rainy (Jun-Nov)</v>
      </c>
      <c r="T892" s="4" t="str">
        <f aca="false">CHOOSE(O892,"Jan","Feb","Mar","Apr","May","Jun","Jul","Aug","Sep","Oct","Nov","Dec")</f>
        <v>Jul</v>
      </c>
    </row>
    <row r="893" customFormat="false" ht="15" hidden="false" customHeight="false" outlineLevel="0" collapsed="false">
      <c r="A893" s="4" t="s">
        <v>1185</v>
      </c>
      <c r="B893" s="17" t="n">
        <v>45844</v>
      </c>
      <c r="C893" s="4" t="n">
        <v>12</v>
      </c>
      <c r="D893" s="4" t="s">
        <v>70</v>
      </c>
      <c r="E893" s="4" t="s">
        <v>65</v>
      </c>
      <c r="F893" s="4" t="s">
        <v>66</v>
      </c>
      <c r="G893" s="4" t="n">
        <v>1</v>
      </c>
      <c r="H893" s="34" t="n">
        <v>120</v>
      </c>
      <c r="I893" s="18" t="n">
        <v>0</v>
      </c>
      <c r="J893" s="4" t="s">
        <v>76</v>
      </c>
      <c r="K893" s="4" t="s">
        <v>77</v>
      </c>
      <c r="L893" s="35" t="n">
        <f aca="false">G893*H893</f>
        <v>120</v>
      </c>
      <c r="M893" s="35" t="n">
        <f aca="false">L893*I893</f>
        <v>0</v>
      </c>
      <c r="N893" s="35" t="n">
        <f aca="false">L893-M893</f>
        <v>120</v>
      </c>
      <c r="O893" s="4" t="n">
        <f aca="false">MONTH(B893)</f>
        <v>7</v>
      </c>
      <c r="P893" s="4" t="str">
        <f aca="false">CHOOSE(WEEKDAY(B893,2),"Mon","Tue","Wed","Thu","Fri","Sat","Sun")</f>
        <v>Sun</v>
      </c>
      <c r="Q893" s="4" t="str">
        <f aca="false">IF(WEEKDAY(B893,2)&gt;5,"Weekend","Weekday")</f>
        <v>Weekend</v>
      </c>
      <c r="R893" s="4" t="str">
        <f aca="false">IF(C893&lt;11,"Morning (7-10)",IF(C893&lt;14,"Lunch (11-13)",IF(C893&lt;18,"Afternoon (14-17)","Evening (18-20)")))</f>
        <v>Lunch (11-13)</v>
      </c>
      <c r="S893" s="4" t="str">
        <f aca="false">IF(AND(O893&gt;=3,O893&lt;=5),"Hot Dry (Mar-May)",IF(AND(O893&gt;=6,O893&lt;=11),"Rainy (Jun-Nov)","Cool Dry (Dec-Feb)"))</f>
        <v>Rainy (Jun-Nov)</v>
      </c>
      <c r="T893" s="4" t="str">
        <f aca="false">CHOOSE(O893,"Jan","Feb","Mar","Apr","May","Jun","Jul","Aug","Sep","Oct","Nov","Dec")</f>
        <v>Jul</v>
      </c>
    </row>
    <row r="894" customFormat="false" ht="15" hidden="false" customHeight="false" outlineLevel="0" collapsed="false">
      <c r="A894" s="4" t="s">
        <v>1186</v>
      </c>
      <c r="B894" s="17" t="n">
        <v>45844</v>
      </c>
      <c r="C894" s="4" t="n">
        <v>15</v>
      </c>
      <c r="D894" s="4" t="s">
        <v>64</v>
      </c>
      <c r="E894" s="4" t="s">
        <v>99</v>
      </c>
      <c r="F894" s="4" t="s">
        <v>109</v>
      </c>
      <c r="G894" s="4" t="n">
        <v>1</v>
      </c>
      <c r="H894" s="34" t="n">
        <v>130</v>
      </c>
      <c r="I894" s="18" t="n">
        <v>0.15</v>
      </c>
      <c r="J894" s="4" t="s">
        <v>67</v>
      </c>
      <c r="K894" s="4" t="s">
        <v>77</v>
      </c>
      <c r="L894" s="35" t="n">
        <f aca="false">G894*H894</f>
        <v>130</v>
      </c>
      <c r="M894" s="35" t="n">
        <f aca="false">L894*I894</f>
        <v>19.5</v>
      </c>
      <c r="N894" s="35" t="n">
        <f aca="false">L894-M894</f>
        <v>110.5</v>
      </c>
      <c r="O894" s="4" t="n">
        <f aca="false">MONTH(B894)</f>
        <v>7</v>
      </c>
      <c r="P894" s="4" t="str">
        <f aca="false">CHOOSE(WEEKDAY(B894,2),"Mon","Tue","Wed","Thu","Fri","Sat","Sun")</f>
        <v>Sun</v>
      </c>
      <c r="Q894" s="4" t="str">
        <f aca="false">IF(WEEKDAY(B894,2)&gt;5,"Weekend","Weekday")</f>
        <v>Weekend</v>
      </c>
      <c r="R894" s="4" t="str">
        <f aca="false">IF(C894&lt;11,"Morning (7-10)",IF(C894&lt;14,"Lunch (11-13)",IF(C894&lt;18,"Afternoon (14-17)","Evening (18-20)")))</f>
        <v>Afternoon (14-17)</v>
      </c>
      <c r="S894" s="4" t="str">
        <f aca="false">IF(AND(O894&gt;=3,O894&lt;=5),"Hot Dry (Mar-May)",IF(AND(O894&gt;=6,O894&lt;=11),"Rainy (Jun-Nov)","Cool Dry (Dec-Feb)"))</f>
        <v>Rainy (Jun-Nov)</v>
      </c>
      <c r="T894" s="4" t="str">
        <f aca="false">CHOOSE(O894,"Jan","Feb","Mar","Apr","May","Jun","Jul","Aug","Sep","Oct","Nov","Dec")</f>
        <v>Jul</v>
      </c>
    </row>
    <row r="895" customFormat="false" ht="15" hidden="false" customHeight="false" outlineLevel="0" collapsed="false">
      <c r="A895" s="4" t="s">
        <v>1187</v>
      </c>
      <c r="B895" s="17" t="n">
        <v>45845</v>
      </c>
      <c r="C895" s="4" t="n">
        <v>10</v>
      </c>
      <c r="D895" s="4" t="s">
        <v>73</v>
      </c>
      <c r="E895" s="4" t="s">
        <v>99</v>
      </c>
      <c r="F895" s="4" t="s">
        <v>133</v>
      </c>
      <c r="G895" s="4" t="n">
        <v>1</v>
      </c>
      <c r="H895" s="34" t="n">
        <v>90</v>
      </c>
      <c r="I895" s="18" t="n">
        <v>0</v>
      </c>
      <c r="J895" s="4" t="s">
        <v>67</v>
      </c>
      <c r="K895" s="4" t="s">
        <v>77</v>
      </c>
      <c r="L895" s="35" t="n">
        <f aca="false">G895*H895</f>
        <v>90</v>
      </c>
      <c r="M895" s="35" t="n">
        <f aca="false">L895*I895</f>
        <v>0</v>
      </c>
      <c r="N895" s="35" t="n">
        <f aca="false">L895-M895</f>
        <v>90</v>
      </c>
      <c r="O895" s="4" t="n">
        <f aca="false">MONTH(B895)</f>
        <v>7</v>
      </c>
      <c r="P895" s="4" t="str">
        <f aca="false">CHOOSE(WEEKDAY(B895,2),"Mon","Tue","Wed","Thu","Fri","Sat","Sun")</f>
        <v>Mon</v>
      </c>
      <c r="Q895" s="4" t="str">
        <f aca="false">IF(WEEKDAY(B895,2)&gt;5,"Weekend","Weekday")</f>
        <v>Weekday</v>
      </c>
      <c r="R895" s="4" t="str">
        <f aca="false">IF(C895&lt;11,"Morning (7-10)",IF(C895&lt;14,"Lunch (11-13)",IF(C895&lt;18,"Afternoon (14-17)","Evening (18-20)")))</f>
        <v>Morning (7-10)</v>
      </c>
      <c r="S895" s="4" t="str">
        <f aca="false">IF(AND(O895&gt;=3,O895&lt;=5),"Hot Dry (Mar-May)",IF(AND(O895&gt;=6,O895&lt;=11),"Rainy (Jun-Nov)","Cool Dry (Dec-Feb)"))</f>
        <v>Rainy (Jun-Nov)</v>
      </c>
      <c r="T895" s="4" t="str">
        <f aca="false">CHOOSE(O895,"Jan","Feb","Mar","Apr","May","Jun","Jul","Aug","Sep","Oct","Nov","Dec")</f>
        <v>Jul</v>
      </c>
    </row>
    <row r="896" customFormat="false" ht="15" hidden="false" customHeight="false" outlineLevel="0" collapsed="false">
      <c r="A896" s="4" t="s">
        <v>1188</v>
      </c>
      <c r="B896" s="17" t="n">
        <v>45845</v>
      </c>
      <c r="C896" s="4" t="n">
        <v>11</v>
      </c>
      <c r="D896" s="4" t="s">
        <v>98</v>
      </c>
      <c r="E896" s="4" t="s">
        <v>99</v>
      </c>
      <c r="F896" s="4" t="s">
        <v>102</v>
      </c>
      <c r="G896" s="4" t="n">
        <v>1</v>
      </c>
      <c r="H896" s="34" t="n">
        <v>140</v>
      </c>
      <c r="I896" s="18" t="n">
        <v>0</v>
      </c>
      <c r="J896" s="4" t="s">
        <v>67</v>
      </c>
      <c r="K896" s="4" t="s">
        <v>77</v>
      </c>
      <c r="L896" s="35" t="n">
        <f aca="false">G896*H896</f>
        <v>140</v>
      </c>
      <c r="M896" s="35" t="n">
        <f aca="false">L896*I896</f>
        <v>0</v>
      </c>
      <c r="N896" s="35" t="n">
        <f aca="false">L896-M896</f>
        <v>140</v>
      </c>
      <c r="O896" s="4" t="n">
        <f aca="false">MONTH(B896)</f>
        <v>7</v>
      </c>
      <c r="P896" s="4" t="str">
        <f aca="false">CHOOSE(WEEKDAY(B896,2),"Mon","Tue","Wed","Thu","Fri","Sat","Sun")</f>
        <v>Mon</v>
      </c>
      <c r="Q896" s="4" t="str">
        <f aca="false">IF(WEEKDAY(B896,2)&gt;5,"Weekend","Weekday")</f>
        <v>Weekday</v>
      </c>
      <c r="R896" s="4" t="str">
        <f aca="false">IF(C896&lt;11,"Morning (7-10)",IF(C896&lt;14,"Lunch (11-13)",IF(C896&lt;18,"Afternoon (14-17)","Evening (18-20)")))</f>
        <v>Lunch (11-13)</v>
      </c>
      <c r="S896" s="4" t="str">
        <f aca="false">IF(AND(O896&gt;=3,O896&lt;=5),"Hot Dry (Mar-May)",IF(AND(O896&gt;=6,O896&lt;=11),"Rainy (Jun-Nov)","Cool Dry (Dec-Feb)"))</f>
        <v>Rainy (Jun-Nov)</v>
      </c>
      <c r="T896" s="4" t="str">
        <f aca="false">CHOOSE(O896,"Jan","Feb","Mar","Apr","May","Jun","Jul","Aug","Sep","Oct","Nov","Dec")</f>
        <v>Jul</v>
      </c>
    </row>
    <row r="897" customFormat="false" ht="15" hidden="false" customHeight="false" outlineLevel="0" collapsed="false">
      <c r="A897" s="4" t="s">
        <v>1189</v>
      </c>
      <c r="B897" s="17" t="n">
        <v>45845</v>
      </c>
      <c r="C897" s="4" t="n">
        <v>11</v>
      </c>
      <c r="D897" s="4" t="s">
        <v>73</v>
      </c>
      <c r="E897" s="4" t="s">
        <v>74</v>
      </c>
      <c r="F897" s="4" t="s">
        <v>139</v>
      </c>
      <c r="G897" s="4" t="n">
        <v>1</v>
      </c>
      <c r="H897" s="34" t="n">
        <v>260</v>
      </c>
      <c r="I897" s="18" t="n">
        <v>0.1</v>
      </c>
      <c r="J897" s="4" t="s">
        <v>81</v>
      </c>
      <c r="K897" s="4" t="s">
        <v>71</v>
      </c>
      <c r="L897" s="35" t="n">
        <f aca="false">G897*H897</f>
        <v>260</v>
      </c>
      <c r="M897" s="35" t="n">
        <f aca="false">L897*I897</f>
        <v>26</v>
      </c>
      <c r="N897" s="35" t="n">
        <f aca="false">L897-M897</f>
        <v>234</v>
      </c>
      <c r="O897" s="4" t="n">
        <f aca="false">MONTH(B897)</f>
        <v>7</v>
      </c>
      <c r="P897" s="4" t="str">
        <f aca="false">CHOOSE(WEEKDAY(B897,2),"Mon","Tue","Wed","Thu","Fri","Sat","Sun")</f>
        <v>Mon</v>
      </c>
      <c r="Q897" s="4" t="str">
        <f aca="false">IF(WEEKDAY(B897,2)&gt;5,"Weekend","Weekday")</f>
        <v>Weekday</v>
      </c>
      <c r="R897" s="4" t="str">
        <f aca="false">IF(C897&lt;11,"Morning (7-10)",IF(C897&lt;14,"Lunch (11-13)",IF(C897&lt;18,"Afternoon (14-17)","Evening (18-20)")))</f>
        <v>Lunch (11-13)</v>
      </c>
      <c r="S897" s="4" t="str">
        <f aca="false">IF(AND(O897&gt;=3,O897&lt;=5),"Hot Dry (Mar-May)",IF(AND(O897&gt;=6,O897&lt;=11),"Rainy (Jun-Nov)","Cool Dry (Dec-Feb)"))</f>
        <v>Rainy (Jun-Nov)</v>
      </c>
      <c r="T897" s="4" t="str">
        <f aca="false">CHOOSE(O897,"Jan","Feb","Mar","Apr","May","Jun","Jul","Aug","Sep","Oct","Nov","Dec")</f>
        <v>Jul</v>
      </c>
    </row>
    <row r="898" customFormat="false" ht="15" hidden="false" customHeight="false" outlineLevel="0" collapsed="false">
      <c r="A898" s="4" t="s">
        <v>1190</v>
      </c>
      <c r="B898" s="17" t="n">
        <v>45845</v>
      </c>
      <c r="C898" s="4" t="n">
        <v>14</v>
      </c>
      <c r="D898" s="4" t="s">
        <v>64</v>
      </c>
      <c r="E898" s="4" t="s">
        <v>99</v>
      </c>
      <c r="F898" s="4" t="s">
        <v>100</v>
      </c>
      <c r="G898" s="4" t="n">
        <v>1</v>
      </c>
      <c r="H898" s="34" t="n">
        <v>110</v>
      </c>
      <c r="I898" s="18" t="n">
        <v>0</v>
      </c>
      <c r="J898" s="4" t="s">
        <v>81</v>
      </c>
      <c r="K898" s="4" t="s">
        <v>68</v>
      </c>
      <c r="L898" s="35" t="n">
        <f aca="false">G898*H898</f>
        <v>110</v>
      </c>
      <c r="M898" s="35" t="n">
        <f aca="false">L898*I898</f>
        <v>0</v>
      </c>
      <c r="N898" s="35" t="n">
        <f aca="false">L898-M898</f>
        <v>110</v>
      </c>
      <c r="O898" s="4" t="n">
        <f aca="false">MONTH(B898)</f>
        <v>7</v>
      </c>
      <c r="P898" s="4" t="str">
        <f aca="false">CHOOSE(WEEKDAY(B898,2),"Mon","Tue","Wed","Thu","Fri","Sat","Sun")</f>
        <v>Mon</v>
      </c>
      <c r="Q898" s="4" t="str">
        <f aca="false">IF(WEEKDAY(B898,2)&gt;5,"Weekend","Weekday")</f>
        <v>Weekday</v>
      </c>
      <c r="R898" s="4" t="str">
        <f aca="false">IF(C898&lt;11,"Morning (7-10)",IF(C898&lt;14,"Lunch (11-13)",IF(C898&lt;18,"Afternoon (14-17)","Evening (18-20)")))</f>
        <v>Afternoon (14-17)</v>
      </c>
      <c r="S898" s="4" t="str">
        <f aca="false">IF(AND(O898&gt;=3,O898&lt;=5),"Hot Dry (Mar-May)",IF(AND(O898&gt;=6,O898&lt;=11),"Rainy (Jun-Nov)","Cool Dry (Dec-Feb)"))</f>
        <v>Rainy (Jun-Nov)</v>
      </c>
      <c r="T898" s="4" t="str">
        <f aca="false">CHOOSE(O898,"Jan","Feb","Mar","Apr","May","Jun","Jul","Aug","Sep","Oct","Nov","Dec")</f>
        <v>Jul</v>
      </c>
    </row>
    <row r="899" customFormat="false" ht="15" hidden="false" customHeight="false" outlineLevel="0" collapsed="false">
      <c r="A899" s="4" t="s">
        <v>1191</v>
      </c>
      <c r="B899" s="17" t="n">
        <v>45845</v>
      </c>
      <c r="C899" s="4" t="n">
        <v>15</v>
      </c>
      <c r="D899" s="4" t="s">
        <v>70</v>
      </c>
      <c r="E899" s="4" t="s">
        <v>65</v>
      </c>
      <c r="F899" s="4" t="s">
        <v>94</v>
      </c>
      <c r="G899" s="4" t="n">
        <v>3</v>
      </c>
      <c r="H899" s="34" t="n">
        <v>150</v>
      </c>
      <c r="I899" s="18" t="n">
        <v>0</v>
      </c>
      <c r="J899" s="4" t="s">
        <v>67</v>
      </c>
      <c r="K899" s="4" t="s">
        <v>68</v>
      </c>
      <c r="L899" s="35" t="n">
        <f aca="false">G899*H899</f>
        <v>450</v>
      </c>
      <c r="M899" s="35" t="n">
        <f aca="false">L899*I899</f>
        <v>0</v>
      </c>
      <c r="N899" s="35" t="n">
        <f aca="false">L899-M899</f>
        <v>450</v>
      </c>
      <c r="O899" s="4" t="n">
        <f aca="false">MONTH(B899)</f>
        <v>7</v>
      </c>
      <c r="P899" s="4" t="str">
        <f aca="false">CHOOSE(WEEKDAY(B899,2),"Mon","Tue","Wed","Thu","Fri","Sat","Sun")</f>
        <v>Mon</v>
      </c>
      <c r="Q899" s="4" t="str">
        <f aca="false">IF(WEEKDAY(B899,2)&gt;5,"Weekend","Weekday")</f>
        <v>Weekday</v>
      </c>
      <c r="R899" s="4" t="str">
        <f aca="false">IF(C899&lt;11,"Morning (7-10)",IF(C899&lt;14,"Lunch (11-13)",IF(C899&lt;18,"Afternoon (14-17)","Evening (18-20)")))</f>
        <v>Afternoon (14-17)</v>
      </c>
      <c r="S899" s="4" t="str">
        <f aca="false">IF(AND(O899&gt;=3,O899&lt;=5),"Hot Dry (Mar-May)",IF(AND(O899&gt;=6,O899&lt;=11),"Rainy (Jun-Nov)","Cool Dry (Dec-Feb)"))</f>
        <v>Rainy (Jun-Nov)</v>
      </c>
      <c r="T899" s="4" t="str">
        <f aca="false">CHOOSE(O899,"Jan","Feb","Mar","Apr","May","Jun","Jul","Aug","Sep","Oct","Nov","Dec")</f>
        <v>Jul</v>
      </c>
    </row>
    <row r="900" customFormat="false" ht="15" hidden="false" customHeight="false" outlineLevel="0" collapsed="false">
      <c r="A900" s="4" t="s">
        <v>1192</v>
      </c>
      <c r="B900" s="17" t="n">
        <v>45845</v>
      </c>
      <c r="C900" s="4" t="n">
        <v>18</v>
      </c>
      <c r="D900" s="4" t="s">
        <v>73</v>
      </c>
      <c r="E900" s="4" t="s">
        <v>84</v>
      </c>
      <c r="F900" s="4" t="s">
        <v>117</v>
      </c>
      <c r="G900" s="4" t="n">
        <v>4</v>
      </c>
      <c r="H900" s="34" t="n">
        <v>95</v>
      </c>
      <c r="I900" s="18" t="n">
        <v>0.05</v>
      </c>
      <c r="J900" s="4" t="s">
        <v>81</v>
      </c>
      <c r="K900" s="4" t="s">
        <v>82</v>
      </c>
      <c r="L900" s="35" t="n">
        <f aca="false">G900*H900</f>
        <v>380</v>
      </c>
      <c r="M900" s="35" t="n">
        <f aca="false">L900*I900</f>
        <v>19</v>
      </c>
      <c r="N900" s="35" t="n">
        <f aca="false">L900-M900</f>
        <v>361</v>
      </c>
      <c r="O900" s="4" t="n">
        <f aca="false">MONTH(B900)</f>
        <v>7</v>
      </c>
      <c r="P900" s="4" t="str">
        <f aca="false">CHOOSE(WEEKDAY(B900,2),"Mon","Tue","Wed","Thu","Fri","Sat","Sun")</f>
        <v>Mon</v>
      </c>
      <c r="Q900" s="4" t="str">
        <f aca="false">IF(WEEKDAY(B900,2)&gt;5,"Weekend","Weekday")</f>
        <v>Weekday</v>
      </c>
      <c r="R900" s="4" t="str">
        <f aca="false">IF(C900&lt;11,"Morning (7-10)",IF(C900&lt;14,"Lunch (11-13)",IF(C900&lt;18,"Afternoon (14-17)","Evening (18-20)")))</f>
        <v>Evening (18-20)</v>
      </c>
      <c r="S900" s="4" t="str">
        <f aca="false">IF(AND(O900&gt;=3,O900&lt;=5),"Hot Dry (Mar-May)",IF(AND(O900&gt;=6,O900&lt;=11),"Rainy (Jun-Nov)","Cool Dry (Dec-Feb)"))</f>
        <v>Rainy (Jun-Nov)</v>
      </c>
      <c r="T900" s="4" t="str">
        <f aca="false">CHOOSE(O900,"Jan","Feb","Mar","Apr","May","Jun","Jul","Aug","Sep","Oct","Nov","Dec")</f>
        <v>Jul</v>
      </c>
    </row>
    <row r="901" customFormat="false" ht="15" hidden="false" customHeight="false" outlineLevel="0" collapsed="false">
      <c r="A901" s="4" t="s">
        <v>1194</v>
      </c>
      <c r="B901" s="17" t="n">
        <v>45846</v>
      </c>
      <c r="C901" s="4" t="n">
        <v>10</v>
      </c>
      <c r="D901" s="4" t="s">
        <v>70</v>
      </c>
      <c r="E901" s="4" t="s">
        <v>84</v>
      </c>
      <c r="F901" s="4" t="s">
        <v>106</v>
      </c>
      <c r="G901" s="4" t="n">
        <v>4</v>
      </c>
      <c r="H901" s="34" t="n">
        <v>60</v>
      </c>
      <c r="I901" s="18" t="n">
        <v>0.1</v>
      </c>
      <c r="J901" s="4" t="s">
        <v>76</v>
      </c>
      <c r="K901" s="4" t="s">
        <v>71</v>
      </c>
      <c r="L901" s="35" t="n">
        <f aca="false">G901*H901</f>
        <v>240</v>
      </c>
      <c r="M901" s="35" t="n">
        <f aca="false">L901*I901</f>
        <v>24</v>
      </c>
      <c r="N901" s="35" t="n">
        <f aca="false">L901-M901</f>
        <v>216</v>
      </c>
      <c r="O901" s="4" t="n">
        <f aca="false">MONTH(B901)</f>
        <v>7</v>
      </c>
      <c r="P901" s="4" t="str">
        <f aca="false">CHOOSE(WEEKDAY(B901,2),"Mon","Tue","Wed","Thu","Fri","Sat","Sun")</f>
        <v>Tue</v>
      </c>
      <c r="Q901" s="4" t="str">
        <f aca="false">IF(WEEKDAY(B901,2)&gt;5,"Weekend","Weekday")</f>
        <v>Weekday</v>
      </c>
      <c r="R901" s="4" t="str">
        <f aca="false">IF(C901&lt;11,"Morning (7-10)",IF(C901&lt;14,"Lunch (11-13)",IF(C901&lt;18,"Afternoon (14-17)","Evening (18-20)")))</f>
        <v>Morning (7-10)</v>
      </c>
      <c r="S901" s="4" t="str">
        <f aca="false">IF(AND(O901&gt;=3,O901&lt;=5),"Hot Dry (Mar-May)",IF(AND(O901&gt;=6,O901&lt;=11),"Rainy (Jun-Nov)","Cool Dry (Dec-Feb)"))</f>
        <v>Rainy (Jun-Nov)</v>
      </c>
      <c r="T901" s="4" t="str">
        <f aca="false">CHOOSE(O901,"Jan","Feb","Mar","Apr","May","Jun","Jul","Aug","Sep","Oct","Nov","Dec")</f>
        <v>Jul</v>
      </c>
    </row>
    <row r="902" customFormat="false" ht="15" hidden="false" customHeight="false" outlineLevel="0" collapsed="false">
      <c r="A902" s="4" t="s">
        <v>1197</v>
      </c>
      <c r="B902" s="17" t="n">
        <v>45846</v>
      </c>
      <c r="C902" s="4" t="n">
        <v>19</v>
      </c>
      <c r="D902" s="4" t="s">
        <v>73</v>
      </c>
      <c r="E902" s="4" t="s">
        <v>65</v>
      </c>
      <c r="F902" s="4" t="s">
        <v>94</v>
      </c>
      <c r="G902" s="4" t="n">
        <v>1</v>
      </c>
      <c r="H902" s="34" t="n">
        <v>150</v>
      </c>
      <c r="I902" s="18" t="n">
        <v>0</v>
      </c>
      <c r="J902" s="4" t="s">
        <v>67</v>
      </c>
      <c r="K902" s="4" t="s">
        <v>77</v>
      </c>
      <c r="L902" s="35" t="n">
        <f aca="false">G902*H902</f>
        <v>150</v>
      </c>
      <c r="M902" s="35" t="n">
        <f aca="false">L902*I902</f>
        <v>0</v>
      </c>
      <c r="N902" s="35" t="n">
        <f aca="false">L902-M902</f>
        <v>150</v>
      </c>
      <c r="O902" s="4" t="n">
        <f aca="false">MONTH(B902)</f>
        <v>7</v>
      </c>
      <c r="P902" s="4" t="str">
        <f aca="false">CHOOSE(WEEKDAY(B902,2),"Mon","Tue","Wed","Thu","Fri","Sat","Sun")</f>
        <v>Tue</v>
      </c>
      <c r="Q902" s="4" t="str">
        <f aca="false">IF(WEEKDAY(B902,2)&gt;5,"Weekend","Weekday")</f>
        <v>Weekday</v>
      </c>
      <c r="R902" s="4" t="str">
        <f aca="false">IF(C902&lt;11,"Morning (7-10)",IF(C902&lt;14,"Lunch (11-13)",IF(C902&lt;18,"Afternoon (14-17)","Evening (18-20)")))</f>
        <v>Evening (18-20)</v>
      </c>
      <c r="S902" s="4" t="str">
        <f aca="false">IF(AND(O902&gt;=3,O902&lt;=5),"Hot Dry (Mar-May)",IF(AND(O902&gt;=6,O902&lt;=11),"Rainy (Jun-Nov)","Cool Dry (Dec-Feb)"))</f>
        <v>Rainy (Jun-Nov)</v>
      </c>
      <c r="T902" s="4" t="str">
        <f aca="false">CHOOSE(O902,"Jan","Feb","Mar","Apr","May","Jun","Jul","Aug","Sep","Oct","Nov","Dec")</f>
        <v>Jul</v>
      </c>
    </row>
    <row r="903" customFormat="false" ht="15" hidden="false" customHeight="false" outlineLevel="0" collapsed="false">
      <c r="A903" s="4" t="s">
        <v>1198</v>
      </c>
      <c r="B903" s="17" t="n">
        <v>45847</v>
      </c>
      <c r="C903" s="4" t="n">
        <v>9</v>
      </c>
      <c r="D903" s="4" t="s">
        <v>70</v>
      </c>
      <c r="E903" s="4" t="s">
        <v>65</v>
      </c>
      <c r="F903" s="4" t="s">
        <v>94</v>
      </c>
      <c r="G903" s="4" t="n">
        <v>1</v>
      </c>
      <c r="H903" s="34" t="n">
        <v>150</v>
      </c>
      <c r="I903" s="18" t="n">
        <v>0.05</v>
      </c>
      <c r="J903" s="4" t="s">
        <v>76</v>
      </c>
      <c r="K903" s="4" t="s">
        <v>82</v>
      </c>
      <c r="L903" s="35" t="n">
        <f aca="false">G903*H903</f>
        <v>150</v>
      </c>
      <c r="M903" s="35" t="n">
        <f aca="false">L903*I903</f>
        <v>7.5</v>
      </c>
      <c r="N903" s="35" t="n">
        <f aca="false">L903-M903</f>
        <v>142.5</v>
      </c>
      <c r="O903" s="4" t="n">
        <f aca="false">MONTH(B903)</f>
        <v>7</v>
      </c>
      <c r="P903" s="4" t="str">
        <f aca="false">CHOOSE(WEEKDAY(B903,2),"Mon","Tue","Wed","Thu","Fri","Sat","Sun")</f>
        <v>Wed</v>
      </c>
      <c r="Q903" s="4" t="str">
        <f aca="false">IF(WEEKDAY(B903,2)&gt;5,"Weekend","Weekday")</f>
        <v>Weekday</v>
      </c>
      <c r="R903" s="4" t="str">
        <f aca="false">IF(C903&lt;11,"Morning (7-10)",IF(C903&lt;14,"Lunch (11-13)",IF(C903&lt;18,"Afternoon (14-17)","Evening (18-20)")))</f>
        <v>Morning (7-10)</v>
      </c>
      <c r="S903" s="4" t="str">
        <f aca="false">IF(AND(O903&gt;=3,O903&lt;=5),"Hot Dry (Mar-May)",IF(AND(O903&gt;=6,O903&lt;=11),"Rainy (Jun-Nov)","Cool Dry (Dec-Feb)"))</f>
        <v>Rainy (Jun-Nov)</v>
      </c>
      <c r="T903" s="4" t="str">
        <f aca="false">CHOOSE(O903,"Jan","Feb","Mar","Apr","May","Jun","Jul","Aug","Sep","Oct","Nov","Dec")</f>
        <v>Jul</v>
      </c>
    </row>
    <row r="904" customFormat="false" ht="15" hidden="false" customHeight="false" outlineLevel="0" collapsed="false">
      <c r="A904" s="4" t="s">
        <v>1199</v>
      </c>
      <c r="B904" s="17" t="n">
        <v>45847</v>
      </c>
      <c r="C904" s="4" t="n">
        <v>16</v>
      </c>
      <c r="D904" s="4" t="s">
        <v>70</v>
      </c>
      <c r="E904" s="4" t="s">
        <v>84</v>
      </c>
      <c r="F904" s="4" t="s">
        <v>117</v>
      </c>
      <c r="G904" s="4" t="n">
        <v>1</v>
      </c>
      <c r="H904" s="34" t="n">
        <v>95</v>
      </c>
      <c r="I904" s="18" t="n">
        <v>0.05</v>
      </c>
      <c r="J904" s="4" t="s">
        <v>112</v>
      </c>
      <c r="K904" s="4" t="s">
        <v>82</v>
      </c>
      <c r="L904" s="35" t="n">
        <f aca="false">G904*H904</f>
        <v>95</v>
      </c>
      <c r="M904" s="35" t="n">
        <f aca="false">L904*I904</f>
        <v>4.75</v>
      </c>
      <c r="N904" s="35" t="n">
        <f aca="false">L904-M904</f>
        <v>90.25</v>
      </c>
      <c r="O904" s="4" t="n">
        <f aca="false">MONTH(B904)</f>
        <v>7</v>
      </c>
      <c r="P904" s="4" t="str">
        <f aca="false">CHOOSE(WEEKDAY(B904,2),"Mon","Tue","Wed","Thu","Fri","Sat","Sun")</f>
        <v>Wed</v>
      </c>
      <c r="Q904" s="4" t="str">
        <f aca="false">IF(WEEKDAY(B904,2)&gt;5,"Weekend","Weekday")</f>
        <v>Weekday</v>
      </c>
      <c r="R904" s="4" t="str">
        <f aca="false">IF(C904&lt;11,"Morning (7-10)",IF(C904&lt;14,"Lunch (11-13)",IF(C904&lt;18,"Afternoon (14-17)","Evening (18-20)")))</f>
        <v>Afternoon (14-17)</v>
      </c>
      <c r="S904" s="4" t="str">
        <f aca="false">IF(AND(O904&gt;=3,O904&lt;=5),"Hot Dry (Mar-May)",IF(AND(O904&gt;=6,O904&lt;=11),"Rainy (Jun-Nov)","Cool Dry (Dec-Feb)"))</f>
        <v>Rainy (Jun-Nov)</v>
      </c>
      <c r="T904" s="4" t="str">
        <f aca="false">CHOOSE(O904,"Jan","Feb","Mar","Apr","May","Jun","Jul","Aug","Sep","Oct","Nov","Dec")</f>
        <v>Jul</v>
      </c>
    </row>
    <row r="905" customFormat="false" ht="15" hidden="false" customHeight="false" outlineLevel="0" collapsed="false">
      <c r="A905" s="4" t="s">
        <v>1200</v>
      </c>
      <c r="B905" s="17" t="n">
        <v>45847</v>
      </c>
      <c r="C905" s="4" t="n">
        <v>19</v>
      </c>
      <c r="D905" s="4" t="s">
        <v>98</v>
      </c>
      <c r="E905" s="4" t="s">
        <v>79</v>
      </c>
      <c r="F905" s="4" t="s">
        <v>135</v>
      </c>
      <c r="G905" s="4" t="n">
        <v>1</v>
      </c>
      <c r="H905" s="34" t="n">
        <v>130</v>
      </c>
      <c r="I905" s="18" t="n">
        <v>0.05</v>
      </c>
      <c r="J905" s="4" t="s">
        <v>76</v>
      </c>
      <c r="K905" s="4" t="s">
        <v>82</v>
      </c>
      <c r="L905" s="35" t="n">
        <f aca="false">G905*H905</f>
        <v>130</v>
      </c>
      <c r="M905" s="35" t="n">
        <f aca="false">L905*I905</f>
        <v>6.5</v>
      </c>
      <c r="N905" s="35" t="n">
        <f aca="false">L905-M905</f>
        <v>123.5</v>
      </c>
      <c r="O905" s="4" t="n">
        <f aca="false">MONTH(B905)</f>
        <v>7</v>
      </c>
      <c r="P905" s="4" t="str">
        <f aca="false">CHOOSE(WEEKDAY(B905,2),"Mon","Tue","Wed","Thu","Fri","Sat","Sun")</f>
        <v>Wed</v>
      </c>
      <c r="Q905" s="4" t="str">
        <f aca="false">IF(WEEKDAY(B905,2)&gt;5,"Weekend","Weekday")</f>
        <v>Weekday</v>
      </c>
      <c r="R905" s="4" t="str">
        <f aca="false">IF(C905&lt;11,"Morning (7-10)",IF(C905&lt;14,"Lunch (11-13)",IF(C905&lt;18,"Afternoon (14-17)","Evening (18-20)")))</f>
        <v>Evening (18-20)</v>
      </c>
      <c r="S905" s="4" t="str">
        <f aca="false">IF(AND(O905&gt;=3,O905&lt;=5),"Hot Dry (Mar-May)",IF(AND(O905&gt;=6,O905&lt;=11),"Rainy (Jun-Nov)","Cool Dry (Dec-Feb)"))</f>
        <v>Rainy (Jun-Nov)</v>
      </c>
      <c r="T905" s="4" t="str">
        <f aca="false">CHOOSE(O905,"Jan","Feb","Mar","Apr","May","Jun","Jul","Aug","Sep","Oct","Nov","Dec")</f>
        <v>Jul</v>
      </c>
    </row>
    <row r="906" customFormat="false" ht="15" hidden="false" customHeight="false" outlineLevel="0" collapsed="false">
      <c r="A906" s="4" t="s">
        <v>1201</v>
      </c>
      <c r="B906" s="17" t="n">
        <v>45848</v>
      </c>
      <c r="C906" s="4" t="n">
        <v>10</v>
      </c>
      <c r="D906" s="4" t="s">
        <v>70</v>
      </c>
      <c r="E906" s="4" t="s">
        <v>65</v>
      </c>
      <c r="F906" s="4" t="s">
        <v>121</v>
      </c>
      <c r="G906" s="4" t="n">
        <v>1</v>
      </c>
      <c r="H906" s="34" t="n">
        <v>170</v>
      </c>
      <c r="I906" s="18" t="n">
        <v>0.1</v>
      </c>
      <c r="J906" s="4" t="s">
        <v>67</v>
      </c>
      <c r="K906" s="4" t="s">
        <v>82</v>
      </c>
      <c r="L906" s="35" t="n">
        <f aca="false">G906*H906</f>
        <v>170</v>
      </c>
      <c r="M906" s="35" t="n">
        <f aca="false">L906*I906</f>
        <v>17</v>
      </c>
      <c r="N906" s="35" t="n">
        <f aca="false">L906-M906</f>
        <v>153</v>
      </c>
      <c r="O906" s="4" t="n">
        <f aca="false">MONTH(B906)</f>
        <v>7</v>
      </c>
      <c r="P906" s="4" t="str">
        <f aca="false">CHOOSE(WEEKDAY(B906,2),"Mon","Tue","Wed","Thu","Fri","Sat","Sun")</f>
        <v>Thu</v>
      </c>
      <c r="Q906" s="4" t="str">
        <f aca="false">IF(WEEKDAY(B906,2)&gt;5,"Weekend","Weekday")</f>
        <v>Weekday</v>
      </c>
      <c r="R906" s="4" t="str">
        <f aca="false">IF(C906&lt;11,"Morning (7-10)",IF(C906&lt;14,"Lunch (11-13)",IF(C906&lt;18,"Afternoon (14-17)","Evening (18-20)")))</f>
        <v>Morning (7-10)</v>
      </c>
      <c r="S906" s="4" t="str">
        <f aca="false">IF(AND(O906&gt;=3,O906&lt;=5),"Hot Dry (Mar-May)",IF(AND(O906&gt;=6,O906&lt;=11),"Rainy (Jun-Nov)","Cool Dry (Dec-Feb)"))</f>
        <v>Rainy (Jun-Nov)</v>
      </c>
      <c r="T906" s="4" t="str">
        <f aca="false">CHOOSE(O906,"Jan","Feb","Mar","Apr","May","Jun","Jul","Aug","Sep","Oct","Nov","Dec")</f>
        <v>Jul</v>
      </c>
    </row>
    <row r="907" customFormat="false" ht="15" hidden="false" customHeight="false" outlineLevel="0" collapsed="false">
      <c r="A907" s="4" t="s">
        <v>1202</v>
      </c>
      <c r="B907" s="17" t="n">
        <v>45848</v>
      </c>
      <c r="C907" s="4" t="n">
        <v>13</v>
      </c>
      <c r="D907" s="4" t="s">
        <v>70</v>
      </c>
      <c r="E907" s="4" t="s">
        <v>84</v>
      </c>
      <c r="F907" s="4" t="s">
        <v>117</v>
      </c>
      <c r="G907" s="4" t="n">
        <v>2</v>
      </c>
      <c r="H907" s="34" t="n">
        <v>95</v>
      </c>
      <c r="I907" s="18" t="n">
        <v>0.05</v>
      </c>
      <c r="J907" s="4" t="s">
        <v>88</v>
      </c>
      <c r="K907" s="4" t="s">
        <v>82</v>
      </c>
      <c r="L907" s="35" t="n">
        <f aca="false">G907*H907</f>
        <v>190</v>
      </c>
      <c r="M907" s="35" t="n">
        <f aca="false">L907*I907</f>
        <v>9.5</v>
      </c>
      <c r="N907" s="35" t="n">
        <f aca="false">L907-M907</f>
        <v>180.5</v>
      </c>
      <c r="O907" s="4" t="n">
        <f aca="false">MONTH(B907)</f>
        <v>7</v>
      </c>
      <c r="P907" s="4" t="str">
        <f aca="false">CHOOSE(WEEKDAY(B907,2),"Mon","Tue","Wed","Thu","Fri","Sat","Sun")</f>
        <v>Thu</v>
      </c>
      <c r="Q907" s="4" t="str">
        <f aca="false">IF(WEEKDAY(B907,2)&gt;5,"Weekend","Weekday")</f>
        <v>Weekday</v>
      </c>
      <c r="R907" s="4" t="str">
        <f aca="false">IF(C907&lt;11,"Morning (7-10)",IF(C907&lt;14,"Lunch (11-13)",IF(C907&lt;18,"Afternoon (14-17)","Evening (18-20)")))</f>
        <v>Lunch (11-13)</v>
      </c>
      <c r="S907" s="4" t="str">
        <f aca="false">IF(AND(O907&gt;=3,O907&lt;=5),"Hot Dry (Mar-May)",IF(AND(O907&gt;=6,O907&lt;=11),"Rainy (Jun-Nov)","Cool Dry (Dec-Feb)"))</f>
        <v>Rainy (Jun-Nov)</v>
      </c>
      <c r="T907" s="4" t="str">
        <f aca="false">CHOOSE(O907,"Jan","Feb","Mar","Apr","May","Jun","Jul","Aug","Sep","Oct","Nov","Dec")</f>
        <v>Jul</v>
      </c>
    </row>
    <row r="908" customFormat="false" ht="15" hidden="false" customHeight="false" outlineLevel="0" collapsed="false">
      <c r="A908" s="4" t="s">
        <v>1203</v>
      </c>
      <c r="B908" s="17" t="n">
        <v>45848</v>
      </c>
      <c r="C908" s="4" t="n">
        <v>16</v>
      </c>
      <c r="D908" s="4" t="s">
        <v>98</v>
      </c>
      <c r="E908" s="4" t="s">
        <v>79</v>
      </c>
      <c r="F908" s="4" t="s">
        <v>148</v>
      </c>
      <c r="G908" s="4" t="n">
        <v>2</v>
      </c>
      <c r="H908" s="34" t="n">
        <v>120</v>
      </c>
      <c r="I908" s="18" t="n">
        <v>0</v>
      </c>
      <c r="J908" s="4" t="s">
        <v>67</v>
      </c>
      <c r="K908" s="4" t="s">
        <v>68</v>
      </c>
      <c r="L908" s="35" t="n">
        <f aca="false">G908*H908</f>
        <v>240</v>
      </c>
      <c r="M908" s="35" t="n">
        <f aca="false">L908*I908</f>
        <v>0</v>
      </c>
      <c r="N908" s="35" t="n">
        <f aca="false">L908-M908</f>
        <v>240</v>
      </c>
      <c r="O908" s="4" t="n">
        <f aca="false">MONTH(B908)</f>
        <v>7</v>
      </c>
      <c r="P908" s="4" t="str">
        <f aca="false">CHOOSE(WEEKDAY(B908,2),"Mon","Tue","Wed","Thu","Fri","Sat","Sun")</f>
        <v>Thu</v>
      </c>
      <c r="Q908" s="4" t="str">
        <f aca="false">IF(WEEKDAY(B908,2)&gt;5,"Weekend","Weekday")</f>
        <v>Weekday</v>
      </c>
      <c r="R908" s="4" t="str">
        <f aca="false">IF(C908&lt;11,"Morning (7-10)",IF(C908&lt;14,"Lunch (11-13)",IF(C908&lt;18,"Afternoon (14-17)","Evening (18-20)")))</f>
        <v>Afternoon (14-17)</v>
      </c>
      <c r="S908" s="4" t="str">
        <f aca="false">IF(AND(O908&gt;=3,O908&lt;=5),"Hot Dry (Mar-May)",IF(AND(O908&gt;=6,O908&lt;=11),"Rainy (Jun-Nov)","Cool Dry (Dec-Feb)"))</f>
        <v>Rainy (Jun-Nov)</v>
      </c>
      <c r="T908" s="4" t="str">
        <f aca="false">CHOOSE(O908,"Jan","Feb","Mar","Apr","May","Jun","Jul","Aug","Sep","Oct","Nov","Dec")</f>
        <v>Jul</v>
      </c>
    </row>
    <row r="909" customFormat="false" ht="15" hidden="false" customHeight="false" outlineLevel="0" collapsed="false">
      <c r="A909" s="4" t="s">
        <v>1204</v>
      </c>
      <c r="B909" s="17" t="n">
        <v>45848</v>
      </c>
      <c r="C909" s="4" t="n">
        <v>16</v>
      </c>
      <c r="D909" s="4" t="s">
        <v>73</v>
      </c>
      <c r="E909" s="4" t="s">
        <v>84</v>
      </c>
      <c r="F909" s="4" t="s">
        <v>114</v>
      </c>
      <c r="G909" s="4" t="n">
        <v>1</v>
      </c>
      <c r="H909" s="34" t="n">
        <v>85</v>
      </c>
      <c r="I909" s="18" t="n">
        <v>0</v>
      </c>
      <c r="J909" s="4" t="s">
        <v>76</v>
      </c>
      <c r="K909" s="4" t="s">
        <v>68</v>
      </c>
      <c r="L909" s="35" t="n">
        <f aca="false">G909*H909</f>
        <v>85</v>
      </c>
      <c r="M909" s="35" t="n">
        <f aca="false">L909*I909</f>
        <v>0</v>
      </c>
      <c r="N909" s="35" t="n">
        <f aca="false">L909-M909</f>
        <v>85</v>
      </c>
      <c r="O909" s="4" t="n">
        <f aca="false">MONTH(B909)</f>
        <v>7</v>
      </c>
      <c r="P909" s="4" t="str">
        <f aca="false">CHOOSE(WEEKDAY(B909,2),"Mon","Tue","Wed","Thu","Fri","Sat","Sun")</f>
        <v>Thu</v>
      </c>
      <c r="Q909" s="4" t="str">
        <f aca="false">IF(WEEKDAY(B909,2)&gt;5,"Weekend","Weekday")</f>
        <v>Weekday</v>
      </c>
      <c r="R909" s="4" t="str">
        <f aca="false">IF(C909&lt;11,"Morning (7-10)",IF(C909&lt;14,"Lunch (11-13)",IF(C909&lt;18,"Afternoon (14-17)","Evening (18-20)")))</f>
        <v>Afternoon (14-17)</v>
      </c>
      <c r="S909" s="4" t="str">
        <f aca="false">IF(AND(O909&gt;=3,O909&lt;=5),"Hot Dry (Mar-May)",IF(AND(O909&gt;=6,O909&lt;=11),"Rainy (Jun-Nov)","Cool Dry (Dec-Feb)"))</f>
        <v>Rainy (Jun-Nov)</v>
      </c>
      <c r="T909" s="4" t="str">
        <f aca="false">CHOOSE(O909,"Jan","Feb","Mar","Apr","May","Jun","Jul","Aug","Sep","Oct","Nov","Dec")</f>
        <v>Jul</v>
      </c>
    </row>
    <row r="910" customFormat="false" ht="15" hidden="false" customHeight="false" outlineLevel="0" collapsed="false">
      <c r="A910" s="4" t="s">
        <v>1205</v>
      </c>
      <c r="B910" s="17" t="n">
        <v>45849</v>
      </c>
      <c r="C910" s="4" t="n">
        <v>7</v>
      </c>
      <c r="D910" s="4" t="s">
        <v>70</v>
      </c>
      <c r="E910" s="4" t="s">
        <v>99</v>
      </c>
      <c r="F910" s="4" t="s">
        <v>109</v>
      </c>
      <c r="G910" s="4" t="n">
        <v>1</v>
      </c>
      <c r="H910" s="34" t="n">
        <v>130</v>
      </c>
      <c r="I910" s="18" t="n">
        <v>0</v>
      </c>
      <c r="J910" s="4" t="s">
        <v>76</v>
      </c>
      <c r="K910" s="4" t="s">
        <v>68</v>
      </c>
      <c r="L910" s="35" t="n">
        <f aca="false">G910*H910</f>
        <v>130</v>
      </c>
      <c r="M910" s="35" t="n">
        <f aca="false">L910*I910</f>
        <v>0</v>
      </c>
      <c r="N910" s="35" t="n">
        <f aca="false">L910-M910</f>
        <v>130</v>
      </c>
      <c r="O910" s="4" t="n">
        <f aca="false">MONTH(B910)</f>
        <v>7</v>
      </c>
      <c r="P910" s="4" t="str">
        <f aca="false">CHOOSE(WEEKDAY(B910,2),"Mon","Tue","Wed","Thu","Fri","Sat","Sun")</f>
        <v>Fri</v>
      </c>
      <c r="Q910" s="4" t="str">
        <f aca="false">IF(WEEKDAY(B910,2)&gt;5,"Weekend","Weekday")</f>
        <v>Weekday</v>
      </c>
      <c r="R910" s="4" t="str">
        <f aca="false">IF(C910&lt;11,"Morning (7-10)",IF(C910&lt;14,"Lunch (11-13)",IF(C910&lt;18,"Afternoon (14-17)","Evening (18-20)")))</f>
        <v>Morning (7-10)</v>
      </c>
      <c r="S910" s="4" t="str">
        <f aca="false">IF(AND(O910&gt;=3,O910&lt;=5),"Hot Dry (Mar-May)",IF(AND(O910&gt;=6,O910&lt;=11),"Rainy (Jun-Nov)","Cool Dry (Dec-Feb)"))</f>
        <v>Rainy (Jun-Nov)</v>
      </c>
      <c r="T910" s="4" t="str">
        <f aca="false">CHOOSE(O910,"Jan","Feb","Mar","Apr","May","Jun","Jul","Aug","Sep","Oct","Nov","Dec")</f>
        <v>Jul</v>
      </c>
    </row>
    <row r="911" customFormat="false" ht="15" hidden="false" customHeight="false" outlineLevel="0" collapsed="false">
      <c r="A911" s="4" t="s">
        <v>1206</v>
      </c>
      <c r="B911" s="17" t="n">
        <v>45849</v>
      </c>
      <c r="C911" s="4" t="n">
        <v>12</v>
      </c>
      <c r="D911" s="4" t="s">
        <v>70</v>
      </c>
      <c r="E911" s="4" t="s">
        <v>99</v>
      </c>
      <c r="F911" s="4" t="s">
        <v>102</v>
      </c>
      <c r="G911" s="4" t="n">
        <v>4</v>
      </c>
      <c r="H911" s="34" t="n">
        <v>140</v>
      </c>
      <c r="I911" s="18" t="n">
        <v>0.05</v>
      </c>
      <c r="J911" s="4" t="s">
        <v>67</v>
      </c>
      <c r="K911" s="4" t="s">
        <v>82</v>
      </c>
      <c r="L911" s="35" t="n">
        <f aca="false">G911*H911</f>
        <v>560</v>
      </c>
      <c r="M911" s="35" t="n">
        <f aca="false">L911*I911</f>
        <v>28</v>
      </c>
      <c r="N911" s="35" t="n">
        <f aca="false">L911-M911</f>
        <v>532</v>
      </c>
      <c r="O911" s="4" t="n">
        <f aca="false">MONTH(B911)</f>
        <v>7</v>
      </c>
      <c r="P911" s="4" t="str">
        <f aca="false">CHOOSE(WEEKDAY(B911,2),"Mon","Tue","Wed","Thu","Fri","Sat","Sun")</f>
        <v>Fri</v>
      </c>
      <c r="Q911" s="4" t="str">
        <f aca="false">IF(WEEKDAY(B911,2)&gt;5,"Weekend","Weekday")</f>
        <v>Weekday</v>
      </c>
      <c r="R911" s="4" t="str">
        <f aca="false">IF(C911&lt;11,"Morning (7-10)",IF(C911&lt;14,"Lunch (11-13)",IF(C911&lt;18,"Afternoon (14-17)","Evening (18-20)")))</f>
        <v>Lunch (11-13)</v>
      </c>
      <c r="S911" s="4" t="str">
        <f aca="false">IF(AND(O911&gt;=3,O911&lt;=5),"Hot Dry (Mar-May)",IF(AND(O911&gt;=6,O911&lt;=11),"Rainy (Jun-Nov)","Cool Dry (Dec-Feb)"))</f>
        <v>Rainy (Jun-Nov)</v>
      </c>
      <c r="T911" s="4" t="str">
        <f aca="false">CHOOSE(O911,"Jan","Feb","Mar","Apr","May","Jun","Jul","Aug","Sep","Oct","Nov","Dec")</f>
        <v>Jul</v>
      </c>
    </row>
    <row r="912" customFormat="false" ht="15" hidden="false" customHeight="false" outlineLevel="0" collapsed="false">
      <c r="A912" s="4" t="s">
        <v>1207</v>
      </c>
      <c r="B912" s="17" t="n">
        <v>45849</v>
      </c>
      <c r="C912" s="4" t="n">
        <v>17</v>
      </c>
      <c r="D912" s="4" t="s">
        <v>70</v>
      </c>
      <c r="E912" s="4" t="s">
        <v>65</v>
      </c>
      <c r="F912" s="4" t="s">
        <v>87</v>
      </c>
      <c r="G912" s="4" t="n">
        <v>1</v>
      </c>
      <c r="H912" s="34" t="n">
        <v>160</v>
      </c>
      <c r="I912" s="18" t="n">
        <v>0.1</v>
      </c>
      <c r="J912" s="4" t="s">
        <v>81</v>
      </c>
      <c r="K912" s="4" t="s">
        <v>82</v>
      </c>
      <c r="L912" s="35" t="n">
        <f aca="false">G912*H912</f>
        <v>160</v>
      </c>
      <c r="M912" s="35" t="n">
        <f aca="false">L912*I912</f>
        <v>16</v>
      </c>
      <c r="N912" s="35" t="n">
        <f aca="false">L912-M912</f>
        <v>144</v>
      </c>
      <c r="O912" s="4" t="n">
        <f aca="false">MONTH(B912)</f>
        <v>7</v>
      </c>
      <c r="P912" s="4" t="str">
        <f aca="false">CHOOSE(WEEKDAY(B912,2),"Mon","Tue","Wed","Thu","Fri","Sat","Sun")</f>
        <v>Fri</v>
      </c>
      <c r="Q912" s="4" t="str">
        <f aca="false">IF(WEEKDAY(B912,2)&gt;5,"Weekend","Weekday")</f>
        <v>Weekday</v>
      </c>
      <c r="R912" s="4" t="str">
        <f aca="false">IF(C912&lt;11,"Morning (7-10)",IF(C912&lt;14,"Lunch (11-13)",IF(C912&lt;18,"Afternoon (14-17)","Evening (18-20)")))</f>
        <v>Afternoon (14-17)</v>
      </c>
      <c r="S912" s="4" t="str">
        <f aca="false">IF(AND(O912&gt;=3,O912&lt;=5),"Hot Dry (Mar-May)",IF(AND(O912&gt;=6,O912&lt;=11),"Rainy (Jun-Nov)","Cool Dry (Dec-Feb)"))</f>
        <v>Rainy (Jun-Nov)</v>
      </c>
      <c r="T912" s="4" t="str">
        <f aca="false">CHOOSE(O912,"Jan","Feb","Mar","Apr","May","Jun","Jul","Aug","Sep","Oct","Nov","Dec")</f>
        <v>Jul</v>
      </c>
    </row>
    <row r="913" customFormat="false" ht="15" hidden="false" customHeight="false" outlineLevel="0" collapsed="false">
      <c r="A913" s="4" t="s">
        <v>1208</v>
      </c>
      <c r="B913" s="17" t="n">
        <v>45849</v>
      </c>
      <c r="C913" s="4" t="n">
        <v>18</v>
      </c>
      <c r="D913" s="4" t="s">
        <v>70</v>
      </c>
      <c r="E913" s="4" t="s">
        <v>99</v>
      </c>
      <c r="F913" s="4" t="s">
        <v>102</v>
      </c>
      <c r="G913" s="4" t="n">
        <v>3</v>
      </c>
      <c r="H913" s="34" t="n">
        <v>140</v>
      </c>
      <c r="I913" s="18" t="n">
        <v>0</v>
      </c>
      <c r="J913" s="4" t="s">
        <v>67</v>
      </c>
      <c r="K913" s="4" t="s">
        <v>68</v>
      </c>
      <c r="L913" s="35" t="n">
        <f aca="false">G913*H913</f>
        <v>420</v>
      </c>
      <c r="M913" s="35" t="n">
        <f aca="false">L913*I913</f>
        <v>0</v>
      </c>
      <c r="N913" s="35" t="n">
        <f aca="false">L913-M913</f>
        <v>420</v>
      </c>
      <c r="O913" s="4" t="n">
        <f aca="false">MONTH(B913)</f>
        <v>7</v>
      </c>
      <c r="P913" s="4" t="str">
        <f aca="false">CHOOSE(WEEKDAY(B913,2),"Mon","Tue","Wed","Thu","Fri","Sat","Sun")</f>
        <v>Fri</v>
      </c>
      <c r="Q913" s="4" t="str">
        <f aca="false">IF(WEEKDAY(B913,2)&gt;5,"Weekend","Weekday")</f>
        <v>Weekday</v>
      </c>
      <c r="R913" s="4" t="str">
        <f aca="false">IF(C913&lt;11,"Morning (7-10)",IF(C913&lt;14,"Lunch (11-13)",IF(C913&lt;18,"Afternoon (14-17)","Evening (18-20)")))</f>
        <v>Evening (18-20)</v>
      </c>
      <c r="S913" s="4" t="str">
        <f aca="false">IF(AND(O913&gt;=3,O913&lt;=5),"Hot Dry (Mar-May)",IF(AND(O913&gt;=6,O913&lt;=11),"Rainy (Jun-Nov)","Cool Dry (Dec-Feb)"))</f>
        <v>Rainy (Jun-Nov)</v>
      </c>
      <c r="T913" s="4" t="str">
        <f aca="false">CHOOSE(O913,"Jan","Feb","Mar","Apr","May","Jun","Jul","Aug","Sep","Oct","Nov","Dec")</f>
        <v>Jul</v>
      </c>
    </row>
    <row r="914" customFormat="false" ht="15" hidden="false" customHeight="false" outlineLevel="0" collapsed="false">
      <c r="A914" s="4" t="s">
        <v>1209</v>
      </c>
      <c r="B914" s="17" t="n">
        <v>45850</v>
      </c>
      <c r="C914" s="4" t="n">
        <v>8</v>
      </c>
      <c r="D914" s="4" t="s">
        <v>70</v>
      </c>
      <c r="E914" s="4" t="s">
        <v>84</v>
      </c>
      <c r="F914" s="4" t="s">
        <v>106</v>
      </c>
      <c r="G914" s="4" t="n">
        <v>3</v>
      </c>
      <c r="H914" s="34" t="n">
        <v>60</v>
      </c>
      <c r="I914" s="18" t="n">
        <v>0</v>
      </c>
      <c r="J914" s="4" t="s">
        <v>81</v>
      </c>
      <c r="K914" s="4" t="s">
        <v>77</v>
      </c>
      <c r="L914" s="35" t="n">
        <f aca="false">G914*H914</f>
        <v>180</v>
      </c>
      <c r="M914" s="35" t="n">
        <f aca="false">L914*I914</f>
        <v>0</v>
      </c>
      <c r="N914" s="35" t="n">
        <f aca="false">L914-M914</f>
        <v>180</v>
      </c>
      <c r="O914" s="4" t="n">
        <f aca="false">MONTH(B914)</f>
        <v>7</v>
      </c>
      <c r="P914" s="4" t="str">
        <f aca="false">CHOOSE(WEEKDAY(B914,2),"Mon","Tue","Wed","Thu","Fri","Sat","Sun")</f>
        <v>Sat</v>
      </c>
      <c r="Q914" s="4" t="str">
        <f aca="false">IF(WEEKDAY(B914,2)&gt;5,"Weekend","Weekday")</f>
        <v>Weekend</v>
      </c>
      <c r="R914" s="4" t="str">
        <f aca="false">IF(C914&lt;11,"Morning (7-10)",IF(C914&lt;14,"Lunch (11-13)",IF(C914&lt;18,"Afternoon (14-17)","Evening (18-20)")))</f>
        <v>Morning (7-10)</v>
      </c>
      <c r="S914" s="4" t="str">
        <f aca="false">IF(AND(O914&gt;=3,O914&lt;=5),"Hot Dry (Mar-May)",IF(AND(O914&gt;=6,O914&lt;=11),"Rainy (Jun-Nov)","Cool Dry (Dec-Feb)"))</f>
        <v>Rainy (Jun-Nov)</v>
      </c>
      <c r="T914" s="4" t="str">
        <f aca="false">CHOOSE(O914,"Jan","Feb","Mar","Apr","May","Jun","Jul","Aug","Sep","Oct","Nov","Dec")</f>
        <v>Jul</v>
      </c>
    </row>
    <row r="915" customFormat="false" ht="15" hidden="false" customHeight="false" outlineLevel="0" collapsed="false">
      <c r="A915" s="4" t="s">
        <v>1211</v>
      </c>
      <c r="B915" s="17" t="n">
        <v>45850</v>
      </c>
      <c r="C915" s="4" t="n">
        <v>9</v>
      </c>
      <c r="D915" s="4" t="s">
        <v>64</v>
      </c>
      <c r="E915" s="4" t="s">
        <v>65</v>
      </c>
      <c r="F915" s="4" t="s">
        <v>66</v>
      </c>
      <c r="G915" s="4" t="n">
        <v>2</v>
      </c>
      <c r="H915" s="34" t="n">
        <v>120</v>
      </c>
      <c r="I915" s="18" t="n">
        <v>0.1</v>
      </c>
      <c r="J915" s="4" t="s">
        <v>67</v>
      </c>
      <c r="K915" s="4" t="s">
        <v>71</v>
      </c>
      <c r="L915" s="35" t="n">
        <f aca="false">G915*H915</f>
        <v>240</v>
      </c>
      <c r="M915" s="35" t="n">
        <f aca="false">L915*I915</f>
        <v>24</v>
      </c>
      <c r="N915" s="35" t="n">
        <f aca="false">L915-M915</f>
        <v>216</v>
      </c>
      <c r="O915" s="4" t="n">
        <f aca="false">MONTH(B915)</f>
        <v>7</v>
      </c>
      <c r="P915" s="4" t="str">
        <f aca="false">CHOOSE(WEEKDAY(B915,2),"Mon","Tue","Wed","Thu","Fri","Sat","Sun")</f>
        <v>Sat</v>
      </c>
      <c r="Q915" s="4" t="str">
        <f aca="false">IF(WEEKDAY(B915,2)&gt;5,"Weekend","Weekday")</f>
        <v>Weekend</v>
      </c>
      <c r="R915" s="4" t="str">
        <f aca="false">IF(C915&lt;11,"Morning (7-10)",IF(C915&lt;14,"Lunch (11-13)",IF(C915&lt;18,"Afternoon (14-17)","Evening (18-20)")))</f>
        <v>Morning (7-10)</v>
      </c>
      <c r="S915" s="4" t="str">
        <f aca="false">IF(AND(O915&gt;=3,O915&lt;=5),"Hot Dry (Mar-May)",IF(AND(O915&gt;=6,O915&lt;=11),"Rainy (Jun-Nov)","Cool Dry (Dec-Feb)"))</f>
        <v>Rainy (Jun-Nov)</v>
      </c>
      <c r="T915" s="4" t="str">
        <f aca="false">CHOOSE(O915,"Jan","Feb","Mar","Apr","May","Jun","Jul","Aug","Sep","Oct","Nov","Dec")</f>
        <v>Jul</v>
      </c>
    </row>
    <row r="916" customFormat="false" ht="15" hidden="false" customHeight="false" outlineLevel="0" collapsed="false">
      <c r="A916" s="4" t="s">
        <v>1212</v>
      </c>
      <c r="B916" s="17" t="n">
        <v>45850</v>
      </c>
      <c r="C916" s="4" t="n">
        <v>11</v>
      </c>
      <c r="D916" s="4" t="s">
        <v>64</v>
      </c>
      <c r="E916" s="4" t="s">
        <v>79</v>
      </c>
      <c r="F916" s="4" t="s">
        <v>80</v>
      </c>
      <c r="G916" s="4" t="n">
        <v>1</v>
      </c>
      <c r="H916" s="34" t="n">
        <v>160</v>
      </c>
      <c r="I916" s="18" t="n">
        <v>0.15</v>
      </c>
      <c r="J916" s="4" t="s">
        <v>88</v>
      </c>
      <c r="K916" s="4" t="s">
        <v>68</v>
      </c>
      <c r="L916" s="35" t="n">
        <f aca="false">G916*H916</f>
        <v>160</v>
      </c>
      <c r="M916" s="35" t="n">
        <f aca="false">L916*I916</f>
        <v>24</v>
      </c>
      <c r="N916" s="35" t="n">
        <f aca="false">L916-M916</f>
        <v>136</v>
      </c>
      <c r="O916" s="4" t="n">
        <f aca="false">MONTH(B916)</f>
        <v>7</v>
      </c>
      <c r="P916" s="4" t="str">
        <f aca="false">CHOOSE(WEEKDAY(B916,2),"Mon","Tue","Wed","Thu","Fri","Sat","Sun")</f>
        <v>Sat</v>
      </c>
      <c r="Q916" s="4" t="str">
        <f aca="false">IF(WEEKDAY(B916,2)&gt;5,"Weekend","Weekday")</f>
        <v>Weekend</v>
      </c>
      <c r="R916" s="4" t="str">
        <f aca="false">IF(C916&lt;11,"Morning (7-10)",IF(C916&lt;14,"Lunch (11-13)",IF(C916&lt;18,"Afternoon (14-17)","Evening (18-20)")))</f>
        <v>Lunch (11-13)</v>
      </c>
      <c r="S916" s="4" t="str">
        <f aca="false">IF(AND(O916&gt;=3,O916&lt;=5),"Hot Dry (Mar-May)",IF(AND(O916&gt;=6,O916&lt;=11),"Rainy (Jun-Nov)","Cool Dry (Dec-Feb)"))</f>
        <v>Rainy (Jun-Nov)</v>
      </c>
      <c r="T916" s="4" t="str">
        <f aca="false">CHOOSE(O916,"Jan","Feb","Mar","Apr","May","Jun","Jul","Aug","Sep","Oct","Nov","Dec")</f>
        <v>Jul</v>
      </c>
    </row>
    <row r="917" customFormat="false" ht="15" hidden="false" customHeight="false" outlineLevel="0" collapsed="false">
      <c r="A917" s="4" t="s">
        <v>1213</v>
      </c>
      <c r="B917" s="17" t="n">
        <v>45850</v>
      </c>
      <c r="C917" s="4" t="n">
        <v>12</v>
      </c>
      <c r="D917" s="4" t="s">
        <v>73</v>
      </c>
      <c r="E917" s="4" t="s">
        <v>99</v>
      </c>
      <c r="F917" s="4" t="s">
        <v>102</v>
      </c>
      <c r="G917" s="4" t="n">
        <v>2</v>
      </c>
      <c r="H917" s="34" t="n">
        <v>140</v>
      </c>
      <c r="I917" s="18" t="n">
        <v>0.1</v>
      </c>
      <c r="J917" s="4" t="s">
        <v>81</v>
      </c>
      <c r="K917" s="4" t="s">
        <v>71</v>
      </c>
      <c r="L917" s="35" t="n">
        <f aca="false">G917*H917</f>
        <v>280</v>
      </c>
      <c r="M917" s="35" t="n">
        <f aca="false">L917*I917</f>
        <v>28</v>
      </c>
      <c r="N917" s="35" t="n">
        <f aca="false">L917-M917</f>
        <v>252</v>
      </c>
      <c r="O917" s="4" t="n">
        <f aca="false">MONTH(B917)</f>
        <v>7</v>
      </c>
      <c r="P917" s="4" t="str">
        <f aca="false">CHOOSE(WEEKDAY(B917,2),"Mon","Tue","Wed","Thu","Fri","Sat","Sun")</f>
        <v>Sat</v>
      </c>
      <c r="Q917" s="4" t="str">
        <f aca="false">IF(WEEKDAY(B917,2)&gt;5,"Weekend","Weekday")</f>
        <v>Weekend</v>
      </c>
      <c r="R917" s="4" t="str">
        <f aca="false">IF(C917&lt;11,"Morning (7-10)",IF(C917&lt;14,"Lunch (11-13)",IF(C917&lt;18,"Afternoon (14-17)","Evening (18-20)")))</f>
        <v>Lunch (11-13)</v>
      </c>
      <c r="S917" s="4" t="str">
        <f aca="false">IF(AND(O917&gt;=3,O917&lt;=5),"Hot Dry (Mar-May)",IF(AND(O917&gt;=6,O917&lt;=11),"Rainy (Jun-Nov)","Cool Dry (Dec-Feb)"))</f>
        <v>Rainy (Jun-Nov)</v>
      </c>
      <c r="T917" s="4" t="str">
        <f aca="false">CHOOSE(O917,"Jan","Feb","Mar","Apr","May","Jun","Jul","Aug","Sep","Oct","Nov","Dec")</f>
        <v>Jul</v>
      </c>
    </row>
    <row r="918" customFormat="false" ht="15" hidden="false" customHeight="false" outlineLevel="0" collapsed="false">
      <c r="A918" s="4" t="s">
        <v>1214</v>
      </c>
      <c r="B918" s="17" t="n">
        <v>45850</v>
      </c>
      <c r="C918" s="4" t="n">
        <v>15</v>
      </c>
      <c r="D918" s="4" t="s">
        <v>64</v>
      </c>
      <c r="E918" s="4" t="s">
        <v>65</v>
      </c>
      <c r="F918" s="4" t="s">
        <v>121</v>
      </c>
      <c r="G918" s="4" t="n">
        <v>2</v>
      </c>
      <c r="H918" s="34" t="n">
        <v>170</v>
      </c>
      <c r="I918" s="18" t="n">
        <v>0.1</v>
      </c>
      <c r="J918" s="4" t="s">
        <v>81</v>
      </c>
      <c r="K918" s="4" t="s">
        <v>68</v>
      </c>
      <c r="L918" s="35" t="n">
        <f aca="false">G918*H918</f>
        <v>340</v>
      </c>
      <c r="M918" s="35" t="n">
        <f aca="false">L918*I918</f>
        <v>34</v>
      </c>
      <c r="N918" s="35" t="n">
        <f aca="false">L918-M918</f>
        <v>306</v>
      </c>
      <c r="O918" s="4" t="n">
        <f aca="false">MONTH(B918)</f>
        <v>7</v>
      </c>
      <c r="P918" s="4" t="str">
        <f aca="false">CHOOSE(WEEKDAY(B918,2),"Mon","Tue","Wed","Thu","Fri","Sat","Sun")</f>
        <v>Sat</v>
      </c>
      <c r="Q918" s="4" t="str">
        <f aca="false">IF(WEEKDAY(B918,2)&gt;5,"Weekend","Weekday")</f>
        <v>Weekend</v>
      </c>
      <c r="R918" s="4" t="str">
        <f aca="false">IF(C918&lt;11,"Morning (7-10)",IF(C918&lt;14,"Lunch (11-13)",IF(C918&lt;18,"Afternoon (14-17)","Evening (18-20)")))</f>
        <v>Afternoon (14-17)</v>
      </c>
      <c r="S918" s="4" t="str">
        <f aca="false">IF(AND(O918&gt;=3,O918&lt;=5),"Hot Dry (Mar-May)",IF(AND(O918&gt;=6,O918&lt;=11),"Rainy (Jun-Nov)","Cool Dry (Dec-Feb)"))</f>
        <v>Rainy (Jun-Nov)</v>
      </c>
      <c r="T918" s="4" t="str">
        <f aca="false">CHOOSE(O918,"Jan","Feb","Mar","Apr","May","Jun","Jul","Aug","Sep","Oct","Nov","Dec")</f>
        <v>Jul</v>
      </c>
    </row>
    <row r="919" customFormat="false" ht="15" hidden="false" customHeight="false" outlineLevel="0" collapsed="false">
      <c r="A919" s="4" t="s">
        <v>1215</v>
      </c>
      <c r="B919" s="17" t="n">
        <v>45850</v>
      </c>
      <c r="C919" s="4" t="n">
        <v>16</v>
      </c>
      <c r="D919" s="4" t="s">
        <v>98</v>
      </c>
      <c r="E919" s="4" t="s">
        <v>84</v>
      </c>
      <c r="F919" s="4" t="s">
        <v>85</v>
      </c>
      <c r="G919" s="4" t="n">
        <v>4</v>
      </c>
      <c r="H919" s="34" t="n">
        <v>150</v>
      </c>
      <c r="I919" s="18" t="n">
        <v>0.1</v>
      </c>
      <c r="J919" s="4" t="s">
        <v>81</v>
      </c>
      <c r="K919" s="4" t="s">
        <v>71</v>
      </c>
      <c r="L919" s="35" t="n">
        <f aca="false">G919*H919</f>
        <v>600</v>
      </c>
      <c r="M919" s="35" t="n">
        <f aca="false">L919*I919</f>
        <v>60</v>
      </c>
      <c r="N919" s="35" t="n">
        <f aca="false">L919-M919</f>
        <v>540</v>
      </c>
      <c r="O919" s="4" t="n">
        <f aca="false">MONTH(B919)</f>
        <v>7</v>
      </c>
      <c r="P919" s="4" t="str">
        <f aca="false">CHOOSE(WEEKDAY(B919,2),"Mon","Tue","Wed","Thu","Fri","Sat","Sun")</f>
        <v>Sat</v>
      </c>
      <c r="Q919" s="4" t="str">
        <f aca="false">IF(WEEKDAY(B919,2)&gt;5,"Weekend","Weekday")</f>
        <v>Weekend</v>
      </c>
      <c r="R919" s="4" t="str">
        <f aca="false">IF(C919&lt;11,"Morning (7-10)",IF(C919&lt;14,"Lunch (11-13)",IF(C919&lt;18,"Afternoon (14-17)","Evening (18-20)")))</f>
        <v>Afternoon (14-17)</v>
      </c>
      <c r="S919" s="4" t="str">
        <f aca="false">IF(AND(O919&gt;=3,O919&lt;=5),"Hot Dry (Mar-May)",IF(AND(O919&gt;=6,O919&lt;=11),"Rainy (Jun-Nov)","Cool Dry (Dec-Feb)"))</f>
        <v>Rainy (Jun-Nov)</v>
      </c>
      <c r="T919" s="4" t="str">
        <f aca="false">CHOOSE(O919,"Jan","Feb","Mar","Apr","May","Jun","Jul","Aug","Sep","Oct","Nov","Dec")</f>
        <v>Jul</v>
      </c>
    </row>
    <row r="920" customFormat="false" ht="15" hidden="false" customHeight="false" outlineLevel="0" collapsed="false">
      <c r="A920" s="4" t="s">
        <v>1216</v>
      </c>
      <c r="B920" s="17" t="n">
        <v>45851</v>
      </c>
      <c r="C920" s="4" t="n">
        <v>8</v>
      </c>
      <c r="D920" s="4" t="s">
        <v>70</v>
      </c>
      <c r="E920" s="4" t="s">
        <v>65</v>
      </c>
      <c r="F920" s="4" t="s">
        <v>94</v>
      </c>
      <c r="G920" s="4" t="n">
        <v>1</v>
      </c>
      <c r="H920" s="34" t="n">
        <v>150</v>
      </c>
      <c r="I920" s="18" t="n">
        <v>0.05</v>
      </c>
      <c r="J920" s="4" t="s">
        <v>67</v>
      </c>
      <c r="K920" s="4" t="s">
        <v>82</v>
      </c>
      <c r="L920" s="35" t="n">
        <f aca="false">G920*H920</f>
        <v>150</v>
      </c>
      <c r="M920" s="35" t="n">
        <f aca="false">L920*I920</f>
        <v>7.5</v>
      </c>
      <c r="N920" s="35" t="n">
        <f aca="false">L920-M920</f>
        <v>142.5</v>
      </c>
      <c r="O920" s="4" t="n">
        <f aca="false">MONTH(B920)</f>
        <v>7</v>
      </c>
      <c r="P920" s="4" t="str">
        <f aca="false">CHOOSE(WEEKDAY(B920,2),"Mon","Tue","Wed","Thu","Fri","Sat","Sun")</f>
        <v>Sun</v>
      </c>
      <c r="Q920" s="4" t="str">
        <f aca="false">IF(WEEKDAY(B920,2)&gt;5,"Weekend","Weekday")</f>
        <v>Weekend</v>
      </c>
      <c r="R920" s="4" t="str">
        <f aca="false">IF(C920&lt;11,"Morning (7-10)",IF(C920&lt;14,"Lunch (11-13)",IF(C920&lt;18,"Afternoon (14-17)","Evening (18-20)")))</f>
        <v>Morning (7-10)</v>
      </c>
      <c r="S920" s="4" t="str">
        <f aca="false">IF(AND(O920&gt;=3,O920&lt;=5),"Hot Dry (Mar-May)",IF(AND(O920&gt;=6,O920&lt;=11),"Rainy (Jun-Nov)","Cool Dry (Dec-Feb)"))</f>
        <v>Rainy (Jun-Nov)</v>
      </c>
      <c r="T920" s="4" t="str">
        <f aca="false">CHOOSE(O920,"Jan","Feb","Mar","Apr","May","Jun","Jul","Aug","Sep","Oct","Nov","Dec")</f>
        <v>Jul</v>
      </c>
    </row>
    <row r="921" customFormat="false" ht="15" hidden="false" customHeight="false" outlineLevel="0" collapsed="false">
      <c r="A921" s="4" t="s">
        <v>1218</v>
      </c>
      <c r="B921" s="17" t="n">
        <v>45851</v>
      </c>
      <c r="C921" s="4" t="n">
        <v>9</v>
      </c>
      <c r="D921" s="4" t="s">
        <v>64</v>
      </c>
      <c r="E921" s="4" t="s">
        <v>99</v>
      </c>
      <c r="F921" s="4" t="s">
        <v>102</v>
      </c>
      <c r="G921" s="4" t="n">
        <v>1</v>
      </c>
      <c r="H921" s="34" t="n">
        <v>140</v>
      </c>
      <c r="I921" s="18" t="n">
        <v>0.1</v>
      </c>
      <c r="J921" s="4" t="s">
        <v>112</v>
      </c>
      <c r="K921" s="4" t="s">
        <v>71</v>
      </c>
      <c r="L921" s="35" t="n">
        <f aca="false">G921*H921</f>
        <v>140</v>
      </c>
      <c r="M921" s="35" t="n">
        <f aca="false">L921*I921</f>
        <v>14</v>
      </c>
      <c r="N921" s="35" t="n">
        <f aca="false">L921-M921</f>
        <v>126</v>
      </c>
      <c r="O921" s="4" t="n">
        <f aca="false">MONTH(B921)</f>
        <v>7</v>
      </c>
      <c r="P921" s="4" t="str">
        <f aca="false">CHOOSE(WEEKDAY(B921,2),"Mon","Tue","Wed","Thu","Fri","Sat","Sun")</f>
        <v>Sun</v>
      </c>
      <c r="Q921" s="4" t="str">
        <f aca="false">IF(WEEKDAY(B921,2)&gt;5,"Weekend","Weekday")</f>
        <v>Weekend</v>
      </c>
      <c r="R921" s="4" t="str">
        <f aca="false">IF(C921&lt;11,"Morning (7-10)",IF(C921&lt;14,"Lunch (11-13)",IF(C921&lt;18,"Afternoon (14-17)","Evening (18-20)")))</f>
        <v>Morning (7-10)</v>
      </c>
      <c r="S921" s="4" t="str">
        <f aca="false">IF(AND(O921&gt;=3,O921&lt;=5),"Hot Dry (Mar-May)",IF(AND(O921&gt;=6,O921&lt;=11),"Rainy (Jun-Nov)","Cool Dry (Dec-Feb)"))</f>
        <v>Rainy (Jun-Nov)</v>
      </c>
      <c r="T921" s="4" t="str">
        <f aca="false">CHOOSE(O921,"Jan","Feb","Mar","Apr","May","Jun","Jul","Aug","Sep","Oct","Nov","Dec")</f>
        <v>Jul</v>
      </c>
    </row>
    <row r="922" customFormat="false" ht="15" hidden="false" customHeight="false" outlineLevel="0" collapsed="false">
      <c r="A922" s="4" t="s">
        <v>1219</v>
      </c>
      <c r="B922" s="17" t="n">
        <v>45851</v>
      </c>
      <c r="C922" s="4" t="n">
        <v>13</v>
      </c>
      <c r="D922" s="4" t="s">
        <v>64</v>
      </c>
      <c r="E922" s="4" t="s">
        <v>99</v>
      </c>
      <c r="F922" s="4" t="s">
        <v>100</v>
      </c>
      <c r="G922" s="4" t="n">
        <v>4</v>
      </c>
      <c r="H922" s="34" t="n">
        <v>110</v>
      </c>
      <c r="I922" s="18" t="n">
        <v>0.05</v>
      </c>
      <c r="J922" s="4" t="s">
        <v>81</v>
      </c>
      <c r="K922" s="4" t="s">
        <v>82</v>
      </c>
      <c r="L922" s="35" t="n">
        <f aca="false">G922*H922</f>
        <v>440</v>
      </c>
      <c r="M922" s="35" t="n">
        <f aca="false">L922*I922</f>
        <v>22</v>
      </c>
      <c r="N922" s="35" t="n">
        <f aca="false">L922-M922</f>
        <v>418</v>
      </c>
      <c r="O922" s="4" t="n">
        <f aca="false">MONTH(B922)</f>
        <v>7</v>
      </c>
      <c r="P922" s="4" t="str">
        <f aca="false">CHOOSE(WEEKDAY(B922,2),"Mon","Tue","Wed","Thu","Fri","Sat","Sun")</f>
        <v>Sun</v>
      </c>
      <c r="Q922" s="4" t="str">
        <f aca="false">IF(WEEKDAY(B922,2)&gt;5,"Weekend","Weekday")</f>
        <v>Weekend</v>
      </c>
      <c r="R922" s="4" t="str">
        <f aca="false">IF(C922&lt;11,"Morning (7-10)",IF(C922&lt;14,"Lunch (11-13)",IF(C922&lt;18,"Afternoon (14-17)","Evening (18-20)")))</f>
        <v>Lunch (11-13)</v>
      </c>
      <c r="S922" s="4" t="str">
        <f aca="false">IF(AND(O922&gt;=3,O922&lt;=5),"Hot Dry (Mar-May)",IF(AND(O922&gt;=6,O922&lt;=11),"Rainy (Jun-Nov)","Cool Dry (Dec-Feb)"))</f>
        <v>Rainy (Jun-Nov)</v>
      </c>
      <c r="T922" s="4" t="str">
        <f aca="false">CHOOSE(O922,"Jan","Feb","Mar","Apr","May","Jun","Jul","Aug","Sep","Oct","Nov","Dec")</f>
        <v>Jul</v>
      </c>
    </row>
    <row r="923" customFormat="false" ht="15" hidden="false" customHeight="false" outlineLevel="0" collapsed="false">
      <c r="A923" s="4" t="s">
        <v>1220</v>
      </c>
      <c r="B923" s="17" t="n">
        <v>45851</v>
      </c>
      <c r="C923" s="4" t="n">
        <v>13</v>
      </c>
      <c r="D923" s="4" t="s">
        <v>73</v>
      </c>
      <c r="E923" s="4" t="s">
        <v>99</v>
      </c>
      <c r="F923" s="4" t="s">
        <v>102</v>
      </c>
      <c r="G923" s="4" t="n">
        <v>3</v>
      </c>
      <c r="H923" s="34" t="n">
        <v>140</v>
      </c>
      <c r="I923" s="18" t="n">
        <v>0.05</v>
      </c>
      <c r="J923" s="4" t="s">
        <v>76</v>
      </c>
      <c r="K923" s="4" t="s">
        <v>82</v>
      </c>
      <c r="L923" s="35" t="n">
        <f aca="false">G923*H923</f>
        <v>420</v>
      </c>
      <c r="M923" s="35" t="n">
        <f aca="false">L923*I923</f>
        <v>21</v>
      </c>
      <c r="N923" s="35" t="n">
        <f aca="false">L923-M923</f>
        <v>399</v>
      </c>
      <c r="O923" s="4" t="n">
        <f aca="false">MONTH(B923)</f>
        <v>7</v>
      </c>
      <c r="P923" s="4" t="str">
        <f aca="false">CHOOSE(WEEKDAY(B923,2),"Mon","Tue","Wed","Thu","Fri","Sat","Sun")</f>
        <v>Sun</v>
      </c>
      <c r="Q923" s="4" t="str">
        <f aca="false">IF(WEEKDAY(B923,2)&gt;5,"Weekend","Weekday")</f>
        <v>Weekend</v>
      </c>
      <c r="R923" s="4" t="str">
        <f aca="false">IF(C923&lt;11,"Morning (7-10)",IF(C923&lt;14,"Lunch (11-13)",IF(C923&lt;18,"Afternoon (14-17)","Evening (18-20)")))</f>
        <v>Lunch (11-13)</v>
      </c>
      <c r="S923" s="4" t="str">
        <f aca="false">IF(AND(O923&gt;=3,O923&lt;=5),"Hot Dry (Mar-May)",IF(AND(O923&gt;=6,O923&lt;=11),"Rainy (Jun-Nov)","Cool Dry (Dec-Feb)"))</f>
        <v>Rainy (Jun-Nov)</v>
      </c>
      <c r="T923" s="4" t="str">
        <f aca="false">CHOOSE(O923,"Jan","Feb","Mar","Apr","May","Jun","Jul","Aug","Sep","Oct","Nov","Dec")</f>
        <v>Jul</v>
      </c>
    </row>
    <row r="924" customFormat="false" ht="15" hidden="false" customHeight="false" outlineLevel="0" collapsed="false">
      <c r="A924" s="4" t="s">
        <v>1221</v>
      </c>
      <c r="B924" s="17" t="n">
        <v>45851</v>
      </c>
      <c r="C924" s="4" t="n">
        <v>19</v>
      </c>
      <c r="D924" s="4" t="s">
        <v>70</v>
      </c>
      <c r="E924" s="4" t="s">
        <v>99</v>
      </c>
      <c r="F924" s="4" t="s">
        <v>100</v>
      </c>
      <c r="G924" s="4" t="n">
        <v>2</v>
      </c>
      <c r="H924" s="34" t="n">
        <v>110</v>
      </c>
      <c r="I924" s="18" t="n">
        <v>0</v>
      </c>
      <c r="J924" s="4" t="s">
        <v>67</v>
      </c>
      <c r="K924" s="4" t="s">
        <v>77</v>
      </c>
      <c r="L924" s="35" t="n">
        <f aca="false">G924*H924</f>
        <v>220</v>
      </c>
      <c r="M924" s="35" t="n">
        <f aca="false">L924*I924</f>
        <v>0</v>
      </c>
      <c r="N924" s="35" t="n">
        <f aca="false">L924-M924</f>
        <v>220</v>
      </c>
      <c r="O924" s="4" t="n">
        <f aca="false">MONTH(B924)</f>
        <v>7</v>
      </c>
      <c r="P924" s="4" t="str">
        <f aca="false">CHOOSE(WEEKDAY(B924,2),"Mon","Tue","Wed","Thu","Fri","Sat","Sun")</f>
        <v>Sun</v>
      </c>
      <c r="Q924" s="4" t="str">
        <f aca="false">IF(WEEKDAY(B924,2)&gt;5,"Weekend","Weekday")</f>
        <v>Weekend</v>
      </c>
      <c r="R924" s="4" t="str">
        <f aca="false">IF(C924&lt;11,"Morning (7-10)",IF(C924&lt;14,"Lunch (11-13)",IF(C924&lt;18,"Afternoon (14-17)","Evening (18-20)")))</f>
        <v>Evening (18-20)</v>
      </c>
      <c r="S924" s="4" t="str">
        <f aca="false">IF(AND(O924&gt;=3,O924&lt;=5),"Hot Dry (Mar-May)",IF(AND(O924&gt;=6,O924&lt;=11),"Rainy (Jun-Nov)","Cool Dry (Dec-Feb)"))</f>
        <v>Rainy (Jun-Nov)</v>
      </c>
      <c r="T924" s="4" t="str">
        <f aca="false">CHOOSE(O924,"Jan","Feb","Mar","Apr","May","Jun","Jul","Aug","Sep","Oct","Nov","Dec")</f>
        <v>Jul</v>
      </c>
    </row>
    <row r="925" customFormat="false" ht="15" hidden="false" customHeight="false" outlineLevel="0" collapsed="false">
      <c r="A925" s="4" t="s">
        <v>1222</v>
      </c>
      <c r="B925" s="17" t="n">
        <v>45852</v>
      </c>
      <c r="C925" s="4" t="n">
        <v>7</v>
      </c>
      <c r="D925" s="4" t="s">
        <v>73</v>
      </c>
      <c r="E925" s="4" t="s">
        <v>84</v>
      </c>
      <c r="F925" s="4" t="s">
        <v>114</v>
      </c>
      <c r="G925" s="4" t="n">
        <v>1</v>
      </c>
      <c r="H925" s="34" t="n">
        <v>85</v>
      </c>
      <c r="I925" s="18" t="n">
        <v>0.15</v>
      </c>
      <c r="J925" s="4" t="s">
        <v>67</v>
      </c>
      <c r="K925" s="4" t="s">
        <v>68</v>
      </c>
      <c r="L925" s="35" t="n">
        <f aca="false">G925*H925</f>
        <v>85</v>
      </c>
      <c r="M925" s="35" t="n">
        <f aca="false">L925*I925</f>
        <v>12.75</v>
      </c>
      <c r="N925" s="35" t="n">
        <f aca="false">L925-M925</f>
        <v>72.25</v>
      </c>
      <c r="O925" s="4" t="n">
        <f aca="false">MONTH(B925)</f>
        <v>7</v>
      </c>
      <c r="P925" s="4" t="str">
        <f aca="false">CHOOSE(WEEKDAY(B925,2),"Mon","Tue","Wed","Thu","Fri","Sat","Sun")</f>
        <v>Mon</v>
      </c>
      <c r="Q925" s="4" t="str">
        <f aca="false">IF(WEEKDAY(B925,2)&gt;5,"Weekend","Weekday")</f>
        <v>Weekday</v>
      </c>
      <c r="R925" s="4" t="str">
        <f aca="false">IF(C925&lt;11,"Morning (7-10)",IF(C925&lt;14,"Lunch (11-13)",IF(C925&lt;18,"Afternoon (14-17)","Evening (18-20)")))</f>
        <v>Morning (7-10)</v>
      </c>
      <c r="S925" s="4" t="str">
        <f aca="false">IF(AND(O925&gt;=3,O925&lt;=5),"Hot Dry (Mar-May)",IF(AND(O925&gt;=6,O925&lt;=11),"Rainy (Jun-Nov)","Cool Dry (Dec-Feb)"))</f>
        <v>Rainy (Jun-Nov)</v>
      </c>
      <c r="T925" s="4" t="str">
        <f aca="false">CHOOSE(O925,"Jan","Feb","Mar","Apr","May","Jun","Jul","Aug","Sep","Oct","Nov","Dec")</f>
        <v>Jul</v>
      </c>
    </row>
    <row r="926" customFormat="false" ht="15" hidden="false" customHeight="false" outlineLevel="0" collapsed="false">
      <c r="A926" s="4" t="s">
        <v>1224</v>
      </c>
      <c r="B926" s="17" t="n">
        <v>45852</v>
      </c>
      <c r="C926" s="4" t="n">
        <v>7</v>
      </c>
      <c r="D926" s="4" t="s">
        <v>70</v>
      </c>
      <c r="E926" s="4" t="s">
        <v>65</v>
      </c>
      <c r="F926" s="4" t="s">
        <v>87</v>
      </c>
      <c r="G926" s="4" t="n">
        <v>1</v>
      </c>
      <c r="H926" s="34" t="n">
        <v>160</v>
      </c>
      <c r="I926" s="18" t="n">
        <v>0.1</v>
      </c>
      <c r="J926" s="4" t="s">
        <v>76</v>
      </c>
      <c r="K926" s="4" t="s">
        <v>2289</v>
      </c>
      <c r="L926" s="35" t="n">
        <f aca="false">G926*H926</f>
        <v>160</v>
      </c>
      <c r="M926" s="35" t="n">
        <f aca="false">L926*I926</f>
        <v>16</v>
      </c>
      <c r="N926" s="35" t="n">
        <f aca="false">L926-M926</f>
        <v>144</v>
      </c>
      <c r="O926" s="4" t="n">
        <f aca="false">MONTH(B926)</f>
        <v>7</v>
      </c>
      <c r="P926" s="4" t="str">
        <f aca="false">CHOOSE(WEEKDAY(B926,2),"Mon","Tue","Wed","Thu","Fri","Sat","Sun")</f>
        <v>Mon</v>
      </c>
      <c r="Q926" s="4" t="str">
        <f aca="false">IF(WEEKDAY(B926,2)&gt;5,"Weekend","Weekday")</f>
        <v>Weekday</v>
      </c>
      <c r="R926" s="4" t="str">
        <f aca="false">IF(C926&lt;11,"Morning (7-10)",IF(C926&lt;14,"Lunch (11-13)",IF(C926&lt;18,"Afternoon (14-17)","Evening (18-20)")))</f>
        <v>Morning (7-10)</v>
      </c>
      <c r="S926" s="4" t="str">
        <f aca="false">IF(AND(O926&gt;=3,O926&lt;=5),"Hot Dry (Mar-May)",IF(AND(O926&gt;=6,O926&lt;=11),"Rainy (Jun-Nov)","Cool Dry (Dec-Feb)"))</f>
        <v>Rainy (Jun-Nov)</v>
      </c>
      <c r="T926" s="4" t="str">
        <f aca="false">CHOOSE(O926,"Jan","Feb","Mar","Apr","May","Jun","Jul","Aug","Sep","Oct","Nov","Dec")</f>
        <v>Jul</v>
      </c>
    </row>
    <row r="927" customFormat="false" ht="15" hidden="false" customHeight="false" outlineLevel="0" collapsed="false">
      <c r="A927" s="4" t="s">
        <v>1225</v>
      </c>
      <c r="B927" s="17" t="n">
        <v>45852</v>
      </c>
      <c r="C927" s="4" t="n">
        <v>7</v>
      </c>
      <c r="D927" s="4" t="s">
        <v>70</v>
      </c>
      <c r="E927" s="4" t="s">
        <v>99</v>
      </c>
      <c r="F927" s="4" t="s">
        <v>102</v>
      </c>
      <c r="G927" s="4" t="n">
        <v>2</v>
      </c>
      <c r="H927" s="34" t="n">
        <v>140</v>
      </c>
      <c r="I927" s="18" t="n">
        <v>0.1</v>
      </c>
      <c r="J927" s="4" t="s">
        <v>76</v>
      </c>
      <c r="K927" s="4" t="s">
        <v>71</v>
      </c>
      <c r="L927" s="35" t="n">
        <f aca="false">G927*H927</f>
        <v>280</v>
      </c>
      <c r="M927" s="35" t="n">
        <f aca="false">L927*I927</f>
        <v>28</v>
      </c>
      <c r="N927" s="35" t="n">
        <f aca="false">L927-M927</f>
        <v>252</v>
      </c>
      <c r="O927" s="4" t="n">
        <f aca="false">MONTH(B927)</f>
        <v>7</v>
      </c>
      <c r="P927" s="4" t="str">
        <f aca="false">CHOOSE(WEEKDAY(B927,2),"Mon","Tue","Wed","Thu","Fri","Sat","Sun")</f>
        <v>Mon</v>
      </c>
      <c r="Q927" s="4" t="str">
        <f aca="false">IF(WEEKDAY(B927,2)&gt;5,"Weekend","Weekday")</f>
        <v>Weekday</v>
      </c>
      <c r="R927" s="4" t="str">
        <f aca="false">IF(C927&lt;11,"Morning (7-10)",IF(C927&lt;14,"Lunch (11-13)",IF(C927&lt;18,"Afternoon (14-17)","Evening (18-20)")))</f>
        <v>Morning (7-10)</v>
      </c>
      <c r="S927" s="4" t="str">
        <f aca="false">IF(AND(O927&gt;=3,O927&lt;=5),"Hot Dry (Mar-May)",IF(AND(O927&gt;=6,O927&lt;=11),"Rainy (Jun-Nov)","Cool Dry (Dec-Feb)"))</f>
        <v>Rainy (Jun-Nov)</v>
      </c>
      <c r="T927" s="4" t="str">
        <f aca="false">CHOOSE(O927,"Jan","Feb","Mar","Apr","May","Jun","Jul","Aug","Sep","Oct","Nov","Dec")</f>
        <v>Jul</v>
      </c>
    </row>
    <row r="928" customFormat="false" ht="15" hidden="false" customHeight="false" outlineLevel="0" collapsed="false">
      <c r="A928" s="4" t="s">
        <v>1226</v>
      </c>
      <c r="B928" s="17" t="n">
        <v>45852</v>
      </c>
      <c r="C928" s="4" t="n">
        <v>8</v>
      </c>
      <c r="D928" s="4" t="s">
        <v>70</v>
      </c>
      <c r="E928" s="4" t="s">
        <v>99</v>
      </c>
      <c r="F928" s="4" t="s">
        <v>109</v>
      </c>
      <c r="G928" s="4" t="n">
        <v>1</v>
      </c>
      <c r="H928" s="34" t="n">
        <v>130</v>
      </c>
      <c r="I928" s="18" t="n">
        <v>0.1</v>
      </c>
      <c r="J928" s="4" t="s">
        <v>81</v>
      </c>
      <c r="K928" s="4" t="s">
        <v>68</v>
      </c>
      <c r="L928" s="35" t="n">
        <f aca="false">G928*H928</f>
        <v>130</v>
      </c>
      <c r="M928" s="35" t="n">
        <f aca="false">L928*I928</f>
        <v>13</v>
      </c>
      <c r="N928" s="35" t="n">
        <f aca="false">L928-M928</f>
        <v>117</v>
      </c>
      <c r="O928" s="4" t="n">
        <f aca="false">MONTH(B928)</f>
        <v>7</v>
      </c>
      <c r="P928" s="4" t="str">
        <f aca="false">CHOOSE(WEEKDAY(B928,2),"Mon","Tue","Wed","Thu","Fri","Sat","Sun")</f>
        <v>Mon</v>
      </c>
      <c r="Q928" s="4" t="str">
        <f aca="false">IF(WEEKDAY(B928,2)&gt;5,"Weekend","Weekday")</f>
        <v>Weekday</v>
      </c>
      <c r="R928" s="4" t="str">
        <f aca="false">IF(C928&lt;11,"Morning (7-10)",IF(C928&lt;14,"Lunch (11-13)",IF(C928&lt;18,"Afternoon (14-17)","Evening (18-20)")))</f>
        <v>Morning (7-10)</v>
      </c>
      <c r="S928" s="4" t="str">
        <f aca="false">IF(AND(O928&gt;=3,O928&lt;=5),"Hot Dry (Mar-May)",IF(AND(O928&gt;=6,O928&lt;=11),"Rainy (Jun-Nov)","Cool Dry (Dec-Feb)"))</f>
        <v>Rainy (Jun-Nov)</v>
      </c>
      <c r="T928" s="4" t="str">
        <f aca="false">CHOOSE(O928,"Jan","Feb","Mar","Apr","May","Jun","Jul","Aug","Sep","Oct","Nov","Dec")</f>
        <v>Jul</v>
      </c>
    </row>
    <row r="929" customFormat="false" ht="15" hidden="false" customHeight="false" outlineLevel="0" collapsed="false">
      <c r="A929" s="4" t="s">
        <v>1227</v>
      </c>
      <c r="B929" s="17" t="n">
        <v>45852</v>
      </c>
      <c r="C929" s="4" t="n">
        <v>13</v>
      </c>
      <c r="D929" s="4" t="s">
        <v>73</v>
      </c>
      <c r="E929" s="4" t="s">
        <v>79</v>
      </c>
      <c r="F929" s="4" t="s">
        <v>148</v>
      </c>
      <c r="G929" s="4" t="n">
        <v>1</v>
      </c>
      <c r="H929" s="34" t="n">
        <v>120</v>
      </c>
      <c r="I929" s="18" t="n">
        <v>0</v>
      </c>
      <c r="J929" s="4" t="s">
        <v>81</v>
      </c>
      <c r="K929" s="4" t="s">
        <v>77</v>
      </c>
      <c r="L929" s="35" t="n">
        <f aca="false">G929*H929</f>
        <v>120</v>
      </c>
      <c r="M929" s="35" t="n">
        <f aca="false">L929*I929</f>
        <v>0</v>
      </c>
      <c r="N929" s="35" t="n">
        <f aca="false">L929-M929</f>
        <v>120</v>
      </c>
      <c r="O929" s="4" t="n">
        <f aca="false">MONTH(B929)</f>
        <v>7</v>
      </c>
      <c r="P929" s="4" t="str">
        <f aca="false">CHOOSE(WEEKDAY(B929,2),"Mon","Tue","Wed","Thu","Fri","Sat","Sun")</f>
        <v>Mon</v>
      </c>
      <c r="Q929" s="4" t="str">
        <f aca="false">IF(WEEKDAY(B929,2)&gt;5,"Weekend","Weekday")</f>
        <v>Weekday</v>
      </c>
      <c r="R929" s="4" t="str">
        <f aca="false">IF(C929&lt;11,"Morning (7-10)",IF(C929&lt;14,"Lunch (11-13)",IF(C929&lt;18,"Afternoon (14-17)","Evening (18-20)")))</f>
        <v>Lunch (11-13)</v>
      </c>
      <c r="S929" s="4" t="str">
        <f aca="false">IF(AND(O929&gt;=3,O929&lt;=5),"Hot Dry (Mar-May)",IF(AND(O929&gt;=6,O929&lt;=11),"Rainy (Jun-Nov)","Cool Dry (Dec-Feb)"))</f>
        <v>Rainy (Jun-Nov)</v>
      </c>
      <c r="T929" s="4" t="str">
        <f aca="false">CHOOSE(O929,"Jan","Feb","Mar","Apr","May","Jun","Jul","Aug","Sep","Oct","Nov","Dec")</f>
        <v>Jul</v>
      </c>
    </row>
    <row r="930" customFormat="false" ht="15" hidden="false" customHeight="false" outlineLevel="0" collapsed="false">
      <c r="A930" s="4" t="s">
        <v>1228</v>
      </c>
      <c r="B930" s="17" t="n">
        <v>45852</v>
      </c>
      <c r="C930" s="4" t="n">
        <v>13</v>
      </c>
      <c r="D930" s="4" t="s">
        <v>64</v>
      </c>
      <c r="E930" s="4" t="s">
        <v>99</v>
      </c>
      <c r="F930" s="4" t="s">
        <v>100</v>
      </c>
      <c r="G930" s="4" t="n">
        <v>1</v>
      </c>
      <c r="H930" s="34" t="n">
        <v>110</v>
      </c>
      <c r="I930" s="18" t="n">
        <v>0</v>
      </c>
      <c r="J930" s="4" t="s">
        <v>112</v>
      </c>
      <c r="K930" s="4" t="s">
        <v>68</v>
      </c>
      <c r="L930" s="35" t="n">
        <f aca="false">G930*H930</f>
        <v>110</v>
      </c>
      <c r="M930" s="35" t="n">
        <f aca="false">L930*I930</f>
        <v>0</v>
      </c>
      <c r="N930" s="35" t="n">
        <f aca="false">L930-M930</f>
        <v>110</v>
      </c>
      <c r="O930" s="4" t="n">
        <f aca="false">MONTH(B930)</f>
        <v>7</v>
      </c>
      <c r="P930" s="4" t="str">
        <f aca="false">CHOOSE(WEEKDAY(B930,2),"Mon","Tue","Wed","Thu","Fri","Sat","Sun")</f>
        <v>Mon</v>
      </c>
      <c r="Q930" s="4" t="str">
        <f aca="false">IF(WEEKDAY(B930,2)&gt;5,"Weekend","Weekday")</f>
        <v>Weekday</v>
      </c>
      <c r="R930" s="4" t="str">
        <f aca="false">IF(C930&lt;11,"Morning (7-10)",IF(C930&lt;14,"Lunch (11-13)",IF(C930&lt;18,"Afternoon (14-17)","Evening (18-20)")))</f>
        <v>Lunch (11-13)</v>
      </c>
      <c r="S930" s="4" t="str">
        <f aca="false">IF(AND(O930&gt;=3,O930&lt;=5),"Hot Dry (Mar-May)",IF(AND(O930&gt;=6,O930&lt;=11),"Rainy (Jun-Nov)","Cool Dry (Dec-Feb)"))</f>
        <v>Rainy (Jun-Nov)</v>
      </c>
      <c r="T930" s="4" t="str">
        <f aca="false">CHOOSE(O930,"Jan","Feb","Mar","Apr","May","Jun","Jul","Aug","Sep","Oct","Nov","Dec")</f>
        <v>Jul</v>
      </c>
    </row>
    <row r="931" customFormat="false" ht="15" hidden="false" customHeight="false" outlineLevel="0" collapsed="false">
      <c r="A931" s="4" t="s">
        <v>1229</v>
      </c>
      <c r="B931" s="17" t="n">
        <v>45853</v>
      </c>
      <c r="C931" s="4" t="n">
        <v>8</v>
      </c>
      <c r="D931" s="4" t="s">
        <v>73</v>
      </c>
      <c r="E931" s="4" t="s">
        <v>99</v>
      </c>
      <c r="F931" s="4" t="s">
        <v>102</v>
      </c>
      <c r="G931" s="4" t="n">
        <v>2</v>
      </c>
      <c r="H931" s="34" t="n">
        <v>140</v>
      </c>
      <c r="I931" s="18" t="n">
        <v>0</v>
      </c>
      <c r="J931" s="4" t="s">
        <v>67</v>
      </c>
      <c r="K931" s="4" t="s">
        <v>77</v>
      </c>
      <c r="L931" s="35" t="n">
        <f aca="false">G931*H931</f>
        <v>280</v>
      </c>
      <c r="M931" s="35" t="n">
        <f aca="false">L931*I931</f>
        <v>0</v>
      </c>
      <c r="N931" s="35" t="n">
        <f aca="false">L931-M931</f>
        <v>280</v>
      </c>
      <c r="O931" s="4" t="n">
        <f aca="false">MONTH(B931)</f>
        <v>7</v>
      </c>
      <c r="P931" s="4" t="str">
        <f aca="false">CHOOSE(WEEKDAY(B931,2),"Mon","Tue","Wed","Thu","Fri","Sat","Sun")</f>
        <v>Tue</v>
      </c>
      <c r="Q931" s="4" t="str">
        <f aca="false">IF(WEEKDAY(B931,2)&gt;5,"Weekend","Weekday")</f>
        <v>Weekday</v>
      </c>
      <c r="R931" s="4" t="str">
        <f aca="false">IF(C931&lt;11,"Morning (7-10)",IF(C931&lt;14,"Lunch (11-13)",IF(C931&lt;18,"Afternoon (14-17)","Evening (18-20)")))</f>
        <v>Morning (7-10)</v>
      </c>
      <c r="S931" s="4" t="str">
        <f aca="false">IF(AND(O931&gt;=3,O931&lt;=5),"Hot Dry (Mar-May)",IF(AND(O931&gt;=6,O931&lt;=11),"Rainy (Jun-Nov)","Cool Dry (Dec-Feb)"))</f>
        <v>Rainy (Jun-Nov)</v>
      </c>
      <c r="T931" s="4" t="str">
        <f aca="false">CHOOSE(O931,"Jan","Feb","Mar","Apr","May","Jun","Jul","Aug","Sep","Oct","Nov","Dec")</f>
        <v>Jul</v>
      </c>
    </row>
    <row r="932" customFormat="false" ht="15" hidden="false" customHeight="false" outlineLevel="0" collapsed="false">
      <c r="A932" s="4" t="s">
        <v>1230</v>
      </c>
      <c r="B932" s="17" t="n">
        <v>45853</v>
      </c>
      <c r="C932" s="4" t="n">
        <v>9</v>
      </c>
      <c r="D932" s="4" t="s">
        <v>73</v>
      </c>
      <c r="E932" s="4" t="s">
        <v>65</v>
      </c>
      <c r="F932" s="4" t="s">
        <v>66</v>
      </c>
      <c r="G932" s="4" t="n">
        <v>1</v>
      </c>
      <c r="H932" s="34" t="n">
        <v>120</v>
      </c>
      <c r="I932" s="18" t="n">
        <v>0</v>
      </c>
      <c r="J932" s="4" t="s">
        <v>81</v>
      </c>
      <c r="K932" s="4" t="s">
        <v>71</v>
      </c>
      <c r="L932" s="35" t="n">
        <f aca="false">G932*H932</f>
        <v>120</v>
      </c>
      <c r="M932" s="35" t="n">
        <f aca="false">L932*I932</f>
        <v>0</v>
      </c>
      <c r="N932" s="35" t="n">
        <f aca="false">L932-M932</f>
        <v>120</v>
      </c>
      <c r="O932" s="4" t="n">
        <f aca="false">MONTH(B932)</f>
        <v>7</v>
      </c>
      <c r="P932" s="4" t="str">
        <f aca="false">CHOOSE(WEEKDAY(B932,2),"Mon","Tue","Wed","Thu","Fri","Sat","Sun")</f>
        <v>Tue</v>
      </c>
      <c r="Q932" s="4" t="str">
        <f aca="false">IF(WEEKDAY(B932,2)&gt;5,"Weekend","Weekday")</f>
        <v>Weekday</v>
      </c>
      <c r="R932" s="4" t="str">
        <f aca="false">IF(C932&lt;11,"Morning (7-10)",IF(C932&lt;14,"Lunch (11-13)",IF(C932&lt;18,"Afternoon (14-17)","Evening (18-20)")))</f>
        <v>Morning (7-10)</v>
      </c>
      <c r="S932" s="4" t="str">
        <f aca="false">IF(AND(O932&gt;=3,O932&lt;=5),"Hot Dry (Mar-May)",IF(AND(O932&gt;=6,O932&lt;=11),"Rainy (Jun-Nov)","Cool Dry (Dec-Feb)"))</f>
        <v>Rainy (Jun-Nov)</v>
      </c>
      <c r="T932" s="4" t="str">
        <f aca="false">CHOOSE(O932,"Jan","Feb","Mar","Apr","May","Jun","Jul","Aug","Sep","Oct","Nov","Dec")</f>
        <v>Jul</v>
      </c>
    </row>
    <row r="933" customFormat="false" ht="15" hidden="false" customHeight="false" outlineLevel="0" collapsed="false">
      <c r="A933" s="4" t="s">
        <v>1232</v>
      </c>
      <c r="B933" s="17" t="n">
        <v>45853</v>
      </c>
      <c r="C933" s="4" t="n">
        <v>11</v>
      </c>
      <c r="D933" s="4" t="s">
        <v>98</v>
      </c>
      <c r="E933" s="4" t="s">
        <v>79</v>
      </c>
      <c r="F933" s="4" t="s">
        <v>80</v>
      </c>
      <c r="G933" s="4" t="n">
        <v>1</v>
      </c>
      <c r="H933" s="34" t="n">
        <v>160</v>
      </c>
      <c r="I933" s="18" t="n">
        <v>0</v>
      </c>
      <c r="J933" s="4" t="s">
        <v>76</v>
      </c>
      <c r="K933" s="4" t="s">
        <v>68</v>
      </c>
      <c r="L933" s="35" t="n">
        <f aca="false">G933*H933</f>
        <v>160</v>
      </c>
      <c r="M933" s="35" t="n">
        <f aca="false">L933*I933</f>
        <v>0</v>
      </c>
      <c r="N933" s="35" t="n">
        <f aca="false">L933-M933</f>
        <v>160</v>
      </c>
      <c r="O933" s="4" t="n">
        <f aca="false">MONTH(B933)</f>
        <v>7</v>
      </c>
      <c r="P933" s="4" t="str">
        <f aca="false">CHOOSE(WEEKDAY(B933,2),"Mon","Tue","Wed","Thu","Fri","Sat","Sun")</f>
        <v>Tue</v>
      </c>
      <c r="Q933" s="4" t="str">
        <f aca="false">IF(WEEKDAY(B933,2)&gt;5,"Weekend","Weekday")</f>
        <v>Weekday</v>
      </c>
      <c r="R933" s="4" t="str">
        <f aca="false">IF(C933&lt;11,"Morning (7-10)",IF(C933&lt;14,"Lunch (11-13)",IF(C933&lt;18,"Afternoon (14-17)","Evening (18-20)")))</f>
        <v>Lunch (11-13)</v>
      </c>
      <c r="S933" s="4" t="str">
        <f aca="false">IF(AND(O933&gt;=3,O933&lt;=5),"Hot Dry (Mar-May)",IF(AND(O933&gt;=6,O933&lt;=11),"Rainy (Jun-Nov)","Cool Dry (Dec-Feb)"))</f>
        <v>Rainy (Jun-Nov)</v>
      </c>
      <c r="T933" s="4" t="str">
        <f aca="false">CHOOSE(O933,"Jan","Feb","Mar","Apr","May","Jun","Jul","Aug","Sep","Oct","Nov","Dec")</f>
        <v>Jul</v>
      </c>
    </row>
    <row r="934" customFormat="false" ht="15" hidden="false" customHeight="false" outlineLevel="0" collapsed="false">
      <c r="A934" s="4" t="s">
        <v>1233</v>
      </c>
      <c r="B934" s="17" t="n">
        <v>45853</v>
      </c>
      <c r="C934" s="4" t="n">
        <v>12</v>
      </c>
      <c r="D934" s="4" t="s">
        <v>73</v>
      </c>
      <c r="E934" s="4" t="s">
        <v>79</v>
      </c>
      <c r="F934" s="4" t="s">
        <v>148</v>
      </c>
      <c r="G934" s="4" t="n">
        <v>1</v>
      </c>
      <c r="H934" s="34" t="n">
        <v>120</v>
      </c>
      <c r="I934" s="18" t="n">
        <v>0</v>
      </c>
      <c r="J934" s="4" t="s">
        <v>81</v>
      </c>
      <c r="K934" s="4" t="s">
        <v>77</v>
      </c>
      <c r="L934" s="35" t="n">
        <f aca="false">G934*H934</f>
        <v>120</v>
      </c>
      <c r="M934" s="35" t="n">
        <f aca="false">L934*I934</f>
        <v>0</v>
      </c>
      <c r="N934" s="35" t="n">
        <f aca="false">L934-M934</f>
        <v>120</v>
      </c>
      <c r="O934" s="4" t="n">
        <f aca="false">MONTH(B934)</f>
        <v>7</v>
      </c>
      <c r="P934" s="4" t="str">
        <f aca="false">CHOOSE(WEEKDAY(B934,2),"Mon","Tue","Wed","Thu","Fri","Sat","Sun")</f>
        <v>Tue</v>
      </c>
      <c r="Q934" s="4" t="str">
        <f aca="false">IF(WEEKDAY(B934,2)&gt;5,"Weekend","Weekday")</f>
        <v>Weekday</v>
      </c>
      <c r="R934" s="4" t="str">
        <f aca="false">IF(C934&lt;11,"Morning (7-10)",IF(C934&lt;14,"Lunch (11-13)",IF(C934&lt;18,"Afternoon (14-17)","Evening (18-20)")))</f>
        <v>Lunch (11-13)</v>
      </c>
      <c r="S934" s="4" t="str">
        <f aca="false">IF(AND(O934&gt;=3,O934&lt;=5),"Hot Dry (Mar-May)",IF(AND(O934&gt;=6,O934&lt;=11),"Rainy (Jun-Nov)","Cool Dry (Dec-Feb)"))</f>
        <v>Rainy (Jun-Nov)</v>
      </c>
      <c r="T934" s="4" t="str">
        <f aca="false">CHOOSE(O934,"Jan","Feb","Mar","Apr","May","Jun","Jul","Aug","Sep","Oct","Nov","Dec")</f>
        <v>Jul</v>
      </c>
    </row>
    <row r="935" customFormat="false" ht="15" hidden="false" customHeight="false" outlineLevel="0" collapsed="false">
      <c r="A935" s="4" t="s">
        <v>1234</v>
      </c>
      <c r="B935" s="17" t="n">
        <v>45853</v>
      </c>
      <c r="C935" s="4" t="n">
        <v>12</v>
      </c>
      <c r="D935" s="4" t="s">
        <v>64</v>
      </c>
      <c r="E935" s="4" t="s">
        <v>99</v>
      </c>
      <c r="F935" s="4" t="s">
        <v>100</v>
      </c>
      <c r="G935" s="4" t="n">
        <v>2</v>
      </c>
      <c r="H935" s="34" t="n">
        <v>110</v>
      </c>
      <c r="I935" s="18" t="n">
        <v>0</v>
      </c>
      <c r="J935" s="4" t="s">
        <v>76</v>
      </c>
      <c r="K935" s="4" t="s">
        <v>68</v>
      </c>
      <c r="L935" s="35" t="n">
        <f aca="false">G935*H935</f>
        <v>220</v>
      </c>
      <c r="M935" s="35" t="n">
        <f aca="false">L935*I935</f>
        <v>0</v>
      </c>
      <c r="N935" s="35" t="n">
        <f aca="false">L935-M935</f>
        <v>220</v>
      </c>
      <c r="O935" s="4" t="n">
        <f aca="false">MONTH(B935)</f>
        <v>7</v>
      </c>
      <c r="P935" s="4" t="str">
        <f aca="false">CHOOSE(WEEKDAY(B935,2),"Mon","Tue","Wed","Thu","Fri","Sat","Sun")</f>
        <v>Tue</v>
      </c>
      <c r="Q935" s="4" t="str">
        <f aca="false">IF(WEEKDAY(B935,2)&gt;5,"Weekend","Weekday")</f>
        <v>Weekday</v>
      </c>
      <c r="R935" s="4" t="str">
        <f aca="false">IF(C935&lt;11,"Morning (7-10)",IF(C935&lt;14,"Lunch (11-13)",IF(C935&lt;18,"Afternoon (14-17)","Evening (18-20)")))</f>
        <v>Lunch (11-13)</v>
      </c>
      <c r="S935" s="4" t="str">
        <f aca="false">IF(AND(O935&gt;=3,O935&lt;=5),"Hot Dry (Mar-May)",IF(AND(O935&gt;=6,O935&lt;=11),"Rainy (Jun-Nov)","Cool Dry (Dec-Feb)"))</f>
        <v>Rainy (Jun-Nov)</v>
      </c>
      <c r="T935" s="4" t="str">
        <f aca="false">CHOOSE(O935,"Jan","Feb","Mar","Apr","May","Jun","Jul","Aug","Sep","Oct","Nov","Dec")</f>
        <v>Jul</v>
      </c>
    </row>
    <row r="936" customFormat="false" ht="15" hidden="false" customHeight="false" outlineLevel="0" collapsed="false">
      <c r="A936" s="4" t="s">
        <v>1235</v>
      </c>
      <c r="B936" s="17" t="n">
        <v>45853</v>
      </c>
      <c r="C936" s="4" t="n">
        <v>13</v>
      </c>
      <c r="D936" s="4" t="s">
        <v>70</v>
      </c>
      <c r="E936" s="4" t="s">
        <v>79</v>
      </c>
      <c r="F936" s="4" t="s">
        <v>80</v>
      </c>
      <c r="G936" s="4" t="n">
        <v>1</v>
      </c>
      <c r="H936" s="34" t="n">
        <v>160</v>
      </c>
      <c r="I936" s="18" t="n">
        <v>0.05</v>
      </c>
      <c r="J936" s="4" t="s">
        <v>81</v>
      </c>
      <c r="K936" s="4" t="s">
        <v>82</v>
      </c>
      <c r="L936" s="35" t="n">
        <f aca="false">G936*H936</f>
        <v>160</v>
      </c>
      <c r="M936" s="35" t="n">
        <f aca="false">L936*I936</f>
        <v>8</v>
      </c>
      <c r="N936" s="35" t="n">
        <f aca="false">L936-M936</f>
        <v>152</v>
      </c>
      <c r="O936" s="4" t="n">
        <f aca="false">MONTH(B936)</f>
        <v>7</v>
      </c>
      <c r="P936" s="4" t="str">
        <f aca="false">CHOOSE(WEEKDAY(B936,2),"Mon","Tue","Wed","Thu","Fri","Sat","Sun")</f>
        <v>Tue</v>
      </c>
      <c r="Q936" s="4" t="str">
        <f aca="false">IF(WEEKDAY(B936,2)&gt;5,"Weekend","Weekday")</f>
        <v>Weekday</v>
      </c>
      <c r="R936" s="4" t="str">
        <f aca="false">IF(C936&lt;11,"Morning (7-10)",IF(C936&lt;14,"Lunch (11-13)",IF(C936&lt;18,"Afternoon (14-17)","Evening (18-20)")))</f>
        <v>Lunch (11-13)</v>
      </c>
      <c r="S936" s="4" t="str">
        <f aca="false">IF(AND(O936&gt;=3,O936&lt;=5),"Hot Dry (Mar-May)",IF(AND(O936&gt;=6,O936&lt;=11),"Rainy (Jun-Nov)","Cool Dry (Dec-Feb)"))</f>
        <v>Rainy (Jun-Nov)</v>
      </c>
      <c r="T936" s="4" t="str">
        <f aca="false">CHOOSE(O936,"Jan","Feb","Mar","Apr","May","Jun","Jul","Aug","Sep","Oct","Nov","Dec")</f>
        <v>Jul</v>
      </c>
    </row>
    <row r="937" customFormat="false" ht="15" hidden="false" customHeight="false" outlineLevel="0" collapsed="false">
      <c r="A937" s="4" t="s">
        <v>1236</v>
      </c>
      <c r="B937" s="17" t="n">
        <v>45853</v>
      </c>
      <c r="C937" s="4" t="n">
        <v>15</v>
      </c>
      <c r="D937" s="4" t="s">
        <v>70</v>
      </c>
      <c r="E937" s="4" t="s">
        <v>84</v>
      </c>
      <c r="F937" s="4" t="s">
        <v>85</v>
      </c>
      <c r="G937" s="4" t="n">
        <v>1</v>
      </c>
      <c r="H937" s="34" t="n">
        <v>150</v>
      </c>
      <c r="I937" s="18" t="n">
        <v>0</v>
      </c>
      <c r="J937" s="4" t="s">
        <v>76</v>
      </c>
      <c r="K937" s="4" t="s">
        <v>68</v>
      </c>
      <c r="L937" s="35" t="n">
        <f aca="false">G937*H937</f>
        <v>150</v>
      </c>
      <c r="M937" s="35" t="n">
        <f aca="false">L937*I937</f>
        <v>0</v>
      </c>
      <c r="N937" s="35" t="n">
        <f aca="false">L937-M937</f>
        <v>150</v>
      </c>
      <c r="O937" s="4" t="n">
        <f aca="false">MONTH(B937)</f>
        <v>7</v>
      </c>
      <c r="P937" s="4" t="str">
        <f aca="false">CHOOSE(WEEKDAY(B937,2),"Mon","Tue","Wed","Thu","Fri","Sat","Sun")</f>
        <v>Tue</v>
      </c>
      <c r="Q937" s="4" t="str">
        <f aca="false">IF(WEEKDAY(B937,2)&gt;5,"Weekend","Weekday")</f>
        <v>Weekday</v>
      </c>
      <c r="R937" s="4" t="str">
        <f aca="false">IF(C937&lt;11,"Morning (7-10)",IF(C937&lt;14,"Lunch (11-13)",IF(C937&lt;18,"Afternoon (14-17)","Evening (18-20)")))</f>
        <v>Afternoon (14-17)</v>
      </c>
      <c r="S937" s="4" t="str">
        <f aca="false">IF(AND(O937&gt;=3,O937&lt;=5),"Hot Dry (Mar-May)",IF(AND(O937&gt;=6,O937&lt;=11),"Rainy (Jun-Nov)","Cool Dry (Dec-Feb)"))</f>
        <v>Rainy (Jun-Nov)</v>
      </c>
      <c r="T937" s="4" t="str">
        <f aca="false">CHOOSE(O937,"Jan","Feb","Mar","Apr","May","Jun","Jul","Aug","Sep","Oct","Nov","Dec")</f>
        <v>Jul</v>
      </c>
    </row>
    <row r="938" customFormat="false" ht="15" hidden="false" customHeight="false" outlineLevel="0" collapsed="false">
      <c r="A938" s="4" t="s">
        <v>1237</v>
      </c>
      <c r="B938" s="17" t="n">
        <v>45853</v>
      </c>
      <c r="C938" s="4" t="n">
        <v>17</v>
      </c>
      <c r="D938" s="4" t="s">
        <v>98</v>
      </c>
      <c r="E938" s="4" t="s">
        <v>99</v>
      </c>
      <c r="F938" s="4" t="s">
        <v>109</v>
      </c>
      <c r="G938" s="4" t="n">
        <v>1</v>
      </c>
      <c r="H938" s="34" t="n">
        <v>130</v>
      </c>
      <c r="I938" s="18" t="n">
        <v>0.1</v>
      </c>
      <c r="J938" s="4" t="s">
        <v>76</v>
      </c>
      <c r="K938" s="4" t="s">
        <v>71</v>
      </c>
      <c r="L938" s="35" t="n">
        <f aca="false">G938*H938</f>
        <v>130</v>
      </c>
      <c r="M938" s="35" t="n">
        <f aca="false">L938*I938</f>
        <v>13</v>
      </c>
      <c r="N938" s="35" t="n">
        <f aca="false">L938-M938</f>
        <v>117</v>
      </c>
      <c r="O938" s="4" t="n">
        <f aca="false">MONTH(B938)</f>
        <v>7</v>
      </c>
      <c r="P938" s="4" t="str">
        <f aca="false">CHOOSE(WEEKDAY(B938,2),"Mon","Tue","Wed","Thu","Fri","Sat","Sun")</f>
        <v>Tue</v>
      </c>
      <c r="Q938" s="4" t="str">
        <f aca="false">IF(WEEKDAY(B938,2)&gt;5,"Weekend","Weekday")</f>
        <v>Weekday</v>
      </c>
      <c r="R938" s="4" t="str">
        <f aca="false">IF(C938&lt;11,"Morning (7-10)",IF(C938&lt;14,"Lunch (11-13)",IF(C938&lt;18,"Afternoon (14-17)","Evening (18-20)")))</f>
        <v>Afternoon (14-17)</v>
      </c>
      <c r="S938" s="4" t="str">
        <f aca="false">IF(AND(O938&gt;=3,O938&lt;=5),"Hot Dry (Mar-May)",IF(AND(O938&gt;=6,O938&lt;=11),"Rainy (Jun-Nov)","Cool Dry (Dec-Feb)"))</f>
        <v>Rainy (Jun-Nov)</v>
      </c>
      <c r="T938" s="4" t="str">
        <f aca="false">CHOOSE(O938,"Jan","Feb","Mar","Apr","May","Jun","Jul","Aug","Sep","Oct","Nov","Dec")</f>
        <v>Jul</v>
      </c>
    </row>
    <row r="939" customFormat="false" ht="15" hidden="false" customHeight="false" outlineLevel="0" collapsed="false">
      <c r="A939" s="4" t="s">
        <v>1238</v>
      </c>
      <c r="B939" s="17" t="n">
        <v>45854</v>
      </c>
      <c r="C939" s="4" t="n">
        <v>8</v>
      </c>
      <c r="D939" s="4" t="s">
        <v>70</v>
      </c>
      <c r="E939" s="4" t="s">
        <v>99</v>
      </c>
      <c r="F939" s="4" t="s">
        <v>133</v>
      </c>
      <c r="G939" s="4" t="n">
        <v>1</v>
      </c>
      <c r="H939" s="34" t="n">
        <v>90</v>
      </c>
      <c r="I939" s="18" t="n">
        <v>0.2</v>
      </c>
      <c r="J939" s="4" t="s">
        <v>112</v>
      </c>
      <c r="K939" s="4" t="s">
        <v>82</v>
      </c>
      <c r="L939" s="35" t="n">
        <f aca="false">G939*H939</f>
        <v>90</v>
      </c>
      <c r="M939" s="35" t="n">
        <f aca="false">L939*I939</f>
        <v>18</v>
      </c>
      <c r="N939" s="35" t="n">
        <f aca="false">L939-M939</f>
        <v>72</v>
      </c>
      <c r="O939" s="4" t="n">
        <f aca="false">MONTH(B939)</f>
        <v>7</v>
      </c>
      <c r="P939" s="4" t="str">
        <f aca="false">CHOOSE(WEEKDAY(B939,2),"Mon","Tue","Wed","Thu","Fri","Sat","Sun")</f>
        <v>Wed</v>
      </c>
      <c r="Q939" s="4" t="str">
        <f aca="false">IF(WEEKDAY(B939,2)&gt;5,"Weekend","Weekday")</f>
        <v>Weekday</v>
      </c>
      <c r="R939" s="4" t="str">
        <f aca="false">IF(C939&lt;11,"Morning (7-10)",IF(C939&lt;14,"Lunch (11-13)",IF(C939&lt;18,"Afternoon (14-17)","Evening (18-20)")))</f>
        <v>Morning (7-10)</v>
      </c>
      <c r="S939" s="4" t="str">
        <f aca="false">IF(AND(O939&gt;=3,O939&lt;=5),"Hot Dry (Mar-May)",IF(AND(O939&gt;=6,O939&lt;=11),"Rainy (Jun-Nov)","Cool Dry (Dec-Feb)"))</f>
        <v>Rainy (Jun-Nov)</v>
      </c>
      <c r="T939" s="4" t="str">
        <f aca="false">CHOOSE(O939,"Jan","Feb","Mar","Apr","May","Jun","Jul","Aug","Sep","Oct","Nov","Dec")</f>
        <v>Jul</v>
      </c>
    </row>
    <row r="940" customFormat="false" ht="15" hidden="false" customHeight="false" outlineLevel="0" collapsed="false">
      <c r="A940" s="4" t="s">
        <v>1239</v>
      </c>
      <c r="B940" s="17" t="n">
        <v>45854</v>
      </c>
      <c r="C940" s="4" t="n">
        <v>12</v>
      </c>
      <c r="D940" s="4" t="s">
        <v>64</v>
      </c>
      <c r="E940" s="4" t="s">
        <v>74</v>
      </c>
      <c r="F940" s="4" t="s">
        <v>91</v>
      </c>
      <c r="G940" s="4" t="n">
        <v>1</v>
      </c>
      <c r="H940" s="34" t="n">
        <v>200</v>
      </c>
      <c r="I940" s="18" t="n">
        <v>0.1</v>
      </c>
      <c r="J940" s="4" t="s">
        <v>76</v>
      </c>
      <c r="K940" s="4" t="s">
        <v>82</v>
      </c>
      <c r="L940" s="35" t="n">
        <f aca="false">G940*H940</f>
        <v>200</v>
      </c>
      <c r="M940" s="35" t="n">
        <f aca="false">L940*I940</f>
        <v>20</v>
      </c>
      <c r="N940" s="35" t="n">
        <f aca="false">L940-M940</f>
        <v>180</v>
      </c>
      <c r="O940" s="4" t="n">
        <f aca="false">MONTH(B940)</f>
        <v>7</v>
      </c>
      <c r="P940" s="4" t="str">
        <f aca="false">CHOOSE(WEEKDAY(B940,2),"Mon","Tue","Wed","Thu","Fri","Sat","Sun")</f>
        <v>Wed</v>
      </c>
      <c r="Q940" s="4" t="str">
        <f aca="false">IF(WEEKDAY(B940,2)&gt;5,"Weekend","Weekday")</f>
        <v>Weekday</v>
      </c>
      <c r="R940" s="4" t="str">
        <f aca="false">IF(C940&lt;11,"Morning (7-10)",IF(C940&lt;14,"Lunch (11-13)",IF(C940&lt;18,"Afternoon (14-17)","Evening (18-20)")))</f>
        <v>Lunch (11-13)</v>
      </c>
      <c r="S940" s="4" t="str">
        <f aca="false">IF(AND(O940&gt;=3,O940&lt;=5),"Hot Dry (Mar-May)",IF(AND(O940&gt;=6,O940&lt;=11),"Rainy (Jun-Nov)","Cool Dry (Dec-Feb)"))</f>
        <v>Rainy (Jun-Nov)</v>
      </c>
      <c r="T940" s="4" t="str">
        <f aca="false">CHOOSE(O940,"Jan","Feb","Mar","Apr","May","Jun","Jul","Aug","Sep","Oct","Nov","Dec")</f>
        <v>Jul</v>
      </c>
    </row>
    <row r="941" customFormat="false" ht="15" hidden="false" customHeight="false" outlineLevel="0" collapsed="false">
      <c r="A941" s="4" t="s">
        <v>1240</v>
      </c>
      <c r="B941" s="17" t="n">
        <v>45854</v>
      </c>
      <c r="C941" s="4" t="n">
        <v>19</v>
      </c>
      <c r="D941" s="4" t="s">
        <v>64</v>
      </c>
      <c r="E941" s="4" t="s">
        <v>99</v>
      </c>
      <c r="F941" s="4" t="s">
        <v>109</v>
      </c>
      <c r="G941" s="4" t="n">
        <v>1</v>
      </c>
      <c r="H941" s="34" t="n">
        <v>130</v>
      </c>
      <c r="I941" s="18" t="n">
        <v>0</v>
      </c>
      <c r="J941" s="4" t="s">
        <v>112</v>
      </c>
      <c r="K941" s="4" t="s">
        <v>68</v>
      </c>
      <c r="L941" s="35" t="n">
        <f aca="false">G941*H941</f>
        <v>130</v>
      </c>
      <c r="M941" s="35" t="n">
        <f aca="false">L941*I941</f>
        <v>0</v>
      </c>
      <c r="N941" s="35" t="n">
        <f aca="false">L941-M941</f>
        <v>130</v>
      </c>
      <c r="O941" s="4" t="n">
        <f aca="false">MONTH(B941)</f>
        <v>7</v>
      </c>
      <c r="P941" s="4" t="str">
        <f aca="false">CHOOSE(WEEKDAY(B941,2),"Mon","Tue","Wed","Thu","Fri","Sat","Sun")</f>
        <v>Wed</v>
      </c>
      <c r="Q941" s="4" t="str">
        <f aca="false">IF(WEEKDAY(B941,2)&gt;5,"Weekend","Weekday")</f>
        <v>Weekday</v>
      </c>
      <c r="R941" s="4" t="str">
        <f aca="false">IF(C941&lt;11,"Morning (7-10)",IF(C941&lt;14,"Lunch (11-13)",IF(C941&lt;18,"Afternoon (14-17)","Evening (18-20)")))</f>
        <v>Evening (18-20)</v>
      </c>
      <c r="S941" s="4" t="str">
        <f aca="false">IF(AND(O941&gt;=3,O941&lt;=5),"Hot Dry (Mar-May)",IF(AND(O941&gt;=6,O941&lt;=11),"Rainy (Jun-Nov)","Cool Dry (Dec-Feb)"))</f>
        <v>Rainy (Jun-Nov)</v>
      </c>
      <c r="T941" s="4" t="str">
        <f aca="false">CHOOSE(O941,"Jan","Feb","Mar","Apr","May","Jun","Jul","Aug","Sep","Oct","Nov","Dec")</f>
        <v>Jul</v>
      </c>
    </row>
    <row r="942" customFormat="false" ht="15" hidden="false" customHeight="false" outlineLevel="0" collapsed="false">
      <c r="A942" s="4" t="s">
        <v>1241</v>
      </c>
      <c r="B942" s="17" t="n">
        <v>45855</v>
      </c>
      <c r="C942" s="4" t="n">
        <v>7</v>
      </c>
      <c r="D942" s="4" t="s">
        <v>98</v>
      </c>
      <c r="E942" s="4" t="s">
        <v>79</v>
      </c>
      <c r="F942" s="4" t="s">
        <v>135</v>
      </c>
      <c r="G942" s="4" t="n">
        <v>2</v>
      </c>
      <c r="H942" s="34" t="n">
        <v>130</v>
      </c>
      <c r="I942" s="18" t="n">
        <v>0.1</v>
      </c>
      <c r="J942" s="4" t="s">
        <v>81</v>
      </c>
      <c r="K942" s="4" t="s">
        <v>71</v>
      </c>
      <c r="L942" s="35" t="n">
        <f aca="false">G942*H942</f>
        <v>260</v>
      </c>
      <c r="M942" s="35" t="n">
        <f aca="false">L942*I942</f>
        <v>26</v>
      </c>
      <c r="N942" s="35" t="n">
        <f aca="false">L942-M942</f>
        <v>234</v>
      </c>
      <c r="O942" s="4" t="n">
        <f aca="false">MONTH(B942)</f>
        <v>7</v>
      </c>
      <c r="P942" s="4" t="str">
        <f aca="false">CHOOSE(WEEKDAY(B942,2),"Mon","Tue","Wed","Thu","Fri","Sat","Sun")</f>
        <v>Thu</v>
      </c>
      <c r="Q942" s="4" t="str">
        <f aca="false">IF(WEEKDAY(B942,2)&gt;5,"Weekend","Weekday")</f>
        <v>Weekday</v>
      </c>
      <c r="R942" s="4" t="str">
        <f aca="false">IF(C942&lt;11,"Morning (7-10)",IF(C942&lt;14,"Lunch (11-13)",IF(C942&lt;18,"Afternoon (14-17)","Evening (18-20)")))</f>
        <v>Morning (7-10)</v>
      </c>
      <c r="S942" s="4" t="str">
        <f aca="false">IF(AND(O942&gt;=3,O942&lt;=5),"Hot Dry (Mar-May)",IF(AND(O942&gt;=6,O942&lt;=11),"Rainy (Jun-Nov)","Cool Dry (Dec-Feb)"))</f>
        <v>Rainy (Jun-Nov)</v>
      </c>
      <c r="T942" s="4" t="str">
        <f aca="false">CHOOSE(O942,"Jan","Feb","Mar","Apr","May","Jun","Jul","Aug","Sep","Oct","Nov","Dec")</f>
        <v>Jul</v>
      </c>
    </row>
    <row r="943" customFormat="false" ht="15" hidden="false" customHeight="false" outlineLevel="0" collapsed="false">
      <c r="A943" s="4" t="s">
        <v>1242</v>
      </c>
      <c r="B943" s="17" t="n">
        <v>45855</v>
      </c>
      <c r="C943" s="4" t="n">
        <v>10</v>
      </c>
      <c r="D943" s="4" t="s">
        <v>64</v>
      </c>
      <c r="E943" s="4" t="s">
        <v>65</v>
      </c>
      <c r="F943" s="4" t="s">
        <v>121</v>
      </c>
      <c r="G943" s="4" t="n">
        <v>1</v>
      </c>
      <c r="H943" s="34" t="n">
        <v>170</v>
      </c>
      <c r="I943" s="18" t="n">
        <v>0.1</v>
      </c>
      <c r="J943" s="4" t="s">
        <v>81</v>
      </c>
      <c r="K943" s="4" t="s">
        <v>2289</v>
      </c>
      <c r="L943" s="35" t="n">
        <f aca="false">G943*H943</f>
        <v>170</v>
      </c>
      <c r="M943" s="35" t="n">
        <f aca="false">L943*I943</f>
        <v>17</v>
      </c>
      <c r="N943" s="35" t="n">
        <f aca="false">L943-M943</f>
        <v>153</v>
      </c>
      <c r="O943" s="4" t="n">
        <f aca="false">MONTH(B943)</f>
        <v>7</v>
      </c>
      <c r="P943" s="4" t="str">
        <f aca="false">CHOOSE(WEEKDAY(B943,2),"Mon","Tue","Wed","Thu","Fri","Sat","Sun")</f>
        <v>Thu</v>
      </c>
      <c r="Q943" s="4" t="str">
        <f aca="false">IF(WEEKDAY(B943,2)&gt;5,"Weekend","Weekday")</f>
        <v>Weekday</v>
      </c>
      <c r="R943" s="4" t="str">
        <f aca="false">IF(C943&lt;11,"Morning (7-10)",IF(C943&lt;14,"Lunch (11-13)",IF(C943&lt;18,"Afternoon (14-17)","Evening (18-20)")))</f>
        <v>Morning (7-10)</v>
      </c>
      <c r="S943" s="4" t="str">
        <f aca="false">IF(AND(O943&gt;=3,O943&lt;=5),"Hot Dry (Mar-May)",IF(AND(O943&gt;=6,O943&lt;=11),"Rainy (Jun-Nov)","Cool Dry (Dec-Feb)"))</f>
        <v>Rainy (Jun-Nov)</v>
      </c>
      <c r="T943" s="4" t="str">
        <f aca="false">CHOOSE(O943,"Jan","Feb","Mar","Apr","May","Jun","Jul","Aug","Sep","Oct","Nov","Dec")</f>
        <v>Jul</v>
      </c>
    </row>
    <row r="944" customFormat="false" ht="15" hidden="false" customHeight="false" outlineLevel="0" collapsed="false">
      <c r="A944" s="4" t="s">
        <v>1244</v>
      </c>
      <c r="B944" s="17" t="n">
        <v>45855</v>
      </c>
      <c r="C944" s="4" t="n">
        <v>10</v>
      </c>
      <c r="D944" s="4" t="s">
        <v>64</v>
      </c>
      <c r="E944" s="4" t="s">
        <v>74</v>
      </c>
      <c r="F944" s="4" t="s">
        <v>75</v>
      </c>
      <c r="G944" s="4" t="n">
        <v>2</v>
      </c>
      <c r="H944" s="34" t="n">
        <v>220</v>
      </c>
      <c r="I944" s="18" t="n">
        <v>0.15</v>
      </c>
      <c r="J944" s="4" t="s">
        <v>67</v>
      </c>
      <c r="K944" s="4" t="s">
        <v>68</v>
      </c>
      <c r="L944" s="35" t="n">
        <f aca="false">G944*H944</f>
        <v>440</v>
      </c>
      <c r="M944" s="35" t="n">
        <f aca="false">L944*I944</f>
        <v>66</v>
      </c>
      <c r="N944" s="35" t="n">
        <f aca="false">L944-M944</f>
        <v>374</v>
      </c>
      <c r="O944" s="4" t="n">
        <f aca="false">MONTH(B944)</f>
        <v>7</v>
      </c>
      <c r="P944" s="4" t="str">
        <f aca="false">CHOOSE(WEEKDAY(B944,2),"Mon","Tue","Wed","Thu","Fri","Sat","Sun")</f>
        <v>Thu</v>
      </c>
      <c r="Q944" s="4" t="str">
        <f aca="false">IF(WEEKDAY(B944,2)&gt;5,"Weekend","Weekday")</f>
        <v>Weekday</v>
      </c>
      <c r="R944" s="4" t="str">
        <f aca="false">IF(C944&lt;11,"Morning (7-10)",IF(C944&lt;14,"Lunch (11-13)",IF(C944&lt;18,"Afternoon (14-17)","Evening (18-20)")))</f>
        <v>Morning (7-10)</v>
      </c>
      <c r="S944" s="4" t="str">
        <f aca="false">IF(AND(O944&gt;=3,O944&lt;=5),"Hot Dry (Mar-May)",IF(AND(O944&gt;=6,O944&lt;=11),"Rainy (Jun-Nov)","Cool Dry (Dec-Feb)"))</f>
        <v>Rainy (Jun-Nov)</v>
      </c>
      <c r="T944" s="4" t="str">
        <f aca="false">CHOOSE(O944,"Jan","Feb","Mar","Apr","May","Jun","Jul","Aug","Sep","Oct","Nov","Dec")</f>
        <v>Jul</v>
      </c>
    </row>
    <row r="945" customFormat="false" ht="15" hidden="false" customHeight="false" outlineLevel="0" collapsed="false">
      <c r="A945" s="4" t="s">
        <v>1245</v>
      </c>
      <c r="B945" s="17" t="n">
        <v>45855</v>
      </c>
      <c r="C945" s="4" t="n">
        <v>11</v>
      </c>
      <c r="D945" s="4" t="s">
        <v>98</v>
      </c>
      <c r="E945" s="4" t="s">
        <v>99</v>
      </c>
      <c r="F945" s="4" t="s">
        <v>100</v>
      </c>
      <c r="G945" s="4" t="n">
        <v>4</v>
      </c>
      <c r="H945" s="34" t="n">
        <v>110</v>
      </c>
      <c r="I945" s="18" t="n">
        <v>0.1</v>
      </c>
      <c r="J945" s="4" t="s">
        <v>81</v>
      </c>
      <c r="K945" s="4" t="s">
        <v>82</v>
      </c>
      <c r="L945" s="35" t="n">
        <f aca="false">G945*H945</f>
        <v>440</v>
      </c>
      <c r="M945" s="35" t="n">
        <f aca="false">L945*I945</f>
        <v>44</v>
      </c>
      <c r="N945" s="35" t="n">
        <f aca="false">L945-M945</f>
        <v>396</v>
      </c>
      <c r="O945" s="4" t="n">
        <f aca="false">MONTH(B945)</f>
        <v>7</v>
      </c>
      <c r="P945" s="4" t="str">
        <f aca="false">CHOOSE(WEEKDAY(B945,2),"Mon","Tue","Wed","Thu","Fri","Sat","Sun")</f>
        <v>Thu</v>
      </c>
      <c r="Q945" s="4" t="str">
        <f aca="false">IF(WEEKDAY(B945,2)&gt;5,"Weekend","Weekday")</f>
        <v>Weekday</v>
      </c>
      <c r="R945" s="4" t="str">
        <f aca="false">IF(C945&lt;11,"Morning (7-10)",IF(C945&lt;14,"Lunch (11-13)",IF(C945&lt;18,"Afternoon (14-17)","Evening (18-20)")))</f>
        <v>Lunch (11-13)</v>
      </c>
      <c r="S945" s="4" t="str">
        <f aca="false">IF(AND(O945&gt;=3,O945&lt;=5),"Hot Dry (Mar-May)",IF(AND(O945&gt;=6,O945&lt;=11),"Rainy (Jun-Nov)","Cool Dry (Dec-Feb)"))</f>
        <v>Rainy (Jun-Nov)</v>
      </c>
      <c r="T945" s="4" t="str">
        <f aca="false">CHOOSE(O945,"Jan","Feb","Mar","Apr","May","Jun","Jul","Aug","Sep","Oct","Nov","Dec")</f>
        <v>Jul</v>
      </c>
    </row>
    <row r="946" customFormat="false" ht="15" hidden="false" customHeight="false" outlineLevel="0" collapsed="false">
      <c r="A946" s="4" t="s">
        <v>1246</v>
      </c>
      <c r="B946" s="17" t="n">
        <v>45855</v>
      </c>
      <c r="C946" s="4" t="n">
        <v>13</v>
      </c>
      <c r="D946" s="4" t="s">
        <v>70</v>
      </c>
      <c r="E946" s="4" t="s">
        <v>74</v>
      </c>
      <c r="F946" s="4" t="s">
        <v>75</v>
      </c>
      <c r="G946" s="4" t="n">
        <v>1</v>
      </c>
      <c r="H946" s="34" t="n">
        <v>220</v>
      </c>
      <c r="I946" s="18" t="n">
        <v>0</v>
      </c>
      <c r="J946" s="4" t="s">
        <v>67</v>
      </c>
      <c r="K946" s="4" t="s">
        <v>77</v>
      </c>
      <c r="L946" s="35" t="n">
        <f aca="false">G946*H946</f>
        <v>220</v>
      </c>
      <c r="M946" s="35" t="n">
        <f aca="false">L946*I946</f>
        <v>0</v>
      </c>
      <c r="N946" s="35" t="n">
        <f aca="false">L946-M946</f>
        <v>220</v>
      </c>
      <c r="O946" s="4" t="n">
        <f aca="false">MONTH(B946)</f>
        <v>7</v>
      </c>
      <c r="P946" s="4" t="str">
        <f aca="false">CHOOSE(WEEKDAY(B946,2),"Mon","Tue","Wed","Thu","Fri","Sat","Sun")</f>
        <v>Thu</v>
      </c>
      <c r="Q946" s="4" t="str">
        <f aca="false">IF(WEEKDAY(B946,2)&gt;5,"Weekend","Weekday")</f>
        <v>Weekday</v>
      </c>
      <c r="R946" s="4" t="str">
        <f aca="false">IF(C946&lt;11,"Morning (7-10)",IF(C946&lt;14,"Lunch (11-13)",IF(C946&lt;18,"Afternoon (14-17)","Evening (18-20)")))</f>
        <v>Lunch (11-13)</v>
      </c>
      <c r="S946" s="4" t="str">
        <f aca="false">IF(AND(O946&gt;=3,O946&lt;=5),"Hot Dry (Mar-May)",IF(AND(O946&gt;=6,O946&lt;=11),"Rainy (Jun-Nov)","Cool Dry (Dec-Feb)"))</f>
        <v>Rainy (Jun-Nov)</v>
      </c>
      <c r="T946" s="4" t="str">
        <f aca="false">CHOOSE(O946,"Jan","Feb","Mar","Apr","May","Jun","Jul","Aug","Sep","Oct","Nov","Dec")</f>
        <v>Jul</v>
      </c>
    </row>
    <row r="947" customFormat="false" ht="15" hidden="false" customHeight="false" outlineLevel="0" collapsed="false">
      <c r="A947" s="4" t="s">
        <v>1247</v>
      </c>
      <c r="B947" s="17" t="n">
        <v>45855</v>
      </c>
      <c r="C947" s="4" t="n">
        <v>15</v>
      </c>
      <c r="D947" s="4" t="s">
        <v>70</v>
      </c>
      <c r="E947" s="4" t="s">
        <v>99</v>
      </c>
      <c r="F947" s="4" t="s">
        <v>102</v>
      </c>
      <c r="G947" s="4" t="n">
        <v>1</v>
      </c>
      <c r="H947" s="34" t="n">
        <v>140</v>
      </c>
      <c r="I947" s="18" t="n">
        <v>0</v>
      </c>
      <c r="J947" s="4" t="s">
        <v>112</v>
      </c>
      <c r="K947" s="4" t="s">
        <v>68</v>
      </c>
      <c r="L947" s="35" t="n">
        <f aca="false">G947*H947</f>
        <v>140</v>
      </c>
      <c r="M947" s="35" t="n">
        <f aca="false">L947*I947</f>
        <v>0</v>
      </c>
      <c r="N947" s="35" t="n">
        <f aca="false">L947-M947</f>
        <v>140</v>
      </c>
      <c r="O947" s="4" t="n">
        <f aca="false">MONTH(B947)</f>
        <v>7</v>
      </c>
      <c r="P947" s="4" t="str">
        <f aca="false">CHOOSE(WEEKDAY(B947,2),"Mon","Tue","Wed","Thu","Fri","Sat","Sun")</f>
        <v>Thu</v>
      </c>
      <c r="Q947" s="4" t="str">
        <f aca="false">IF(WEEKDAY(B947,2)&gt;5,"Weekend","Weekday")</f>
        <v>Weekday</v>
      </c>
      <c r="R947" s="4" t="str">
        <f aca="false">IF(C947&lt;11,"Morning (7-10)",IF(C947&lt;14,"Lunch (11-13)",IF(C947&lt;18,"Afternoon (14-17)","Evening (18-20)")))</f>
        <v>Afternoon (14-17)</v>
      </c>
      <c r="S947" s="4" t="str">
        <f aca="false">IF(AND(O947&gt;=3,O947&lt;=5),"Hot Dry (Mar-May)",IF(AND(O947&gt;=6,O947&lt;=11),"Rainy (Jun-Nov)","Cool Dry (Dec-Feb)"))</f>
        <v>Rainy (Jun-Nov)</v>
      </c>
      <c r="T947" s="4" t="str">
        <f aca="false">CHOOSE(O947,"Jan","Feb","Mar","Apr","May","Jun","Jul","Aug","Sep","Oct","Nov","Dec")</f>
        <v>Jul</v>
      </c>
    </row>
    <row r="948" customFormat="false" ht="15" hidden="false" customHeight="false" outlineLevel="0" collapsed="false">
      <c r="A948" s="4" t="s">
        <v>1248</v>
      </c>
      <c r="B948" s="17" t="n">
        <v>45855</v>
      </c>
      <c r="C948" s="4" t="n">
        <v>17</v>
      </c>
      <c r="D948" s="4" t="s">
        <v>73</v>
      </c>
      <c r="E948" s="4" t="s">
        <v>74</v>
      </c>
      <c r="F948" s="4" t="s">
        <v>139</v>
      </c>
      <c r="G948" s="4" t="n">
        <v>1</v>
      </c>
      <c r="H948" s="34" t="n">
        <v>260</v>
      </c>
      <c r="I948" s="18" t="n">
        <v>0</v>
      </c>
      <c r="J948" s="4" t="s">
        <v>81</v>
      </c>
      <c r="K948" s="4" t="s">
        <v>77</v>
      </c>
      <c r="L948" s="35" t="n">
        <f aca="false">G948*H948</f>
        <v>260</v>
      </c>
      <c r="M948" s="35" t="n">
        <f aca="false">L948*I948</f>
        <v>0</v>
      </c>
      <c r="N948" s="35" t="n">
        <f aca="false">L948-M948</f>
        <v>260</v>
      </c>
      <c r="O948" s="4" t="n">
        <f aca="false">MONTH(B948)</f>
        <v>7</v>
      </c>
      <c r="P948" s="4" t="str">
        <f aca="false">CHOOSE(WEEKDAY(B948,2),"Mon","Tue","Wed","Thu","Fri","Sat","Sun")</f>
        <v>Thu</v>
      </c>
      <c r="Q948" s="4" t="str">
        <f aca="false">IF(WEEKDAY(B948,2)&gt;5,"Weekend","Weekday")</f>
        <v>Weekday</v>
      </c>
      <c r="R948" s="4" t="str">
        <f aca="false">IF(C948&lt;11,"Morning (7-10)",IF(C948&lt;14,"Lunch (11-13)",IF(C948&lt;18,"Afternoon (14-17)","Evening (18-20)")))</f>
        <v>Afternoon (14-17)</v>
      </c>
      <c r="S948" s="4" t="str">
        <f aca="false">IF(AND(O948&gt;=3,O948&lt;=5),"Hot Dry (Mar-May)",IF(AND(O948&gt;=6,O948&lt;=11),"Rainy (Jun-Nov)","Cool Dry (Dec-Feb)"))</f>
        <v>Rainy (Jun-Nov)</v>
      </c>
      <c r="T948" s="4" t="str">
        <f aca="false">CHOOSE(O948,"Jan","Feb","Mar","Apr","May","Jun","Jul","Aug","Sep","Oct","Nov","Dec")</f>
        <v>Jul</v>
      </c>
    </row>
    <row r="949" customFormat="false" ht="15" hidden="false" customHeight="false" outlineLevel="0" collapsed="false">
      <c r="A949" s="4" t="s">
        <v>1249</v>
      </c>
      <c r="B949" s="17" t="n">
        <v>45855</v>
      </c>
      <c r="C949" s="4" t="n">
        <v>20</v>
      </c>
      <c r="D949" s="4" t="s">
        <v>98</v>
      </c>
      <c r="E949" s="4" t="s">
        <v>84</v>
      </c>
      <c r="F949" s="4" t="s">
        <v>114</v>
      </c>
      <c r="G949" s="4" t="n">
        <v>1</v>
      </c>
      <c r="H949" s="34" t="n">
        <v>85</v>
      </c>
      <c r="I949" s="18" t="n">
        <v>0.05</v>
      </c>
      <c r="J949" s="4" t="s">
        <v>88</v>
      </c>
      <c r="K949" s="4" t="s">
        <v>82</v>
      </c>
      <c r="L949" s="35" t="n">
        <f aca="false">G949*H949</f>
        <v>85</v>
      </c>
      <c r="M949" s="35" t="n">
        <f aca="false">L949*I949</f>
        <v>4.25</v>
      </c>
      <c r="N949" s="35" t="n">
        <f aca="false">L949-M949</f>
        <v>80.75</v>
      </c>
      <c r="O949" s="4" t="n">
        <f aca="false">MONTH(B949)</f>
        <v>7</v>
      </c>
      <c r="P949" s="4" t="str">
        <f aca="false">CHOOSE(WEEKDAY(B949,2),"Mon","Tue","Wed","Thu","Fri","Sat","Sun")</f>
        <v>Thu</v>
      </c>
      <c r="Q949" s="4" t="str">
        <f aca="false">IF(WEEKDAY(B949,2)&gt;5,"Weekend","Weekday")</f>
        <v>Weekday</v>
      </c>
      <c r="R949" s="4" t="str">
        <f aca="false">IF(C949&lt;11,"Morning (7-10)",IF(C949&lt;14,"Lunch (11-13)",IF(C949&lt;18,"Afternoon (14-17)","Evening (18-20)")))</f>
        <v>Evening (18-20)</v>
      </c>
      <c r="S949" s="4" t="str">
        <f aca="false">IF(AND(O949&gt;=3,O949&lt;=5),"Hot Dry (Mar-May)",IF(AND(O949&gt;=6,O949&lt;=11),"Rainy (Jun-Nov)","Cool Dry (Dec-Feb)"))</f>
        <v>Rainy (Jun-Nov)</v>
      </c>
      <c r="T949" s="4" t="str">
        <f aca="false">CHOOSE(O949,"Jan","Feb","Mar","Apr","May","Jun","Jul","Aug","Sep","Oct","Nov","Dec")</f>
        <v>Jul</v>
      </c>
    </row>
    <row r="950" customFormat="false" ht="15" hidden="false" customHeight="false" outlineLevel="0" collapsed="false">
      <c r="A950" s="4" t="s">
        <v>1250</v>
      </c>
      <c r="B950" s="17" t="n">
        <v>45856</v>
      </c>
      <c r="C950" s="4" t="n">
        <v>7</v>
      </c>
      <c r="D950" s="4" t="s">
        <v>70</v>
      </c>
      <c r="E950" s="4" t="s">
        <v>84</v>
      </c>
      <c r="F950" s="4" t="s">
        <v>117</v>
      </c>
      <c r="G950" s="4" t="n">
        <v>1</v>
      </c>
      <c r="H950" s="34" t="n">
        <v>95</v>
      </c>
      <c r="I950" s="18" t="n">
        <v>0</v>
      </c>
      <c r="J950" s="4" t="s">
        <v>81</v>
      </c>
      <c r="K950" s="4" t="s">
        <v>77</v>
      </c>
      <c r="L950" s="35" t="n">
        <f aca="false">G950*H950</f>
        <v>95</v>
      </c>
      <c r="M950" s="35" t="n">
        <f aca="false">L950*I950</f>
        <v>0</v>
      </c>
      <c r="N950" s="35" t="n">
        <f aca="false">L950-M950</f>
        <v>95</v>
      </c>
      <c r="O950" s="4" t="n">
        <f aca="false">MONTH(B950)</f>
        <v>7</v>
      </c>
      <c r="P950" s="4" t="str">
        <f aca="false">CHOOSE(WEEKDAY(B950,2),"Mon","Tue","Wed","Thu","Fri","Sat","Sun")</f>
        <v>Fri</v>
      </c>
      <c r="Q950" s="4" t="str">
        <f aca="false">IF(WEEKDAY(B950,2)&gt;5,"Weekend","Weekday")</f>
        <v>Weekday</v>
      </c>
      <c r="R950" s="4" t="str">
        <f aca="false">IF(C950&lt;11,"Morning (7-10)",IF(C950&lt;14,"Lunch (11-13)",IF(C950&lt;18,"Afternoon (14-17)","Evening (18-20)")))</f>
        <v>Morning (7-10)</v>
      </c>
      <c r="S950" s="4" t="str">
        <f aca="false">IF(AND(O950&gt;=3,O950&lt;=5),"Hot Dry (Mar-May)",IF(AND(O950&gt;=6,O950&lt;=11),"Rainy (Jun-Nov)","Cool Dry (Dec-Feb)"))</f>
        <v>Rainy (Jun-Nov)</v>
      </c>
      <c r="T950" s="4" t="str">
        <f aca="false">CHOOSE(O950,"Jan","Feb","Mar","Apr","May","Jun","Jul","Aug","Sep","Oct","Nov","Dec")</f>
        <v>Jul</v>
      </c>
    </row>
    <row r="951" customFormat="false" ht="15" hidden="false" customHeight="false" outlineLevel="0" collapsed="false">
      <c r="A951" s="4" t="s">
        <v>1252</v>
      </c>
      <c r="B951" s="17" t="n">
        <v>45856</v>
      </c>
      <c r="C951" s="4" t="n">
        <v>7</v>
      </c>
      <c r="D951" s="4" t="s">
        <v>64</v>
      </c>
      <c r="E951" s="4" t="s">
        <v>79</v>
      </c>
      <c r="F951" s="4" t="s">
        <v>148</v>
      </c>
      <c r="G951" s="4" t="n">
        <v>1</v>
      </c>
      <c r="H951" s="34" t="n">
        <v>120</v>
      </c>
      <c r="I951" s="18" t="n">
        <v>0.2</v>
      </c>
      <c r="J951" s="4" t="s">
        <v>76</v>
      </c>
      <c r="K951" s="4" t="s">
        <v>68</v>
      </c>
      <c r="L951" s="35" t="n">
        <f aca="false">G951*H951</f>
        <v>120</v>
      </c>
      <c r="M951" s="35" t="n">
        <f aca="false">L951*I951</f>
        <v>24</v>
      </c>
      <c r="N951" s="35" t="n">
        <f aca="false">L951-M951</f>
        <v>96</v>
      </c>
      <c r="O951" s="4" t="n">
        <f aca="false">MONTH(B951)</f>
        <v>7</v>
      </c>
      <c r="P951" s="4" t="str">
        <f aca="false">CHOOSE(WEEKDAY(B951,2),"Mon","Tue","Wed","Thu","Fri","Sat","Sun")</f>
        <v>Fri</v>
      </c>
      <c r="Q951" s="4" t="str">
        <f aca="false">IF(WEEKDAY(B951,2)&gt;5,"Weekend","Weekday")</f>
        <v>Weekday</v>
      </c>
      <c r="R951" s="4" t="str">
        <f aca="false">IF(C951&lt;11,"Morning (7-10)",IF(C951&lt;14,"Lunch (11-13)",IF(C951&lt;18,"Afternoon (14-17)","Evening (18-20)")))</f>
        <v>Morning (7-10)</v>
      </c>
      <c r="S951" s="4" t="str">
        <f aca="false">IF(AND(O951&gt;=3,O951&lt;=5),"Hot Dry (Mar-May)",IF(AND(O951&gt;=6,O951&lt;=11),"Rainy (Jun-Nov)","Cool Dry (Dec-Feb)"))</f>
        <v>Rainy (Jun-Nov)</v>
      </c>
      <c r="T951" s="4" t="str">
        <f aca="false">CHOOSE(O951,"Jan","Feb","Mar","Apr","May","Jun","Jul","Aug","Sep","Oct","Nov","Dec")</f>
        <v>Jul</v>
      </c>
    </row>
    <row r="952" customFormat="false" ht="15" hidden="false" customHeight="false" outlineLevel="0" collapsed="false">
      <c r="A952" s="4" t="s">
        <v>1253</v>
      </c>
      <c r="B952" s="17" t="n">
        <v>45856</v>
      </c>
      <c r="C952" s="4" t="n">
        <v>8</v>
      </c>
      <c r="D952" s="4" t="s">
        <v>64</v>
      </c>
      <c r="E952" s="4" t="s">
        <v>99</v>
      </c>
      <c r="F952" s="4" t="s">
        <v>109</v>
      </c>
      <c r="G952" s="4" t="n">
        <v>2</v>
      </c>
      <c r="H952" s="34" t="n">
        <v>130</v>
      </c>
      <c r="I952" s="18" t="n">
        <v>0</v>
      </c>
      <c r="J952" s="4" t="s">
        <v>81</v>
      </c>
      <c r="K952" s="4" t="s">
        <v>68</v>
      </c>
      <c r="L952" s="35" t="n">
        <f aca="false">G952*H952</f>
        <v>260</v>
      </c>
      <c r="M952" s="35" t="n">
        <f aca="false">L952*I952</f>
        <v>0</v>
      </c>
      <c r="N952" s="35" t="n">
        <f aca="false">L952-M952</f>
        <v>260</v>
      </c>
      <c r="O952" s="4" t="n">
        <f aca="false">MONTH(B952)</f>
        <v>7</v>
      </c>
      <c r="P952" s="4" t="str">
        <f aca="false">CHOOSE(WEEKDAY(B952,2),"Mon","Tue","Wed","Thu","Fri","Sat","Sun")</f>
        <v>Fri</v>
      </c>
      <c r="Q952" s="4" t="str">
        <f aca="false">IF(WEEKDAY(B952,2)&gt;5,"Weekend","Weekday")</f>
        <v>Weekday</v>
      </c>
      <c r="R952" s="4" t="str">
        <f aca="false">IF(C952&lt;11,"Morning (7-10)",IF(C952&lt;14,"Lunch (11-13)",IF(C952&lt;18,"Afternoon (14-17)","Evening (18-20)")))</f>
        <v>Morning (7-10)</v>
      </c>
      <c r="S952" s="4" t="str">
        <f aca="false">IF(AND(O952&gt;=3,O952&lt;=5),"Hot Dry (Mar-May)",IF(AND(O952&gt;=6,O952&lt;=11),"Rainy (Jun-Nov)","Cool Dry (Dec-Feb)"))</f>
        <v>Rainy (Jun-Nov)</v>
      </c>
      <c r="T952" s="4" t="str">
        <f aca="false">CHOOSE(O952,"Jan","Feb","Mar","Apr","May","Jun","Jul","Aug","Sep","Oct","Nov","Dec")</f>
        <v>Jul</v>
      </c>
    </row>
    <row r="953" customFormat="false" ht="15" hidden="false" customHeight="false" outlineLevel="0" collapsed="false">
      <c r="A953" s="4" t="s">
        <v>1254</v>
      </c>
      <c r="B953" s="17" t="n">
        <v>45856</v>
      </c>
      <c r="C953" s="4" t="n">
        <v>12</v>
      </c>
      <c r="D953" s="4" t="s">
        <v>98</v>
      </c>
      <c r="E953" s="4" t="s">
        <v>79</v>
      </c>
      <c r="F953" s="4" t="s">
        <v>148</v>
      </c>
      <c r="G953" s="4" t="n">
        <v>1</v>
      </c>
      <c r="H953" s="34" t="n">
        <v>120</v>
      </c>
      <c r="I953" s="18" t="n">
        <v>0.1</v>
      </c>
      <c r="J953" s="4" t="s">
        <v>81</v>
      </c>
      <c r="K953" s="4" t="s">
        <v>71</v>
      </c>
      <c r="L953" s="35" t="n">
        <f aca="false">G953*H953</f>
        <v>120</v>
      </c>
      <c r="M953" s="35" t="n">
        <f aca="false">L953*I953</f>
        <v>12</v>
      </c>
      <c r="N953" s="35" t="n">
        <f aca="false">L953-M953</f>
        <v>108</v>
      </c>
      <c r="O953" s="4" t="n">
        <f aca="false">MONTH(B953)</f>
        <v>7</v>
      </c>
      <c r="P953" s="4" t="str">
        <f aca="false">CHOOSE(WEEKDAY(B953,2),"Mon","Tue","Wed","Thu","Fri","Sat","Sun")</f>
        <v>Fri</v>
      </c>
      <c r="Q953" s="4" t="str">
        <f aca="false">IF(WEEKDAY(B953,2)&gt;5,"Weekend","Weekday")</f>
        <v>Weekday</v>
      </c>
      <c r="R953" s="4" t="str">
        <f aca="false">IF(C953&lt;11,"Morning (7-10)",IF(C953&lt;14,"Lunch (11-13)",IF(C953&lt;18,"Afternoon (14-17)","Evening (18-20)")))</f>
        <v>Lunch (11-13)</v>
      </c>
      <c r="S953" s="4" t="str">
        <f aca="false">IF(AND(O953&gt;=3,O953&lt;=5),"Hot Dry (Mar-May)",IF(AND(O953&gt;=6,O953&lt;=11),"Rainy (Jun-Nov)","Cool Dry (Dec-Feb)"))</f>
        <v>Rainy (Jun-Nov)</v>
      </c>
      <c r="T953" s="4" t="str">
        <f aca="false">CHOOSE(O953,"Jan","Feb","Mar","Apr","May","Jun","Jul","Aug","Sep","Oct","Nov","Dec")</f>
        <v>Jul</v>
      </c>
    </row>
    <row r="954" customFormat="false" ht="15" hidden="false" customHeight="false" outlineLevel="0" collapsed="false">
      <c r="A954" s="4" t="s">
        <v>1255</v>
      </c>
      <c r="B954" s="17" t="n">
        <v>45856</v>
      </c>
      <c r="C954" s="4" t="n">
        <v>12</v>
      </c>
      <c r="D954" s="4" t="s">
        <v>64</v>
      </c>
      <c r="E954" s="4" t="s">
        <v>84</v>
      </c>
      <c r="F954" s="4" t="s">
        <v>114</v>
      </c>
      <c r="G954" s="4" t="n">
        <v>1</v>
      </c>
      <c r="H954" s="34" t="n">
        <v>85</v>
      </c>
      <c r="I954" s="18" t="n">
        <v>0</v>
      </c>
      <c r="J954" s="4" t="s">
        <v>81</v>
      </c>
      <c r="K954" s="4" t="s">
        <v>2289</v>
      </c>
      <c r="L954" s="35" t="n">
        <f aca="false">G954*H954</f>
        <v>85</v>
      </c>
      <c r="M954" s="35" t="n">
        <f aca="false">L954*I954</f>
        <v>0</v>
      </c>
      <c r="N954" s="35" t="n">
        <f aca="false">L954-M954</f>
        <v>85</v>
      </c>
      <c r="O954" s="4" t="n">
        <f aca="false">MONTH(B954)</f>
        <v>7</v>
      </c>
      <c r="P954" s="4" t="str">
        <f aca="false">CHOOSE(WEEKDAY(B954,2),"Mon","Tue","Wed","Thu","Fri","Sat","Sun")</f>
        <v>Fri</v>
      </c>
      <c r="Q954" s="4" t="str">
        <f aca="false">IF(WEEKDAY(B954,2)&gt;5,"Weekend","Weekday")</f>
        <v>Weekday</v>
      </c>
      <c r="R954" s="4" t="str">
        <f aca="false">IF(C954&lt;11,"Morning (7-10)",IF(C954&lt;14,"Lunch (11-13)",IF(C954&lt;18,"Afternoon (14-17)","Evening (18-20)")))</f>
        <v>Lunch (11-13)</v>
      </c>
      <c r="S954" s="4" t="str">
        <f aca="false">IF(AND(O954&gt;=3,O954&lt;=5),"Hot Dry (Mar-May)",IF(AND(O954&gt;=6,O954&lt;=11),"Rainy (Jun-Nov)","Cool Dry (Dec-Feb)"))</f>
        <v>Rainy (Jun-Nov)</v>
      </c>
      <c r="T954" s="4" t="str">
        <f aca="false">CHOOSE(O954,"Jan","Feb","Mar","Apr","May","Jun","Jul","Aug","Sep","Oct","Nov","Dec")</f>
        <v>Jul</v>
      </c>
    </row>
    <row r="955" customFormat="false" ht="15" hidden="false" customHeight="false" outlineLevel="0" collapsed="false">
      <c r="A955" s="4" t="s">
        <v>1256</v>
      </c>
      <c r="B955" s="17" t="n">
        <v>45856</v>
      </c>
      <c r="C955" s="4" t="n">
        <v>17</v>
      </c>
      <c r="D955" s="4" t="s">
        <v>73</v>
      </c>
      <c r="E955" s="4" t="s">
        <v>65</v>
      </c>
      <c r="F955" s="4" t="s">
        <v>94</v>
      </c>
      <c r="G955" s="4" t="n">
        <v>1</v>
      </c>
      <c r="H955" s="34" t="n">
        <v>150</v>
      </c>
      <c r="I955" s="18" t="n">
        <v>0.1</v>
      </c>
      <c r="J955" s="4" t="s">
        <v>67</v>
      </c>
      <c r="K955" s="4" t="s">
        <v>71</v>
      </c>
      <c r="L955" s="35" t="n">
        <f aca="false">G955*H955</f>
        <v>150</v>
      </c>
      <c r="M955" s="35" t="n">
        <f aca="false">L955*I955</f>
        <v>15</v>
      </c>
      <c r="N955" s="35" t="n">
        <f aca="false">L955-M955</f>
        <v>135</v>
      </c>
      <c r="O955" s="4" t="n">
        <f aca="false">MONTH(B955)</f>
        <v>7</v>
      </c>
      <c r="P955" s="4" t="str">
        <f aca="false">CHOOSE(WEEKDAY(B955,2),"Mon","Tue","Wed","Thu","Fri","Sat","Sun")</f>
        <v>Fri</v>
      </c>
      <c r="Q955" s="4" t="str">
        <f aca="false">IF(WEEKDAY(B955,2)&gt;5,"Weekend","Weekday")</f>
        <v>Weekday</v>
      </c>
      <c r="R955" s="4" t="str">
        <f aca="false">IF(C955&lt;11,"Morning (7-10)",IF(C955&lt;14,"Lunch (11-13)",IF(C955&lt;18,"Afternoon (14-17)","Evening (18-20)")))</f>
        <v>Afternoon (14-17)</v>
      </c>
      <c r="S955" s="4" t="str">
        <f aca="false">IF(AND(O955&gt;=3,O955&lt;=5),"Hot Dry (Mar-May)",IF(AND(O955&gt;=6,O955&lt;=11),"Rainy (Jun-Nov)","Cool Dry (Dec-Feb)"))</f>
        <v>Rainy (Jun-Nov)</v>
      </c>
      <c r="T955" s="4" t="str">
        <f aca="false">CHOOSE(O955,"Jan","Feb","Mar","Apr","May","Jun","Jul","Aug","Sep","Oct","Nov","Dec")</f>
        <v>Jul</v>
      </c>
    </row>
    <row r="956" customFormat="false" ht="15" hidden="false" customHeight="false" outlineLevel="0" collapsed="false">
      <c r="A956" s="4" t="s">
        <v>1257</v>
      </c>
      <c r="B956" s="17" t="n">
        <v>45856</v>
      </c>
      <c r="C956" s="4" t="n">
        <v>17</v>
      </c>
      <c r="D956" s="4" t="s">
        <v>73</v>
      </c>
      <c r="E956" s="4" t="s">
        <v>74</v>
      </c>
      <c r="F956" s="4" t="s">
        <v>75</v>
      </c>
      <c r="G956" s="4" t="n">
        <v>1</v>
      </c>
      <c r="H956" s="34" t="n">
        <v>220</v>
      </c>
      <c r="I956" s="18" t="n">
        <v>0.15</v>
      </c>
      <c r="J956" s="4" t="s">
        <v>81</v>
      </c>
      <c r="K956" s="4" t="s">
        <v>82</v>
      </c>
      <c r="L956" s="35" t="n">
        <f aca="false">G956*H956</f>
        <v>220</v>
      </c>
      <c r="M956" s="35" t="n">
        <f aca="false">L956*I956</f>
        <v>33</v>
      </c>
      <c r="N956" s="35" t="n">
        <f aca="false">L956-M956</f>
        <v>187</v>
      </c>
      <c r="O956" s="4" t="n">
        <f aca="false">MONTH(B956)</f>
        <v>7</v>
      </c>
      <c r="P956" s="4" t="str">
        <f aca="false">CHOOSE(WEEKDAY(B956,2),"Mon","Tue","Wed","Thu","Fri","Sat","Sun")</f>
        <v>Fri</v>
      </c>
      <c r="Q956" s="4" t="str">
        <f aca="false">IF(WEEKDAY(B956,2)&gt;5,"Weekend","Weekday")</f>
        <v>Weekday</v>
      </c>
      <c r="R956" s="4" t="str">
        <f aca="false">IF(C956&lt;11,"Morning (7-10)",IF(C956&lt;14,"Lunch (11-13)",IF(C956&lt;18,"Afternoon (14-17)","Evening (18-20)")))</f>
        <v>Afternoon (14-17)</v>
      </c>
      <c r="S956" s="4" t="str">
        <f aca="false">IF(AND(O956&gt;=3,O956&lt;=5),"Hot Dry (Mar-May)",IF(AND(O956&gt;=6,O956&lt;=11),"Rainy (Jun-Nov)","Cool Dry (Dec-Feb)"))</f>
        <v>Rainy (Jun-Nov)</v>
      </c>
      <c r="T956" s="4" t="str">
        <f aca="false">CHOOSE(O956,"Jan","Feb","Mar","Apr","May","Jun","Jul","Aug","Sep","Oct","Nov","Dec")</f>
        <v>Jul</v>
      </c>
    </row>
    <row r="957" customFormat="false" ht="15" hidden="false" customHeight="false" outlineLevel="0" collapsed="false">
      <c r="A957" s="4" t="s">
        <v>1258</v>
      </c>
      <c r="B957" s="17" t="n">
        <v>45857</v>
      </c>
      <c r="C957" s="4" t="n">
        <v>8</v>
      </c>
      <c r="D957" s="4" t="s">
        <v>70</v>
      </c>
      <c r="E957" s="4" t="s">
        <v>65</v>
      </c>
      <c r="F957" s="4" t="s">
        <v>121</v>
      </c>
      <c r="G957" s="4" t="n">
        <v>1</v>
      </c>
      <c r="H957" s="34" t="n">
        <v>170</v>
      </c>
      <c r="I957" s="18" t="n">
        <v>0.05</v>
      </c>
      <c r="J957" s="4" t="s">
        <v>81</v>
      </c>
      <c r="K957" s="4" t="s">
        <v>82</v>
      </c>
      <c r="L957" s="35" t="n">
        <f aca="false">G957*H957</f>
        <v>170</v>
      </c>
      <c r="M957" s="35" t="n">
        <f aca="false">L957*I957</f>
        <v>8.5</v>
      </c>
      <c r="N957" s="35" t="n">
        <f aca="false">L957-M957</f>
        <v>161.5</v>
      </c>
      <c r="O957" s="4" t="n">
        <f aca="false">MONTH(B957)</f>
        <v>7</v>
      </c>
      <c r="P957" s="4" t="str">
        <f aca="false">CHOOSE(WEEKDAY(B957,2),"Mon","Tue","Wed","Thu","Fri","Sat","Sun")</f>
        <v>Sat</v>
      </c>
      <c r="Q957" s="4" t="str">
        <f aca="false">IF(WEEKDAY(B957,2)&gt;5,"Weekend","Weekday")</f>
        <v>Weekend</v>
      </c>
      <c r="R957" s="4" t="str">
        <f aca="false">IF(C957&lt;11,"Morning (7-10)",IF(C957&lt;14,"Lunch (11-13)",IF(C957&lt;18,"Afternoon (14-17)","Evening (18-20)")))</f>
        <v>Morning (7-10)</v>
      </c>
      <c r="S957" s="4" t="str">
        <f aca="false">IF(AND(O957&gt;=3,O957&lt;=5),"Hot Dry (Mar-May)",IF(AND(O957&gt;=6,O957&lt;=11),"Rainy (Jun-Nov)","Cool Dry (Dec-Feb)"))</f>
        <v>Rainy (Jun-Nov)</v>
      </c>
      <c r="T957" s="4" t="str">
        <f aca="false">CHOOSE(O957,"Jan","Feb","Mar","Apr","May","Jun","Jul","Aug","Sep","Oct","Nov","Dec")</f>
        <v>Jul</v>
      </c>
    </row>
    <row r="958" customFormat="false" ht="15" hidden="false" customHeight="false" outlineLevel="0" collapsed="false">
      <c r="A958" s="4" t="s">
        <v>1259</v>
      </c>
      <c r="B958" s="17" t="n">
        <v>45857</v>
      </c>
      <c r="C958" s="4" t="n">
        <v>9</v>
      </c>
      <c r="D958" s="4" t="s">
        <v>98</v>
      </c>
      <c r="E958" s="4" t="s">
        <v>99</v>
      </c>
      <c r="F958" s="4" t="s">
        <v>109</v>
      </c>
      <c r="G958" s="4" t="n">
        <v>4</v>
      </c>
      <c r="H958" s="34" t="n">
        <v>130</v>
      </c>
      <c r="I958" s="18" t="n">
        <v>0</v>
      </c>
      <c r="J958" s="4" t="s">
        <v>81</v>
      </c>
      <c r="K958" s="4" t="s">
        <v>77</v>
      </c>
      <c r="L958" s="35" t="n">
        <f aca="false">G958*H958</f>
        <v>520</v>
      </c>
      <c r="M958" s="35" t="n">
        <f aca="false">L958*I958</f>
        <v>0</v>
      </c>
      <c r="N958" s="35" t="n">
        <f aca="false">L958-M958</f>
        <v>520</v>
      </c>
      <c r="O958" s="4" t="n">
        <f aca="false">MONTH(B958)</f>
        <v>7</v>
      </c>
      <c r="P958" s="4" t="str">
        <f aca="false">CHOOSE(WEEKDAY(B958,2),"Mon","Tue","Wed","Thu","Fri","Sat","Sun")</f>
        <v>Sat</v>
      </c>
      <c r="Q958" s="4" t="str">
        <f aca="false">IF(WEEKDAY(B958,2)&gt;5,"Weekend","Weekday")</f>
        <v>Weekend</v>
      </c>
      <c r="R958" s="4" t="str">
        <f aca="false">IF(C958&lt;11,"Morning (7-10)",IF(C958&lt;14,"Lunch (11-13)",IF(C958&lt;18,"Afternoon (14-17)","Evening (18-20)")))</f>
        <v>Morning (7-10)</v>
      </c>
      <c r="S958" s="4" t="str">
        <f aca="false">IF(AND(O958&gt;=3,O958&lt;=5),"Hot Dry (Mar-May)",IF(AND(O958&gt;=6,O958&lt;=11),"Rainy (Jun-Nov)","Cool Dry (Dec-Feb)"))</f>
        <v>Rainy (Jun-Nov)</v>
      </c>
      <c r="T958" s="4" t="str">
        <f aca="false">CHOOSE(O958,"Jan","Feb","Mar","Apr","May","Jun","Jul","Aug","Sep","Oct","Nov","Dec")</f>
        <v>Jul</v>
      </c>
    </row>
    <row r="959" customFormat="false" ht="15" hidden="false" customHeight="false" outlineLevel="0" collapsed="false">
      <c r="A959" s="4" t="s">
        <v>1260</v>
      </c>
      <c r="B959" s="17" t="n">
        <v>45857</v>
      </c>
      <c r="C959" s="4" t="n">
        <v>10</v>
      </c>
      <c r="D959" s="4" t="s">
        <v>70</v>
      </c>
      <c r="E959" s="4" t="s">
        <v>65</v>
      </c>
      <c r="F959" s="4" t="s">
        <v>121</v>
      </c>
      <c r="G959" s="4" t="n">
        <v>1</v>
      </c>
      <c r="H959" s="34" t="n">
        <v>170</v>
      </c>
      <c r="I959" s="18" t="n">
        <v>0</v>
      </c>
      <c r="J959" s="4" t="s">
        <v>67</v>
      </c>
      <c r="K959" s="4" t="s">
        <v>68</v>
      </c>
      <c r="L959" s="35" t="n">
        <f aca="false">G959*H959</f>
        <v>170</v>
      </c>
      <c r="M959" s="35" t="n">
        <f aca="false">L959*I959</f>
        <v>0</v>
      </c>
      <c r="N959" s="35" t="n">
        <f aca="false">L959-M959</f>
        <v>170</v>
      </c>
      <c r="O959" s="4" t="n">
        <f aca="false">MONTH(B959)</f>
        <v>7</v>
      </c>
      <c r="P959" s="4" t="str">
        <f aca="false">CHOOSE(WEEKDAY(B959,2),"Mon","Tue","Wed","Thu","Fri","Sat","Sun")</f>
        <v>Sat</v>
      </c>
      <c r="Q959" s="4" t="str">
        <f aca="false">IF(WEEKDAY(B959,2)&gt;5,"Weekend","Weekday")</f>
        <v>Weekend</v>
      </c>
      <c r="R959" s="4" t="str">
        <f aca="false">IF(C959&lt;11,"Morning (7-10)",IF(C959&lt;14,"Lunch (11-13)",IF(C959&lt;18,"Afternoon (14-17)","Evening (18-20)")))</f>
        <v>Morning (7-10)</v>
      </c>
      <c r="S959" s="4" t="str">
        <f aca="false">IF(AND(O959&gt;=3,O959&lt;=5),"Hot Dry (Mar-May)",IF(AND(O959&gt;=6,O959&lt;=11),"Rainy (Jun-Nov)","Cool Dry (Dec-Feb)"))</f>
        <v>Rainy (Jun-Nov)</v>
      </c>
      <c r="T959" s="4" t="str">
        <f aca="false">CHOOSE(O959,"Jan","Feb","Mar","Apr","May","Jun","Jul","Aug","Sep","Oct","Nov","Dec")</f>
        <v>Jul</v>
      </c>
    </row>
    <row r="960" customFormat="false" ht="15" hidden="false" customHeight="false" outlineLevel="0" collapsed="false">
      <c r="A960" s="4" t="s">
        <v>1261</v>
      </c>
      <c r="B960" s="17" t="n">
        <v>45857</v>
      </c>
      <c r="C960" s="4" t="n">
        <v>12</v>
      </c>
      <c r="D960" s="4" t="s">
        <v>70</v>
      </c>
      <c r="E960" s="4" t="s">
        <v>99</v>
      </c>
      <c r="F960" s="4" t="s">
        <v>109</v>
      </c>
      <c r="G960" s="4" t="n">
        <v>2</v>
      </c>
      <c r="H960" s="34" t="n">
        <v>130</v>
      </c>
      <c r="I960" s="18" t="n">
        <v>0</v>
      </c>
      <c r="J960" s="4" t="s">
        <v>67</v>
      </c>
      <c r="K960" s="4" t="s">
        <v>68</v>
      </c>
      <c r="L960" s="35" t="n">
        <f aca="false">G960*H960</f>
        <v>260</v>
      </c>
      <c r="M960" s="35" t="n">
        <f aca="false">L960*I960</f>
        <v>0</v>
      </c>
      <c r="N960" s="35" t="n">
        <f aca="false">L960-M960</f>
        <v>260</v>
      </c>
      <c r="O960" s="4" t="n">
        <f aca="false">MONTH(B960)</f>
        <v>7</v>
      </c>
      <c r="P960" s="4" t="str">
        <f aca="false">CHOOSE(WEEKDAY(B960,2),"Mon","Tue","Wed","Thu","Fri","Sat","Sun")</f>
        <v>Sat</v>
      </c>
      <c r="Q960" s="4" t="str">
        <f aca="false">IF(WEEKDAY(B960,2)&gt;5,"Weekend","Weekday")</f>
        <v>Weekend</v>
      </c>
      <c r="R960" s="4" t="str">
        <f aca="false">IF(C960&lt;11,"Morning (7-10)",IF(C960&lt;14,"Lunch (11-13)",IF(C960&lt;18,"Afternoon (14-17)","Evening (18-20)")))</f>
        <v>Lunch (11-13)</v>
      </c>
      <c r="S960" s="4" t="str">
        <f aca="false">IF(AND(O960&gt;=3,O960&lt;=5),"Hot Dry (Mar-May)",IF(AND(O960&gt;=6,O960&lt;=11),"Rainy (Jun-Nov)","Cool Dry (Dec-Feb)"))</f>
        <v>Rainy (Jun-Nov)</v>
      </c>
      <c r="T960" s="4" t="str">
        <f aca="false">CHOOSE(O960,"Jan","Feb","Mar","Apr","May","Jun","Jul","Aug","Sep","Oct","Nov","Dec")</f>
        <v>Jul</v>
      </c>
    </row>
    <row r="961" customFormat="false" ht="15" hidden="false" customHeight="false" outlineLevel="0" collapsed="false">
      <c r="A961" s="4" t="s">
        <v>1262</v>
      </c>
      <c r="B961" s="17" t="n">
        <v>45857</v>
      </c>
      <c r="C961" s="4" t="n">
        <v>18</v>
      </c>
      <c r="D961" s="4" t="s">
        <v>70</v>
      </c>
      <c r="E961" s="4" t="s">
        <v>65</v>
      </c>
      <c r="F961" s="4" t="s">
        <v>94</v>
      </c>
      <c r="G961" s="4" t="n">
        <v>3</v>
      </c>
      <c r="H961" s="34" t="n">
        <v>150</v>
      </c>
      <c r="I961" s="18" t="n">
        <v>0.1</v>
      </c>
      <c r="J961" s="4" t="s">
        <v>81</v>
      </c>
      <c r="K961" s="4" t="s">
        <v>71</v>
      </c>
      <c r="L961" s="35" t="n">
        <f aca="false">G961*H961</f>
        <v>450</v>
      </c>
      <c r="M961" s="35" t="n">
        <f aca="false">L961*I961</f>
        <v>45</v>
      </c>
      <c r="N961" s="35" t="n">
        <f aca="false">L961-M961</f>
        <v>405</v>
      </c>
      <c r="O961" s="4" t="n">
        <f aca="false">MONTH(B961)</f>
        <v>7</v>
      </c>
      <c r="P961" s="4" t="str">
        <f aca="false">CHOOSE(WEEKDAY(B961,2),"Mon","Tue","Wed","Thu","Fri","Sat","Sun")</f>
        <v>Sat</v>
      </c>
      <c r="Q961" s="4" t="str">
        <f aca="false">IF(WEEKDAY(B961,2)&gt;5,"Weekend","Weekday")</f>
        <v>Weekend</v>
      </c>
      <c r="R961" s="4" t="str">
        <f aca="false">IF(C961&lt;11,"Morning (7-10)",IF(C961&lt;14,"Lunch (11-13)",IF(C961&lt;18,"Afternoon (14-17)","Evening (18-20)")))</f>
        <v>Evening (18-20)</v>
      </c>
      <c r="S961" s="4" t="str">
        <f aca="false">IF(AND(O961&gt;=3,O961&lt;=5),"Hot Dry (Mar-May)",IF(AND(O961&gt;=6,O961&lt;=11),"Rainy (Jun-Nov)","Cool Dry (Dec-Feb)"))</f>
        <v>Rainy (Jun-Nov)</v>
      </c>
      <c r="T961" s="4" t="str">
        <f aca="false">CHOOSE(O961,"Jan","Feb","Mar","Apr","May","Jun","Jul","Aug","Sep","Oct","Nov","Dec")</f>
        <v>Jul</v>
      </c>
    </row>
    <row r="962" customFormat="false" ht="15" hidden="false" customHeight="false" outlineLevel="0" collapsed="false">
      <c r="A962" s="4" t="s">
        <v>1263</v>
      </c>
      <c r="B962" s="17" t="n">
        <v>45858</v>
      </c>
      <c r="C962" s="4" t="n">
        <v>8</v>
      </c>
      <c r="D962" s="4" t="s">
        <v>64</v>
      </c>
      <c r="E962" s="4" t="s">
        <v>65</v>
      </c>
      <c r="F962" s="4" t="s">
        <v>66</v>
      </c>
      <c r="G962" s="4" t="n">
        <v>3</v>
      </c>
      <c r="H962" s="34" t="n">
        <v>120</v>
      </c>
      <c r="I962" s="18" t="n">
        <v>0</v>
      </c>
      <c r="J962" s="4" t="s">
        <v>67</v>
      </c>
      <c r="K962" s="4" t="s">
        <v>77</v>
      </c>
      <c r="L962" s="35" t="n">
        <f aca="false">G962*H962</f>
        <v>360</v>
      </c>
      <c r="M962" s="35" t="n">
        <f aca="false">L962*I962</f>
        <v>0</v>
      </c>
      <c r="N962" s="35" t="n">
        <f aca="false">L962-M962</f>
        <v>360</v>
      </c>
      <c r="O962" s="4" t="n">
        <f aca="false">MONTH(B962)</f>
        <v>7</v>
      </c>
      <c r="P962" s="4" t="str">
        <f aca="false">CHOOSE(WEEKDAY(B962,2),"Mon","Tue","Wed","Thu","Fri","Sat","Sun")</f>
        <v>Sun</v>
      </c>
      <c r="Q962" s="4" t="str">
        <f aca="false">IF(WEEKDAY(B962,2)&gt;5,"Weekend","Weekday")</f>
        <v>Weekend</v>
      </c>
      <c r="R962" s="4" t="str">
        <f aca="false">IF(C962&lt;11,"Morning (7-10)",IF(C962&lt;14,"Lunch (11-13)",IF(C962&lt;18,"Afternoon (14-17)","Evening (18-20)")))</f>
        <v>Morning (7-10)</v>
      </c>
      <c r="S962" s="4" t="str">
        <f aca="false">IF(AND(O962&gt;=3,O962&lt;=5),"Hot Dry (Mar-May)",IF(AND(O962&gt;=6,O962&lt;=11),"Rainy (Jun-Nov)","Cool Dry (Dec-Feb)"))</f>
        <v>Rainy (Jun-Nov)</v>
      </c>
      <c r="T962" s="4" t="str">
        <f aca="false">CHOOSE(O962,"Jan","Feb","Mar","Apr","May","Jun","Jul","Aug","Sep","Oct","Nov","Dec")</f>
        <v>Jul</v>
      </c>
    </row>
    <row r="963" customFormat="false" ht="15" hidden="false" customHeight="false" outlineLevel="0" collapsed="false">
      <c r="A963" s="4" t="s">
        <v>1264</v>
      </c>
      <c r="B963" s="17" t="n">
        <v>45858</v>
      </c>
      <c r="C963" s="4" t="n">
        <v>8</v>
      </c>
      <c r="D963" s="4" t="s">
        <v>98</v>
      </c>
      <c r="E963" s="4" t="s">
        <v>65</v>
      </c>
      <c r="F963" s="4" t="s">
        <v>66</v>
      </c>
      <c r="G963" s="4" t="n">
        <v>1</v>
      </c>
      <c r="H963" s="34" t="n">
        <v>120</v>
      </c>
      <c r="I963" s="18" t="n">
        <v>0</v>
      </c>
      <c r="J963" s="4" t="s">
        <v>81</v>
      </c>
      <c r="K963" s="4" t="s">
        <v>82</v>
      </c>
      <c r="L963" s="35" t="n">
        <f aca="false">G963*H963</f>
        <v>120</v>
      </c>
      <c r="M963" s="35" t="n">
        <f aca="false">L963*I963</f>
        <v>0</v>
      </c>
      <c r="N963" s="35" t="n">
        <f aca="false">L963-M963</f>
        <v>120</v>
      </c>
      <c r="O963" s="4" t="n">
        <f aca="false">MONTH(B963)</f>
        <v>7</v>
      </c>
      <c r="P963" s="4" t="str">
        <f aca="false">CHOOSE(WEEKDAY(B963,2),"Mon","Tue","Wed","Thu","Fri","Sat","Sun")</f>
        <v>Sun</v>
      </c>
      <c r="Q963" s="4" t="str">
        <f aca="false">IF(WEEKDAY(B963,2)&gt;5,"Weekend","Weekday")</f>
        <v>Weekend</v>
      </c>
      <c r="R963" s="4" t="str">
        <f aca="false">IF(C963&lt;11,"Morning (7-10)",IF(C963&lt;14,"Lunch (11-13)",IF(C963&lt;18,"Afternoon (14-17)","Evening (18-20)")))</f>
        <v>Morning (7-10)</v>
      </c>
      <c r="S963" s="4" t="str">
        <f aca="false">IF(AND(O963&gt;=3,O963&lt;=5),"Hot Dry (Mar-May)",IF(AND(O963&gt;=6,O963&lt;=11),"Rainy (Jun-Nov)","Cool Dry (Dec-Feb)"))</f>
        <v>Rainy (Jun-Nov)</v>
      </c>
      <c r="T963" s="4" t="str">
        <f aca="false">CHOOSE(O963,"Jan","Feb","Mar","Apr","May","Jun","Jul","Aug","Sep","Oct","Nov","Dec")</f>
        <v>Jul</v>
      </c>
    </row>
    <row r="964" customFormat="false" ht="15" hidden="false" customHeight="false" outlineLevel="0" collapsed="false">
      <c r="A964" s="4" t="s">
        <v>1265</v>
      </c>
      <c r="B964" s="17" t="n">
        <v>45858</v>
      </c>
      <c r="C964" s="4" t="n">
        <v>10</v>
      </c>
      <c r="D964" s="4" t="s">
        <v>70</v>
      </c>
      <c r="E964" s="4" t="s">
        <v>84</v>
      </c>
      <c r="F964" s="4" t="s">
        <v>106</v>
      </c>
      <c r="G964" s="4" t="n">
        <v>1</v>
      </c>
      <c r="H964" s="34" t="n">
        <v>60</v>
      </c>
      <c r="I964" s="18" t="n">
        <v>0.05</v>
      </c>
      <c r="J964" s="4" t="s">
        <v>67</v>
      </c>
      <c r="K964" s="4" t="s">
        <v>2289</v>
      </c>
      <c r="L964" s="35" t="n">
        <f aca="false">G964*H964</f>
        <v>60</v>
      </c>
      <c r="M964" s="35" t="n">
        <f aca="false">L964*I964</f>
        <v>3</v>
      </c>
      <c r="N964" s="35" t="n">
        <f aca="false">L964-M964</f>
        <v>57</v>
      </c>
      <c r="O964" s="4" t="n">
        <f aca="false">MONTH(B964)</f>
        <v>7</v>
      </c>
      <c r="P964" s="4" t="str">
        <f aca="false">CHOOSE(WEEKDAY(B964,2),"Mon","Tue","Wed","Thu","Fri","Sat","Sun")</f>
        <v>Sun</v>
      </c>
      <c r="Q964" s="4" t="str">
        <f aca="false">IF(WEEKDAY(B964,2)&gt;5,"Weekend","Weekday")</f>
        <v>Weekend</v>
      </c>
      <c r="R964" s="4" t="str">
        <f aca="false">IF(C964&lt;11,"Morning (7-10)",IF(C964&lt;14,"Lunch (11-13)",IF(C964&lt;18,"Afternoon (14-17)","Evening (18-20)")))</f>
        <v>Morning (7-10)</v>
      </c>
      <c r="S964" s="4" t="str">
        <f aca="false">IF(AND(O964&gt;=3,O964&lt;=5),"Hot Dry (Mar-May)",IF(AND(O964&gt;=6,O964&lt;=11),"Rainy (Jun-Nov)","Cool Dry (Dec-Feb)"))</f>
        <v>Rainy (Jun-Nov)</v>
      </c>
      <c r="T964" s="4" t="str">
        <f aca="false">CHOOSE(O964,"Jan","Feb","Mar","Apr","May","Jun","Jul","Aug","Sep","Oct","Nov","Dec")</f>
        <v>Jul</v>
      </c>
    </row>
    <row r="965" customFormat="false" ht="15" hidden="false" customHeight="false" outlineLevel="0" collapsed="false">
      <c r="A965" s="4" t="s">
        <v>1266</v>
      </c>
      <c r="B965" s="17" t="n">
        <v>45858</v>
      </c>
      <c r="C965" s="4" t="n">
        <v>12</v>
      </c>
      <c r="D965" s="4" t="s">
        <v>70</v>
      </c>
      <c r="E965" s="4" t="s">
        <v>65</v>
      </c>
      <c r="F965" s="4" t="s">
        <v>94</v>
      </c>
      <c r="G965" s="4" t="n">
        <v>1</v>
      </c>
      <c r="H965" s="34" t="n">
        <v>150</v>
      </c>
      <c r="I965" s="18" t="n">
        <v>0.05</v>
      </c>
      <c r="J965" s="4" t="s">
        <v>81</v>
      </c>
      <c r="K965" s="4" t="s">
        <v>82</v>
      </c>
      <c r="L965" s="35" t="n">
        <f aca="false">G965*H965</f>
        <v>150</v>
      </c>
      <c r="M965" s="35" t="n">
        <f aca="false">L965*I965</f>
        <v>7.5</v>
      </c>
      <c r="N965" s="35" t="n">
        <f aca="false">L965-M965</f>
        <v>142.5</v>
      </c>
      <c r="O965" s="4" t="n">
        <f aca="false">MONTH(B965)</f>
        <v>7</v>
      </c>
      <c r="P965" s="4" t="str">
        <f aca="false">CHOOSE(WEEKDAY(B965,2),"Mon","Tue","Wed","Thu","Fri","Sat","Sun")</f>
        <v>Sun</v>
      </c>
      <c r="Q965" s="4" t="str">
        <f aca="false">IF(WEEKDAY(B965,2)&gt;5,"Weekend","Weekday")</f>
        <v>Weekend</v>
      </c>
      <c r="R965" s="4" t="str">
        <f aca="false">IF(C965&lt;11,"Morning (7-10)",IF(C965&lt;14,"Lunch (11-13)",IF(C965&lt;18,"Afternoon (14-17)","Evening (18-20)")))</f>
        <v>Lunch (11-13)</v>
      </c>
      <c r="S965" s="4" t="str">
        <f aca="false">IF(AND(O965&gt;=3,O965&lt;=5),"Hot Dry (Mar-May)",IF(AND(O965&gt;=6,O965&lt;=11),"Rainy (Jun-Nov)","Cool Dry (Dec-Feb)"))</f>
        <v>Rainy (Jun-Nov)</v>
      </c>
      <c r="T965" s="4" t="str">
        <f aca="false">CHOOSE(O965,"Jan","Feb","Mar","Apr","May","Jun","Jul","Aug","Sep","Oct","Nov","Dec")</f>
        <v>Jul</v>
      </c>
    </row>
    <row r="966" customFormat="false" ht="15" hidden="false" customHeight="false" outlineLevel="0" collapsed="false">
      <c r="A966" s="4" t="s">
        <v>1267</v>
      </c>
      <c r="B966" s="17" t="n">
        <v>45858</v>
      </c>
      <c r="C966" s="4" t="n">
        <v>15</v>
      </c>
      <c r="D966" s="4" t="s">
        <v>64</v>
      </c>
      <c r="E966" s="4" t="s">
        <v>74</v>
      </c>
      <c r="F966" s="4" t="s">
        <v>91</v>
      </c>
      <c r="G966" s="4" t="n">
        <v>1</v>
      </c>
      <c r="H966" s="34" t="n">
        <v>200</v>
      </c>
      <c r="I966" s="18" t="n">
        <v>0</v>
      </c>
      <c r="J966" s="4" t="s">
        <v>81</v>
      </c>
      <c r="K966" s="4" t="s">
        <v>68</v>
      </c>
      <c r="L966" s="35" t="n">
        <f aca="false">G966*H966</f>
        <v>200</v>
      </c>
      <c r="M966" s="35" t="n">
        <f aca="false">L966*I966</f>
        <v>0</v>
      </c>
      <c r="N966" s="35" t="n">
        <f aca="false">L966-M966</f>
        <v>200</v>
      </c>
      <c r="O966" s="4" t="n">
        <f aca="false">MONTH(B966)</f>
        <v>7</v>
      </c>
      <c r="P966" s="4" t="str">
        <f aca="false">CHOOSE(WEEKDAY(B966,2),"Mon","Tue","Wed","Thu","Fri","Sat","Sun")</f>
        <v>Sun</v>
      </c>
      <c r="Q966" s="4" t="str">
        <f aca="false">IF(WEEKDAY(B966,2)&gt;5,"Weekend","Weekday")</f>
        <v>Weekend</v>
      </c>
      <c r="R966" s="4" t="str">
        <f aca="false">IF(C966&lt;11,"Morning (7-10)",IF(C966&lt;14,"Lunch (11-13)",IF(C966&lt;18,"Afternoon (14-17)","Evening (18-20)")))</f>
        <v>Afternoon (14-17)</v>
      </c>
      <c r="S966" s="4" t="str">
        <f aca="false">IF(AND(O966&gt;=3,O966&lt;=5),"Hot Dry (Mar-May)",IF(AND(O966&gt;=6,O966&lt;=11),"Rainy (Jun-Nov)","Cool Dry (Dec-Feb)"))</f>
        <v>Rainy (Jun-Nov)</v>
      </c>
      <c r="T966" s="4" t="str">
        <f aca="false">CHOOSE(O966,"Jan","Feb","Mar","Apr","May","Jun","Jul","Aug","Sep","Oct","Nov","Dec")</f>
        <v>Jul</v>
      </c>
    </row>
    <row r="967" customFormat="false" ht="15" hidden="false" customHeight="false" outlineLevel="0" collapsed="false">
      <c r="A967" s="4" t="s">
        <v>1269</v>
      </c>
      <c r="B967" s="17" t="n">
        <v>45858</v>
      </c>
      <c r="C967" s="4" t="n">
        <v>19</v>
      </c>
      <c r="D967" s="4" t="s">
        <v>70</v>
      </c>
      <c r="E967" s="4" t="s">
        <v>65</v>
      </c>
      <c r="F967" s="4" t="s">
        <v>94</v>
      </c>
      <c r="G967" s="4" t="n">
        <v>2</v>
      </c>
      <c r="H967" s="34" t="n">
        <v>150</v>
      </c>
      <c r="I967" s="18" t="n">
        <v>0.05</v>
      </c>
      <c r="J967" s="4" t="s">
        <v>76</v>
      </c>
      <c r="K967" s="4" t="s">
        <v>82</v>
      </c>
      <c r="L967" s="35" t="n">
        <f aca="false">G967*H967</f>
        <v>300</v>
      </c>
      <c r="M967" s="35" t="n">
        <f aca="false">L967*I967</f>
        <v>15</v>
      </c>
      <c r="N967" s="35" t="n">
        <f aca="false">L967-M967</f>
        <v>285</v>
      </c>
      <c r="O967" s="4" t="n">
        <f aca="false">MONTH(B967)</f>
        <v>7</v>
      </c>
      <c r="P967" s="4" t="str">
        <f aca="false">CHOOSE(WEEKDAY(B967,2),"Mon","Tue","Wed","Thu","Fri","Sat","Sun")</f>
        <v>Sun</v>
      </c>
      <c r="Q967" s="4" t="str">
        <f aca="false">IF(WEEKDAY(B967,2)&gt;5,"Weekend","Weekday")</f>
        <v>Weekend</v>
      </c>
      <c r="R967" s="4" t="str">
        <f aca="false">IF(C967&lt;11,"Morning (7-10)",IF(C967&lt;14,"Lunch (11-13)",IF(C967&lt;18,"Afternoon (14-17)","Evening (18-20)")))</f>
        <v>Evening (18-20)</v>
      </c>
      <c r="S967" s="4" t="str">
        <f aca="false">IF(AND(O967&gt;=3,O967&lt;=5),"Hot Dry (Mar-May)",IF(AND(O967&gt;=6,O967&lt;=11),"Rainy (Jun-Nov)","Cool Dry (Dec-Feb)"))</f>
        <v>Rainy (Jun-Nov)</v>
      </c>
      <c r="T967" s="4" t="str">
        <f aca="false">CHOOSE(O967,"Jan","Feb","Mar","Apr","May","Jun","Jul","Aug","Sep","Oct","Nov","Dec")</f>
        <v>Jul</v>
      </c>
    </row>
    <row r="968" customFormat="false" ht="15" hidden="false" customHeight="false" outlineLevel="0" collapsed="false">
      <c r="A968" s="4" t="s">
        <v>1270</v>
      </c>
      <c r="B968" s="17" t="n">
        <v>45859</v>
      </c>
      <c r="C968" s="4" t="n">
        <v>12</v>
      </c>
      <c r="D968" s="4" t="s">
        <v>64</v>
      </c>
      <c r="E968" s="4" t="s">
        <v>74</v>
      </c>
      <c r="F968" s="4" t="s">
        <v>75</v>
      </c>
      <c r="G968" s="4" t="n">
        <v>1</v>
      </c>
      <c r="H968" s="34" t="n">
        <v>220</v>
      </c>
      <c r="I968" s="18" t="n">
        <v>0</v>
      </c>
      <c r="J968" s="4" t="s">
        <v>76</v>
      </c>
      <c r="K968" s="4" t="s">
        <v>77</v>
      </c>
      <c r="L968" s="35" t="n">
        <f aca="false">G968*H968</f>
        <v>220</v>
      </c>
      <c r="M968" s="35" t="n">
        <f aca="false">L968*I968</f>
        <v>0</v>
      </c>
      <c r="N968" s="35" t="n">
        <f aca="false">L968-M968</f>
        <v>220</v>
      </c>
      <c r="O968" s="4" t="n">
        <f aca="false">MONTH(B968)</f>
        <v>7</v>
      </c>
      <c r="P968" s="4" t="str">
        <f aca="false">CHOOSE(WEEKDAY(B968,2),"Mon","Tue","Wed","Thu","Fri","Sat","Sun")</f>
        <v>Mon</v>
      </c>
      <c r="Q968" s="4" t="str">
        <f aca="false">IF(WEEKDAY(B968,2)&gt;5,"Weekend","Weekday")</f>
        <v>Weekday</v>
      </c>
      <c r="R968" s="4" t="str">
        <f aca="false">IF(C968&lt;11,"Morning (7-10)",IF(C968&lt;14,"Lunch (11-13)",IF(C968&lt;18,"Afternoon (14-17)","Evening (18-20)")))</f>
        <v>Lunch (11-13)</v>
      </c>
      <c r="S968" s="4" t="str">
        <f aca="false">IF(AND(O968&gt;=3,O968&lt;=5),"Hot Dry (Mar-May)",IF(AND(O968&gt;=6,O968&lt;=11),"Rainy (Jun-Nov)","Cool Dry (Dec-Feb)"))</f>
        <v>Rainy (Jun-Nov)</v>
      </c>
      <c r="T968" s="4" t="str">
        <f aca="false">CHOOSE(O968,"Jan","Feb","Mar","Apr","May","Jun","Jul","Aug","Sep","Oct","Nov","Dec")</f>
        <v>Jul</v>
      </c>
    </row>
    <row r="969" customFormat="false" ht="15" hidden="false" customHeight="false" outlineLevel="0" collapsed="false">
      <c r="A969" s="4" t="s">
        <v>1271</v>
      </c>
      <c r="B969" s="17" t="n">
        <v>45859</v>
      </c>
      <c r="C969" s="4" t="n">
        <v>12</v>
      </c>
      <c r="D969" s="4" t="s">
        <v>98</v>
      </c>
      <c r="E969" s="4" t="s">
        <v>99</v>
      </c>
      <c r="F969" s="4" t="s">
        <v>102</v>
      </c>
      <c r="G969" s="4" t="n">
        <v>3</v>
      </c>
      <c r="H969" s="34" t="n">
        <v>140</v>
      </c>
      <c r="I969" s="18" t="n">
        <v>0.1</v>
      </c>
      <c r="J969" s="4" t="s">
        <v>81</v>
      </c>
      <c r="K969" s="4" t="s">
        <v>71</v>
      </c>
      <c r="L969" s="35" t="n">
        <f aca="false">G969*H969</f>
        <v>420</v>
      </c>
      <c r="M969" s="35" t="n">
        <f aca="false">L969*I969</f>
        <v>42</v>
      </c>
      <c r="N969" s="35" t="n">
        <f aca="false">L969-M969</f>
        <v>378</v>
      </c>
      <c r="O969" s="4" t="n">
        <f aca="false">MONTH(B969)</f>
        <v>7</v>
      </c>
      <c r="P969" s="4" t="str">
        <f aca="false">CHOOSE(WEEKDAY(B969,2),"Mon","Tue","Wed","Thu","Fri","Sat","Sun")</f>
        <v>Mon</v>
      </c>
      <c r="Q969" s="4" t="str">
        <f aca="false">IF(WEEKDAY(B969,2)&gt;5,"Weekend","Weekday")</f>
        <v>Weekday</v>
      </c>
      <c r="R969" s="4" t="str">
        <f aca="false">IF(C969&lt;11,"Morning (7-10)",IF(C969&lt;14,"Lunch (11-13)",IF(C969&lt;18,"Afternoon (14-17)","Evening (18-20)")))</f>
        <v>Lunch (11-13)</v>
      </c>
      <c r="S969" s="4" t="str">
        <f aca="false">IF(AND(O969&gt;=3,O969&lt;=5),"Hot Dry (Mar-May)",IF(AND(O969&gt;=6,O969&lt;=11),"Rainy (Jun-Nov)","Cool Dry (Dec-Feb)"))</f>
        <v>Rainy (Jun-Nov)</v>
      </c>
      <c r="T969" s="4" t="str">
        <f aca="false">CHOOSE(O969,"Jan","Feb","Mar","Apr","May","Jun","Jul","Aug","Sep","Oct","Nov","Dec")</f>
        <v>Jul</v>
      </c>
    </row>
    <row r="970" customFormat="false" ht="15" hidden="false" customHeight="false" outlineLevel="0" collapsed="false">
      <c r="A970" s="4" t="s">
        <v>1273</v>
      </c>
      <c r="B970" s="17" t="n">
        <v>45859</v>
      </c>
      <c r="C970" s="4" t="n">
        <v>12</v>
      </c>
      <c r="D970" s="4" t="s">
        <v>98</v>
      </c>
      <c r="E970" s="4" t="s">
        <v>65</v>
      </c>
      <c r="F970" s="4" t="s">
        <v>87</v>
      </c>
      <c r="G970" s="4" t="n">
        <v>1</v>
      </c>
      <c r="H970" s="34" t="n">
        <v>160</v>
      </c>
      <c r="I970" s="18" t="n">
        <v>0.05</v>
      </c>
      <c r="J970" s="4" t="s">
        <v>81</v>
      </c>
      <c r="K970" s="4" t="s">
        <v>82</v>
      </c>
      <c r="L970" s="35" t="n">
        <f aca="false">G970*H970</f>
        <v>160</v>
      </c>
      <c r="M970" s="35" t="n">
        <f aca="false">L970*I970</f>
        <v>8</v>
      </c>
      <c r="N970" s="35" t="n">
        <f aca="false">L970-M970</f>
        <v>152</v>
      </c>
      <c r="O970" s="4" t="n">
        <f aca="false">MONTH(B970)</f>
        <v>7</v>
      </c>
      <c r="P970" s="4" t="str">
        <f aca="false">CHOOSE(WEEKDAY(B970,2),"Mon","Tue","Wed","Thu","Fri","Sat","Sun")</f>
        <v>Mon</v>
      </c>
      <c r="Q970" s="4" t="str">
        <f aca="false">IF(WEEKDAY(B970,2)&gt;5,"Weekend","Weekday")</f>
        <v>Weekday</v>
      </c>
      <c r="R970" s="4" t="str">
        <f aca="false">IF(C970&lt;11,"Morning (7-10)",IF(C970&lt;14,"Lunch (11-13)",IF(C970&lt;18,"Afternoon (14-17)","Evening (18-20)")))</f>
        <v>Lunch (11-13)</v>
      </c>
      <c r="S970" s="4" t="str">
        <f aca="false">IF(AND(O970&gt;=3,O970&lt;=5),"Hot Dry (Mar-May)",IF(AND(O970&gt;=6,O970&lt;=11),"Rainy (Jun-Nov)","Cool Dry (Dec-Feb)"))</f>
        <v>Rainy (Jun-Nov)</v>
      </c>
      <c r="T970" s="4" t="str">
        <f aca="false">CHOOSE(O970,"Jan","Feb","Mar","Apr","May","Jun","Jul","Aug","Sep","Oct","Nov","Dec")</f>
        <v>Jul</v>
      </c>
    </row>
    <row r="971" customFormat="false" ht="15" hidden="false" customHeight="false" outlineLevel="0" collapsed="false">
      <c r="A971" s="4" t="s">
        <v>1274</v>
      </c>
      <c r="B971" s="17" t="n">
        <v>45860</v>
      </c>
      <c r="C971" s="4" t="n">
        <v>7</v>
      </c>
      <c r="D971" s="4" t="s">
        <v>70</v>
      </c>
      <c r="E971" s="4" t="s">
        <v>99</v>
      </c>
      <c r="F971" s="4" t="s">
        <v>109</v>
      </c>
      <c r="G971" s="4" t="n">
        <v>1</v>
      </c>
      <c r="H971" s="34" t="n">
        <v>130</v>
      </c>
      <c r="I971" s="18" t="n">
        <v>0</v>
      </c>
      <c r="J971" s="4" t="s">
        <v>76</v>
      </c>
      <c r="K971" s="4" t="s">
        <v>77</v>
      </c>
      <c r="L971" s="35" t="n">
        <f aca="false">G971*H971</f>
        <v>130</v>
      </c>
      <c r="M971" s="35" t="n">
        <f aca="false">L971*I971</f>
        <v>0</v>
      </c>
      <c r="N971" s="35" t="n">
        <f aca="false">L971-M971</f>
        <v>130</v>
      </c>
      <c r="O971" s="4" t="n">
        <f aca="false">MONTH(B971)</f>
        <v>7</v>
      </c>
      <c r="P971" s="4" t="str">
        <f aca="false">CHOOSE(WEEKDAY(B971,2),"Mon","Tue","Wed","Thu","Fri","Sat","Sun")</f>
        <v>Tue</v>
      </c>
      <c r="Q971" s="4" t="str">
        <f aca="false">IF(WEEKDAY(B971,2)&gt;5,"Weekend","Weekday")</f>
        <v>Weekday</v>
      </c>
      <c r="R971" s="4" t="str">
        <f aca="false">IF(C971&lt;11,"Morning (7-10)",IF(C971&lt;14,"Lunch (11-13)",IF(C971&lt;18,"Afternoon (14-17)","Evening (18-20)")))</f>
        <v>Morning (7-10)</v>
      </c>
      <c r="S971" s="4" t="str">
        <f aca="false">IF(AND(O971&gt;=3,O971&lt;=5),"Hot Dry (Mar-May)",IF(AND(O971&gt;=6,O971&lt;=11),"Rainy (Jun-Nov)","Cool Dry (Dec-Feb)"))</f>
        <v>Rainy (Jun-Nov)</v>
      </c>
      <c r="T971" s="4" t="str">
        <f aca="false">CHOOSE(O971,"Jan","Feb","Mar","Apr","May","Jun","Jul","Aug","Sep","Oct","Nov","Dec")</f>
        <v>Jul</v>
      </c>
    </row>
    <row r="972" customFormat="false" ht="15" hidden="false" customHeight="false" outlineLevel="0" collapsed="false">
      <c r="A972" s="4" t="s">
        <v>1275</v>
      </c>
      <c r="B972" s="17" t="n">
        <v>45860</v>
      </c>
      <c r="C972" s="4" t="n">
        <v>8</v>
      </c>
      <c r="D972" s="4" t="s">
        <v>98</v>
      </c>
      <c r="E972" s="4" t="s">
        <v>84</v>
      </c>
      <c r="F972" s="4" t="s">
        <v>106</v>
      </c>
      <c r="G972" s="4" t="n">
        <v>1</v>
      </c>
      <c r="H972" s="34" t="n">
        <v>60</v>
      </c>
      <c r="I972" s="18" t="n">
        <v>0.15</v>
      </c>
      <c r="J972" s="4" t="s">
        <v>76</v>
      </c>
      <c r="K972" s="4" t="s">
        <v>82</v>
      </c>
      <c r="L972" s="35" t="n">
        <f aca="false">G972*H972</f>
        <v>60</v>
      </c>
      <c r="M972" s="35" t="n">
        <f aca="false">L972*I972</f>
        <v>9</v>
      </c>
      <c r="N972" s="35" t="n">
        <f aca="false">L972-M972</f>
        <v>51</v>
      </c>
      <c r="O972" s="4" t="n">
        <f aca="false">MONTH(B972)</f>
        <v>7</v>
      </c>
      <c r="P972" s="4" t="str">
        <f aca="false">CHOOSE(WEEKDAY(B972,2),"Mon","Tue","Wed","Thu","Fri","Sat","Sun")</f>
        <v>Tue</v>
      </c>
      <c r="Q972" s="4" t="str">
        <f aca="false">IF(WEEKDAY(B972,2)&gt;5,"Weekend","Weekday")</f>
        <v>Weekday</v>
      </c>
      <c r="R972" s="4" t="str">
        <f aca="false">IF(C972&lt;11,"Morning (7-10)",IF(C972&lt;14,"Lunch (11-13)",IF(C972&lt;18,"Afternoon (14-17)","Evening (18-20)")))</f>
        <v>Morning (7-10)</v>
      </c>
      <c r="S972" s="4" t="str">
        <f aca="false">IF(AND(O972&gt;=3,O972&lt;=5),"Hot Dry (Mar-May)",IF(AND(O972&gt;=6,O972&lt;=11),"Rainy (Jun-Nov)","Cool Dry (Dec-Feb)"))</f>
        <v>Rainy (Jun-Nov)</v>
      </c>
      <c r="T972" s="4" t="str">
        <f aca="false">CHOOSE(O972,"Jan","Feb","Mar","Apr","May","Jun","Jul","Aug","Sep","Oct","Nov","Dec")</f>
        <v>Jul</v>
      </c>
    </row>
    <row r="973" customFormat="false" ht="15" hidden="false" customHeight="false" outlineLevel="0" collapsed="false">
      <c r="A973" s="4" t="s">
        <v>1276</v>
      </c>
      <c r="B973" s="17" t="n">
        <v>45860</v>
      </c>
      <c r="C973" s="4" t="n">
        <v>8</v>
      </c>
      <c r="D973" s="4" t="s">
        <v>70</v>
      </c>
      <c r="E973" s="4" t="s">
        <v>99</v>
      </c>
      <c r="F973" s="4" t="s">
        <v>109</v>
      </c>
      <c r="G973" s="4" t="n">
        <v>2</v>
      </c>
      <c r="H973" s="34" t="n">
        <v>130</v>
      </c>
      <c r="I973" s="18" t="n">
        <v>0.1</v>
      </c>
      <c r="J973" s="4" t="s">
        <v>88</v>
      </c>
      <c r="K973" s="4" t="s">
        <v>71</v>
      </c>
      <c r="L973" s="35" t="n">
        <f aca="false">G973*H973</f>
        <v>260</v>
      </c>
      <c r="M973" s="35" t="n">
        <f aca="false">L973*I973</f>
        <v>26</v>
      </c>
      <c r="N973" s="35" t="n">
        <f aca="false">L973-M973</f>
        <v>234</v>
      </c>
      <c r="O973" s="4" t="n">
        <f aca="false">MONTH(B973)</f>
        <v>7</v>
      </c>
      <c r="P973" s="4" t="str">
        <f aca="false">CHOOSE(WEEKDAY(B973,2),"Mon","Tue","Wed","Thu","Fri","Sat","Sun")</f>
        <v>Tue</v>
      </c>
      <c r="Q973" s="4" t="str">
        <f aca="false">IF(WEEKDAY(B973,2)&gt;5,"Weekend","Weekday")</f>
        <v>Weekday</v>
      </c>
      <c r="R973" s="4" t="str">
        <f aca="false">IF(C973&lt;11,"Morning (7-10)",IF(C973&lt;14,"Lunch (11-13)",IF(C973&lt;18,"Afternoon (14-17)","Evening (18-20)")))</f>
        <v>Morning (7-10)</v>
      </c>
      <c r="S973" s="4" t="str">
        <f aca="false">IF(AND(O973&gt;=3,O973&lt;=5),"Hot Dry (Mar-May)",IF(AND(O973&gt;=6,O973&lt;=11),"Rainy (Jun-Nov)","Cool Dry (Dec-Feb)"))</f>
        <v>Rainy (Jun-Nov)</v>
      </c>
      <c r="T973" s="4" t="str">
        <f aca="false">CHOOSE(O973,"Jan","Feb","Mar","Apr","May","Jun","Jul","Aug","Sep","Oct","Nov","Dec")</f>
        <v>Jul</v>
      </c>
    </row>
    <row r="974" customFormat="false" ht="15" hidden="false" customHeight="false" outlineLevel="0" collapsed="false">
      <c r="A974" s="4" t="s">
        <v>1278</v>
      </c>
      <c r="B974" s="17" t="n">
        <v>45860</v>
      </c>
      <c r="C974" s="4" t="n">
        <v>14</v>
      </c>
      <c r="D974" s="4" t="s">
        <v>73</v>
      </c>
      <c r="E974" s="4" t="s">
        <v>84</v>
      </c>
      <c r="F974" s="4" t="s">
        <v>117</v>
      </c>
      <c r="G974" s="4" t="n">
        <v>1</v>
      </c>
      <c r="H974" s="34" t="n">
        <v>95</v>
      </c>
      <c r="I974" s="18" t="n">
        <v>0.1</v>
      </c>
      <c r="J974" s="4" t="s">
        <v>76</v>
      </c>
      <c r="K974" s="4" t="s">
        <v>71</v>
      </c>
      <c r="L974" s="35" t="n">
        <f aca="false">G974*H974</f>
        <v>95</v>
      </c>
      <c r="M974" s="35" t="n">
        <f aca="false">L974*I974</f>
        <v>9.5</v>
      </c>
      <c r="N974" s="35" t="n">
        <f aca="false">L974-M974</f>
        <v>85.5</v>
      </c>
      <c r="O974" s="4" t="n">
        <f aca="false">MONTH(B974)</f>
        <v>7</v>
      </c>
      <c r="P974" s="4" t="str">
        <f aca="false">CHOOSE(WEEKDAY(B974,2),"Mon","Tue","Wed","Thu","Fri","Sat","Sun")</f>
        <v>Tue</v>
      </c>
      <c r="Q974" s="4" t="str">
        <f aca="false">IF(WEEKDAY(B974,2)&gt;5,"Weekend","Weekday")</f>
        <v>Weekday</v>
      </c>
      <c r="R974" s="4" t="str">
        <f aca="false">IF(C974&lt;11,"Morning (7-10)",IF(C974&lt;14,"Lunch (11-13)",IF(C974&lt;18,"Afternoon (14-17)","Evening (18-20)")))</f>
        <v>Afternoon (14-17)</v>
      </c>
      <c r="S974" s="4" t="str">
        <f aca="false">IF(AND(O974&gt;=3,O974&lt;=5),"Hot Dry (Mar-May)",IF(AND(O974&gt;=6,O974&lt;=11),"Rainy (Jun-Nov)","Cool Dry (Dec-Feb)"))</f>
        <v>Rainy (Jun-Nov)</v>
      </c>
      <c r="T974" s="4" t="str">
        <f aca="false">CHOOSE(O974,"Jan","Feb","Mar","Apr","May","Jun","Jul","Aug","Sep","Oct","Nov","Dec")</f>
        <v>Jul</v>
      </c>
    </row>
    <row r="975" customFormat="false" ht="15" hidden="false" customHeight="false" outlineLevel="0" collapsed="false">
      <c r="A975" s="4" t="s">
        <v>1279</v>
      </c>
      <c r="B975" s="17" t="n">
        <v>45860</v>
      </c>
      <c r="C975" s="4" t="n">
        <v>15</v>
      </c>
      <c r="D975" s="4" t="s">
        <v>73</v>
      </c>
      <c r="E975" s="4" t="s">
        <v>99</v>
      </c>
      <c r="F975" s="4" t="s">
        <v>100</v>
      </c>
      <c r="G975" s="4" t="n">
        <v>1</v>
      </c>
      <c r="H975" s="34" t="n">
        <v>110</v>
      </c>
      <c r="I975" s="18" t="n">
        <v>0.1</v>
      </c>
      <c r="J975" s="4" t="s">
        <v>112</v>
      </c>
      <c r="K975" s="4" t="s">
        <v>71</v>
      </c>
      <c r="L975" s="35" t="n">
        <f aca="false">G975*H975</f>
        <v>110</v>
      </c>
      <c r="M975" s="35" t="n">
        <f aca="false">L975*I975</f>
        <v>11</v>
      </c>
      <c r="N975" s="35" t="n">
        <f aca="false">L975-M975</f>
        <v>99</v>
      </c>
      <c r="O975" s="4" t="n">
        <f aca="false">MONTH(B975)</f>
        <v>7</v>
      </c>
      <c r="P975" s="4" t="str">
        <f aca="false">CHOOSE(WEEKDAY(B975,2),"Mon","Tue","Wed","Thu","Fri","Sat","Sun")</f>
        <v>Tue</v>
      </c>
      <c r="Q975" s="4" t="str">
        <f aca="false">IF(WEEKDAY(B975,2)&gt;5,"Weekend","Weekday")</f>
        <v>Weekday</v>
      </c>
      <c r="R975" s="4" t="str">
        <f aca="false">IF(C975&lt;11,"Morning (7-10)",IF(C975&lt;14,"Lunch (11-13)",IF(C975&lt;18,"Afternoon (14-17)","Evening (18-20)")))</f>
        <v>Afternoon (14-17)</v>
      </c>
      <c r="S975" s="4" t="str">
        <f aca="false">IF(AND(O975&gt;=3,O975&lt;=5),"Hot Dry (Mar-May)",IF(AND(O975&gt;=6,O975&lt;=11),"Rainy (Jun-Nov)","Cool Dry (Dec-Feb)"))</f>
        <v>Rainy (Jun-Nov)</v>
      </c>
      <c r="T975" s="4" t="str">
        <f aca="false">CHOOSE(O975,"Jan","Feb","Mar","Apr","May","Jun","Jul","Aug","Sep","Oct","Nov","Dec")</f>
        <v>Jul</v>
      </c>
    </row>
    <row r="976" customFormat="false" ht="15" hidden="false" customHeight="false" outlineLevel="0" collapsed="false">
      <c r="A976" s="4" t="s">
        <v>1280</v>
      </c>
      <c r="B976" s="17" t="n">
        <v>45861</v>
      </c>
      <c r="C976" s="4" t="n">
        <v>7</v>
      </c>
      <c r="D976" s="4" t="s">
        <v>70</v>
      </c>
      <c r="E976" s="4" t="s">
        <v>99</v>
      </c>
      <c r="F976" s="4" t="s">
        <v>109</v>
      </c>
      <c r="G976" s="4" t="n">
        <v>2</v>
      </c>
      <c r="H976" s="34" t="n">
        <v>130</v>
      </c>
      <c r="I976" s="18" t="n">
        <v>0</v>
      </c>
      <c r="J976" s="4" t="s">
        <v>67</v>
      </c>
      <c r="K976" s="4" t="s">
        <v>68</v>
      </c>
      <c r="L976" s="35" t="n">
        <f aca="false">G976*H976</f>
        <v>260</v>
      </c>
      <c r="M976" s="35" t="n">
        <f aca="false">L976*I976</f>
        <v>0</v>
      </c>
      <c r="N976" s="35" t="n">
        <f aca="false">L976-M976</f>
        <v>260</v>
      </c>
      <c r="O976" s="4" t="n">
        <f aca="false">MONTH(B976)</f>
        <v>7</v>
      </c>
      <c r="P976" s="4" t="str">
        <f aca="false">CHOOSE(WEEKDAY(B976,2),"Mon","Tue","Wed","Thu","Fri","Sat","Sun")</f>
        <v>Wed</v>
      </c>
      <c r="Q976" s="4" t="str">
        <f aca="false">IF(WEEKDAY(B976,2)&gt;5,"Weekend","Weekday")</f>
        <v>Weekday</v>
      </c>
      <c r="R976" s="4" t="str">
        <f aca="false">IF(C976&lt;11,"Morning (7-10)",IF(C976&lt;14,"Lunch (11-13)",IF(C976&lt;18,"Afternoon (14-17)","Evening (18-20)")))</f>
        <v>Morning (7-10)</v>
      </c>
      <c r="S976" s="4" t="str">
        <f aca="false">IF(AND(O976&gt;=3,O976&lt;=5),"Hot Dry (Mar-May)",IF(AND(O976&gt;=6,O976&lt;=11),"Rainy (Jun-Nov)","Cool Dry (Dec-Feb)"))</f>
        <v>Rainy (Jun-Nov)</v>
      </c>
      <c r="T976" s="4" t="str">
        <f aca="false">CHOOSE(O976,"Jan","Feb","Mar","Apr","May","Jun","Jul","Aug","Sep","Oct","Nov","Dec")</f>
        <v>Jul</v>
      </c>
    </row>
    <row r="977" customFormat="false" ht="15" hidden="false" customHeight="false" outlineLevel="0" collapsed="false">
      <c r="A977" s="4" t="s">
        <v>1281</v>
      </c>
      <c r="B977" s="17" t="n">
        <v>45861</v>
      </c>
      <c r="C977" s="4" t="n">
        <v>8</v>
      </c>
      <c r="D977" s="4" t="s">
        <v>73</v>
      </c>
      <c r="E977" s="4" t="s">
        <v>65</v>
      </c>
      <c r="F977" s="4" t="s">
        <v>94</v>
      </c>
      <c r="G977" s="4" t="n">
        <v>1</v>
      </c>
      <c r="H977" s="34" t="n">
        <v>150</v>
      </c>
      <c r="I977" s="18" t="n">
        <v>0.1</v>
      </c>
      <c r="J977" s="4" t="s">
        <v>76</v>
      </c>
      <c r="K977" s="4" t="s">
        <v>77</v>
      </c>
      <c r="L977" s="35" t="n">
        <f aca="false">G977*H977</f>
        <v>150</v>
      </c>
      <c r="M977" s="35" t="n">
        <f aca="false">L977*I977</f>
        <v>15</v>
      </c>
      <c r="N977" s="35" t="n">
        <f aca="false">L977-M977</f>
        <v>135</v>
      </c>
      <c r="O977" s="4" t="n">
        <f aca="false">MONTH(B977)</f>
        <v>7</v>
      </c>
      <c r="P977" s="4" t="str">
        <f aca="false">CHOOSE(WEEKDAY(B977,2),"Mon","Tue","Wed","Thu","Fri","Sat","Sun")</f>
        <v>Wed</v>
      </c>
      <c r="Q977" s="4" t="str">
        <f aca="false">IF(WEEKDAY(B977,2)&gt;5,"Weekend","Weekday")</f>
        <v>Weekday</v>
      </c>
      <c r="R977" s="4" t="str">
        <f aca="false">IF(C977&lt;11,"Morning (7-10)",IF(C977&lt;14,"Lunch (11-13)",IF(C977&lt;18,"Afternoon (14-17)","Evening (18-20)")))</f>
        <v>Morning (7-10)</v>
      </c>
      <c r="S977" s="4" t="str">
        <f aca="false">IF(AND(O977&gt;=3,O977&lt;=5),"Hot Dry (Mar-May)",IF(AND(O977&gt;=6,O977&lt;=11),"Rainy (Jun-Nov)","Cool Dry (Dec-Feb)"))</f>
        <v>Rainy (Jun-Nov)</v>
      </c>
      <c r="T977" s="4" t="str">
        <f aca="false">CHOOSE(O977,"Jan","Feb","Mar","Apr","May","Jun","Jul","Aug","Sep","Oct","Nov","Dec")</f>
        <v>Jul</v>
      </c>
    </row>
    <row r="978" customFormat="false" ht="15" hidden="false" customHeight="false" outlineLevel="0" collapsed="false">
      <c r="A978" s="4" t="s">
        <v>1282</v>
      </c>
      <c r="B978" s="17" t="n">
        <v>45861</v>
      </c>
      <c r="C978" s="4" t="n">
        <v>9</v>
      </c>
      <c r="D978" s="4" t="s">
        <v>64</v>
      </c>
      <c r="E978" s="4" t="s">
        <v>84</v>
      </c>
      <c r="F978" s="4" t="s">
        <v>117</v>
      </c>
      <c r="G978" s="4" t="n">
        <v>3</v>
      </c>
      <c r="H978" s="34" t="n">
        <v>95</v>
      </c>
      <c r="I978" s="18" t="n">
        <v>0</v>
      </c>
      <c r="J978" s="4" t="s">
        <v>81</v>
      </c>
      <c r="K978" s="4" t="s">
        <v>77</v>
      </c>
      <c r="L978" s="35" t="n">
        <f aca="false">G978*H978</f>
        <v>285</v>
      </c>
      <c r="M978" s="35" t="n">
        <f aca="false">L978*I978</f>
        <v>0</v>
      </c>
      <c r="N978" s="35" t="n">
        <f aca="false">L978-M978</f>
        <v>285</v>
      </c>
      <c r="O978" s="4" t="n">
        <f aca="false">MONTH(B978)</f>
        <v>7</v>
      </c>
      <c r="P978" s="4" t="str">
        <f aca="false">CHOOSE(WEEKDAY(B978,2),"Mon","Tue","Wed","Thu","Fri","Sat","Sun")</f>
        <v>Wed</v>
      </c>
      <c r="Q978" s="4" t="str">
        <f aca="false">IF(WEEKDAY(B978,2)&gt;5,"Weekend","Weekday")</f>
        <v>Weekday</v>
      </c>
      <c r="R978" s="4" t="str">
        <f aca="false">IF(C978&lt;11,"Morning (7-10)",IF(C978&lt;14,"Lunch (11-13)",IF(C978&lt;18,"Afternoon (14-17)","Evening (18-20)")))</f>
        <v>Morning (7-10)</v>
      </c>
      <c r="S978" s="4" t="str">
        <f aca="false">IF(AND(O978&gt;=3,O978&lt;=5),"Hot Dry (Mar-May)",IF(AND(O978&gt;=6,O978&lt;=11),"Rainy (Jun-Nov)","Cool Dry (Dec-Feb)"))</f>
        <v>Rainy (Jun-Nov)</v>
      </c>
      <c r="T978" s="4" t="str">
        <f aca="false">CHOOSE(O978,"Jan","Feb","Mar","Apr","May","Jun","Jul","Aug","Sep","Oct","Nov","Dec")</f>
        <v>Jul</v>
      </c>
    </row>
    <row r="979" customFormat="false" ht="15" hidden="false" customHeight="false" outlineLevel="0" collapsed="false">
      <c r="A979" s="4" t="s">
        <v>1283</v>
      </c>
      <c r="B979" s="17" t="n">
        <v>45861</v>
      </c>
      <c r="C979" s="4" t="n">
        <v>10</v>
      </c>
      <c r="D979" s="4" t="s">
        <v>70</v>
      </c>
      <c r="E979" s="4" t="s">
        <v>65</v>
      </c>
      <c r="F979" s="4" t="s">
        <v>94</v>
      </c>
      <c r="G979" s="4" t="n">
        <v>1</v>
      </c>
      <c r="H979" s="34" t="n">
        <v>150</v>
      </c>
      <c r="I979" s="18" t="n">
        <v>0</v>
      </c>
      <c r="J979" s="4" t="s">
        <v>88</v>
      </c>
      <c r="K979" s="4" t="s">
        <v>68</v>
      </c>
      <c r="L979" s="35" t="n">
        <f aca="false">G979*H979</f>
        <v>150</v>
      </c>
      <c r="M979" s="35" t="n">
        <f aca="false">L979*I979</f>
        <v>0</v>
      </c>
      <c r="N979" s="35" t="n">
        <f aca="false">L979-M979</f>
        <v>150</v>
      </c>
      <c r="O979" s="4" t="n">
        <f aca="false">MONTH(B979)</f>
        <v>7</v>
      </c>
      <c r="P979" s="4" t="str">
        <f aca="false">CHOOSE(WEEKDAY(B979,2),"Mon","Tue","Wed","Thu","Fri","Sat","Sun")</f>
        <v>Wed</v>
      </c>
      <c r="Q979" s="4" t="str">
        <f aca="false">IF(WEEKDAY(B979,2)&gt;5,"Weekend","Weekday")</f>
        <v>Weekday</v>
      </c>
      <c r="R979" s="4" t="str">
        <f aca="false">IF(C979&lt;11,"Morning (7-10)",IF(C979&lt;14,"Lunch (11-13)",IF(C979&lt;18,"Afternoon (14-17)","Evening (18-20)")))</f>
        <v>Morning (7-10)</v>
      </c>
      <c r="S979" s="4" t="str">
        <f aca="false">IF(AND(O979&gt;=3,O979&lt;=5),"Hot Dry (Mar-May)",IF(AND(O979&gt;=6,O979&lt;=11),"Rainy (Jun-Nov)","Cool Dry (Dec-Feb)"))</f>
        <v>Rainy (Jun-Nov)</v>
      </c>
      <c r="T979" s="4" t="str">
        <f aca="false">CHOOSE(O979,"Jan","Feb","Mar","Apr","May","Jun","Jul","Aug","Sep","Oct","Nov","Dec")</f>
        <v>Jul</v>
      </c>
    </row>
    <row r="980" customFormat="false" ht="15" hidden="false" customHeight="false" outlineLevel="0" collapsed="false">
      <c r="A980" s="4" t="s">
        <v>1284</v>
      </c>
      <c r="B980" s="17" t="n">
        <v>45861</v>
      </c>
      <c r="C980" s="4" t="n">
        <v>12</v>
      </c>
      <c r="D980" s="4" t="s">
        <v>73</v>
      </c>
      <c r="E980" s="4" t="s">
        <v>84</v>
      </c>
      <c r="F980" s="4" t="s">
        <v>85</v>
      </c>
      <c r="G980" s="4" t="n">
        <v>2</v>
      </c>
      <c r="H980" s="34" t="n">
        <v>150</v>
      </c>
      <c r="I980" s="18" t="n">
        <v>0</v>
      </c>
      <c r="J980" s="4" t="s">
        <v>112</v>
      </c>
      <c r="K980" s="4" t="s">
        <v>68</v>
      </c>
      <c r="L980" s="35" t="n">
        <f aca="false">G980*H980</f>
        <v>300</v>
      </c>
      <c r="M980" s="35" t="n">
        <f aca="false">L980*I980</f>
        <v>0</v>
      </c>
      <c r="N980" s="35" t="n">
        <f aca="false">L980-M980</f>
        <v>300</v>
      </c>
      <c r="O980" s="4" t="n">
        <f aca="false">MONTH(B980)</f>
        <v>7</v>
      </c>
      <c r="P980" s="4" t="str">
        <f aca="false">CHOOSE(WEEKDAY(B980,2),"Mon","Tue","Wed","Thu","Fri","Sat","Sun")</f>
        <v>Wed</v>
      </c>
      <c r="Q980" s="4" t="str">
        <f aca="false">IF(WEEKDAY(B980,2)&gt;5,"Weekend","Weekday")</f>
        <v>Weekday</v>
      </c>
      <c r="R980" s="4" t="str">
        <f aca="false">IF(C980&lt;11,"Morning (7-10)",IF(C980&lt;14,"Lunch (11-13)",IF(C980&lt;18,"Afternoon (14-17)","Evening (18-20)")))</f>
        <v>Lunch (11-13)</v>
      </c>
      <c r="S980" s="4" t="str">
        <f aca="false">IF(AND(O980&gt;=3,O980&lt;=5),"Hot Dry (Mar-May)",IF(AND(O980&gt;=6,O980&lt;=11),"Rainy (Jun-Nov)","Cool Dry (Dec-Feb)"))</f>
        <v>Rainy (Jun-Nov)</v>
      </c>
      <c r="T980" s="4" t="str">
        <f aca="false">CHOOSE(O980,"Jan","Feb","Mar","Apr","May","Jun","Jul","Aug","Sep","Oct","Nov","Dec")</f>
        <v>Jul</v>
      </c>
    </row>
    <row r="981" customFormat="false" ht="15" hidden="false" customHeight="false" outlineLevel="0" collapsed="false">
      <c r="A981" s="4" t="s">
        <v>1285</v>
      </c>
      <c r="B981" s="17" t="n">
        <v>45861</v>
      </c>
      <c r="C981" s="4" t="n">
        <v>16</v>
      </c>
      <c r="D981" s="4" t="s">
        <v>64</v>
      </c>
      <c r="E981" s="4" t="s">
        <v>65</v>
      </c>
      <c r="F981" s="4" t="s">
        <v>121</v>
      </c>
      <c r="G981" s="4" t="n">
        <v>4</v>
      </c>
      <c r="H981" s="34" t="n">
        <v>170</v>
      </c>
      <c r="I981" s="18" t="n">
        <v>0</v>
      </c>
      <c r="J981" s="4" t="s">
        <v>112</v>
      </c>
      <c r="K981" s="4" t="s">
        <v>68</v>
      </c>
      <c r="L981" s="35" t="n">
        <f aca="false">G981*H981</f>
        <v>680</v>
      </c>
      <c r="M981" s="35" t="n">
        <f aca="false">L981*I981</f>
        <v>0</v>
      </c>
      <c r="N981" s="35" t="n">
        <f aca="false">L981-M981</f>
        <v>680</v>
      </c>
      <c r="O981" s="4" t="n">
        <f aca="false">MONTH(B981)</f>
        <v>7</v>
      </c>
      <c r="P981" s="4" t="str">
        <f aca="false">CHOOSE(WEEKDAY(B981,2),"Mon","Tue","Wed","Thu","Fri","Sat","Sun")</f>
        <v>Wed</v>
      </c>
      <c r="Q981" s="4" t="str">
        <f aca="false">IF(WEEKDAY(B981,2)&gt;5,"Weekend","Weekday")</f>
        <v>Weekday</v>
      </c>
      <c r="R981" s="4" t="str">
        <f aca="false">IF(C981&lt;11,"Morning (7-10)",IF(C981&lt;14,"Lunch (11-13)",IF(C981&lt;18,"Afternoon (14-17)","Evening (18-20)")))</f>
        <v>Afternoon (14-17)</v>
      </c>
      <c r="S981" s="4" t="str">
        <f aca="false">IF(AND(O981&gt;=3,O981&lt;=5),"Hot Dry (Mar-May)",IF(AND(O981&gt;=6,O981&lt;=11),"Rainy (Jun-Nov)","Cool Dry (Dec-Feb)"))</f>
        <v>Rainy (Jun-Nov)</v>
      </c>
      <c r="T981" s="4" t="str">
        <f aca="false">CHOOSE(O981,"Jan","Feb","Mar","Apr","May","Jun","Jul","Aug","Sep","Oct","Nov","Dec")</f>
        <v>Jul</v>
      </c>
    </row>
    <row r="982" customFormat="false" ht="15" hidden="false" customHeight="false" outlineLevel="0" collapsed="false">
      <c r="A982" s="4" t="s">
        <v>1286</v>
      </c>
      <c r="B982" s="17" t="n">
        <v>45861</v>
      </c>
      <c r="C982" s="4" t="n">
        <v>19</v>
      </c>
      <c r="D982" s="4" t="s">
        <v>70</v>
      </c>
      <c r="E982" s="4" t="s">
        <v>74</v>
      </c>
      <c r="F982" s="4" t="s">
        <v>75</v>
      </c>
      <c r="G982" s="4" t="n">
        <v>2</v>
      </c>
      <c r="H982" s="34" t="n">
        <v>220</v>
      </c>
      <c r="I982" s="18" t="n">
        <v>0</v>
      </c>
      <c r="J982" s="4" t="s">
        <v>76</v>
      </c>
      <c r="K982" s="4" t="s">
        <v>68</v>
      </c>
      <c r="L982" s="35" t="n">
        <f aca="false">G982*H982</f>
        <v>440</v>
      </c>
      <c r="M982" s="35" t="n">
        <f aca="false">L982*I982</f>
        <v>0</v>
      </c>
      <c r="N982" s="35" t="n">
        <f aca="false">L982-M982</f>
        <v>440</v>
      </c>
      <c r="O982" s="4" t="n">
        <f aca="false">MONTH(B982)</f>
        <v>7</v>
      </c>
      <c r="P982" s="4" t="str">
        <f aca="false">CHOOSE(WEEKDAY(B982,2),"Mon","Tue","Wed","Thu","Fri","Sat","Sun")</f>
        <v>Wed</v>
      </c>
      <c r="Q982" s="4" t="str">
        <f aca="false">IF(WEEKDAY(B982,2)&gt;5,"Weekend","Weekday")</f>
        <v>Weekday</v>
      </c>
      <c r="R982" s="4" t="str">
        <f aca="false">IF(C982&lt;11,"Morning (7-10)",IF(C982&lt;14,"Lunch (11-13)",IF(C982&lt;18,"Afternoon (14-17)","Evening (18-20)")))</f>
        <v>Evening (18-20)</v>
      </c>
      <c r="S982" s="4" t="str">
        <f aca="false">IF(AND(O982&gt;=3,O982&lt;=5),"Hot Dry (Mar-May)",IF(AND(O982&gt;=6,O982&lt;=11),"Rainy (Jun-Nov)","Cool Dry (Dec-Feb)"))</f>
        <v>Rainy (Jun-Nov)</v>
      </c>
      <c r="T982" s="4" t="str">
        <f aca="false">CHOOSE(O982,"Jan","Feb","Mar","Apr","May","Jun","Jul","Aug","Sep","Oct","Nov","Dec")</f>
        <v>Jul</v>
      </c>
    </row>
    <row r="983" customFormat="false" ht="15" hidden="false" customHeight="false" outlineLevel="0" collapsed="false">
      <c r="A983" s="4" t="s">
        <v>1287</v>
      </c>
      <c r="B983" s="17" t="n">
        <v>45862</v>
      </c>
      <c r="C983" s="4" t="n">
        <v>7</v>
      </c>
      <c r="D983" s="4" t="s">
        <v>70</v>
      </c>
      <c r="E983" s="4" t="s">
        <v>65</v>
      </c>
      <c r="F983" s="4" t="s">
        <v>66</v>
      </c>
      <c r="G983" s="4" t="n">
        <v>2</v>
      </c>
      <c r="H983" s="34" t="n">
        <v>120</v>
      </c>
      <c r="I983" s="18" t="n">
        <v>0</v>
      </c>
      <c r="J983" s="4" t="s">
        <v>67</v>
      </c>
      <c r="K983" s="4" t="s">
        <v>68</v>
      </c>
      <c r="L983" s="35" t="n">
        <f aca="false">G983*H983</f>
        <v>240</v>
      </c>
      <c r="M983" s="35" t="n">
        <f aca="false">L983*I983</f>
        <v>0</v>
      </c>
      <c r="N983" s="35" t="n">
        <f aca="false">L983-M983</f>
        <v>240</v>
      </c>
      <c r="O983" s="4" t="n">
        <f aca="false">MONTH(B983)</f>
        <v>7</v>
      </c>
      <c r="P983" s="4" t="str">
        <f aca="false">CHOOSE(WEEKDAY(B983,2),"Mon","Tue","Wed","Thu","Fri","Sat","Sun")</f>
        <v>Thu</v>
      </c>
      <c r="Q983" s="4" t="str">
        <f aca="false">IF(WEEKDAY(B983,2)&gt;5,"Weekend","Weekday")</f>
        <v>Weekday</v>
      </c>
      <c r="R983" s="4" t="str">
        <f aca="false">IF(C983&lt;11,"Morning (7-10)",IF(C983&lt;14,"Lunch (11-13)",IF(C983&lt;18,"Afternoon (14-17)","Evening (18-20)")))</f>
        <v>Morning (7-10)</v>
      </c>
      <c r="S983" s="4" t="str">
        <f aca="false">IF(AND(O983&gt;=3,O983&lt;=5),"Hot Dry (Mar-May)",IF(AND(O983&gt;=6,O983&lt;=11),"Rainy (Jun-Nov)","Cool Dry (Dec-Feb)"))</f>
        <v>Rainy (Jun-Nov)</v>
      </c>
      <c r="T983" s="4" t="str">
        <f aca="false">CHOOSE(O983,"Jan","Feb","Mar","Apr","May","Jun","Jul","Aug","Sep","Oct","Nov","Dec")</f>
        <v>Jul</v>
      </c>
    </row>
    <row r="984" customFormat="false" ht="15" hidden="false" customHeight="false" outlineLevel="0" collapsed="false">
      <c r="A984" s="4" t="s">
        <v>1288</v>
      </c>
      <c r="B984" s="17" t="n">
        <v>45862</v>
      </c>
      <c r="C984" s="4" t="n">
        <v>7</v>
      </c>
      <c r="D984" s="4" t="s">
        <v>70</v>
      </c>
      <c r="E984" s="4" t="s">
        <v>65</v>
      </c>
      <c r="F984" s="4" t="s">
        <v>121</v>
      </c>
      <c r="G984" s="4" t="n">
        <v>2</v>
      </c>
      <c r="H984" s="34" t="n">
        <v>170</v>
      </c>
      <c r="I984" s="18" t="n">
        <v>0</v>
      </c>
      <c r="J984" s="4" t="s">
        <v>112</v>
      </c>
      <c r="K984" s="4" t="s">
        <v>68</v>
      </c>
      <c r="L984" s="35" t="n">
        <f aca="false">G984*H984</f>
        <v>340</v>
      </c>
      <c r="M984" s="35" t="n">
        <f aca="false">L984*I984</f>
        <v>0</v>
      </c>
      <c r="N984" s="35" t="n">
        <f aca="false">L984-M984</f>
        <v>340</v>
      </c>
      <c r="O984" s="4" t="n">
        <f aca="false">MONTH(B984)</f>
        <v>7</v>
      </c>
      <c r="P984" s="4" t="str">
        <f aca="false">CHOOSE(WEEKDAY(B984,2),"Mon","Tue","Wed","Thu","Fri","Sat","Sun")</f>
        <v>Thu</v>
      </c>
      <c r="Q984" s="4" t="str">
        <f aca="false">IF(WEEKDAY(B984,2)&gt;5,"Weekend","Weekday")</f>
        <v>Weekday</v>
      </c>
      <c r="R984" s="4" t="str">
        <f aca="false">IF(C984&lt;11,"Morning (7-10)",IF(C984&lt;14,"Lunch (11-13)",IF(C984&lt;18,"Afternoon (14-17)","Evening (18-20)")))</f>
        <v>Morning (7-10)</v>
      </c>
      <c r="S984" s="4" t="str">
        <f aca="false">IF(AND(O984&gt;=3,O984&lt;=5),"Hot Dry (Mar-May)",IF(AND(O984&gt;=6,O984&lt;=11),"Rainy (Jun-Nov)","Cool Dry (Dec-Feb)"))</f>
        <v>Rainy (Jun-Nov)</v>
      </c>
      <c r="T984" s="4" t="str">
        <f aca="false">CHOOSE(O984,"Jan","Feb","Mar","Apr","May","Jun","Jul","Aug","Sep","Oct","Nov","Dec")</f>
        <v>Jul</v>
      </c>
    </row>
    <row r="985" customFormat="false" ht="15" hidden="false" customHeight="false" outlineLevel="0" collapsed="false">
      <c r="A985" s="4" t="s">
        <v>1289</v>
      </c>
      <c r="B985" s="17" t="n">
        <v>45862</v>
      </c>
      <c r="C985" s="4" t="n">
        <v>14</v>
      </c>
      <c r="D985" s="4" t="s">
        <v>64</v>
      </c>
      <c r="E985" s="4" t="s">
        <v>65</v>
      </c>
      <c r="F985" s="4" t="s">
        <v>121</v>
      </c>
      <c r="G985" s="4" t="n">
        <v>4</v>
      </c>
      <c r="H985" s="34" t="n">
        <v>170</v>
      </c>
      <c r="I985" s="18" t="n">
        <v>0</v>
      </c>
      <c r="J985" s="4" t="s">
        <v>67</v>
      </c>
      <c r="K985" s="4" t="s">
        <v>77</v>
      </c>
      <c r="L985" s="35" t="n">
        <f aca="false">G985*H985</f>
        <v>680</v>
      </c>
      <c r="M985" s="35" t="n">
        <f aca="false">L985*I985</f>
        <v>0</v>
      </c>
      <c r="N985" s="35" t="n">
        <f aca="false">L985-M985</f>
        <v>680</v>
      </c>
      <c r="O985" s="4" t="n">
        <f aca="false">MONTH(B985)</f>
        <v>7</v>
      </c>
      <c r="P985" s="4" t="str">
        <f aca="false">CHOOSE(WEEKDAY(B985,2),"Mon","Tue","Wed","Thu","Fri","Sat","Sun")</f>
        <v>Thu</v>
      </c>
      <c r="Q985" s="4" t="str">
        <f aca="false">IF(WEEKDAY(B985,2)&gt;5,"Weekend","Weekday")</f>
        <v>Weekday</v>
      </c>
      <c r="R985" s="4" t="str">
        <f aca="false">IF(C985&lt;11,"Morning (7-10)",IF(C985&lt;14,"Lunch (11-13)",IF(C985&lt;18,"Afternoon (14-17)","Evening (18-20)")))</f>
        <v>Afternoon (14-17)</v>
      </c>
      <c r="S985" s="4" t="str">
        <f aca="false">IF(AND(O985&gt;=3,O985&lt;=5),"Hot Dry (Mar-May)",IF(AND(O985&gt;=6,O985&lt;=11),"Rainy (Jun-Nov)","Cool Dry (Dec-Feb)"))</f>
        <v>Rainy (Jun-Nov)</v>
      </c>
      <c r="T985" s="4" t="str">
        <f aca="false">CHOOSE(O985,"Jan","Feb","Mar","Apr","May","Jun","Jul","Aug","Sep","Oct","Nov","Dec")</f>
        <v>Jul</v>
      </c>
    </row>
    <row r="986" customFormat="false" ht="15" hidden="false" customHeight="false" outlineLevel="0" collapsed="false">
      <c r="A986" s="4" t="s">
        <v>1290</v>
      </c>
      <c r="B986" s="17" t="n">
        <v>45862</v>
      </c>
      <c r="C986" s="4" t="n">
        <v>19</v>
      </c>
      <c r="D986" s="4" t="s">
        <v>70</v>
      </c>
      <c r="E986" s="4" t="s">
        <v>65</v>
      </c>
      <c r="F986" s="4" t="s">
        <v>121</v>
      </c>
      <c r="G986" s="4" t="n">
        <v>2</v>
      </c>
      <c r="H986" s="34" t="n">
        <v>170</v>
      </c>
      <c r="I986" s="18" t="n">
        <v>0.2</v>
      </c>
      <c r="J986" s="4" t="s">
        <v>67</v>
      </c>
      <c r="K986" s="4" t="s">
        <v>77</v>
      </c>
      <c r="L986" s="35" t="n">
        <f aca="false">G986*H986</f>
        <v>340</v>
      </c>
      <c r="M986" s="35" t="n">
        <f aca="false">L986*I986</f>
        <v>68</v>
      </c>
      <c r="N986" s="35" t="n">
        <f aca="false">L986-M986</f>
        <v>272</v>
      </c>
      <c r="O986" s="4" t="n">
        <f aca="false">MONTH(B986)</f>
        <v>7</v>
      </c>
      <c r="P986" s="4" t="str">
        <f aca="false">CHOOSE(WEEKDAY(B986,2),"Mon","Tue","Wed","Thu","Fri","Sat","Sun")</f>
        <v>Thu</v>
      </c>
      <c r="Q986" s="4" t="str">
        <f aca="false">IF(WEEKDAY(B986,2)&gt;5,"Weekend","Weekday")</f>
        <v>Weekday</v>
      </c>
      <c r="R986" s="4" t="str">
        <f aca="false">IF(C986&lt;11,"Morning (7-10)",IF(C986&lt;14,"Lunch (11-13)",IF(C986&lt;18,"Afternoon (14-17)","Evening (18-20)")))</f>
        <v>Evening (18-20)</v>
      </c>
      <c r="S986" s="4" t="str">
        <f aca="false">IF(AND(O986&gt;=3,O986&lt;=5),"Hot Dry (Mar-May)",IF(AND(O986&gt;=6,O986&lt;=11),"Rainy (Jun-Nov)","Cool Dry (Dec-Feb)"))</f>
        <v>Rainy (Jun-Nov)</v>
      </c>
      <c r="T986" s="4" t="str">
        <f aca="false">CHOOSE(O986,"Jan","Feb","Mar","Apr","May","Jun","Jul","Aug","Sep","Oct","Nov","Dec")</f>
        <v>Jul</v>
      </c>
    </row>
    <row r="987" customFormat="false" ht="15" hidden="false" customHeight="false" outlineLevel="0" collapsed="false">
      <c r="A987" s="4" t="s">
        <v>1291</v>
      </c>
      <c r="B987" s="17" t="n">
        <v>45862</v>
      </c>
      <c r="C987" s="4" t="n">
        <v>20</v>
      </c>
      <c r="D987" s="4" t="s">
        <v>73</v>
      </c>
      <c r="E987" s="4" t="s">
        <v>84</v>
      </c>
      <c r="F987" s="4" t="s">
        <v>106</v>
      </c>
      <c r="G987" s="4" t="n">
        <v>1</v>
      </c>
      <c r="H987" s="34" t="n">
        <v>60</v>
      </c>
      <c r="I987" s="18" t="n">
        <v>0.05</v>
      </c>
      <c r="J987" s="4" t="s">
        <v>67</v>
      </c>
      <c r="K987" s="4" t="s">
        <v>2289</v>
      </c>
      <c r="L987" s="35" t="n">
        <f aca="false">G987*H987</f>
        <v>60</v>
      </c>
      <c r="M987" s="35" t="n">
        <f aca="false">L987*I987</f>
        <v>3</v>
      </c>
      <c r="N987" s="35" t="n">
        <f aca="false">L987-M987</f>
        <v>57</v>
      </c>
      <c r="O987" s="4" t="n">
        <f aca="false">MONTH(B987)</f>
        <v>7</v>
      </c>
      <c r="P987" s="4" t="str">
        <f aca="false">CHOOSE(WEEKDAY(B987,2),"Mon","Tue","Wed","Thu","Fri","Sat","Sun")</f>
        <v>Thu</v>
      </c>
      <c r="Q987" s="4" t="str">
        <f aca="false">IF(WEEKDAY(B987,2)&gt;5,"Weekend","Weekday")</f>
        <v>Weekday</v>
      </c>
      <c r="R987" s="4" t="str">
        <f aca="false">IF(C987&lt;11,"Morning (7-10)",IF(C987&lt;14,"Lunch (11-13)",IF(C987&lt;18,"Afternoon (14-17)","Evening (18-20)")))</f>
        <v>Evening (18-20)</v>
      </c>
      <c r="S987" s="4" t="str">
        <f aca="false">IF(AND(O987&gt;=3,O987&lt;=5),"Hot Dry (Mar-May)",IF(AND(O987&gt;=6,O987&lt;=11),"Rainy (Jun-Nov)","Cool Dry (Dec-Feb)"))</f>
        <v>Rainy (Jun-Nov)</v>
      </c>
      <c r="T987" s="4" t="str">
        <f aca="false">CHOOSE(O987,"Jan","Feb","Mar","Apr","May","Jun","Jul","Aug","Sep","Oct","Nov","Dec")</f>
        <v>Jul</v>
      </c>
    </row>
    <row r="988" customFormat="false" ht="15" hidden="false" customHeight="false" outlineLevel="0" collapsed="false">
      <c r="A988" s="4" t="s">
        <v>1293</v>
      </c>
      <c r="B988" s="17" t="n">
        <v>45863</v>
      </c>
      <c r="C988" s="4" t="n">
        <v>10</v>
      </c>
      <c r="D988" s="4" t="s">
        <v>64</v>
      </c>
      <c r="E988" s="4" t="s">
        <v>99</v>
      </c>
      <c r="F988" s="4" t="s">
        <v>109</v>
      </c>
      <c r="G988" s="4" t="n">
        <v>1</v>
      </c>
      <c r="H988" s="34" t="n">
        <v>130</v>
      </c>
      <c r="I988" s="18" t="n">
        <v>0.1</v>
      </c>
      <c r="J988" s="4" t="s">
        <v>67</v>
      </c>
      <c r="K988" s="4" t="s">
        <v>71</v>
      </c>
      <c r="L988" s="35" t="n">
        <f aca="false">G988*H988</f>
        <v>130</v>
      </c>
      <c r="M988" s="35" t="n">
        <f aca="false">L988*I988</f>
        <v>13</v>
      </c>
      <c r="N988" s="35" t="n">
        <f aca="false">L988-M988</f>
        <v>117</v>
      </c>
      <c r="O988" s="4" t="n">
        <f aca="false">MONTH(B988)</f>
        <v>7</v>
      </c>
      <c r="P988" s="4" t="str">
        <f aca="false">CHOOSE(WEEKDAY(B988,2),"Mon","Tue","Wed","Thu","Fri","Sat","Sun")</f>
        <v>Fri</v>
      </c>
      <c r="Q988" s="4" t="str">
        <f aca="false">IF(WEEKDAY(B988,2)&gt;5,"Weekend","Weekday")</f>
        <v>Weekday</v>
      </c>
      <c r="R988" s="4" t="str">
        <f aca="false">IF(C988&lt;11,"Morning (7-10)",IF(C988&lt;14,"Lunch (11-13)",IF(C988&lt;18,"Afternoon (14-17)","Evening (18-20)")))</f>
        <v>Morning (7-10)</v>
      </c>
      <c r="S988" s="4" t="str">
        <f aca="false">IF(AND(O988&gt;=3,O988&lt;=5),"Hot Dry (Mar-May)",IF(AND(O988&gt;=6,O988&lt;=11),"Rainy (Jun-Nov)","Cool Dry (Dec-Feb)"))</f>
        <v>Rainy (Jun-Nov)</v>
      </c>
      <c r="T988" s="4" t="str">
        <f aca="false">CHOOSE(O988,"Jan","Feb","Mar","Apr","May","Jun","Jul","Aug","Sep","Oct","Nov","Dec")</f>
        <v>Jul</v>
      </c>
    </row>
    <row r="989" customFormat="false" ht="15" hidden="false" customHeight="false" outlineLevel="0" collapsed="false">
      <c r="A989" s="4" t="s">
        <v>1294</v>
      </c>
      <c r="B989" s="17" t="n">
        <v>45863</v>
      </c>
      <c r="C989" s="4" t="n">
        <v>12</v>
      </c>
      <c r="D989" s="4" t="s">
        <v>64</v>
      </c>
      <c r="E989" s="4" t="s">
        <v>99</v>
      </c>
      <c r="F989" s="4" t="s">
        <v>109</v>
      </c>
      <c r="G989" s="4" t="n">
        <v>1</v>
      </c>
      <c r="H989" s="34" t="n">
        <v>130</v>
      </c>
      <c r="I989" s="18" t="n">
        <v>0.1</v>
      </c>
      <c r="J989" s="4" t="s">
        <v>112</v>
      </c>
      <c r="K989" s="4" t="s">
        <v>71</v>
      </c>
      <c r="L989" s="35" t="n">
        <f aca="false">G989*H989</f>
        <v>130</v>
      </c>
      <c r="M989" s="35" t="n">
        <f aca="false">L989*I989</f>
        <v>13</v>
      </c>
      <c r="N989" s="35" t="n">
        <f aca="false">L989-M989</f>
        <v>117</v>
      </c>
      <c r="O989" s="4" t="n">
        <f aca="false">MONTH(B989)</f>
        <v>7</v>
      </c>
      <c r="P989" s="4" t="str">
        <f aca="false">CHOOSE(WEEKDAY(B989,2),"Mon","Tue","Wed","Thu","Fri","Sat","Sun")</f>
        <v>Fri</v>
      </c>
      <c r="Q989" s="4" t="str">
        <f aca="false">IF(WEEKDAY(B989,2)&gt;5,"Weekend","Weekday")</f>
        <v>Weekday</v>
      </c>
      <c r="R989" s="4" t="str">
        <f aca="false">IF(C989&lt;11,"Morning (7-10)",IF(C989&lt;14,"Lunch (11-13)",IF(C989&lt;18,"Afternoon (14-17)","Evening (18-20)")))</f>
        <v>Lunch (11-13)</v>
      </c>
      <c r="S989" s="4" t="str">
        <f aca="false">IF(AND(O989&gt;=3,O989&lt;=5),"Hot Dry (Mar-May)",IF(AND(O989&gt;=6,O989&lt;=11),"Rainy (Jun-Nov)","Cool Dry (Dec-Feb)"))</f>
        <v>Rainy (Jun-Nov)</v>
      </c>
      <c r="T989" s="4" t="str">
        <f aca="false">CHOOSE(O989,"Jan","Feb","Mar","Apr","May","Jun","Jul","Aug","Sep","Oct","Nov","Dec")</f>
        <v>Jul</v>
      </c>
    </row>
    <row r="990" customFormat="false" ht="15" hidden="false" customHeight="false" outlineLevel="0" collapsed="false">
      <c r="A990" s="4" t="s">
        <v>1296</v>
      </c>
      <c r="B990" s="17" t="n">
        <v>45863</v>
      </c>
      <c r="C990" s="4" t="n">
        <v>13</v>
      </c>
      <c r="D990" s="4" t="s">
        <v>64</v>
      </c>
      <c r="E990" s="4" t="s">
        <v>99</v>
      </c>
      <c r="F990" s="4" t="s">
        <v>102</v>
      </c>
      <c r="G990" s="4" t="n">
        <v>1</v>
      </c>
      <c r="H990" s="34" t="n">
        <v>140</v>
      </c>
      <c r="I990" s="18" t="n">
        <v>0.15</v>
      </c>
      <c r="J990" s="4" t="s">
        <v>81</v>
      </c>
      <c r="K990" s="4" t="s">
        <v>82</v>
      </c>
      <c r="L990" s="35" t="n">
        <f aca="false">G990*H990</f>
        <v>140</v>
      </c>
      <c r="M990" s="35" t="n">
        <f aca="false">L990*I990</f>
        <v>21</v>
      </c>
      <c r="N990" s="35" t="n">
        <f aca="false">L990-M990</f>
        <v>119</v>
      </c>
      <c r="O990" s="4" t="n">
        <f aca="false">MONTH(B990)</f>
        <v>7</v>
      </c>
      <c r="P990" s="4" t="str">
        <f aca="false">CHOOSE(WEEKDAY(B990,2),"Mon","Tue","Wed","Thu","Fri","Sat","Sun")</f>
        <v>Fri</v>
      </c>
      <c r="Q990" s="4" t="str">
        <f aca="false">IF(WEEKDAY(B990,2)&gt;5,"Weekend","Weekday")</f>
        <v>Weekday</v>
      </c>
      <c r="R990" s="4" t="str">
        <f aca="false">IF(C990&lt;11,"Morning (7-10)",IF(C990&lt;14,"Lunch (11-13)",IF(C990&lt;18,"Afternoon (14-17)","Evening (18-20)")))</f>
        <v>Lunch (11-13)</v>
      </c>
      <c r="S990" s="4" t="str">
        <f aca="false">IF(AND(O990&gt;=3,O990&lt;=5),"Hot Dry (Mar-May)",IF(AND(O990&gt;=6,O990&lt;=11),"Rainy (Jun-Nov)","Cool Dry (Dec-Feb)"))</f>
        <v>Rainy (Jun-Nov)</v>
      </c>
      <c r="T990" s="4" t="str">
        <f aca="false">CHOOSE(O990,"Jan","Feb","Mar","Apr","May","Jun","Jul","Aug","Sep","Oct","Nov","Dec")</f>
        <v>Jul</v>
      </c>
    </row>
    <row r="991" customFormat="false" ht="15" hidden="false" customHeight="false" outlineLevel="0" collapsed="false">
      <c r="A991" s="4" t="s">
        <v>1298</v>
      </c>
      <c r="B991" s="17" t="n">
        <v>45863</v>
      </c>
      <c r="C991" s="4" t="n">
        <v>14</v>
      </c>
      <c r="D991" s="4" t="s">
        <v>70</v>
      </c>
      <c r="E991" s="4" t="s">
        <v>84</v>
      </c>
      <c r="F991" s="4" t="s">
        <v>114</v>
      </c>
      <c r="G991" s="4" t="n">
        <v>1</v>
      </c>
      <c r="H991" s="34" t="n">
        <v>85</v>
      </c>
      <c r="I991" s="18" t="n">
        <v>0.1</v>
      </c>
      <c r="J991" s="4" t="s">
        <v>81</v>
      </c>
      <c r="K991" s="4" t="s">
        <v>71</v>
      </c>
      <c r="L991" s="35" t="n">
        <f aca="false">G991*H991</f>
        <v>85</v>
      </c>
      <c r="M991" s="35" t="n">
        <f aca="false">L991*I991</f>
        <v>8.5</v>
      </c>
      <c r="N991" s="35" t="n">
        <f aca="false">L991-M991</f>
        <v>76.5</v>
      </c>
      <c r="O991" s="4" t="n">
        <f aca="false">MONTH(B991)</f>
        <v>7</v>
      </c>
      <c r="P991" s="4" t="str">
        <f aca="false">CHOOSE(WEEKDAY(B991,2),"Mon","Tue","Wed","Thu","Fri","Sat","Sun")</f>
        <v>Fri</v>
      </c>
      <c r="Q991" s="4" t="str">
        <f aca="false">IF(WEEKDAY(B991,2)&gt;5,"Weekend","Weekday")</f>
        <v>Weekday</v>
      </c>
      <c r="R991" s="4" t="str">
        <f aca="false">IF(C991&lt;11,"Morning (7-10)",IF(C991&lt;14,"Lunch (11-13)",IF(C991&lt;18,"Afternoon (14-17)","Evening (18-20)")))</f>
        <v>Afternoon (14-17)</v>
      </c>
      <c r="S991" s="4" t="str">
        <f aca="false">IF(AND(O991&gt;=3,O991&lt;=5),"Hot Dry (Mar-May)",IF(AND(O991&gt;=6,O991&lt;=11),"Rainy (Jun-Nov)","Cool Dry (Dec-Feb)"))</f>
        <v>Rainy (Jun-Nov)</v>
      </c>
      <c r="T991" s="4" t="str">
        <f aca="false">CHOOSE(O991,"Jan","Feb","Mar","Apr","May","Jun","Jul","Aug","Sep","Oct","Nov","Dec")</f>
        <v>Jul</v>
      </c>
    </row>
    <row r="992" customFormat="false" ht="15" hidden="false" customHeight="false" outlineLevel="0" collapsed="false">
      <c r="A992" s="4" t="s">
        <v>1299</v>
      </c>
      <c r="B992" s="17" t="n">
        <v>45864</v>
      </c>
      <c r="C992" s="4" t="n">
        <v>7</v>
      </c>
      <c r="D992" s="4" t="s">
        <v>64</v>
      </c>
      <c r="E992" s="4" t="s">
        <v>65</v>
      </c>
      <c r="F992" s="4" t="s">
        <v>94</v>
      </c>
      <c r="G992" s="4" t="n">
        <v>1</v>
      </c>
      <c r="H992" s="34" t="n">
        <v>150</v>
      </c>
      <c r="I992" s="18" t="n">
        <v>0</v>
      </c>
      <c r="J992" s="4" t="s">
        <v>88</v>
      </c>
      <c r="K992" s="4" t="s">
        <v>2289</v>
      </c>
      <c r="L992" s="35" t="n">
        <f aca="false">G992*H992</f>
        <v>150</v>
      </c>
      <c r="M992" s="35" t="n">
        <f aca="false">L992*I992</f>
        <v>0</v>
      </c>
      <c r="N992" s="35" t="n">
        <f aca="false">L992-M992</f>
        <v>150</v>
      </c>
      <c r="O992" s="4" t="n">
        <f aca="false">MONTH(B992)</f>
        <v>7</v>
      </c>
      <c r="P992" s="4" t="str">
        <f aca="false">CHOOSE(WEEKDAY(B992,2),"Mon","Tue","Wed","Thu","Fri","Sat","Sun")</f>
        <v>Sat</v>
      </c>
      <c r="Q992" s="4" t="str">
        <f aca="false">IF(WEEKDAY(B992,2)&gt;5,"Weekend","Weekday")</f>
        <v>Weekend</v>
      </c>
      <c r="R992" s="4" t="str">
        <f aca="false">IF(C992&lt;11,"Morning (7-10)",IF(C992&lt;14,"Lunch (11-13)",IF(C992&lt;18,"Afternoon (14-17)","Evening (18-20)")))</f>
        <v>Morning (7-10)</v>
      </c>
      <c r="S992" s="4" t="str">
        <f aca="false">IF(AND(O992&gt;=3,O992&lt;=5),"Hot Dry (Mar-May)",IF(AND(O992&gt;=6,O992&lt;=11),"Rainy (Jun-Nov)","Cool Dry (Dec-Feb)"))</f>
        <v>Rainy (Jun-Nov)</v>
      </c>
      <c r="T992" s="4" t="str">
        <f aca="false">CHOOSE(O992,"Jan","Feb","Mar","Apr","May","Jun","Jul","Aug","Sep","Oct","Nov","Dec")</f>
        <v>Jul</v>
      </c>
    </row>
    <row r="993" customFormat="false" ht="15" hidden="false" customHeight="false" outlineLevel="0" collapsed="false">
      <c r="A993" s="4" t="s">
        <v>1300</v>
      </c>
      <c r="B993" s="17" t="n">
        <v>45864</v>
      </c>
      <c r="C993" s="4" t="n">
        <v>7</v>
      </c>
      <c r="D993" s="4" t="s">
        <v>73</v>
      </c>
      <c r="E993" s="4" t="s">
        <v>84</v>
      </c>
      <c r="F993" s="4" t="s">
        <v>117</v>
      </c>
      <c r="G993" s="4" t="n">
        <v>3</v>
      </c>
      <c r="H993" s="34" t="n">
        <v>95</v>
      </c>
      <c r="I993" s="18" t="n">
        <v>0</v>
      </c>
      <c r="J993" s="4" t="s">
        <v>81</v>
      </c>
      <c r="K993" s="4" t="s">
        <v>77</v>
      </c>
      <c r="L993" s="35" t="n">
        <f aca="false">G993*H993</f>
        <v>285</v>
      </c>
      <c r="M993" s="35" t="n">
        <f aca="false">L993*I993</f>
        <v>0</v>
      </c>
      <c r="N993" s="35" t="n">
        <f aca="false">L993-M993</f>
        <v>285</v>
      </c>
      <c r="O993" s="4" t="n">
        <f aca="false">MONTH(B993)</f>
        <v>7</v>
      </c>
      <c r="P993" s="4" t="str">
        <f aca="false">CHOOSE(WEEKDAY(B993,2),"Mon","Tue","Wed","Thu","Fri","Sat","Sun")</f>
        <v>Sat</v>
      </c>
      <c r="Q993" s="4" t="str">
        <f aca="false">IF(WEEKDAY(B993,2)&gt;5,"Weekend","Weekday")</f>
        <v>Weekend</v>
      </c>
      <c r="R993" s="4" t="str">
        <f aca="false">IF(C993&lt;11,"Morning (7-10)",IF(C993&lt;14,"Lunch (11-13)",IF(C993&lt;18,"Afternoon (14-17)","Evening (18-20)")))</f>
        <v>Morning (7-10)</v>
      </c>
      <c r="S993" s="4" t="str">
        <f aca="false">IF(AND(O993&gt;=3,O993&lt;=5),"Hot Dry (Mar-May)",IF(AND(O993&gt;=6,O993&lt;=11),"Rainy (Jun-Nov)","Cool Dry (Dec-Feb)"))</f>
        <v>Rainy (Jun-Nov)</v>
      </c>
      <c r="T993" s="4" t="str">
        <f aca="false">CHOOSE(O993,"Jan","Feb","Mar","Apr","May","Jun","Jul","Aug","Sep","Oct","Nov","Dec")</f>
        <v>Jul</v>
      </c>
    </row>
    <row r="994" customFormat="false" ht="15" hidden="false" customHeight="false" outlineLevel="0" collapsed="false">
      <c r="A994" s="4" t="s">
        <v>1302</v>
      </c>
      <c r="B994" s="17" t="n">
        <v>45864</v>
      </c>
      <c r="C994" s="4" t="n">
        <v>8</v>
      </c>
      <c r="D994" s="4" t="s">
        <v>64</v>
      </c>
      <c r="E994" s="4" t="s">
        <v>65</v>
      </c>
      <c r="F994" s="4" t="s">
        <v>66</v>
      </c>
      <c r="G994" s="4" t="n">
        <v>2</v>
      </c>
      <c r="H994" s="34" t="n">
        <v>120</v>
      </c>
      <c r="I994" s="18" t="n">
        <v>0</v>
      </c>
      <c r="J994" s="4" t="s">
        <v>67</v>
      </c>
      <c r="K994" s="4" t="s">
        <v>68</v>
      </c>
      <c r="L994" s="35" t="n">
        <f aca="false">G994*H994</f>
        <v>240</v>
      </c>
      <c r="M994" s="35" t="n">
        <f aca="false">L994*I994</f>
        <v>0</v>
      </c>
      <c r="N994" s="35" t="n">
        <f aca="false">L994-M994</f>
        <v>240</v>
      </c>
      <c r="O994" s="4" t="n">
        <f aca="false">MONTH(B994)</f>
        <v>7</v>
      </c>
      <c r="P994" s="4" t="str">
        <f aca="false">CHOOSE(WEEKDAY(B994,2),"Mon","Tue","Wed","Thu","Fri","Sat","Sun")</f>
        <v>Sat</v>
      </c>
      <c r="Q994" s="4" t="str">
        <f aca="false">IF(WEEKDAY(B994,2)&gt;5,"Weekend","Weekday")</f>
        <v>Weekend</v>
      </c>
      <c r="R994" s="4" t="str">
        <f aca="false">IF(C994&lt;11,"Morning (7-10)",IF(C994&lt;14,"Lunch (11-13)",IF(C994&lt;18,"Afternoon (14-17)","Evening (18-20)")))</f>
        <v>Morning (7-10)</v>
      </c>
      <c r="S994" s="4" t="str">
        <f aca="false">IF(AND(O994&gt;=3,O994&lt;=5),"Hot Dry (Mar-May)",IF(AND(O994&gt;=6,O994&lt;=11),"Rainy (Jun-Nov)","Cool Dry (Dec-Feb)"))</f>
        <v>Rainy (Jun-Nov)</v>
      </c>
      <c r="T994" s="4" t="str">
        <f aca="false">CHOOSE(O994,"Jan","Feb","Mar","Apr","May","Jun","Jul","Aug","Sep","Oct","Nov","Dec")</f>
        <v>Jul</v>
      </c>
    </row>
    <row r="995" customFormat="false" ht="15" hidden="false" customHeight="false" outlineLevel="0" collapsed="false">
      <c r="A995" s="4" t="s">
        <v>1303</v>
      </c>
      <c r="B995" s="17" t="n">
        <v>45864</v>
      </c>
      <c r="C995" s="4" t="n">
        <v>9</v>
      </c>
      <c r="D995" s="4" t="s">
        <v>98</v>
      </c>
      <c r="E995" s="4" t="s">
        <v>84</v>
      </c>
      <c r="F995" s="4" t="s">
        <v>106</v>
      </c>
      <c r="G995" s="4" t="n">
        <v>1</v>
      </c>
      <c r="H995" s="34" t="n">
        <v>60</v>
      </c>
      <c r="I995" s="18" t="n">
        <v>0.1</v>
      </c>
      <c r="J995" s="4" t="s">
        <v>67</v>
      </c>
      <c r="K995" s="4" t="s">
        <v>71</v>
      </c>
      <c r="L995" s="35" t="n">
        <f aca="false">G995*H995</f>
        <v>60</v>
      </c>
      <c r="M995" s="35" t="n">
        <f aca="false">L995*I995</f>
        <v>6</v>
      </c>
      <c r="N995" s="35" t="n">
        <f aca="false">L995-M995</f>
        <v>54</v>
      </c>
      <c r="O995" s="4" t="n">
        <f aca="false">MONTH(B995)</f>
        <v>7</v>
      </c>
      <c r="P995" s="4" t="str">
        <f aca="false">CHOOSE(WEEKDAY(B995,2),"Mon","Tue","Wed","Thu","Fri","Sat","Sun")</f>
        <v>Sat</v>
      </c>
      <c r="Q995" s="4" t="str">
        <f aca="false">IF(WEEKDAY(B995,2)&gt;5,"Weekend","Weekday")</f>
        <v>Weekend</v>
      </c>
      <c r="R995" s="4" t="str">
        <f aca="false">IF(C995&lt;11,"Morning (7-10)",IF(C995&lt;14,"Lunch (11-13)",IF(C995&lt;18,"Afternoon (14-17)","Evening (18-20)")))</f>
        <v>Morning (7-10)</v>
      </c>
      <c r="S995" s="4" t="str">
        <f aca="false">IF(AND(O995&gt;=3,O995&lt;=5),"Hot Dry (Mar-May)",IF(AND(O995&gt;=6,O995&lt;=11),"Rainy (Jun-Nov)","Cool Dry (Dec-Feb)"))</f>
        <v>Rainy (Jun-Nov)</v>
      </c>
      <c r="T995" s="4" t="str">
        <f aca="false">CHOOSE(O995,"Jan","Feb","Mar","Apr","May","Jun","Jul","Aug","Sep","Oct","Nov","Dec")</f>
        <v>Jul</v>
      </c>
    </row>
    <row r="996" customFormat="false" ht="15" hidden="false" customHeight="false" outlineLevel="0" collapsed="false">
      <c r="A996" s="4" t="s">
        <v>1304</v>
      </c>
      <c r="B996" s="17" t="n">
        <v>45865</v>
      </c>
      <c r="C996" s="4" t="n">
        <v>7</v>
      </c>
      <c r="D996" s="4" t="s">
        <v>98</v>
      </c>
      <c r="E996" s="4" t="s">
        <v>99</v>
      </c>
      <c r="F996" s="4" t="s">
        <v>102</v>
      </c>
      <c r="G996" s="4" t="n">
        <v>1</v>
      </c>
      <c r="H996" s="34" t="n">
        <v>140</v>
      </c>
      <c r="I996" s="18" t="n">
        <v>0</v>
      </c>
      <c r="J996" s="4" t="s">
        <v>67</v>
      </c>
      <c r="K996" s="4" t="s">
        <v>68</v>
      </c>
      <c r="L996" s="35" t="n">
        <f aca="false">G996*H996</f>
        <v>140</v>
      </c>
      <c r="M996" s="35" t="n">
        <f aca="false">L996*I996</f>
        <v>0</v>
      </c>
      <c r="N996" s="35" t="n">
        <f aca="false">L996-M996</f>
        <v>140</v>
      </c>
      <c r="O996" s="4" t="n">
        <f aca="false">MONTH(B996)</f>
        <v>7</v>
      </c>
      <c r="P996" s="4" t="str">
        <f aca="false">CHOOSE(WEEKDAY(B996,2),"Mon","Tue","Wed","Thu","Fri","Sat","Sun")</f>
        <v>Sun</v>
      </c>
      <c r="Q996" s="4" t="str">
        <f aca="false">IF(WEEKDAY(B996,2)&gt;5,"Weekend","Weekday")</f>
        <v>Weekend</v>
      </c>
      <c r="R996" s="4" t="str">
        <f aca="false">IF(C996&lt;11,"Morning (7-10)",IF(C996&lt;14,"Lunch (11-13)",IF(C996&lt;18,"Afternoon (14-17)","Evening (18-20)")))</f>
        <v>Morning (7-10)</v>
      </c>
      <c r="S996" s="4" t="str">
        <f aca="false">IF(AND(O996&gt;=3,O996&lt;=5),"Hot Dry (Mar-May)",IF(AND(O996&gt;=6,O996&lt;=11),"Rainy (Jun-Nov)","Cool Dry (Dec-Feb)"))</f>
        <v>Rainy (Jun-Nov)</v>
      </c>
      <c r="T996" s="4" t="str">
        <f aca="false">CHOOSE(O996,"Jan","Feb","Mar","Apr","May","Jun","Jul","Aug","Sep","Oct","Nov","Dec")</f>
        <v>Jul</v>
      </c>
    </row>
    <row r="997" customFormat="false" ht="15" hidden="false" customHeight="false" outlineLevel="0" collapsed="false">
      <c r="A997" s="4" t="s">
        <v>1305</v>
      </c>
      <c r="B997" s="17" t="n">
        <v>45865</v>
      </c>
      <c r="C997" s="4" t="n">
        <v>9</v>
      </c>
      <c r="D997" s="4" t="s">
        <v>98</v>
      </c>
      <c r="E997" s="4" t="s">
        <v>99</v>
      </c>
      <c r="F997" s="4" t="s">
        <v>100</v>
      </c>
      <c r="G997" s="4" t="n">
        <v>2</v>
      </c>
      <c r="H997" s="34" t="n">
        <v>110</v>
      </c>
      <c r="I997" s="18" t="n">
        <v>0.05</v>
      </c>
      <c r="J997" s="4" t="s">
        <v>81</v>
      </c>
      <c r="K997" s="4" t="s">
        <v>82</v>
      </c>
      <c r="L997" s="35" t="n">
        <f aca="false">G997*H997</f>
        <v>220</v>
      </c>
      <c r="M997" s="35" t="n">
        <f aca="false">L997*I997</f>
        <v>11</v>
      </c>
      <c r="N997" s="35" t="n">
        <f aca="false">L997-M997</f>
        <v>209</v>
      </c>
      <c r="O997" s="4" t="n">
        <f aca="false">MONTH(B997)</f>
        <v>7</v>
      </c>
      <c r="P997" s="4" t="str">
        <f aca="false">CHOOSE(WEEKDAY(B997,2),"Mon","Tue","Wed","Thu","Fri","Sat","Sun")</f>
        <v>Sun</v>
      </c>
      <c r="Q997" s="4" t="str">
        <f aca="false">IF(WEEKDAY(B997,2)&gt;5,"Weekend","Weekday")</f>
        <v>Weekend</v>
      </c>
      <c r="R997" s="4" t="str">
        <f aca="false">IF(C997&lt;11,"Morning (7-10)",IF(C997&lt;14,"Lunch (11-13)",IF(C997&lt;18,"Afternoon (14-17)","Evening (18-20)")))</f>
        <v>Morning (7-10)</v>
      </c>
      <c r="S997" s="4" t="str">
        <f aca="false">IF(AND(O997&gt;=3,O997&lt;=5),"Hot Dry (Mar-May)",IF(AND(O997&gt;=6,O997&lt;=11),"Rainy (Jun-Nov)","Cool Dry (Dec-Feb)"))</f>
        <v>Rainy (Jun-Nov)</v>
      </c>
      <c r="T997" s="4" t="str">
        <f aca="false">CHOOSE(O997,"Jan","Feb","Mar","Apr","May","Jun","Jul","Aug","Sep","Oct","Nov","Dec")</f>
        <v>Jul</v>
      </c>
    </row>
    <row r="998" customFormat="false" ht="15" hidden="false" customHeight="false" outlineLevel="0" collapsed="false">
      <c r="A998" s="4" t="s">
        <v>1306</v>
      </c>
      <c r="B998" s="17" t="n">
        <v>45865</v>
      </c>
      <c r="C998" s="4" t="n">
        <v>12</v>
      </c>
      <c r="D998" s="4" t="s">
        <v>98</v>
      </c>
      <c r="E998" s="4" t="s">
        <v>74</v>
      </c>
      <c r="F998" s="4" t="s">
        <v>75</v>
      </c>
      <c r="G998" s="4" t="n">
        <v>1</v>
      </c>
      <c r="H998" s="34" t="n">
        <v>220</v>
      </c>
      <c r="I998" s="18" t="n">
        <v>0.1</v>
      </c>
      <c r="J998" s="4" t="s">
        <v>67</v>
      </c>
      <c r="K998" s="4" t="s">
        <v>71</v>
      </c>
      <c r="L998" s="35" t="n">
        <f aca="false">G998*H998</f>
        <v>220</v>
      </c>
      <c r="M998" s="35" t="n">
        <f aca="false">L998*I998</f>
        <v>22</v>
      </c>
      <c r="N998" s="35" t="n">
        <f aca="false">L998-M998</f>
        <v>198</v>
      </c>
      <c r="O998" s="4" t="n">
        <f aca="false">MONTH(B998)</f>
        <v>7</v>
      </c>
      <c r="P998" s="4" t="str">
        <f aca="false">CHOOSE(WEEKDAY(B998,2),"Mon","Tue","Wed","Thu","Fri","Sat","Sun")</f>
        <v>Sun</v>
      </c>
      <c r="Q998" s="4" t="str">
        <f aca="false">IF(WEEKDAY(B998,2)&gt;5,"Weekend","Weekday")</f>
        <v>Weekend</v>
      </c>
      <c r="R998" s="4" t="str">
        <f aca="false">IF(C998&lt;11,"Morning (7-10)",IF(C998&lt;14,"Lunch (11-13)",IF(C998&lt;18,"Afternoon (14-17)","Evening (18-20)")))</f>
        <v>Lunch (11-13)</v>
      </c>
      <c r="S998" s="4" t="str">
        <f aca="false">IF(AND(O998&gt;=3,O998&lt;=5),"Hot Dry (Mar-May)",IF(AND(O998&gt;=6,O998&lt;=11),"Rainy (Jun-Nov)","Cool Dry (Dec-Feb)"))</f>
        <v>Rainy (Jun-Nov)</v>
      </c>
      <c r="T998" s="4" t="str">
        <f aca="false">CHOOSE(O998,"Jan","Feb","Mar","Apr","May","Jun","Jul","Aug","Sep","Oct","Nov","Dec")</f>
        <v>Jul</v>
      </c>
    </row>
    <row r="999" customFormat="false" ht="15" hidden="false" customHeight="false" outlineLevel="0" collapsed="false">
      <c r="A999" s="4" t="s">
        <v>1307</v>
      </c>
      <c r="B999" s="17" t="n">
        <v>45865</v>
      </c>
      <c r="C999" s="4" t="n">
        <v>12</v>
      </c>
      <c r="D999" s="4" t="s">
        <v>64</v>
      </c>
      <c r="E999" s="4" t="s">
        <v>74</v>
      </c>
      <c r="F999" s="4" t="s">
        <v>91</v>
      </c>
      <c r="G999" s="4" t="n">
        <v>1</v>
      </c>
      <c r="H999" s="34" t="n">
        <v>200</v>
      </c>
      <c r="I999" s="18" t="n">
        <v>0.1</v>
      </c>
      <c r="J999" s="4" t="s">
        <v>67</v>
      </c>
      <c r="K999" s="4" t="s">
        <v>71</v>
      </c>
      <c r="L999" s="35" t="n">
        <f aca="false">G999*H999</f>
        <v>200</v>
      </c>
      <c r="M999" s="35" t="n">
        <f aca="false">L999*I999</f>
        <v>20</v>
      </c>
      <c r="N999" s="35" t="n">
        <f aca="false">L999-M999</f>
        <v>180</v>
      </c>
      <c r="O999" s="4" t="n">
        <f aca="false">MONTH(B999)</f>
        <v>7</v>
      </c>
      <c r="P999" s="4" t="str">
        <f aca="false">CHOOSE(WEEKDAY(B999,2),"Mon","Tue","Wed","Thu","Fri","Sat","Sun")</f>
        <v>Sun</v>
      </c>
      <c r="Q999" s="4" t="str">
        <f aca="false">IF(WEEKDAY(B999,2)&gt;5,"Weekend","Weekday")</f>
        <v>Weekend</v>
      </c>
      <c r="R999" s="4" t="str">
        <f aca="false">IF(C999&lt;11,"Morning (7-10)",IF(C999&lt;14,"Lunch (11-13)",IF(C999&lt;18,"Afternoon (14-17)","Evening (18-20)")))</f>
        <v>Lunch (11-13)</v>
      </c>
      <c r="S999" s="4" t="str">
        <f aca="false">IF(AND(O999&gt;=3,O999&lt;=5),"Hot Dry (Mar-May)",IF(AND(O999&gt;=6,O999&lt;=11),"Rainy (Jun-Nov)","Cool Dry (Dec-Feb)"))</f>
        <v>Rainy (Jun-Nov)</v>
      </c>
      <c r="T999" s="4" t="str">
        <f aca="false">CHOOSE(O999,"Jan","Feb","Mar","Apr","May","Jun","Jul","Aug","Sep","Oct","Nov","Dec")</f>
        <v>Jul</v>
      </c>
    </row>
    <row r="1000" customFormat="false" ht="15" hidden="false" customHeight="false" outlineLevel="0" collapsed="false">
      <c r="A1000" s="4" t="s">
        <v>1308</v>
      </c>
      <c r="B1000" s="17" t="n">
        <v>45865</v>
      </c>
      <c r="C1000" s="4" t="n">
        <v>13</v>
      </c>
      <c r="D1000" s="4" t="s">
        <v>98</v>
      </c>
      <c r="E1000" s="4" t="s">
        <v>99</v>
      </c>
      <c r="F1000" s="4" t="s">
        <v>133</v>
      </c>
      <c r="G1000" s="4" t="n">
        <v>1</v>
      </c>
      <c r="H1000" s="34" t="n">
        <v>90</v>
      </c>
      <c r="I1000" s="18" t="n">
        <v>0.1</v>
      </c>
      <c r="J1000" s="4" t="s">
        <v>76</v>
      </c>
      <c r="K1000" s="4" t="s">
        <v>71</v>
      </c>
      <c r="L1000" s="35" t="n">
        <f aca="false">G1000*H1000</f>
        <v>90</v>
      </c>
      <c r="M1000" s="35" t="n">
        <f aca="false">L1000*I1000</f>
        <v>9</v>
      </c>
      <c r="N1000" s="35" t="n">
        <f aca="false">L1000-M1000</f>
        <v>81</v>
      </c>
      <c r="O1000" s="4" t="n">
        <f aca="false">MONTH(B1000)</f>
        <v>7</v>
      </c>
      <c r="P1000" s="4" t="str">
        <f aca="false">CHOOSE(WEEKDAY(B1000,2),"Mon","Tue","Wed","Thu","Fri","Sat","Sun")</f>
        <v>Sun</v>
      </c>
      <c r="Q1000" s="4" t="str">
        <f aca="false">IF(WEEKDAY(B1000,2)&gt;5,"Weekend","Weekday")</f>
        <v>Weekend</v>
      </c>
      <c r="R1000" s="4" t="str">
        <f aca="false">IF(C1000&lt;11,"Morning (7-10)",IF(C1000&lt;14,"Lunch (11-13)",IF(C1000&lt;18,"Afternoon (14-17)","Evening (18-20)")))</f>
        <v>Lunch (11-13)</v>
      </c>
      <c r="S1000" s="4" t="str">
        <f aca="false">IF(AND(O1000&gt;=3,O1000&lt;=5),"Hot Dry (Mar-May)",IF(AND(O1000&gt;=6,O1000&lt;=11),"Rainy (Jun-Nov)","Cool Dry (Dec-Feb)"))</f>
        <v>Rainy (Jun-Nov)</v>
      </c>
      <c r="T1000" s="4" t="str">
        <f aca="false">CHOOSE(O1000,"Jan","Feb","Mar","Apr","May","Jun","Jul","Aug","Sep","Oct","Nov","Dec")</f>
        <v>Jul</v>
      </c>
    </row>
    <row r="1001" customFormat="false" ht="15" hidden="false" customHeight="false" outlineLevel="0" collapsed="false">
      <c r="A1001" s="4" t="s">
        <v>1309</v>
      </c>
      <c r="B1001" s="17" t="n">
        <v>45865</v>
      </c>
      <c r="C1001" s="4" t="n">
        <v>18</v>
      </c>
      <c r="D1001" s="4" t="s">
        <v>98</v>
      </c>
      <c r="E1001" s="4" t="s">
        <v>65</v>
      </c>
      <c r="F1001" s="4" t="s">
        <v>121</v>
      </c>
      <c r="G1001" s="4" t="n">
        <v>4</v>
      </c>
      <c r="H1001" s="34" t="n">
        <v>170</v>
      </c>
      <c r="I1001" s="18" t="n">
        <v>0.15</v>
      </c>
      <c r="J1001" s="4" t="s">
        <v>81</v>
      </c>
      <c r="K1001" s="4" t="s">
        <v>68</v>
      </c>
      <c r="L1001" s="35" t="n">
        <f aca="false">G1001*H1001</f>
        <v>680</v>
      </c>
      <c r="M1001" s="35" t="n">
        <f aca="false">L1001*I1001</f>
        <v>102</v>
      </c>
      <c r="N1001" s="35" t="n">
        <f aca="false">L1001-M1001</f>
        <v>578</v>
      </c>
      <c r="O1001" s="4" t="n">
        <f aca="false">MONTH(B1001)</f>
        <v>7</v>
      </c>
      <c r="P1001" s="4" t="str">
        <f aca="false">CHOOSE(WEEKDAY(B1001,2),"Mon","Tue","Wed","Thu","Fri","Sat","Sun")</f>
        <v>Sun</v>
      </c>
      <c r="Q1001" s="4" t="str">
        <f aca="false">IF(WEEKDAY(B1001,2)&gt;5,"Weekend","Weekday")</f>
        <v>Weekend</v>
      </c>
      <c r="R1001" s="4" t="str">
        <f aca="false">IF(C1001&lt;11,"Morning (7-10)",IF(C1001&lt;14,"Lunch (11-13)",IF(C1001&lt;18,"Afternoon (14-17)","Evening (18-20)")))</f>
        <v>Evening (18-20)</v>
      </c>
      <c r="S1001" s="4" t="str">
        <f aca="false">IF(AND(O1001&gt;=3,O1001&lt;=5),"Hot Dry (Mar-May)",IF(AND(O1001&gt;=6,O1001&lt;=11),"Rainy (Jun-Nov)","Cool Dry (Dec-Feb)"))</f>
        <v>Rainy (Jun-Nov)</v>
      </c>
      <c r="T1001" s="4" t="str">
        <f aca="false">CHOOSE(O1001,"Jan","Feb","Mar","Apr","May","Jun","Jul","Aug","Sep","Oct","Nov","Dec")</f>
        <v>Jul</v>
      </c>
    </row>
    <row r="1002" customFormat="false" ht="15" hidden="false" customHeight="false" outlineLevel="0" collapsed="false">
      <c r="A1002" s="4" t="s">
        <v>1310</v>
      </c>
      <c r="B1002" s="17" t="n">
        <v>45865</v>
      </c>
      <c r="C1002" s="4" t="n">
        <v>18</v>
      </c>
      <c r="D1002" s="4" t="s">
        <v>70</v>
      </c>
      <c r="E1002" s="4" t="s">
        <v>79</v>
      </c>
      <c r="F1002" s="4" t="s">
        <v>148</v>
      </c>
      <c r="G1002" s="4" t="n">
        <v>1</v>
      </c>
      <c r="H1002" s="34" t="n">
        <v>120</v>
      </c>
      <c r="I1002" s="18" t="n">
        <v>0</v>
      </c>
      <c r="J1002" s="4" t="s">
        <v>67</v>
      </c>
      <c r="K1002" s="4" t="s">
        <v>68</v>
      </c>
      <c r="L1002" s="35" t="n">
        <f aca="false">G1002*H1002</f>
        <v>120</v>
      </c>
      <c r="M1002" s="35" t="n">
        <f aca="false">L1002*I1002</f>
        <v>0</v>
      </c>
      <c r="N1002" s="35" t="n">
        <f aca="false">L1002-M1002</f>
        <v>120</v>
      </c>
      <c r="O1002" s="4" t="n">
        <f aca="false">MONTH(B1002)</f>
        <v>7</v>
      </c>
      <c r="P1002" s="4" t="str">
        <f aca="false">CHOOSE(WEEKDAY(B1002,2),"Mon","Tue","Wed","Thu","Fri","Sat","Sun")</f>
        <v>Sun</v>
      </c>
      <c r="Q1002" s="4" t="str">
        <f aca="false">IF(WEEKDAY(B1002,2)&gt;5,"Weekend","Weekday")</f>
        <v>Weekend</v>
      </c>
      <c r="R1002" s="4" t="str">
        <f aca="false">IF(C1002&lt;11,"Morning (7-10)",IF(C1002&lt;14,"Lunch (11-13)",IF(C1002&lt;18,"Afternoon (14-17)","Evening (18-20)")))</f>
        <v>Evening (18-20)</v>
      </c>
      <c r="S1002" s="4" t="str">
        <f aca="false">IF(AND(O1002&gt;=3,O1002&lt;=5),"Hot Dry (Mar-May)",IF(AND(O1002&gt;=6,O1002&lt;=11),"Rainy (Jun-Nov)","Cool Dry (Dec-Feb)"))</f>
        <v>Rainy (Jun-Nov)</v>
      </c>
      <c r="T1002" s="4" t="str">
        <f aca="false">CHOOSE(O1002,"Jan","Feb","Mar","Apr","May","Jun","Jul","Aug","Sep","Oct","Nov","Dec")</f>
        <v>Jul</v>
      </c>
    </row>
    <row r="1003" customFormat="false" ht="15" hidden="false" customHeight="false" outlineLevel="0" collapsed="false">
      <c r="A1003" s="4" t="s">
        <v>1311</v>
      </c>
      <c r="B1003" s="17" t="n">
        <v>45865</v>
      </c>
      <c r="C1003" s="4" t="n">
        <v>20</v>
      </c>
      <c r="D1003" s="4" t="s">
        <v>70</v>
      </c>
      <c r="E1003" s="4" t="s">
        <v>74</v>
      </c>
      <c r="F1003" s="4" t="s">
        <v>75</v>
      </c>
      <c r="G1003" s="4" t="n">
        <v>1</v>
      </c>
      <c r="H1003" s="34" t="n">
        <v>220</v>
      </c>
      <c r="I1003" s="18" t="n">
        <v>0</v>
      </c>
      <c r="J1003" s="4" t="s">
        <v>81</v>
      </c>
      <c r="K1003" s="4" t="s">
        <v>68</v>
      </c>
      <c r="L1003" s="35" t="n">
        <f aca="false">G1003*H1003</f>
        <v>220</v>
      </c>
      <c r="M1003" s="35" t="n">
        <f aca="false">L1003*I1003</f>
        <v>0</v>
      </c>
      <c r="N1003" s="35" t="n">
        <f aca="false">L1003-M1003</f>
        <v>220</v>
      </c>
      <c r="O1003" s="4" t="n">
        <f aca="false">MONTH(B1003)</f>
        <v>7</v>
      </c>
      <c r="P1003" s="4" t="str">
        <f aca="false">CHOOSE(WEEKDAY(B1003,2),"Mon","Tue","Wed","Thu","Fri","Sat","Sun")</f>
        <v>Sun</v>
      </c>
      <c r="Q1003" s="4" t="str">
        <f aca="false">IF(WEEKDAY(B1003,2)&gt;5,"Weekend","Weekday")</f>
        <v>Weekend</v>
      </c>
      <c r="R1003" s="4" t="str">
        <f aca="false">IF(C1003&lt;11,"Morning (7-10)",IF(C1003&lt;14,"Lunch (11-13)",IF(C1003&lt;18,"Afternoon (14-17)","Evening (18-20)")))</f>
        <v>Evening (18-20)</v>
      </c>
      <c r="S1003" s="4" t="str">
        <f aca="false">IF(AND(O1003&gt;=3,O1003&lt;=5),"Hot Dry (Mar-May)",IF(AND(O1003&gt;=6,O1003&lt;=11),"Rainy (Jun-Nov)","Cool Dry (Dec-Feb)"))</f>
        <v>Rainy (Jun-Nov)</v>
      </c>
      <c r="T1003" s="4" t="str">
        <f aca="false">CHOOSE(O1003,"Jan","Feb","Mar","Apr","May","Jun","Jul","Aug","Sep","Oct","Nov","Dec")</f>
        <v>Jul</v>
      </c>
    </row>
    <row r="1004" customFormat="false" ht="15" hidden="false" customHeight="false" outlineLevel="0" collapsed="false">
      <c r="A1004" s="4" t="s">
        <v>1312</v>
      </c>
      <c r="B1004" s="17" t="n">
        <v>45866</v>
      </c>
      <c r="C1004" s="4" t="n">
        <v>8</v>
      </c>
      <c r="D1004" s="4" t="s">
        <v>64</v>
      </c>
      <c r="E1004" s="4" t="s">
        <v>99</v>
      </c>
      <c r="F1004" s="4" t="s">
        <v>100</v>
      </c>
      <c r="G1004" s="4" t="n">
        <v>1</v>
      </c>
      <c r="H1004" s="34" t="n">
        <v>110</v>
      </c>
      <c r="I1004" s="18" t="n">
        <v>0.1</v>
      </c>
      <c r="J1004" s="4" t="s">
        <v>81</v>
      </c>
      <c r="K1004" s="4" t="s">
        <v>71</v>
      </c>
      <c r="L1004" s="35" t="n">
        <f aca="false">G1004*H1004</f>
        <v>110</v>
      </c>
      <c r="M1004" s="35" t="n">
        <f aca="false">L1004*I1004</f>
        <v>11</v>
      </c>
      <c r="N1004" s="35" t="n">
        <f aca="false">L1004-M1004</f>
        <v>99</v>
      </c>
      <c r="O1004" s="4" t="n">
        <f aca="false">MONTH(B1004)</f>
        <v>7</v>
      </c>
      <c r="P1004" s="4" t="str">
        <f aca="false">CHOOSE(WEEKDAY(B1004,2),"Mon","Tue","Wed","Thu","Fri","Sat","Sun")</f>
        <v>Mon</v>
      </c>
      <c r="Q1004" s="4" t="str">
        <f aca="false">IF(WEEKDAY(B1004,2)&gt;5,"Weekend","Weekday")</f>
        <v>Weekday</v>
      </c>
      <c r="R1004" s="4" t="str">
        <f aca="false">IF(C1004&lt;11,"Morning (7-10)",IF(C1004&lt;14,"Lunch (11-13)",IF(C1004&lt;18,"Afternoon (14-17)","Evening (18-20)")))</f>
        <v>Morning (7-10)</v>
      </c>
      <c r="S1004" s="4" t="str">
        <f aca="false">IF(AND(O1004&gt;=3,O1004&lt;=5),"Hot Dry (Mar-May)",IF(AND(O1004&gt;=6,O1004&lt;=11),"Rainy (Jun-Nov)","Cool Dry (Dec-Feb)"))</f>
        <v>Rainy (Jun-Nov)</v>
      </c>
      <c r="T1004" s="4" t="str">
        <f aca="false">CHOOSE(O1004,"Jan","Feb","Mar","Apr","May","Jun","Jul","Aug","Sep","Oct","Nov","Dec")</f>
        <v>Jul</v>
      </c>
    </row>
    <row r="1005" customFormat="false" ht="15" hidden="false" customHeight="false" outlineLevel="0" collapsed="false">
      <c r="A1005" s="4" t="s">
        <v>1313</v>
      </c>
      <c r="B1005" s="17" t="n">
        <v>45866</v>
      </c>
      <c r="C1005" s="4" t="n">
        <v>14</v>
      </c>
      <c r="D1005" s="4" t="s">
        <v>98</v>
      </c>
      <c r="E1005" s="4" t="s">
        <v>99</v>
      </c>
      <c r="F1005" s="4" t="s">
        <v>109</v>
      </c>
      <c r="G1005" s="4" t="n">
        <v>2</v>
      </c>
      <c r="H1005" s="34" t="n">
        <v>130</v>
      </c>
      <c r="I1005" s="18" t="n">
        <v>0</v>
      </c>
      <c r="J1005" s="4" t="s">
        <v>67</v>
      </c>
      <c r="K1005" s="4" t="s">
        <v>68</v>
      </c>
      <c r="L1005" s="35" t="n">
        <f aca="false">G1005*H1005</f>
        <v>260</v>
      </c>
      <c r="M1005" s="35" t="n">
        <f aca="false">L1005*I1005</f>
        <v>0</v>
      </c>
      <c r="N1005" s="35" t="n">
        <f aca="false">L1005-M1005</f>
        <v>260</v>
      </c>
      <c r="O1005" s="4" t="n">
        <f aca="false">MONTH(B1005)</f>
        <v>7</v>
      </c>
      <c r="P1005" s="4" t="str">
        <f aca="false">CHOOSE(WEEKDAY(B1005,2),"Mon","Tue","Wed","Thu","Fri","Sat","Sun")</f>
        <v>Mon</v>
      </c>
      <c r="Q1005" s="4" t="str">
        <f aca="false">IF(WEEKDAY(B1005,2)&gt;5,"Weekend","Weekday")</f>
        <v>Weekday</v>
      </c>
      <c r="R1005" s="4" t="str">
        <f aca="false">IF(C1005&lt;11,"Morning (7-10)",IF(C1005&lt;14,"Lunch (11-13)",IF(C1005&lt;18,"Afternoon (14-17)","Evening (18-20)")))</f>
        <v>Afternoon (14-17)</v>
      </c>
      <c r="S1005" s="4" t="str">
        <f aca="false">IF(AND(O1005&gt;=3,O1005&lt;=5),"Hot Dry (Mar-May)",IF(AND(O1005&gt;=6,O1005&lt;=11),"Rainy (Jun-Nov)","Cool Dry (Dec-Feb)"))</f>
        <v>Rainy (Jun-Nov)</v>
      </c>
      <c r="T1005" s="4" t="str">
        <f aca="false">CHOOSE(O1005,"Jan","Feb","Mar","Apr","May","Jun","Jul","Aug","Sep","Oct","Nov","Dec")</f>
        <v>Jul</v>
      </c>
    </row>
    <row r="1006" customFormat="false" ht="15" hidden="false" customHeight="false" outlineLevel="0" collapsed="false">
      <c r="A1006" s="4" t="s">
        <v>1314</v>
      </c>
      <c r="B1006" s="17" t="n">
        <v>45866</v>
      </c>
      <c r="C1006" s="4" t="n">
        <v>18</v>
      </c>
      <c r="D1006" s="4" t="s">
        <v>64</v>
      </c>
      <c r="E1006" s="4" t="s">
        <v>65</v>
      </c>
      <c r="F1006" s="4" t="s">
        <v>121</v>
      </c>
      <c r="G1006" s="4" t="n">
        <v>2</v>
      </c>
      <c r="H1006" s="34" t="n">
        <v>170</v>
      </c>
      <c r="I1006" s="18" t="n">
        <v>0</v>
      </c>
      <c r="J1006" s="4" t="s">
        <v>81</v>
      </c>
      <c r="K1006" s="4" t="s">
        <v>68</v>
      </c>
      <c r="L1006" s="35" t="n">
        <f aca="false">G1006*H1006</f>
        <v>340</v>
      </c>
      <c r="M1006" s="35" t="n">
        <f aca="false">L1006*I1006</f>
        <v>0</v>
      </c>
      <c r="N1006" s="35" t="n">
        <f aca="false">L1006-M1006</f>
        <v>340</v>
      </c>
      <c r="O1006" s="4" t="n">
        <f aca="false">MONTH(B1006)</f>
        <v>7</v>
      </c>
      <c r="P1006" s="4" t="str">
        <f aca="false">CHOOSE(WEEKDAY(B1006,2),"Mon","Tue","Wed","Thu","Fri","Sat","Sun")</f>
        <v>Mon</v>
      </c>
      <c r="Q1006" s="4" t="str">
        <f aca="false">IF(WEEKDAY(B1006,2)&gt;5,"Weekend","Weekday")</f>
        <v>Weekday</v>
      </c>
      <c r="R1006" s="4" t="str">
        <f aca="false">IF(C1006&lt;11,"Morning (7-10)",IF(C1006&lt;14,"Lunch (11-13)",IF(C1006&lt;18,"Afternoon (14-17)","Evening (18-20)")))</f>
        <v>Evening (18-20)</v>
      </c>
      <c r="S1006" s="4" t="str">
        <f aca="false">IF(AND(O1006&gt;=3,O1006&lt;=5),"Hot Dry (Mar-May)",IF(AND(O1006&gt;=6,O1006&lt;=11),"Rainy (Jun-Nov)","Cool Dry (Dec-Feb)"))</f>
        <v>Rainy (Jun-Nov)</v>
      </c>
      <c r="T1006" s="4" t="str">
        <f aca="false">CHOOSE(O1006,"Jan","Feb","Mar","Apr","May","Jun","Jul","Aug","Sep","Oct","Nov","Dec")</f>
        <v>Jul</v>
      </c>
    </row>
    <row r="1007" customFormat="false" ht="15" hidden="false" customHeight="false" outlineLevel="0" collapsed="false">
      <c r="A1007" s="4" t="s">
        <v>1315</v>
      </c>
      <c r="B1007" s="17" t="n">
        <v>45867</v>
      </c>
      <c r="C1007" s="4" t="n">
        <v>9</v>
      </c>
      <c r="D1007" s="4" t="s">
        <v>73</v>
      </c>
      <c r="E1007" s="4" t="s">
        <v>65</v>
      </c>
      <c r="F1007" s="4" t="s">
        <v>66</v>
      </c>
      <c r="G1007" s="4" t="n">
        <v>1</v>
      </c>
      <c r="H1007" s="34" t="n">
        <v>120</v>
      </c>
      <c r="I1007" s="18" t="n">
        <v>0.1</v>
      </c>
      <c r="J1007" s="4" t="s">
        <v>76</v>
      </c>
      <c r="K1007" s="4" t="s">
        <v>77</v>
      </c>
      <c r="L1007" s="35" t="n">
        <f aca="false">G1007*H1007</f>
        <v>120</v>
      </c>
      <c r="M1007" s="35" t="n">
        <f aca="false">L1007*I1007</f>
        <v>12</v>
      </c>
      <c r="N1007" s="35" t="n">
        <f aca="false">L1007-M1007</f>
        <v>108</v>
      </c>
      <c r="O1007" s="4" t="n">
        <f aca="false">MONTH(B1007)</f>
        <v>7</v>
      </c>
      <c r="P1007" s="4" t="str">
        <f aca="false">CHOOSE(WEEKDAY(B1007,2),"Mon","Tue","Wed","Thu","Fri","Sat","Sun")</f>
        <v>Tue</v>
      </c>
      <c r="Q1007" s="4" t="str">
        <f aca="false">IF(WEEKDAY(B1007,2)&gt;5,"Weekend","Weekday")</f>
        <v>Weekday</v>
      </c>
      <c r="R1007" s="4" t="str">
        <f aca="false">IF(C1007&lt;11,"Morning (7-10)",IF(C1007&lt;14,"Lunch (11-13)",IF(C1007&lt;18,"Afternoon (14-17)","Evening (18-20)")))</f>
        <v>Morning (7-10)</v>
      </c>
      <c r="S1007" s="4" t="str">
        <f aca="false">IF(AND(O1007&gt;=3,O1007&lt;=5),"Hot Dry (Mar-May)",IF(AND(O1007&gt;=6,O1007&lt;=11),"Rainy (Jun-Nov)","Cool Dry (Dec-Feb)"))</f>
        <v>Rainy (Jun-Nov)</v>
      </c>
      <c r="T1007" s="4" t="str">
        <f aca="false">CHOOSE(O1007,"Jan","Feb","Mar","Apr","May","Jun","Jul","Aug","Sep","Oct","Nov","Dec")</f>
        <v>Jul</v>
      </c>
    </row>
    <row r="1008" customFormat="false" ht="15" hidden="false" customHeight="false" outlineLevel="0" collapsed="false">
      <c r="A1008" s="4" t="s">
        <v>1316</v>
      </c>
      <c r="B1008" s="17" t="n">
        <v>45867</v>
      </c>
      <c r="C1008" s="4" t="n">
        <v>9</v>
      </c>
      <c r="D1008" s="4" t="s">
        <v>98</v>
      </c>
      <c r="E1008" s="4" t="s">
        <v>65</v>
      </c>
      <c r="F1008" s="4" t="s">
        <v>94</v>
      </c>
      <c r="G1008" s="4" t="n">
        <v>1</v>
      </c>
      <c r="H1008" s="34" t="n">
        <v>150</v>
      </c>
      <c r="I1008" s="18" t="n">
        <v>0</v>
      </c>
      <c r="J1008" s="4" t="s">
        <v>88</v>
      </c>
      <c r="K1008" s="4" t="s">
        <v>68</v>
      </c>
      <c r="L1008" s="35" t="n">
        <f aca="false">G1008*H1008</f>
        <v>150</v>
      </c>
      <c r="M1008" s="35" t="n">
        <f aca="false">L1008*I1008</f>
        <v>0</v>
      </c>
      <c r="N1008" s="35" t="n">
        <f aca="false">L1008-M1008</f>
        <v>150</v>
      </c>
      <c r="O1008" s="4" t="n">
        <f aca="false">MONTH(B1008)</f>
        <v>7</v>
      </c>
      <c r="P1008" s="4" t="str">
        <f aca="false">CHOOSE(WEEKDAY(B1008,2),"Mon","Tue","Wed","Thu","Fri","Sat","Sun")</f>
        <v>Tue</v>
      </c>
      <c r="Q1008" s="4" t="str">
        <f aca="false">IF(WEEKDAY(B1008,2)&gt;5,"Weekend","Weekday")</f>
        <v>Weekday</v>
      </c>
      <c r="R1008" s="4" t="str">
        <f aca="false">IF(C1008&lt;11,"Morning (7-10)",IF(C1008&lt;14,"Lunch (11-13)",IF(C1008&lt;18,"Afternoon (14-17)","Evening (18-20)")))</f>
        <v>Morning (7-10)</v>
      </c>
      <c r="S1008" s="4" t="str">
        <f aca="false">IF(AND(O1008&gt;=3,O1008&lt;=5),"Hot Dry (Mar-May)",IF(AND(O1008&gt;=6,O1008&lt;=11),"Rainy (Jun-Nov)","Cool Dry (Dec-Feb)"))</f>
        <v>Rainy (Jun-Nov)</v>
      </c>
      <c r="T1008" s="4" t="str">
        <f aca="false">CHOOSE(O1008,"Jan","Feb","Mar","Apr","May","Jun","Jul","Aug","Sep","Oct","Nov","Dec")</f>
        <v>Jul</v>
      </c>
    </row>
    <row r="1009" customFormat="false" ht="15" hidden="false" customHeight="false" outlineLevel="0" collapsed="false">
      <c r="A1009" s="4" t="s">
        <v>1317</v>
      </c>
      <c r="B1009" s="17" t="n">
        <v>45867</v>
      </c>
      <c r="C1009" s="4" t="n">
        <v>13</v>
      </c>
      <c r="D1009" s="4" t="s">
        <v>70</v>
      </c>
      <c r="E1009" s="4" t="s">
        <v>84</v>
      </c>
      <c r="F1009" s="4" t="s">
        <v>106</v>
      </c>
      <c r="G1009" s="4" t="n">
        <v>4</v>
      </c>
      <c r="H1009" s="34" t="n">
        <v>60</v>
      </c>
      <c r="I1009" s="18" t="n">
        <v>0</v>
      </c>
      <c r="J1009" s="4" t="s">
        <v>76</v>
      </c>
      <c r="K1009" s="4" t="s">
        <v>68</v>
      </c>
      <c r="L1009" s="35" t="n">
        <f aca="false">G1009*H1009</f>
        <v>240</v>
      </c>
      <c r="M1009" s="35" t="n">
        <f aca="false">L1009*I1009</f>
        <v>0</v>
      </c>
      <c r="N1009" s="35" t="n">
        <f aca="false">L1009-M1009</f>
        <v>240</v>
      </c>
      <c r="O1009" s="4" t="n">
        <f aca="false">MONTH(B1009)</f>
        <v>7</v>
      </c>
      <c r="P1009" s="4" t="str">
        <f aca="false">CHOOSE(WEEKDAY(B1009,2),"Mon","Tue","Wed","Thu","Fri","Sat","Sun")</f>
        <v>Tue</v>
      </c>
      <c r="Q1009" s="4" t="str">
        <f aca="false">IF(WEEKDAY(B1009,2)&gt;5,"Weekend","Weekday")</f>
        <v>Weekday</v>
      </c>
      <c r="R1009" s="4" t="str">
        <f aca="false">IF(C1009&lt;11,"Morning (7-10)",IF(C1009&lt;14,"Lunch (11-13)",IF(C1009&lt;18,"Afternoon (14-17)","Evening (18-20)")))</f>
        <v>Lunch (11-13)</v>
      </c>
      <c r="S1009" s="4" t="str">
        <f aca="false">IF(AND(O1009&gt;=3,O1009&lt;=5),"Hot Dry (Mar-May)",IF(AND(O1009&gt;=6,O1009&lt;=11),"Rainy (Jun-Nov)","Cool Dry (Dec-Feb)"))</f>
        <v>Rainy (Jun-Nov)</v>
      </c>
      <c r="T1009" s="4" t="str">
        <f aca="false">CHOOSE(O1009,"Jan","Feb","Mar","Apr","May","Jun","Jul","Aug","Sep","Oct","Nov","Dec")</f>
        <v>Jul</v>
      </c>
    </row>
    <row r="1010" customFormat="false" ht="15" hidden="false" customHeight="false" outlineLevel="0" collapsed="false">
      <c r="A1010" s="4" t="s">
        <v>1318</v>
      </c>
      <c r="B1010" s="17" t="n">
        <v>45867</v>
      </c>
      <c r="C1010" s="4" t="n">
        <v>16</v>
      </c>
      <c r="D1010" s="4" t="s">
        <v>64</v>
      </c>
      <c r="E1010" s="4" t="s">
        <v>99</v>
      </c>
      <c r="F1010" s="4" t="s">
        <v>102</v>
      </c>
      <c r="G1010" s="4" t="n">
        <v>3</v>
      </c>
      <c r="H1010" s="34" t="n">
        <v>140</v>
      </c>
      <c r="I1010" s="18" t="n">
        <v>0</v>
      </c>
      <c r="J1010" s="4" t="s">
        <v>76</v>
      </c>
      <c r="K1010" s="4" t="s">
        <v>68</v>
      </c>
      <c r="L1010" s="35" t="n">
        <f aca="false">G1010*H1010</f>
        <v>420</v>
      </c>
      <c r="M1010" s="35" t="n">
        <f aca="false">L1010*I1010</f>
        <v>0</v>
      </c>
      <c r="N1010" s="35" t="n">
        <f aca="false">L1010-M1010</f>
        <v>420</v>
      </c>
      <c r="O1010" s="4" t="n">
        <f aca="false">MONTH(B1010)</f>
        <v>7</v>
      </c>
      <c r="P1010" s="4" t="str">
        <f aca="false">CHOOSE(WEEKDAY(B1010,2),"Mon","Tue","Wed","Thu","Fri","Sat","Sun")</f>
        <v>Tue</v>
      </c>
      <c r="Q1010" s="4" t="str">
        <f aca="false">IF(WEEKDAY(B1010,2)&gt;5,"Weekend","Weekday")</f>
        <v>Weekday</v>
      </c>
      <c r="R1010" s="4" t="str">
        <f aca="false">IF(C1010&lt;11,"Morning (7-10)",IF(C1010&lt;14,"Lunch (11-13)",IF(C1010&lt;18,"Afternoon (14-17)","Evening (18-20)")))</f>
        <v>Afternoon (14-17)</v>
      </c>
      <c r="S1010" s="4" t="str">
        <f aca="false">IF(AND(O1010&gt;=3,O1010&lt;=5),"Hot Dry (Mar-May)",IF(AND(O1010&gt;=6,O1010&lt;=11),"Rainy (Jun-Nov)","Cool Dry (Dec-Feb)"))</f>
        <v>Rainy (Jun-Nov)</v>
      </c>
      <c r="T1010" s="4" t="str">
        <f aca="false">CHOOSE(O1010,"Jan","Feb","Mar","Apr","May","Jun","Jul","Aug","Sep","Oct","Nov","Dec")</f>
        <v>Jul</v>
      </c>
    </row>
    <row r="1011" customFormat="false" ht="15" hidden="false" customHeight="false" outlineLevel="0" collapsed="false">
      <c r="A1011" s="4" t="s">
        <v>1319</v>
      </c>
      <c r="B1011" s="17" t="n">
        <v>45867</v>
      </c>
      <c r="C1011" s="4" t="n">
        <v>17</v>
      </c>
      <c r="D1011" s="4" t="s">
        <v>70</v>
      </c>
      <c r="E1011" s="4" t="s">
        <v>74</v>
      </c>
      <c r="F1011" s="4" t="s">
        <v>75</v>
      </c>
      <c r="G1011" s="4" t="n">
        <v>1</v>
      </c>
      <c r="H1011" s="34" t="n">
        <v>220</v>
      </c>
      <c r="I1011" s="18" t="n">
        <v>0.1</v>
      </c>
      <c r="J1011" s="4" t="s">
        <v>67</v>
      </c>
      <c r="K1011" s="4" t="s">
        <v>71</v>
      </c>
      <c r="L1011" s="35" t="n">
        <f aca="false">G1011*H1011</f>
        <v>220</v>
      </c>
      <c r="M1011" s="35" t="n">
        <f aca="false">L1011*I1011</f>
        <v>22</v>
      </c>
      <c r="N1011" s="35" t="n">
        <f aca="false">L1011-M1011</f>
        <v>198</v>
      </c>
      <c r="O1011" s="4" t="n">
        <f aca="false">MONTH(B1011)</f>
        <v>7</v>
      </c>
      <c r="P1011" s="4" t="str">
        <f aca="false">CHOOSE(WEEKDAY(B1011,2),"Mon","Tue","Wed","Thu","Fri","Sat","Sun")</f>
        <v>Tue</v>
      </c>
      <c r="Q1011" s="4" t="str">
        <f aca="false">IF(WEEKDAY(B1011,2)&gt;5,"Weekend","Weekday")</f>
        <v>Weekday</v>
      </c>
      <c r="R1011" s="4" t="str">
        <f aca="false">IF(C1011&lt;11,"Morning (7-10)",IF(C1011&lt;14,"Lunch (11-13)",IF(C1011&lt;18,"Afternoon (14-17)","Evening (18-20)")))</f>
        <v>Afternoon (14-17)</v>
      </c>
      <c r="S1011" s="4" t="str">
        <f aca="false">IF(AND(O1011&gt;=3,O1011&lt;=5),"Hot Dry (Mar-May)",IF(AND(O1011&gt;=6,O1011&lt;=11),"Rainy (Jun-Nov)","Cool Dry (Dec-Feb)"))</f>
        <v>Rainy (Jun-Nov)</v>
      </c>
      <c r="T1011" s="4" t="str">
        <f aca="false">CHOOSE(O1011,"Jan","Feb","Mar","Apr","May","Jun","Jul","Aug","Sep","Oct","Nov","Dec")</f>
        <v>Jul</v>
      </c>
    </row>
    <row r="1012" customFormat="false" ht="15" hidden="false" customHeight="false" outlineLevel="0" collapsed="false">
      <c r="A1012" s="4" t="s">
        <v>1320</v>
      </c>
      <c r="B1012" s="17" t="n">
        <v>45867</v>
      </c>
      <c r="C1012" s="4" t="n">
        <v>17</v>
      </c>
      <c r="D1012" s="4" t="s">
        <v>70</v>
      </c>
      <c r="E1012" s="4" t="s">
        <v>74</v>
      </c>
      <c r="F1012" s="4" t="s">
        <v>91</v>
      </c>
      <c r="G1012" s="4" t="n">
        <v>1</v>
      </c>
      <c r="H1012" s="34" t="n">
        <v>200</v>
      </c>
      <c r="I1012" s="18" t="n">
        <v>0.05</v>
      </c>
      <c r="J1012" s="4" t="s">
        <v>67</v>
      </c>
      <c r="K1012" s="4" t="s">
        <v>82</v>
      </c>
      <c r="L1012" s="35" t="n">
        <f aca="false">G1012*H1012</f>
        <v>200</v>
      </c>
      <c r="M1012" s="35" t="n">
        <f aca="false">L1012*I1012</f>
        <v>10</v>
      </c>
      <c r="N1012" s="35" t="n">
        <f aca="false">L1012-M1012</f>
        <v>190</v>
      </c>
      <c r="O1012" s="4" t="n">
        <f aca="false">MONTH(B1012)</f>
        <v>7</v>
      </c>
      <c r="P1012" s="4" t="str">
        <f aca="false">CHOOSE(WEEKDAY(B1012,2),"Mon","Tue","Wed","Thu","Fri","Sat","Sun")</f>
        <v>Tue</v>
      </c>
      <c r="Q1012" s="4" t="str">
        <f aca="false">IF(WEEKDAY(B1012,2)&gt;5,"Weekend","Weekday")</f>
        <v>Weekday</v>
      </c>
      <c r="R1012" s="4" t="str">
        <f aca="false">IF(C1012&lt;11,"Morning (7-10)",IF(C1012&lt;14,"Lunch (11-13)",IF(C1012&lt;18,"Afternoon (14-17)","Evening (18-20)")))</f>
        <v>Afternoon (14-17)</v>
      </c>
      <c r="S1012" s="4" t="str">
        <f aca="false">IF(AND(O1012&gt;=3,O1012&lt;=5),"Hot Dry (Mar-May)",IF(AND(O1012&gt;=6,O1012&lt;=11),"Rainy (Jun-Nov)","Cool Dry (Dec-Feb)"))</f>
        <v>Rainy (Jun-Nov)</v>
      </c>
      <c r="T1012" s="4" t="str">
        <f aca="false">CHOOSE(O1012,"Jan","Feb","Mar","Apr","May","Jun","Jul","Aug","Sep","Oct","Nov","Dec")</f>
        <v>Jul</v>
      </c>
    </row>
    <row r="1013" customFormat="false" ht="15" hidden="false" customHeight="false" outlineLevel="0" collapsed="false">
      <c r="A1013" s="4" t="s">
        <v>1321</v>
      </c>
      <c r="B1013" s="17" t="n">
        <v>45868</v>
      </c>
      <c r="C1013" s="4" t="n">
        <v>7</v>
      </c>
      <c r="D1013" s="4" t="s">
        <v>73</v>
      </c>
      <c r="E1013" s="4" t="s">
        <v>99</v>
      </c>
      <c r="F1013" s="4" t="s">
        <v>109</v>
      </c>
      <c r="G1013" s="4" t="n">
        <v>1</v>
      </c>
      <c r="H1013" s="34" t="n">
        <v>130</v>
      </c>
      <c r="I1013" s="18" t="n">
        <v>0.1</v>
      </c>
      <c r="J1013" s="4" t="s">
        <v>112</v>
      </c>
      <c r="K1013" s="4" t="s">
        <v>71</v>
      </c>
      <c r="L1013" s="35" t="n">
        <f aca="false">G1013*H1013</f>
        <v>130</v>
      </c>
      <c r="M1013" s="35" t="n">
        <f aca="false">L1013*I1013</f>
        <v>13</v>
      </c>
      <c r="N1013" s="35" t="n">
        <f aca="false">L1013-M1013</f>
        <v>117</v>
      </c>
      <c r="O1013" s="4" t="n">
        <f aca="false">MONTH(B1013)</f>
        <v>7</v>
      </c>
      <c r="P1013" s="4" t="str">
        <f aca="false">CHOOSE(WEEKDAY(B1013,2),"Mon","Tue","Wed","Thu","Fri","Sat","Sun")</f>
        <v>Wed</v>
      </c>
      <c r="Q1013" s="4" t="str">
        <f aca="false">IF(WEEKDAY(B1013,2)&gt;5,"Weekend","Weekday")</f>
        <v>Weekday</v>
      </c>
      <c r="R1013" s="4" t="str">
        <f aca="false">IF(C1013&lt;11,"Morning (7-10)",IF(C1013&lt;14,"Lunch (11-13)",IF(C1013&lt;18,"Afternoon (14-17)","Evening (18-20)")))</f>
        <v>Morning (7-10)</v>
      </c>
      <c r="S1013" s="4" t="str">
        <f aca="false">IF(AND(O1013&gt;=3,O1013&lt;=5),"Hot Dry (Mar-May)",IF(AND(O1013&gt;=6,O1013&lt;=11),"Rainy (Jun-Nov)","Cool Dry (Dec-Feb)"))</f>
        <v>Rainy (Jun-Nov)</v>
      </c>
      <c r="T1013" s="4" t="str">
        <f aca="false">CHOOSE(O1013,"Jan","Feb","Mar","Apr","May","Jun","Jul","Aug","Sep","Oct","Nov","Dec")</f>
        <v>Jul</v>
      </c>
    </row>
    <row r="1014" customFormat="false" ht="15" hidden="false" customHeight="false" outlineLevel="0" collapsed="false">
      <c r="A1014" s="4" t="s">
        <v>1323</v>
      </c>
      <c r="B1014" s="17" t="n">
        <v>45868</v>
      </c>
      <c r="C1014" s="4" t="n">
        <v>9</v>
      </c>
      <c r="D1014" s="4" t="s">
        <v>70</v>
      </c>
      <c r="E1014" s="4" t="s">
        <v>99</v>
      </c>
      <c r="F1014" s="4" t="s">
        <v>102</v>
      </c>
      <c r="G1014" s="4" t="n">
        <v>1</v>
      </c>
      <c r="H1014" s="34" t="n">
        <v>140</v>
      </c>
      <c r="I1014" s="18" t="n">
        <v>0</v>
      </c>
      <c r="J1014" s="4" t="s">
        <v>81</v>
      </c>
      <c r="K1014" s="4" t="s">
        <v>68</v>
      </c>
      <c r="L1014" s="35" t="n">
        <f aca="false">G1014*H1014</f>
        <v>140</v>
      </c>
      <c r="M1014" s="35" t="n">
        <f aca="false">L1014*I1014</f>
        <v>0</v>
      </c>
      <c r="N1014" s="35" t="n">
        <f aca="false">L1014-M1014</f>
        <v>140</v>
      </c>
      <c r="O1014" s="4" t="n">
        <f aca="false">MONTH(B1014)</f>
        <v>7</v>
      </c>
      <c r="P1014" s="4" t="str">
        <f aca="false">CHOOSE(WEEKDAY(B1014,2),"Mon","Tue","Wed","Thu","Fri","Sat","Sun")</f>
        <v>Wed</v>
      </c>
      <c r="Q1014" s="4" t="str">
        <f aca="false">IF(WEEKDAY(B1014,2)&gt;5,"Weekend","Weekday")</f>
        <v>Weekday</v>
      </c>
      <c r="R1014" s="4" t="str">
        <f aca="false">IF(C1014&lt;11,"Morning (7-10)",IF(C1014&lt;14,"Lunch (11-13)",IF(C1014&lt;18,"Afternoon (14-17)","Evening (18-20)")))</f>
        <v>Morning (7-10)</v>
      </c>
      <c r="S1014" s="4" t="str">
        <f aca="false">IF(AND(O1014&gt;=3,O1014&lt;=5),"Hot Dry (Mar-May)",IF(AND(O1014&gt;=6,O1014&lt;=11),"Rainy (Jun-Nov)","Cool Dry (Dec-Feb)"))</f>
        <v>Rainy (Jun-Nov)</v>
      </c>
      <c r="T1014" s="4" t="str">
        <f aca="false">CHOOSE(O1014,"Jan","Feb","Mar","Apr","May","Jun","Jul","Aug","Sep","Oct","Nov","Dec")</f>
        <v>Jul</v>
      </c>
    </row>
    <row r="1015" customFormat="false" ht="15" hidden="false" customHeight="false" outlineLevel="0" collapsed="false">
      <c r="A1015" s="4" t="s">
        <v>1324</v>
      </c>
      <c r="B1015" s="17" t="n">
        <v>45868</v>
      </c>
      <c r="C1015" s="4" t="n">
        <v>9</v>
      </c>
      <c r="D1015" s="4" t="s">
        <v>73</v>
      </c>
      <c r="E1015" s="4" t="s">
        <v>99</v>
      </c>
      <c r="F1015" s="4" t="s">
        <v>109</v>
      </c>
      <c r="G1015" s="4" t="n">
        <v>3</v>
      </c>
      <c r="H1015" s="34" t="n">
        <v>130</v>
      </c>
      <c r="I1015" s="18" t="n">
        <v>0.05</v>
      </c>
      <c r="J1015" s="4" t="s">
        <v>67</v>
      </c>
      <c r="K1015" s="4" t="s">
        <v>82</v>
      </c>
      <c r="L1015" s="35" t="n">
        <f aca="false">G1015*H1015</f>
        <v>390</v>
      </c>
      <c r="M1015" s="35" t="n">
        <f aca="false">L1015*I1015</f>
        <v>19.5</v>
      </c>
      <c r="N1015" s="35" t="n">
        <f aca="false">L1015-M1015</f>
        <v>370.5</v>
      </c>
      <c r="O1015" s="4" t="n">
        <f aca="false">MONTH(B1015)</f>
        <v>7</v>
      </c>
      <c r="P1015" s="4" t="str">
        <f aca="false">CHOOSE(WEEKDAY(B1015,2),"Mon","Tue","Wed","Thu","Fri","Sat","Sun")</f>
        <v>Wed</v>
      </c>
      <c r="Q1015" s="4" t="str">
        <f aca="false">IF(WEEKDAY(B1015,2)&gt;5,"Weekend","Weekday")</f>
        <v>Weekday</v>
      </c>
      <c r="R1015" s="4" t="str">
        <f aca="false">IF(C1015&lt;11,"Morning (7-10)",IF(C1015&lt;14,"Lunch (11-13)",IF(C1015&lt;18,"Afternoon (14-17)","Evening (18-20)")))</f>
        <v>Morning (7-10)</v>
      </c>
      <c r="S1015" s="4" t="str">
        <f aca="false">IF(AND(O1015&gt;=3,O1015&lt;=5),"Hot Dry (Mar-May)",IF(AND(O1015&gt;=6,O1015&lt;=11),"Rainy (Jun-Nov)","Cool Dry (Dec-Feb)"))</f>
        <v>Rainy (Jun-Nov)</v>
      </c>
      <c r="T1015" s="4" t="str">
        <f aca="false">CHOOSE(O1015,"Jan","Feb","Mar","Apr","May","Jun","Jul","Aug","Sep","Oct","Nov","Dec")</f>
        <v>Jul</v>
      </c>
    </row>
    <row r="1016" customFormat="false" ht="15" hidden="false" customHeight="false" outlineLevel="0" collapsed="false">
      <c r="A1016" s="4" t="s">
        <v>1325</v>
      </c>
      <c r="B1016" s="17" t="n">
        <v>45868</v>
      </c>
      <c r="C1016" s="4" t="n">
        <v>12</v>
      </c>
      <c r="D1016" s="4" t="s">
        <v>70</v>
      </c>
      <c r="E1016" s="4" t="s">
        <v>99</v>
      </c>
      <c r="F1016" s="4" t="s">
        <v>100</v>
      </c>
      <c r="G1016" s="4" t="n">
        <v>2</v>
      </c>
      <c r="H1016" s="34" t="n">
        <v>110</v>
      </c>
      <c r="I1016" s="18" t="n">
        <v>0.05</v>
      </c>
      <c r="J1016" s="4" t="s">
        <v>81</v>
      </c>
      <c r="K1016" s="4" t="s">
        <v>82</v>
      </c>
      <c r="L1016" s="35" t="n">
        <f aca="false">G1016*H1016</f>
        <v>220</v>
      </c>
      <c r="M1016" s="35" t="n">
        <f aca="false">L1016*I1016</f>
        <v>11</v>
      </c>
      <c r="N1016" s="35" t="n">
        <f aca="false">L1016-M1016</f>
        <v>209</v>
      </c>
      <c r="O1016" s="4" t="n">
        <f aca="false">MONTH(B1016)</f>
        <v>7</v>
      </c>
      <c r="P1016" s="4" t="str">
        <f aca="false">CHOOSE(WEEKDAY(B1016,2),"Mon","Tue","Wed","Thu","Fri","Sat","Sun")</f>
        <v>Wed</v>
      </c>
      <c r="Q1016" s="4" t="str">
        <f aca="false">IF(WEEKDAY(B1016,2)&gt;5,"Weekend","Weekday")</f>
        <v>Weekday</v>
      </c>
      <c r="R1016" s="4" t="str">
        <f aca="false">IF(C1016&lt;11,"Morning (7-10)",IF(C1016&lt;14,"Lunch (11-13)",IF(C1016&lt;18,"Afternoon (14-17)","Evening (18-20)")))</f>
        <v>Lunch (11-13)</v>
      </c>
      <c r="S1016" s="4" t="str">
        <f aca="false">IF(AND(O1016&gt;=3,O1016&lt;=5),"Hot Dry (Mar-May)",IF(AND(O1016&gt;=6,O1016&lt;=11),"Rainy (Jun-Nov)","Cool Dry (Dec-Feb)"))</f>
        <v>Rainy (Jun-Nov)</v>
      </c>
      <c r="T1016" s="4" t="str">
        <f aca="false">CHOOSE(O1016,"Jan","Feb","Mar","Apr","May","Jun","Jul","Aug","Sep","Oct","Nov","Dec")</f>
        <v>Jul</v>
      </c>
    </row>
    <row r="1017" customFormat="false" ht="15" hidden="false" customHeight="false" outlineLevel="0" collapsed="false">
      <c r="A1017" s="4" t="s">
        <v>1326</v>
      </c>
      <c r="B1017" s="17" t="n">
        <v>45868</v>
      </c>
      <c r="C1017" s="4" t="n">
        <v>12</v>
      </c>
      <c r="D1017" s="4" t="s">
        <v>70</v>
      </c>
      <c r="E1017" s="4" t="s">
        <v>74</v>
      </c>
      <c r="F1017" s="4" t="s">
        <v>139</v>
      </c>
      <c r="G1017" s="4" t="n">
        <v>1</v>
      </c>
      <c r="H1017" s="34" t="n">
        <v>260</v>
      </c>
      <c r="I1017" s="18" t="n">
        <v>0.05</v>
      </c>
      <c r="J1017" s="4" t="s">
        <v>81</v>
      </c>
      <c r="K1017" s="4" t="s">
        <v>82</v>
      </c>
      <c r="L1017" s="35" t="n">
        <f aca="false">G1017*H1017</f>
        <v>260</v>
      </c>
      <c r="M1017" s="35" t="n">
        <f aca="false">L1017*I1017</f>
        <v>13</v>
      </c>
      <c r="N1017" s="35" t="n">
        <f aca="false">L1017-M1017</f>
        <v>247</v>
      </c>
      <c r="O1017" s="4" t="n">
        <f aca="false">MONTH(B1017)</f>
        <v>7</v>
      </c>
      <c r="P1017" s="4" t="str">
        <f aca="false">CHOOSE(WEEKDAY(B1017,2),"Mon","Tue","Wed","Thu","Fri","Sat","Sun")</f>
        <v>Wed</v>
      </c>
      <c r="Q1017" s="4" t="str">
        <f aca="false">IF(WEEKDAY(B1017,2)&gt;5,"Weekend","Weekday")</f>
        <v>Weekday</v>
      </c>
      <c r="R1017" s="4" t="str">
        <f aca="false">IF(C1017&lt;11,"Morning (7-10)",IF(C1017&lt;14,"Lunch (11-13)",IF(C1017&lt;18,"Afternoon (14-17)","Evening (18-20)")))</f>
        <v>Lunch (11-13)</v>
      </c>
      <c r="S1017" s="4" t="str">
        <f aca="false">IF(AND(O1017&gt;=3,O1017&lt;=5),"Hot Dry (Mar-May)",IF(AND(O1017&gt;=6,O1017&lt;=11),"Rainy (Jun-Nov)","Cool Dry (Dec-Feb)"))</f>
        <v>Rainy (Jun-Nov)</v>
      </c>
      <c r="T1017" s="4" t="str">
        <f aca="false">CHOOSE(O1017,"Jan","Feb","Mar","Apr","May","Jun","Jul","Aug","Sep","Oct","Nov","Dec")</f>
        <v>Jul</v>
      </c>
    </row>
    <row r="1018" customFormat="false" ht="15" hidden="false" customHeight="false" outlineLevel="0" collapsed="false">
      <c r="A1018" s="4" t="s">
        <v>1327</v>
      </c>
      <c r="B1018" s="17" t="n">
        <v>45868</v>
      </c>
      <c r="C1018" s="4" t="n">
        <v>14</v>
      </c>
      <c r="D1018" s="4" t="s">
        <v>98</v>
      </c>
      <c r="E1018" s="4" t="s">
        <v>79</v>
      </c>
      <c r="F1018" s="4" t="s">
        <v>80</v>
      </c>
      <c r="G1018" s="4" t="n">
        <v>1</v>
      </c>
      <c r="H1018" s="34" t="n">
        <v>160</v>
      </c>
      <c r="I1018" s="18" t="n">
        <v>0</v>
      </c>
      <c r="J1018" s="4" t="s">
        <v>112</v>
      </c>
      <c r="K1018" s="4" t="s">
        <v>68</v>
      </c>
      <c r="L1018" s="35" t="n">
        <f aca="false">G1018*H1018</f>
        <v>160</v>
      </c>
      <c r="M1018" s="35" t="n">
        <f aca="false">L1018*I1018</f>
        <v>0</v>
      </c>
      <c r="N1018" s="35" t="n">
        <f aca="false">L1018-M1018</f>
        <v>160</v>
      </c>
      <c r="O1018" s="4" t="n">
        <f aca="false">MONTH(B1018)</f>
        <v>7</v>
      </c>
      <c r="P1018" s="4" t="str">
        <f aca="false">CHOOSE(WEEKDAY(B1018,2),"Mon","Tue","Wed","Thu","Fri","Sat","Sun")</f>
        <v>Wed</v>
      </c>
      <c r="Q1018" s="4" t="str">
        <f aca="false">IF(WEEKDAY(B1018,2)&gt;5,"Weekend","Weekday")</f>
        <v>Weekday</v>
      </c>
      <c r="R1018" s="4" t="str">
        <f aca="false">IF(C1018&lt;11,"Morning (7-10)",IF(C1018&lt;14,"Lunch (11-13)",IF(C1018&lt;18,"Afternoon (14-17)","Evening (18-20)")))</f>
        <v>Afternoon (14-17)</v>
      </c>
      <c r="S1018" s="4" t="str">
        <f aca="false">IF(AND(O1018&gt;=3,O1018&lt;=5),"Hot Dry (Mar-May)",IF(AND(O1018&gt;=6,O1018&lt;=11),"Rainy (Jun-Nov)","Cool Dry (Dec-Feb)"))</f>
        <v>Rainy (Jun-Nov)</v>
      </c>
      <c r="T1018" s="4" t="str">
        <f aca="false">CHOOSE(O1018,"Jan","Feb","Mar","Apr","May","Jun","Jul","Aug","Sep","Oct","Nov","Dec")</f>
        <v>Jul</v>
      </c>
    </row>
    <row r="1019" customFormat="false" ht="15" hidden="false" customHeight="false" outlineLevel="0" collapsed="false">
      <c r="A1019" s="4" t="s">
        <v>1328</v>
      </c>
      <c r="B1019" s="17" t="n">
        <v>45868</v>
      </c>
      <c r="C1019" s="4" t="n">
        <v>16</v>
      </c>
      <c r="D1019" s="4" t="s">
        <v>73</v>
      </c>
      <c r="E1019" s="4" t="s">
        <v>74</v>
      </c>
      <c r="F1019" s="4" t="s">
        <v>91</v>
      </c>
      <c r="G1019" s="4" t="n">
        <v>1</v>
      </c>
      <c r="H1019" s="34" t="n">
        <v>200</v>
      </c>
      <c r="I1019" s="18" t="n">
        <v>0.1</v>
      </c>
      <c r="J1019" s="4" t="s">
        <v>76</v>
      </c>
      <c r="K1019" s="4" t="s">
        <v>71</v>
      </c>
      <c r="L1019" s="35" t="n">
        <f aca="false">G1019*H1019</f>
        <v>200</v>
      </c>
      <c r="M1019" s="35" t="n">
        <f aca="false">L1019*I1019</f>
        <v>20</v>
      </c>
      <c r="N1019" s="35" t="n">
        <f aca="false">L1019-M1019</f>
        <v>180</v>
      </c>
      <c r="O1019" s="4" t="n">
        <f aca="false">MONTH(B1019)</f>
        <v>7</v>
      </c>
      <c r="P1019" s="4" t="str">
        <f aca="false">CHOOSE(WEEKDAY(B1019,2),"Mon","Tue","Wed","Thu","Fri","Sat","Sun")</f>
        <v>Wed</v>
      </c>
      <c r="Q1019" s="4" t="str">
        <f aca="false">IF(WEEKDAY(B1019,2)&gt;5,"Weekend","Weekday")</f>
        <v>Weekday</v>
      </c>
      <c r="R1019" s="4" t="str">
        <f aca="false">IF(C1019&lt;11,"Morning (7-10)",IF(C1019&lt;14,"Lunch (11-13)",IF(C1019&lt;18,"Afternoon (14-17)","Evening (18-20)")))</f>
        <v>Afternoon (14-17)</v>
      </c>
      <c r="S1019" s="4" t="str">
        <f aca="false">IF(AND(O1019&gt;=3,O1019&lt;=5),"Hot Dry (Mar-May)",IF(AND(O1019&gt;=6,O1019&lt;=11),"Rainy (Jun-Nov)","Cool Dry (Dec-Feb)"))</f>
        <v>Rainy (Jun-Nov)</v>
      </c>
      <c r="T1019" s="4" t="str">
        <f aca="false">CHOOSE(O1019,"Jan","Feb","Mar","Apr","May","Jun","Jul","Aug","Sep","Oct","Nov","Dec")</f>
        <v>Jul</v>
      </c>
    </row>
    <row r="1020" customFormat="false" ht="15" hidden="false" customHeight="false" outlineLevel="0" collapsed="false">
      <c r="A1020" s="4" t="s">
        <v>1329</v>
      </c>
      <c r="B1020" s="17" t="n">
        <v>45868</v>
      </c>
      <c r="C1020" s="4" t="n">
        <v>16</v>
      </c>
      <c r="D1020" s="4" t="s">
        <v>64</v>
      </c>
      <c r="E1020" s="4" t="s">
        <v>99</v>
      </c>
      <c r="F1020" s="4" t="s">
        <v>109</v>
      </c>
      <c r="G1020" s="4" t="n">
        <v>1</v>
      </c>
      <c r="H1020" s="34" t="n">
        <v>130</v>
      </c>
      <c r="I1020" s="18" t="n">
        <v>0</v>
      </c>
      <c r="J1020" s="4" t="s">
        <v>67</v>
      </c>
      <c r="K1020" s="4" t="s">
        <v>77</v>
      </c>
      <c r="L1020" s="35" t="n">
        <f aca="false">G1020*H1020</f>
        <v>130</v>
      </c>
      <c r="M1020" s="35" t="n">
        <f aca="false">L1020*I1020</f>
        <v>0</v>
      </c>
      <c r="N1020" s="35" t="n">
        <f aca="false">L1020-M1020</f>
        <v>130</v>
      </c>
      <c r="O1020" s="4" t="n">
        <f aca="false">MONTH(B1020)</f>
        <v>7</v>
      </c>
      <c r="P1020" s="4" t="str">
        <f aca="false">CHOOSE(WEEKDAY(B1020,2),"Mon","Tue","Wed","Thu","Fri","Sat","Sun")</f>
        <v>Wed</v>
      </c>
      <c r="Q1020" s="4" t="str">
        <f aca="false">IF(WEEKDAY(B1020,2)&gt;5,"Weekend","Weekday")</f>
        <v>Weekday</v>
      </c>
      <c r="R1020" s="4" t="str">
        <f aca="false">IF(C1020&lt;11,"Morning (7-10)",IF(C1020&lt;14,"Lunch (11-13)",IF(C1020&lt;18,"Afternoon (14-17)","Evening (18-20)")))</f>
        <v>Afternoon (14-17)</v>
      </c>
      <c r="S1020" s="4" t="str">
        <f aca="false">IF(AND(O1020&gt;=3,O1020&lt;=5),"Hot Dry (Mar-May)",IF(AND(O1020&gt;=6,O1020&lt;=11),"Rainy (Jun-Nov)","Cool Dry (Dec-Feb)"))</f>
        <v>Rainy (Jun-Nov)</v>
      </c>
      <c r="T1020" s="4" t="str">
        <f aca="false">CHOOSE(O1020,"Jan","Feb","Mar","Apr","May","Jun","Jul","Aug","Sep","Oct","Nov","Dec")</f>
        <v>Jul</v>
      </c>
    </row>
    <row r="1021" customFormat="false" ht="15" hidden="false" customHeight="false" outlineLevel="0" collapsed="false">
      <c r="A1021" s="4" t="s">
        <v>1330</v>
      </c>
      <c r="B1021" s="17" t="n">
        <v>45869</v>
      </c>
      <c r="C1021" s="4" t="n">
        <v>11</v>
      </c>
      <c r="D1021" s="4" t="s">
        <v>70</v>
      </c>
      <c r="E1021" s="4" t="s">
        <v>84</v>
      </c>
      <c r="F1021" s="4" t="s">
        <v>114</v>
      </c>
      <c r="G1021" s="4" t="n">
        <v>2</v>
      </c>
      <c r="H1021" s="34" t="n">
        <v>85</v>
      </c>
      <c r="I1021" s="18" t="n">
        <v>0</v>
      </c>
      <c r="J1021" s="4" t="s">
        <v>88</v>
      </c>
      <c r="K1021" s="4" t="s">
        <v>68</v>
      </c>
      <c r="L1021" s="35" t="n">
        <f aca="false">G1021*H1021</f>
        <v>170</v>
      </c>
      <c r="M1021" s="35" t="n">
        <f aca="false">L1021*I1021</f>
        <v>0</v>
      </c>
      <c r="N1021" s="35" t="n">
        <f aca="false">L1021-M1021</f>
        <v>170</v>
      </c>
      <c r="O1021" s="4" t="n">
        <f aca="false">MONTH(B1021)</f>
        <v>7</v>
      </c>
      <c r="P1021" s="4" t="str">
        <f aca="false">CHOOSE(WEEKDAY(B1021,2),"Mon","Tue","Wed","Thu","Fri","Sat","Sun")</f>
        <v>Thu</v>
      </c>
      <c r="Q1021" s="4" t="str">
        <f aca="false">IF(WEEKDAY(B1021,2)&gt;5,"Weekend","Weekday")</f>
        <v>Weekday</v>
      </c>
      <c r="R1021" s="4" t="str">
        <f aca="false">IF(C1021&lt;11,"Morning (7-10)",IF(C1021&lt;14,"Lunch (11-13)",IF(C1021&lt;18,"Afternoon (14-17)","Evening (18-20)")))</f>
        <v>Lunch (11-13)</v>
      </c>
      <c r="S1021" s="4" t="str">
        <f aca="false">IF(AND(O1021&gt;=3,O1021&lt;=5),"Hot Dry (Mar-May)",IF(AND(O1021&gt;=6,O1021&lt;=11),"Rainy (Jun-Nov)","Cool Dry (Dec-Feb)"))</f>
        <v>Rainy (Jun-Nov)</v>
      </c>
      <c r="T1021" s="4" t="str">
        <f aca="false">CHOOSE(O1021,"Jan","Feb","Mar","Apr","May","Jun","Jul","Aug","Sep","Oct","Nov","Dec")</f>
        <v>Jul</v>
      </c>
    </row>
    <row r="1022" customFormat="false" ht="15" hidden="false" customHeight="false" outlineLevel="0" collapsed="false">
      <c r="A1022" s="4" t="s">
        <v>1331</v>
      </c>
      <c r="B1022" s="17" t="n">
        <v>45869</v>
      </c>
      <c r="C1022" s="4" t="n">
        <v>12</v>
      </c>
      <c r="D1022" s="4" t="s">
        <v>64</v>
      </c>
      <c r="E1022" s="4" t="s">
        <v>99</v>
      </c>
      <c r="F1022" s="4" t="s">
        <v>100</v>
      </c>
      <c r="G1022" s="4" t="n">
        <v>3</v>
      </c>
      <c r="H1022" s="34" t="n">
        <v>110</v>
      </c>
      <c r="I1022" s="18" t="n">
        <v>0.05</v>
      </c>
      <c r="J1022" s="4" t="s">
        <v>2289</v>
      </c>
      <c r="K1022" s="4" t="s">
        <v>82</v>
      </c>
      <c r="L1022" s="35" t="n">
        <f aca="false">G1022*H1022</f>
        <v>330</v>
      </c>
      <c r="M1022" s="35" t="n">
        <f aca="false">L1022*I1022</f>
        <v>16.5</v>
      </c>
      <c r="N1022" s="35" t="n">
        <f aca="false">L1022-M1022</f>
        <v>313.5</v>
      </c>
      <c r="O1022" s="4" t="n">
        <f aca="false">MONTH(B1022)</f>
        <v>7</v>
      </c>
      <c r="P1022" s="4" t="str">
        <f aca="false">CHOOSE(WEEKDAY(B1022,2),"Mon","Tue","Wed","Thu","Fri","Sat","Sun")</f>
        <v>Thu</v>
      </c>
      <c r="Q1022" s="4" t="str">
        <f aca="false">IF(WEEKDAY(B1022,2)&gt;5,"Weekend","Weekday")</f>
        <v>Weekday</v>
      </c>
      <c r="R1022" s="4" t="str">
        <f aca="false">IF(C1022&lt;11,"Morning (7-10)",IF(C1022&lt;14,"Lunch (11-13)",IF(C1022&lt;18,"Afternoon (14-17)","Evening (18-20)")))</f>
        <v>Lunch (11-13)</v>
      </c>
      <c r="S1022" s="4" t="str">
        <f aca="false">IF(AND(O1022&gt;=3,O1022&lt;=5),"Hot Dry (Mar-May)",IF(AND(O1022&gt;=6,O1022&lt;=11),"Rainy (Jun-Nov)","Cool Dry (Dec-Feb)"))</f>
        <v>Rainy (Jun-Nov)</v>
      </c>
      <c r="T1022" s="4" t="str">
        <f aca="false">CHOOSE(O1022,"Jan","Feb","Mar","Apr","May","Jun","Jul","Aug","Sep","Oct","Nov","Dec")</f>
        <v>Jul</v>
      </c>
    </row>
    <row r="1023" customFormat="false" ht="15" hidden="false" customHeight="false" outlineLevel="0" collapsed="false">
      <c r="A1023" s="4" t="s">
        <v>1332</v>
      </c>
      <c r="B1023" s="17" t="n">
        <v>45869</v>
      </c>
      <c r="C1023" s="4" t="n">
        <v>14</v>
      </c>
      <c r="D1023" s="4" t="s">
        <v>70</v>
      </c>
      <c r="E1023" s="4" t="s">
        <v>74</v>
      </c>
      <c r="F1023" s="4" t="s">
        <v>75</v>
      </c>
      <c r="G1023" s="4" t="n">
        <v>1</v>
      </c>
      <c r="H1023" s="34" t="n">
        <v>220</v>
      </c>
      <c r="I1023" s="18" t="n">
        <v>0.05</v>
      </c>
      <c r="J1023" s="4" t="s">
        <v>67</v>
      </c>
      <c r="K1023" s="4" t="s">
        <v>82</v>
      </c>
      <c r="L1023" s="35" t="n">
        <f aca="false">G1023*H1023</f>
        <v>220</v>
      </c>
      <c r="M1023" s="35" t="n">
        <f aca="false">L1023*I1023</f>
        <v>11</v>
      </c>
      <c r="N1023" s="35" t="n">
        <f aca="false">L1023-M1023</f>
        <v>209</v>
      </c>
      <c r="O1023" s="4" t="n">
        <f aca="false">MONTH(B1023)</f>
        <v>7</v>
      </c>
      <c r="P1023" s="4" t="str">
        <f aca="false">CHOOSE(WEEKDAY(B1023,2),"Mon","Tue","Wed","Thu","Fri","Sat","Sun")</f>
        <v>Thu</v>
      </c>
      <c r="Q1023" s="4" t="str">
        <f aca="false">IF(WEEKDAY(B1023,2)&gt;5,"Weekend","Weekday")</f>
        <v>Weekday</v>
      </c>
      <c r="R1023" s="4" t="str">
        <f aca="false">IF(C1023&lt;11,"Morning (7-10)",IF(C1023&lt;14,"Lunch (11-13)",IF(C1023&lt;18,"Afternoon (14-17)","Evening (18-20)")))</f>
        <v>Afternoon (14-17)</v>
      </c>
      <c r="S1023" s="4" t="str">
        <f aca="false">IF(AND(O1023&gt;=3,O1023&lt;=5),"Hot Dry (Mar-May)",IF(AND(O1023&gt;=6,O1023&lt;=11),"Rainy (Jun-Nov)","Cool Dry (Dec-Feb)"))</f>
        <v>Rainy (Jun-Nov)</v>
      </c>
      <c r="T1023" s="4" t="str">
        <f aca="false">CHOOSE(O1023,"Jan","Feb","Mar","Apr","May","Jun","Jul","Aug","Sep","Oct","Nov","Dec")</f>
        <v>Jul</v>
      </c>
    </row>
    <row r="1024" customFormat="false" ht="15" hidden="false" customHeight="false" outlineLevel="0" collapsed="false">
      <c r="A1024" s="4" t="s">
        <v>1333</v>
      </c>
      <c r="B1024" s="17" t="n">
        <v>45869</v>
      </c>
      <c r="C1024" s="4" t="n">
        <v>16</v>
      </c>
      <c r="D1024" s="4" t="s">
        <v>98</v>
      </c>
      <c r="E1024" s="4" t="s">
        <v>99</v>
      </c>
      <c r="F1024" s="4" t="s">
        <v>100</v>
      </c>
      <c r="G1024" s="4" t="n">
        <v>1</v>
      </c>
      <c r="H1024" s="34" t="n">
        <v>110</v>
      </c>
      <c r="I1024" s="18" t="n">
        <v>0</v>
      </c>
      <c r="J1024" s="4" t="s">
        <v>67</v>
      </c>
      <c r="K1024" s="4" t="s">
        <v>68</v>
      </c>
      <c r="L1024" s="35" t="n">
        <f aca="false">G1024*H1024</f>
        <v>110</v>
      </c>
      <c r="M1024" s="35" t="n">
        <f aca="false">L1024*I1024</f>
        <v>0</v>
      </c>
      <c r="N1024" s="35" t="n">
        <f aca="false">L1024-M1024</f>
        <v>110</v>
      </c>
      <c r="O1024" s="4" t="n">
        <f aca="false">MONTH(B1024)</f>
        <v>7</v>
      </c>
      <c r="P1024" s="4" t="str">
        <f aca="false">CHOOSE(WEEKDAY(B1024,2),"Mon","Tue","Wed","Thu","Fri","Sat","Sun")</f>
        <v>Thu</v>
      </c>
      <c r="Q1024" s="4" t="str">
        <f aca="false">IF(WEEKDAY(B1024,2)&gt;5,"Weekend","Weekday")</f>
        <v>Weekday</v>
      </c>
      <c r="R1024" s="4" t="str">
        <f aca="false">IF(C1024&lt;11,"Morning (7-10)",IF(C1024&lt;14,"Lunch (11-13)",IF(C1024&lt;18,"Afternoon (14-17)","Evening (18-20)")))</f>
        <v>Afternoon (14-17)</v>
      </c>
      <c r="S1024" s="4" t="str">
        <f aca="false">IF(AND(O1024&gt;=3,O1024&lt;=5),"Hot Dry (Mar-May)",IF(AND(O1024&gt;=6,O1024&lt;=11),"Rainy (Jun-Nov)","Cool Dry (Dec-Feb)"))</f>
        <v>Rainy (Jun-Nov)</v>
      </c>
      <c r="T1024" s="4" t="str">
        <f aca="false">CHOOSE(O1024,"Jan","Feb","Mar","Apr","May","Jun","Jul","Aug","Sep","Oct","Nov","Dec")</f>
        <v>Jul</v>
      </c>
    </row>
    <row r="1025" customFormat="false" ht="15" hidden="false" customHeight="false" outlineLevel="0" collapsed="false">
      <c r="A1025" s="4" t="s">
        <v>1334</v>
      </c>
      <c r="B1025" s="17" t="n">
        <v>45870</v>
      </c>
      <c r="C1025" s="4" t="n">
        <v>8</v>
      </c>
      <c r="D1025" s="4" t="s">
        <v>64</v>
      </c>
      <c r="E1025" s="4" t="s">
        <v>79</v>
      </c>
      <c r="F1025" s="4" t="s">
        <v>148</v>
      </c>
      <c r="G1025" s="4" t="n">
        <v>1</v>
      </c>
      <c r="H1025" s="34" t="n">
        <v>120</v>
      </c>
      <c r="I1025" s="18" t="n">
        <v>0.05</v>
      </c>
      <c r="J1025" s="4" t="s">
        <v>112</v>
      </c>
      <c r="K1025" s="4" t="s">
        <v>82</v>
      </c>
      <c r="L1025" s="35" t="n">
        <f aca="false">G1025*H1025</f>
        <v>120</v>
      </c>
      <c r="M1025" s="35" t="n">
        <f aca="false">L1025*I1025</f>
        <v>6</v>
      </c>
      <c r="N1025" s="35" t="n">
        <f aca="false">L1025-M1025</f>
        <v>114</v>
      </c>
      <c r="O1025" s="4" t="n">
        <f aca="false">MONTH(B1025)</f>
        <v>8</v>
      </c>
      <c r="P1025" s="4" t="str">
        <f aca="false">CHOOSE(WEEKDAY(B1025,2),"Mon","Tue","Wed","Thu","Fri","Sat","Sun")</f>
        <v>Fri</v>
      </c>
      <c r="Q1025" s="4" t="str">
        <f aca="false">IF(WEEKDAY(B1025,2)&gt;5,"Weekend","Weekday")</f>
        <v>Weekday</v>
      </c>
      <c r="R1025" s="4" t="str">
        <f aca="false">IF(C1025&lt;11,"Morning (7-10)",IF(C1025&lt;14,"Lunch (11-13)",IF(C1025&lt;18,"Afternoon (14-17)","Evening (18-20)")))</f>
        <v>Morning (7-10)</v>
      </c>
      <c r="S1025" s="4" t="str">
        <f aca="false">IF(AND(O1025&gt;=3,O1025&lt;=5),"Hot Dry (Mar-May)",IF(AND(O1025&gt;=6,O1025&lt;=11),"Rainy (Jun-Nov)","Cool Dry (Dec-Feb)"))</f>
        <v>Rainy (Jun-Nov)</v>
      </c>
      <c r="T1025" s="4" t="str">
        <f aca="false">CHOOSE(O1025,"Jan","Feb","Mar","Apr","May","Jun","Jul","Aug","Sep","Oct","Nov","Dec")</f>
        <v>Aug</v>
      </c>
    </row>
    <row r="1026" customFormat="false" ht="15" hidden="false" customHeight="false" outlineLevel="0" collapsed="false">
      <c r="A1026" s="4" t="s">
        <v>1335</v>
      </c>
      <c r="B1026" s="17" t="n">
        <v>45870</v>
      </c>
      <c r="C1026" s="4" t="n">
        <v>10</v>
      </c>
      <c r="D1026" s="4" t="s">
        <v>70</v>
      </c>
      <c r="E1026" s="4" t="s">
        <v>99</v>
      </c>
      <c r="F1026" s="4" t="s">
        <v>102</v>
      </c>
      <c r="G1026" s="4" t="n">
        <v>3</v>
      </c>
      <c r="H1026" s="34" t="n">
        <v>140</v>
      </c>
      <c r="I1026" s="18" t="n">
        <v>0.1</v>
      </c>
      <c r="J1026" s="4" t="s">
        <v>67</v>
      </c>
      <c r="K1026" s="4" t="s">
        <v>71</v>
      </c>
      <c r="L1026" s="35" t="n">
        <f aca="false">G1026*H1026</f>
        <v>420</v>
      </c>
      <c r="M1026" s="35" t="n">
        <f aca="false">L1026*I1026</f>
        <v>42</v>
      </c>
      <c r="N1026" s="35" t="n">
        <f aca="false">L1026-M1026</f>
        <v>378</v>
      </c>
      <c r="O1026" s="4" t="n">
        <f aca="false">MONTH(B1026)</f>
        <v>8</v>
      </c>
      <c r="P1026" s="4" t="str">
        <f aca="false">CHOOSE(WEEKDAY(B1026,2),"Mon","Tue","Wed","Thu","Fri","Sat","Sun")</f>
        <v>Fri</v>
      </c>
      <c r="Q1026" s="4" t="str">
        <f aca="false">IF(WEEKDAY(B1026,2)&gt;5,"Weekend","Weekday")</f>
        <v>Weekday</v>
      </c>
      <c r="R1026" s="4" t="str">
        <f aca="false">IF(C1026&lt;11,"Morning (7-10)",IF(C1026&lt;14,"Lunch (11-13)",IF(C1026&lt;18,"Afternoon (14-17)","Evening (18-20)")))</f>
        <v>Morning (7-10)</v>
      </c>
      <c r="S1026" s="4" t="str">
        <f aca="false">IF(AND(O1026&gt;=3,O1026&lt;=5),"Hot Dry (Mar-May)",IF(AND(O1026&gt;=6,O1026&lt;=11),"Rainy (Jun-Nov)","Cool Dry (Dec-Feb)"))</f>
        <v>Rainy (Jun-Nov)</v>
      </c>
      <c r="T1026" s="4" t="str">
        <f aca="false">CHOOSE(O1026,"Jan","Feb","Mar","Apr","May","Jun","Jul","Aug","Sep","Oct","Nov","Dec")</f>
        <v>Aug</v>
      </c>
    </row>
    <row r="1027" customFormat="false" ht="15" hidden="false" customHeight="false" outlineLevel="0" collapsed="false">
      <c r="A1027" s="4" t="s">
        <v>1337</v>
      </c>
      <c r="B1027" s="17" t="n">
        <v>45870</v>
      </c>
      <c r="C1027" s="4" t="n">
        <v>12</v>
      </c>
      <c r="D1027" s="4" t="s">
        <v>70</v>
      </c>
      <c r="E1027" s="4" t="s">
        <v>74</v>
      </c>
      <c r="F1027" s="4" t="s">
        <v>91</v>
      </c>
      <c r="G1027" s="4" t="n">
        <v>1</v>
      </c>
      <c r="H1027" s="34" t="n">
        <v>200</v>
      </c>
      <c r="I1027" s="18" t="n">
        <v>0</v>
      </c>
      <c r="J1027" s="4" t="s">
        <v>81</v>
      </c>
      <c r="K1027" s="4" t="s">
        <v>77</v>
      </c>
      <c r="L1027" s="35" t="n">
        <f aca="false">G1027*H1027</f>
        <v>200</v>
      </c>
      <c r="M1027" s="35" t="n">
        <f aca="false">L1027*I1027</f>
        <v>0</v>
      </c>
      <c r="N1027" s="35" t="n">
        <f aca="false">L1027-M1027</f>
        <v>200</v>
      </c>
      <c r="O1027" s="4" t="n">
        <f aca="false">MONTH(B1027)</f>
        <v>8</v>
      </c>
      <c r="P1027" s="4" t="str">
        <f aca="false">CHOOSE(WEEKDAY(B1027,2),"Mon","Tue","Wed","Thu","Fri","Sat","Sun")</f>
        <v>Fri</v>
      </c>
      <c r="Q1027" s="4" t="str">
        <f aca="false">IF(WEEKDAY(B1027,2)&gt;5,"Weekend","Weekday")</f>
        <v>Weekday</v>
      </c>
      <c r="R1027" s="4" t="str">
        <f aca="false">IF(C1027&lt;11,"Morning (7-10)",IF(C1027&lt;14,"Lunch (11-13)",IF(C1027&lt;18,"Afternoon (14-17)","Evening (18-20)")))</f>
        <v>Lunch (11-13)</v>
      </c>
      <c r="S1027" s="4" t="str">
        <f aca="false">IF(AND(O1027&gt;=3,O1027&lt;=5),"Hot Dry (Mar-May)",IF(AND(O1027&gt;=6,O1027&lt;=11),"Rainy (Jun-Nov)","Cool Dry (Dec-Feb)"))</f>
        <v>Rainy (Jun-Nov)</v>
      </c>
      <c r="T1027" s="4" t="str">
        <f aca="false">CHOOSE(O1027,"Jan","Feb","Mar","Apr","May","Jun","Jul","Aug","Sep","Oct","Nov","Dec")</f>
        <v>Aug</v>
      </c>
    </row>
    <row r="1028" customFormat="false" ht="15" hidden="false" customHeight="false" outlineLevel="0" collapsed="false">
      <c r="A1028" s="4" t="s">
        <v>1338</v>
      </c>
      <c r="B1028" s="17" t="n">
        <v>45870</v>
      </c>
      <c r="C1028" s="4" t="n">
        <v>14</v>
      </c>
      <c r="D1028" s="4" t="s">
        <v>70</v>
      </c>
      <c r="E1028" s="4" t="s">
        <v>79</v>
      </c>
      <c r="F1028" s="4" t="s">
        <v>148</v>
      </c>
      <c r="G1028" s="4" t="n">
        <v>2</v>
      </c>
      <c r="H1028" s="34" t="n">
        <v>120</v>
      </c>
      <c r="I1028" s="18" t="n">
        <v>0.15</v>
      </c>
      <c r="J1028" s="4" t="s">
        <v>67</v>
      </c>
      <c r="K1028" s="4" t="s">
        <v>77</v>
      </c>
      <c r="L1028" s="35" t="n">
        <f aca="false">G1028*H1028</f>
        <v>240</v>
      </c>
      <c r="M1028" s="35" t="n">
        <f aca="false">L1028*I1028</f>
        <v>36</v>
      </c>
      <c r="N1028" s="35" t="n">
        <f aca="false">L1028-M1028</f>
        <v>204</v>
      </c>
      <c r="O1028" s="4" t="n">
        <f aca="false">MONTH(B1028)</f>
        <v>8</v>
      </c>
      <c r="P1028" s="4" t="str">
        <f aca="false">CHOOSE(WEEKDAY(B1028,2),"Mon","Tue","Wed","Thu","Fri","Sat","Sun")</f>
        <v>Fri</v>
      </c>
      <c r="Q1028" s="4" t="str">
        <f aca="false">IF(WEEKDAY(B1028,2)&gt;5,"Weekend","Weekday")</f>
        <v>Weekday</v>
      </c>
      <c r="R1028" s="4" t="str">
        <f aca="false">IF(C1028&lt;11,"Morning (7-10)",IF(C1028&lt;14,"Lunch (11-13)",IF(C1028&lt;18,"Afternoon (14-17)","Evening (18-20)")))</f>
        <v>Afternoon (14-17)</v>
      </c>
      <c r="S1028" s="4" t="str">
        <f aca="false">IF(AND(O1028&gt;=3,O1028&lt;=5),"Hot Dry (Mar-May)",IF(AND(O1028&gt;=6,O1028&lt;=11),"Rainy (Jun-Nov)","Cool Dry (Dec-Feb)"))</f>
        <v>Rainy (Jun-Nov)</v>
      </c>
      <c r="T1028" s="4" t="str">
        <f aca="false">CHOOSE(O1028,"Jan","Feb","Mar","Apr","May","Jun","Jul","Aug","Sep","Oct","Nov","Dec")</f>
        <v>Aug</v>
      </c>
    </row>
    <row r="1029" customFormat="false" ht="15" hidden="false" customHeight="false" outlineLevel="0" collapsed="false">
      <c r="A1029" s="4" t="s">
        <v>1339</v>
      </c>
      <c r="B1029" s="17" t="n">
        <v>45870</v>
      </c>
      <c r="C1029" s="4" t="n">
        <v>19</v>
      </c>
      <c r="D1029" s="4" t="s">
        <v>98</v>
      </c>
      <c r="E1029" s="4" t="s">
        <v>99</v>
      </c>
      <c r="F1029" s="4" t="s">
        <v>102</v>
      </c>
      <c r="G1029" s="4" t="n">
        <v>1</v>
      </c>
      <c r="H1029" s="34" t="n">
        <v>140</v>
      </c>
      <c r="I1029" s="18" t="n">
        <v>0.15</v>
      </c>
      <c r="J1029" s="4" t="s">
        <v>76</v>
      </c>
      <c r="K1029" s="4" t="s">
        <v>68</v>
      </c>
      <c r="L1029" s="35" t="n">
        <f aca="false">G1029*H1029</f>
        <v>140</v>
      </c>
      <c r="M1029" s="35" t="n">
        <f aca="false">L1029*I1029</f>
        <v>21</v>
      </c>
      <c r="N1029" s="35" t="n">
        <f aca="false">L1029-M1029</f>
        <v>119</v>
      </c>
      <c r="O1029" s="4" t="n">
        <f aca="false">MONTH(B1029)</f>
        <v>8</v>
      </c>
      <c r="P1029" s="4" t="str">
        <f aca="false">CHOOSE(WEEKDAY(B1029,2),"Mon","Tue","Wed","Thu","Fri","Sat","Sun")</f>
        <v>Fri</v>
      </c>
      <c r="Q1029" s="4" t="str">
        <f aca="false">IF(WEEKDAY(B1029,2)&gt;5,"Weekend","Weekday")</f>
        <v>Weekday</v>
      </c>
      <c r="R1029" s="4" t="str">
        <f aca="false">IF(C1029&lt;11,"Morning (7-10)",IF(C1029&lt;14,"Lunch (11-13)",IF(C1029&lt;18,"Afternoon (14-17)","Evening (18-20)")))</f>
        <v>Evening (18-20)</v>
      </c>
      <c r="S1029" s="4" t="str">
        <f aca="false">IF(AND(O1029&gt;=3,O1029&lt;=5),"Hot Dry (Mar-May)",IF(AND(O1029&gt;=6,O1029&lt;=11),"Rainy (Jun-Nov)","Cool Dry (Dec-Feb)"))</f>
        <v>Rainy (Jun-Nov)</v>
      </c>
      <c r="T1029" s="4" t="str">
        <f aca="false">CHOOSE(O1029,"Jan","Feb","Mar","Apr","May","Jun","Jul","Aug","Sep","Oct","Nov","Dec")</f>
        <v>Aug</v>
      </c>
    </row>
    <row r="1030" customFormat="false" ht="15" hidden="false" customHeight="false" outlineLevel="0" collapsed="false">
      <c r="A1030" s="4" t="s">
        <v>1340</v>
      </c>
      <c r="B1030" s="17" t="n">
        <v>45871</v>
      </c>
      <c r="C1030" s="4" t="n">
        <v>8</v>
      </c>
      <c r="D1030" s="4" t="s">
        <v>73</v>
      </c>
      <c r="E1030" s="4" t="s">
        <v>65</v>
      </c>
      <c r="F1030" s="4" t="s">
        <v>66</v>
      </c>
      <c r="G1030" s="4" t="n">
        <v>3</v>
      </c>
      <c r="H1030" s="34" t="n">
        <v>120</v>
      </c>
      <c r="I1030" s="18" t="n">
        <v>0</v>
      </c>
      <c r="J1030" s="4" t="s">
        <v>112</v>
      </c>
      <c r="K1030" s="4" t="s">
        <v>68</v>
      </c>
      <c r="L1030" s="35" t="n">
        <f aca="false">G1030*H1030</f>
        <v>360</v>
      </c>
      <c r="M1030" s="35" t="n">
        <f aca="false">L1030*I1030</f>
        <v>0</v>
      </c>
      <c r="N1030" s="35" t="n">
        <f aca="false">L1030-M1030</f>
        <v>360</v>
      </c>
      <c r="O1030" s="4" t="n">
        <f aca="false">MONTH(B1030)</f>
        <v>8</v>
      </c>
      <c r="P1030" s="4" t="str">
        <f aca="false">CHOOSE(WEEKDAY(B1030,2),"Mon","Tue","Wed","Thu","Fri","Sat","Sun")</f>
        <v>Sat</v>
      </c>
      <c r="Q1030" s="4" t="str">
        <f aca="false">IF(WEEKDAY(B1030,2)&gt;5,"Weekend","Weekday")</f>
        <v>Weekend</v>
      </c>
      <c r="R1030" s="4" t="str">
        <f aca="false">IF(C1030&lt;11,"Morning (7-10)",IF(C1030&lt;14,"Lunch (11-13)",IF(C1030&lt;18,"Afternoon (14-17)","Evening (18-20)")))</f>
        <v>Morning (7-10)</v>
      </c>
      <c r="S1030" s="4" t="str">
        <f aca="false">IF(AND(O1030&gt;=3,O1030&lt;=5),"Hot Dry (Mar-May)",IF(AND(O1030&gt;=6,O1030&lt;=11),"Rainy (Jun-Nov)","Cool Dry (Dec-Feb)"))</f>
        <v>Rainy (Jun-Nov)</v>
      </c>
      <c r="T1030" s="4" t="str">
        <f aca="false">CHOOSE(O1030,"Jan","Feb","Mar","Apr","May","Jun","Jul","Aug","Sep","Oct","Nov","Dec")</f>
        <v>Aug</v>
      </c>
    </row>
    <row r="1031" customFormat="false" ht="15" hidden="false" customHeight="false" outlineLevel="0" collapsed="false">
      <c r="A1031" s="4" t="s">
        <v>1341</v>
      </c>
      <c r="B1031" s="17" t="n">
        <v>45871</v>
      </c>
      <c r="C1031" s="4" t="n">
        <v>10</v>
      </c>
      <c r="D1031" s="4" t="s">
        <v>70</v>
      </c>
      <c r="E1031" s="4" t="s">
        <v>65</v>
      </c>
      <c r="F1031" s="4" t="s">
        <v>66</v>
      </c>
      <c r="G1031" s="4" t="n">
        <v>1</v>
      </c>
      <c r="H1031" s="34" t="n">
        <v>120</v>
      </c>
      <c r="I1031" s="18" t="n">
        <v>0</v>
      </c>
      <c r="J1031" s="4" t="s">
        <v>81</v>
      </c>
      <c r="K1031" s="4" t="s">
        <v>68</v>
      </c>
      <c r="L1031" s="35" t="n">
        <f aca="false">G1031*H1031</f>
        <v>120</v>
      </c>
      <c r="M1031" s="35" t="n">
        <f aca="false">L1031*I1031</f>
        <v>0</v>
      </c>
      <c r="N1031" s="35" t="n">
        <f aca="false">L1031-M1031</f>
        <v>120</v>
      </c>
      <c r="O1031" s="4" t="n">
        <f aca="false">MONTH(B1031)</f>
        <v>8</v>
      </c>
      <c r="P1031" s="4" t="str">
        <f aca="false">CHOOSE(WEEKDAY(B1031,2),"Mon","Tue","Wed","Thu","Fri","Sat","Sun")</f>
        <v>Sat</v>
      </c>
      <c r="Q1031" s="4" t="str">
        <f aca="false">IF(WEEKDAY(B1031,2)&gt;5,"Weekend","Weekday")</f>
        <v>Weekend</v>
      </c>
      <c r="R1031" s="4" t="str">
        <f aca="false">IF(C1031&lt;11,"Morning (7-10)",IF(C1031&lt;14,"Lunch (11-13)",IF(C1031&lt;18,"Afternoon (14-17)","Evening (18-20)")))</f>
        <v>Morning (7-10)</v>
      </c>
      <c r="S1031" s="4" t="str">
        <f aca="false">IF(AND(O1031&gt;=3,O1031&lt;=5),"Hot Dry (Mar-May)",IF(AND(O1031&gt;=6,O1031&lt;=11),"Rainy (Jun-Nov)","Cool Dry (Dec-Feb)"))</f>
        <v>Rainy (Jun-Nov)</v>
      </c>
      <c r="T1031" s="4" t="str">
        <f aca="false">CHOOSE(O1031,"Jan","Feb","Mar","Apr","May","Jun","Jul","Aug","Sep","Oct","Nov","Dec")</f>
        <v>Aug</v>
      </c>
    </row>
    <row r="1032" customFormat="false" ht="15" hidden="false" customHeight="false" outlineLevel="0" collapsed="false">
      <c r="A1032" s="4" t="s">
        <v>1342</v>
      </c>
      <c r="B1032" s="17" t="n">
        <v>45871</v>
      </c>
      <c r="C1032" s="4" t="n">
        <v>11</v>
      </c>
      <c r="D1032" s="4" t="s">
        <v>98</v>
      </c>
      <c r="E1032" s="4" t="s">
        <v>84</v>
      </c>
      <c r="F1032" s="4" t="s">
        <v>117</v>
      </c>
      <c r="G1032" s="4" t="n">
        <v>2</v>
      </c>
      <c r="H1032" s="34" t="n">
        <v>95</v>
      </c>
      <c r="I1032" s="18" t="n">
        <v>0</v>
      </c>
      <c r="J1032" s="4" t="s">
        <v>81</v>
      </c>
      <c r="K1032" s="4" t="s">
        <v>68</v>
      </c>
      <c r="L1032" s="35" t="n">
        <f aca="false">G1032*H1032</f>
        <v>190</v>
      </c>
      <c r="M1032" s="35" t="n">
        <f aca="false">L1032*I1032</f>
        <v>0</v>
      </c>
      <c r="N1032" s="35" t="n">
        <f aca="false">L1032-M1032</f>
        <v>190</v>
      </c>
      <c r="O1032" s="4" t="n">
        <f aca="false">MONTH(B1032)</f>
        <v>8</v>
      </c>
      <c r="P1032" s="4" t="str">
        <f aca="false">CHOOSE(WEEKDAY(B1032,2),"Mon","Tue","Wed","Thu","Fri","Sat","Sun")</f>
        <v>Sat</v>
      </c>
      <c r="Q1032" s="4" t="str">
        <f aca="false">IF(WEEKDAY(B1032,2)&gt;5,"Weekend","Weekday")</f>
        <v>Weekend</v>
      </c>
      <c r="R1032" s="4" t="str">
        <f aca="false">IF(C1032&lt;11,"Morning (7-10)",IF(C1032&lt;14,"Lunch (11-13)",IF(C1032&lt;18,"Afternoon (14-17)","Evening (18-20)")))</f>
        <v>Lunch (11-13)</v>
      </c>
      <c r="S1032" s="4" t="str">
        <f aca="false">IF(AND(O1032&gt;=3,O1032&lt;=5),"Hot Dry (Mar-May)",IF(AND(O1032&gt;=6,O1032&lt;=11),"Rainy (Jun-Nov)","Cool Dry (Dec-Feb)"))</f>
        <v>Rainy (Jun-Nov)</v>
      </c>
      <c r="T1032" s="4" t="str">
        <f aca="false">CHOOSE(O1032,"Jan","Feb","Mar","Apr","May","Jun","Jul","Aug","Sep","Oct","Nov","Dec")</f>
        <v>Aug</v>
      </c>
    </row>
    <row r="1033" customFormat="false" ht="15" hidden="false" customHeight="false" outlineLevel="0" collapsed="false">
      <c r="A1033" s="4" t="s">
        <v>1343</v>
      </c>
      <c r="B1033" s="17" t="n">
        <v>45871</v>
      </c>
      <c r="C1033" s="4" t="n">
        <v>14</v>
      </c>
      <c r="D1033" s="4" t="s">
        <v>73</v>
      </c>
      <c r="E1033" s="4" t="s">
        <v>74</v>
      </c>
      <c r="F1033" s="4" t="s">
        <v>139</v>
      </c>
      <c r="G1033" s="4" t="n">
        <v>1</v>
      </c>
      <c r="H1033" s="34" t="n">
        <v>260</v>
      </c>
      <c r="I1033" s="18" t="n">
        <v>0.05</v>
      </c>
      <c r="J1033" s="4" t="s">
        <v>76</v>
      </c>
      <c r="K1033" s="4" t="s">
        <v>82</v>
      </c>
      <c r="L1033" s="35" t="n">
        <f aca="false">G1033*H1033</f>
        <v>260</v>
      </c>
      <c r="M1033" s="35" t="n">
        <f aca="false">L1033*I1033</f>
        <v>13</v>
      </c>
      <c r="N1033" s="35" t="n">
        <f aca="false">L1033-M1033</f>
        <v>247</v>
      </c>
      <c r="O1033" s="4" t="n">
        <f aca="false">MONTH(B1033)</f>
        <v>8</v>
      </c>
      <c r="P1033" s="4" t="str">
        <f aca="false">CHOOSE(WEEKDAY(B1033,2),"Mon","Tue","Wed","Thu","Fri","Sat","Sun")</f>
        <v>Sat</v>
      </c>
      <c r="Q1033" s="4" t="str">
        <f aca="false">IF(WEEKDAY(B1033,2)&gt;5,"Weekend","Weekday")</f>
        <v>Weekend</v>
      </c>
      <c r="R1033" s="4" t="str">
        <f aca="false">IF(C1033&lt;11,"Morning (7-10)",IF(C1033&lt;14,"Lunch (11-13)",IF(C1033&lt;18,"Afternoon (14-17)","Evening (18-20)")))</f>
        <v>Afternoon (14-17)</v>
      </c>
      <c r="S1033" s="4" t="str">
        <f aca="false">IF(AND(O1033&gt;=3,O1033&lt;=5),"Hot Dry (Mar-May)",IF(AND(O1033&gt;=6,O1033&lt;=11),"Rainy (Jun-Nov)","Cool Dry (Dec-Feb)"))</f>
        <v>Rainy (Jun-Nov)</v>
      </c>
      <c r="T1033" s="4" t="str">
        <f aca="false">CHOOSE(O1033,"Jan","Feb","Mar","Apr","May","Jun","Jul","Aug","Sep","Oct","Nov","Dec")</f>
        <v>Aug</v>
      </c>
    </row>
    <row r="1034" customFormat="false" ht="15" hidden="false" customHeight="false" outlineLevel="0" collapsed="false">
      <c r="A1034" s="4" t="s">
        <v>1344</v>
      </c>
      <c r="B1034" s="17" t="n">
        <v>45872</v>
      </c>
      <c r="C1034" s="4" t="n">
        <v>13</v>
      </c>
      <c r="D1034" s="4" t="s">
        <v>64</v>
      </c>
      <c r="E1034" s="4" t="s">
        <v>74</v>
      </c>
      <c r="F1034" s="4" t="s">
        <v>91</v>
      </c>
      <c r="G1034" s="4" t="n">
        <v>3</v>
      </c>
      <c r="H1034" s="34" t="n">
        <v>200</v>
      </c>
      <c r="I1034" s="18" t="n">
        <v>0.2</v>
      </c>
      <c r="J1034" s="4" t="s">
        <v>67</v>
      </c>
      <c r="K1034" s="4" t="s">
        <v>68</v>
      </c>
      <c r="L1034" s="35" t="n">
        <f aca="false">G1034*H1034</f>
        <v>600</v>
      </c>
      <c r="M1034" s="35" t="n">
        <f aca="false">L1034*I1034</f>
        <v>120</v>
      </c>
      <c r="N1034" s="35" t="n">
        <f aca="false">L1034-M1034</f>
        <v>480</v>
      </c>
      <c r="O1034" s="4" t="n">
        <f aca="false">MONTH(B1034)</f>
        <v>8</v>
      </c>
      <c r="P1034" s="4" t="str">
        <f aca="false">CHOOSE(WEEKDAY(B1034,2),"Mon","Tue","Wed","Thu","Fri","Sat","Sun")</f>
        <v>Sun</v>
      </c>
      <c r="Q1034" s="4" t="str">
        <f aca="false">IF(WEEKDAY(B1034,2)&gt;5,"Weekend","Weekday")</f>
        <v>Weekend</v>
      </c>
      <c r="R1034" s="4" t="str">
        <f aca="false">IF(C1034&lt;11,"Morning (7-10)",IF(C1034&lt;14,"Lunch (11-13)",IF(C1034&lt;18,"Afternoon (14-17)","Evening (18-20)")))</f>
        <v>Lunch (11-13)</v>
      </c>
      <c r="S1034" s="4" t="str">
        <f aca="false">IF(AND(O1034&gt;=3,O1034&lt;=5),"Hot Dry (Mar-May)",IF(AND(O1034&gt;=6,O1034&lt;=11),"Rainy (Jun-Nov)","Cool Dry (Dec-Feb)"))</f>
        <v>Rainy (Jun-Nov)</v>
      </c>
      <c r="T1034" s="4" t="str">
        <f aca="false">CHOOSE(O1034,"Jan","Feb","Mar","Apr","May","Jun","Jul","Aug","Sep","Oct","Nov","Dec")</f>
        <v>Aug</v>
      </c>
    </row>
    <row r="1035" customFormat="false" ht="15" hidden="false" customHeight="false" outlineLevel="0" collapsed="false">
      <c r="A1035" s="4" t="s">
        <v>1345</v>
      </c>
      <c r="B1035" s="17" t="n">
        <v>45872</v>
      </c>
      <c r="C1035" s="4" t="n">
        <v>14</v>
      </c>
      <c r="D1035" s="4" t="s">
        <v>98</v>
      </c>
      <c r="E1035" s="4" t="s">
        <v>99</v>
      </c>
      <c r="F1035" s="4" t="s">
        <v>102</v>
      </c>
      <c r="G1035" s="4" t="n">
        <v>1</v>
      </c>
      <c r="H1035" s="34" t="n">
        <v>140</v>
      </c>
      <c r="I1035" s="18" t="n">
        <v>0.1</v>
      </c>
      <c r="J1035" s="4" t="s">
        <v>67</v>
      </c>
      <c r="K1035" s="4" t="s">
        <v>2289</v>
      </c>
      <c r="L1035" s="35" t="n">
        <f aca="false">G1035*H1035</f>
        <v>140</v>
      </c>
      <c r="M1035" s="35" t="n">
        <f aca="false">L1035*I1035</f>
        <v>14</v>
      </c>
      <c r="N1035" s="35" t="n">
        <f aca="false">L1035-M1035</f>
        <v>126</v>
      </c>
      <c r="O1035" s="4" t="n">
        <f aca="false">MONTH(B1035)</f>
        <v>8</v>
      </c>
      <c r="P1035" s="4" t="str">
        <f aca="false">CHOOSE(WEEKDAY(B1035,2),"Mon","Tue","Wed","Thu","Fri","Sat","Sun")</f>
        <v>Sun</v>
      </c>
      <c r="Q1035" s="4" t="str">
        <f aca="false">IF(WEEKDAY(B1035,2)&gt;5,"Weekend","Weekday")</f>
        <v>Weekend</v>
      </c>
      <c r="R1035" s="4" t="str">
        <f aca="false">IF(C1035&lt;11,"Morning (7-10)",IF(C1035&lt;14,"Lunch (11-13)",IF(C1035&lt;18,"Afternoon (14-17)","Evening (18-20)")))</f>
        <v>Afternoon (14-17)</v>
      </c>
      <c r="S1035" s="4" t="str">
        <f aca="false">IF(AND(O1035&gt;=3,O1035&lt;=5),"Hot Dry (Mar-May)",IF(AND(O1035&gt;=6,O1035&lt;=11),"Rainy (Jun-Nov)","Cool Dry (Dec-Feb)"))</f>
        <v>Rainy (Jun-Nov)</v>
      </c>
      <c r="T1035" s="4" t="str">
        <f aca="false">CHOOSE(O1035,"Jan","Feb","Mar","Apr","May","Jun","Jul","Aug","Sep","Oct","Nov","Dec")</f>
        <v>Aug</v>
      </c>
    </row>
    <row r="1036" customFormat="false" ht="15" hidden="false" customHeight="false" outlineLevel="0" collapsed="false">
      <c r="A1036" s="4" t="s">
        <v>1346</v>
      </c>
      <c r="B1036" s="17" t="n">
        <v>45872</v>
      </c>
      <c r="C1036" s="4" t="n">
        <v>15</v>
      </c>
      <c r="D1036" s="4" t="s">
        <v>98</v>
      </c>
      <c r="E1036" s="4" t="s">
        <v>65</v>
      </c>
      <c r="F1036" s="4" t="s">
        <v>66</v>
      </c>
      <c r="G1036" s="4" t="n">
        <v>2</v>
      </c>
      <c r="H1036" s="34" t="n">
        <v>120</v>
      </c>
      <c r="I1036" s="18" t="n">
        <v>0.1</v>
      </c>
      <c r="J1036" s="4" t="s">
        <v>67</v>
      </c>
      <c r="K1036" s="4" t="s">
        <v>71</v>
      </c>
      <c r="L1036" s="35" t="n">
        <f aca="false">G1036*H1036</f>
        <v>240</v>
      </c>
      <c r="M1036" s="35" t="n">
        <f aca="false">L1036*I1036</f>
        <v>24</v>
      </c>
      <c r="N1036" s="35" t="n">
        <f aca="false">L1036-M1036</f>
        <v>216</v>
      </c>
      <c r="O1036" s="4" t="n">
        <f aca="false">MONTH(B1036)</f>
        <v>8</v>
      </c>
      <c r="P1036" s="4" t="str">
        <f aca="false">CHOOSE(WEEKDAY(B1036,2),"Mon","Tue","Wed","Thu","Fri","Sat","Sun")</f>
        <v>Sun</v>
      </c>
      <c r="Q1036" s="4" t="str">
        <f aca="false">IF(WEEKDAY(B1036,2)&gt;5,"Weekend","Weekday")</f>
        <v>Weekend</v>
      </c>
      <c r="R1036" s="4" t="str">
        <f aca="false">IF(C1036&lt;11,"Morning (7-10)",IF(C1036&lt;14,"Lunch (11-13)",IF(C1036&lt;18,"Afternoon (14-17)","Evening (18-20)")))</f>
        <v>Afternoon (14-17)</v>
      </c>
      <c r="S1036" s="4" t="str">
        <f aca="false">IF(AND(O1036&gt;=3,O1036&lt;=5),"Hot Dry (Mar-May)",IF(AND(O1036&gt;=6,O1036&lt;=11),"Rainy (Jun-Nov)","Cool Dry (Dec-Feb)"))</f>
        <v>Rainy (Jun-Nov)</v>
      </c>
      <c r="T1036" s="4" t="str">
        <f aca="false">CHOOSE(O1036,"Jan","Feb","Mar","Apr","May","Jun","Jul","Aug","Sep","Oct","Nov","Dec")</f>
        <v>Aug</v>
      </c>
    </row>
    <row r="1037" customFormat="false" ht="15" hidden="false" customHeight="false" outlineLevel="0" collapsed="false">
      <c r="A1037" s="4" t="s">
        <v>1347</v>
      </c>
      <c r="B1037" s="17" t="n">
        <v>45872</v>
      </c>
      <c r="C1037" s="4" t="n">
        <v>15</v>
      </c>
      <c r="D1037" s="4" t="s">
        <v>70</v>
      </c>
      <c r="E1037" s="4" t="s">
        <v>84</v>
      </c>
      <c r="F1037" s="4" t="s">
        <v>85</v>
      </c>
      <c r="G1037" s="4" t="n">
        <v>1</v>
      </c>
      <c r="H1037" s="34" t="n">
        <v>150</v>
      </c>
      <c r="I1037" s="18" t="n">
        <v>0</v>
      </c>
      <c r="J1037" s="4" t="s">
        <v>81</v>
      </c>
      <c r="K1037" s="4" t="s">
        <v>68</v>
      </c>
      <c r="L1037" s="35" t="n">
        <f aca="false">G1037*H1037</f>
        <v>150</v>
      </c>
      <c r="M1037" s="35" t="n">
        <f aca="false">L1037*I1037</f>
        <v>0</v>
      </c>
      <c r="N1037" s="35" t="n">
        <f aca="false">L1037-M1037</f>
        <v>150</v>
      </c>
      <c r="O1037" s="4" t="n">
        <f aca="false">MONTH(B1037)</f>
        <v>8</v>
      </c>
      <c r="P1037" s="4" t="str">
        <f aca="false">CHOOSE(WEEKDAY(B1037,2),"Mon","Tue","Wed","Thu","Fri","Sat","Sun")</f>
        <v>Sun</v>
      </c>
      <c r="Q1037" s="4" t="str">
        <f aca="false">IF(WEEKDAY(B1037,2)&gt;5,"Weekend","Weekday")</f>
        <v>Weekend</v>
      </c>
      <c r="R1037" s="4" t="str">
        <f aca="false">IF(C1037&lt;11,"Morning (7-10)",IF(C1037&lt;14,"Lunch (11-13)",IF(C1037&lt;18,"Afternoon (14-17)","Evening (18-20)")))</f>
        <v>Afternoon (14-17)</v>
      </c>
      <c r="S1037" s="4" t="str">
        <f aca="false">IF(AND(O1037&gt;=3,O1037&lt;=5),"Hot Dry (Mar-May)",IF(AND(O1037&gt;=6,O1037&lt;=11),"Rainy (Jun-Nov)","Cool Dry (Dec-Feb)"))</f>
        <v>Rainy (Jun-Nov)</v>
      </c>
      <c r="T1037" s="4" t="str">
        <f aca="false">CHOOSE(O1037,"Jan","Feb","Mar","Apr","May","Jun","Jul","Aug","Sep","Oct","Nov","Dec")</f>
        <v>Aug</v>
      </c>
    </row>
    <row r="1038" customFormat="false" ht="15" hidden="false" customHeight="false" outlineLevel="0" collapsed="false">
      <c r="A1038" s="4" t="s">
        <v>1348</v>
      </c>
      <c r="B1038" s="17" t="n">
        <v>45872</v>
      </c>
      <c r="C1038" s="4" t="n">
        <v>17</v>
      </c>
      <c r="D1038" s="4" t="s">
        <v>70</v>
      </c>
      <c r="E1038" s="4" t="s">
        <v>65</v>
      </c>
      <c r="F1038" s="4" t="s">
        <v>94</v>
      </c>
      <c r="G1038" s="4" t="n">
        <v>3</v>
      </c>
      <c r="H1038" s="34" t="n">
        <v>150</v>
      </c>
      <c r="I1038" s="18" t="n">
        <v>0</v>
      </c>
      <c r="J1038" s="4" t="s">
        <v>67</v>
      </c>
      <c r="K1038" s="4" t="s">
        <v>68</v>
      </c>
      <c r="L1038" s="35" t="n">
        <f aca="false">G1038*H1038</f>
        <v>450</v>
      </c>
      <c r="M1038" s="35" t="n">
        <f aca="false">L1038*I1038</f>
        <v>0</v>
      </c>
      <c r="N1038" s="35" t="n">
        <f aca="false">L1038-M1038</f>
        <v>450</v>
      </c>
      <c r="O1038" s="4" t="n">
        <f aca="false">MONTH(B1038)</f>
        <v>8</v>
      </c>
      <c r="P1038" s="4" t="str">
        <f aca="false">CHOOSE(WEEKDAY(B1038,2),"Mon","Tue","Wed","Thu","Fri","Sat","Sun")</f>
        <v>Sun</v>
      </c>
      <c r="Q1038" s="4" t="str">
        <f aca="false">IF(WEEKDAY(B1038,2)&gt;5,"Weekend","Weekday")</f>
        <v>Weekend</v>
      </c>
      <c r="R1038" s="4" t="str">
        <f aca="false">IF(C1038&lt;11,"Morning (7-10)",IF(C1038&lt;14,"Lunch (11-13)",IF(C1038&lt;18,"Afternoon (14-17)","Evening (18-20)")))</f>
        <v>Afternoon (14-17)</v>
      </c>
      <c r="S1038" s="4" t="str">
        <f aca="false">IF(AND(O1038&gt;=3,O1038&lt;=5),"Hot Dry (Mar-May)",IF(AND(O1038&gt;=6,O1038&lt;=11),"Rainy (Jun-Nov)","Cool Dry (Dec-Feb)"))</f>
        <v>Rainy (Jun-Nov)</v>
      </c>
      <c r="T1038" s="4" t="str">
        <f aca="false">CHOOSE(O1038,"Jan","Feb","Mar","Apr","May","Jun","Jul","Aug","Sep","Oct","Nov","Dec")</f>
        <v>Aug</v>
      </c>
    </row>
    <row r="1039" customFormat="false" ht="15" hidden="false" customHeight="false" outlineLevel="0" collapsed="false">
      <c r="A1039" s="4" t="s">
        <v>1350</v>
      </c>
      <c r="B1039" s="17" t="n">
        <v>45872</v>
      </c>
      <c r="C1039" s="4" t="n">
        <v>17</v>
      </c>
      <c r="D1039" s="4" t="s">
        <v>98</v>
      </c>
      <c r="E1039" s="4" t="s">
        <v>79</v>
      </c>
      <c r="F1039" s="4" t="s">
        <v>80</v>
      </c>
      <c r="G1039" s="4" t="n">
        <v>1</v>
      </c>
      <c r="H1039" s="34" t="n">
        <v>160</v>
      </c>
      <c r="I1039" s="18" t="n">
        <v>0.1</v>
      </c>
      <c r="J1039" s="4" t="s">
        <v>67</v>
      </c>
      <c r="K1039" s="4" t="s">
        <v>71</v>
      </c>
      <c r="L1039" s="35" t="n">
        <f aca="false">G1039*H1039</f>
        <v>160</v>
      </c>
      <c r="M1039" s="35" t="n">
        <f aca="false">L1039*I1039</f>
        <v>16</v>
      </c>
      <c r="N1039" s="35" t="n">
        <f aca="false">L1039-M1039</f>
        <v>144</v>
      </c>
      <c r="O1039" s="4" t="n">
        <f aca="false">MONTH(B1039)</f>
        <v>8</v>
      </c>
      <c r="P1039" s="4" t="str">
        <f aca="false">CHOOSE(WEEKDAY(B1039,2),"Mon","Tue","Wed","Thu","Fri","Sat","Sun")</f>
        <v>Sun</v>
      </c>
      <c r="Q1039" s="4" t="str">
        <f aca="false">IF(WEEKDAY(B1039,2)&gt;5,"Weekend","Weekday")</f>
        <v>Weekend</v>
      </c>
      <c r="R1039" s="4" t="str">
        <f aca="false">IF(C1039&lt;11,"Morning (7-10)",IF(C1039&lt;14,"Lunch (11-13)",IF(C1039&lt;18,"Afternoon (14-17)","Evening (18-20)")))</f>
        <v>Afternoon (14-17)</v>
      </c>
      <c r="S1039" s="4" t="str">
        <f aca="false">IF(AND(O1039&gt;=3,O1039&lt;=5),"Hot Dry (Mar-May)",IF(AND(O1039&gt;=6,O1039&lt;=11),"Rainy (Jun-Nov)","Cool Dry (Dec-Feb)"))</f>
        <v>Rainy (Jun-Nov)</v>
      </c>
      <c r="T1039" s="4" t="str">
        <f aca="false">CHOOSE(O1039,"Jan","Feb","Mar","Apr","May","Jun","Jul","Aug","Sep","Oct","Nov","Dec")</f>
        <v>Aug</v>
      </c>
    </row>
    <row r="1040" customFormat="false" ht="15" hidden="false" customHeight="false" outlineLevel="0" collapsed="false">
      <c r="A1040" s="4" t="s">
        <v>1351</v>
      </c>
      <c r="B1040" s="17" t="n">
        <v>45872</v>
      </c>
      <c r="C1040" s="4" t="n">
        <v>17</v>
      </c>
      <c r="D1040" s="4" t="s">
        <v>73</v>
      </c>
      <c r="E1040" s="4" t="s">
        <v>99</v>
      </c>
      <c r="F1040" s="4" t="s">
        <v>102</v>
      </c>
      <c r="G1040" s="4" t="n">
        <v>2</v>
      </c>
      <c r="H1040" s="34" t="n">
        <v>140</v>
      </c>
      <c r="I1040" s="18" t="n">
        <v>0</v>
      </c>
      <c r="J1040" s="4" t="s">
        <v>67</v>
      </c>
      <c r="K1040" s="4" t="s">
        <v>68</v>
      </c>
      <c r="L1040" s="35" t="n">
        <f aca="false">G1040*H1040</f>
        <v>280</v>
      </c>
      <c r="M1040" s="35" t="n">
        <f aca="false">L1040*I1040</f>
        <v>0</v>
      </c>
      <c r="N1040" s="35" t="n">
        <f aca="false">L1040-M1040</f>
        <v>280</v>
      </c>
      <c r="O1040" s="4" t="n">
        <f aca="false">MONTH(B1040)</f>
        <v>8</v>
      </c>
      <c r="P1040" s="4" t="str">
        <f aca="false">CHOOSE(WEEKDAY(B1040,2),"Mon","Tue","Wed","Thu","Fri","Sat","Sun")</f>
        <v>Sun</v>
      </c>
      <c r="Q1040" s="4" t="str">
        <f aca="false">IF(WEEKDAY(B1040,2)&gt;5,"Weekend","Weekday")</f>
        <v>Weekend</v>
      </c>
      <c r="R1040" s="4" t="str">
        <f aca="false">IF(C1040&lt;11,"Morning (7-10)",IF(C1040&lt;14,"Lunch (11-13)",IF(C1040&lt;18,"Afternoon (14-17)","Evening (18-20)")))</f>
        <v>Afternoon (14-17)</v>
      </c>
      <c r="S1040" s="4" t="str">
        <f aca="false">IF(AND(O1040&gt;=3,O1040&lt;=5),"Hot Dry (Mar-May)",IF(AND(O1040&gt;=6,O1040&lt;=11),"Rainy (Jun-Nov)","Cool Dry (Dec-Feb)"))</f>
        <v>Rainy (Jun-Nov)</v>
      </c>
      <c r="T1040" s="4" t="str">
        <f aca="false">CHOOSE(O1040,"Jan","Feb","Mar","Apr","May","Jun","Jul","Aug","Sep","Oct","Nov","Dec")</f>
        <v>Aug</v>
      </c>
    </row>
    <row r="1041" customFormat="false" ht="15" hidden="false" customHeight="false" outlineLevel="0" collapsed="false">
      <c r="A1041" s="4" t="s">
        <v>1352</v>
      </c>
      <c r="B1041" s="17" t="n">
        <v>45873</v>
      </c>
      <c r="C1041" s="4" t="n">
        <v>8</v>
      </c>
      <c r="D1041" s="4" t="s">
        <v>73</v>
      </c>
      <c r="E1041" s="4" t="s">
        <v>99</v>
      </c>
      <c r="F1041" s="4" t="s">
        <v>100</v>
      </c>
      <c r="G1041" s="4" t="n">
        <v>1</v>
      </c>
      <c r="H1041" s="34" t="n">
        <v>110</v>
      </c>
      <c r="I1041" s="18" t="n">
        <v>0.05</v>
      </c>
      <c r="J1041" s="4" t="s">
        <v>81</v>
      </c>
      <c r="K1041" s="4" t="s">
        <v>82</v>
      </c>
      <c r="L1041" s="35" t="n">
        <f aca="false">G1041*H1041</f>
        <v>110</v>
      </c>
      <c r="M1041" s="35" t="n">
        <f aca="false">L1041*I1041</f>
        <v>5.5</v>
      </c>
      <c r="N1041" s="35" t="n">
        <f aca="false">L1041-M1041</f>
        <v>104.5</v>
      </c>
      <c r="O1041" s="4" t="n">
        <f aca="false">MONTH(B1041)</f>
        <v>8</v>
      </c>
      <c r="P1041" s="4" t="str">
        <f aca="false">CHOOSE(WEEKDAY(B1041,2),"Mon","Tue","Wed","Thu","Fri","Sat","Sun")</f>
        <v>Mon</v>
      </c>
      <c r="Q1041" s="4" t="str">
        <f aca="false">IF(WEEKDAY(B1041,2)&gt;5,"Weekend","Weekday")</f>
        <v>Weekday</v>
      </c>
      <c r="R1041" s="4" t="str">
        <f aca="false">IF(C1041&lt;11,"Morning (7-10)",IF(C1041&lt;14,"Lunch (11-13)",IF(C1041&lt;18,"Afternoon (14-17)","Evening (18-20)")))</f>
        <v>Morning (7-10)</v>
      </c>
      <c r="S1041" s="4" t="str">
        <f aca="false">IF(AND(O1041&gt;=3,O1041&lt;=5),"Hot Dry (Mar-May)",IF(AND(O1041&gt;=6,O1041&lt;=11),"Rainy (Jun-Nov)","Cool Dry (Dec-Feb)"))</f>
        <v>Rainy (Jun-Nov)</v>
      </c>
      <c r="T1041" s="4" t="str">
        <f aca="false">CHOOSE(O1041,"Jan","Feb","Mar","Apr","May","Jun","Jul","Aug","Sep","Oct","Nov","Dec")</f>
        <v>Aug</v>
      </c>
    </row>
    <row r="1042" customFormat="false" ht="15" hidden="false" customHeight="false" outlineLevel="0" collapsed="false">
      <c r="A1042" s="4" t="s">
        <v>1353</v>
      </c>
      <c r="B1042" s="17" t="n">
        <v>45873</v>
      </c>
      <c r="C1042" s="4" t="n">
        <v>8</v>
      </c>
      <c r="D1042" s="4" t="s">
        <v>98</v>
      </c>
      <c r="E1042" s="4" t="s">
        <v>84</v>
      </c>
      <c r="F1042" s="4" t="s">
        <v>114</v>
      </c>
      <c r="G1042" s="4" t="n">
        <v>2</v>
      </c>
      <c r="H1042" s="34" t="n">
        <v>85</v>
      </c>
      <c r="I1042" s="18" t="n">
        <v>0</v>
      </c>
      <c r="J1042" s="4" t="s">
        <v>67</v>
      </c>
      <c r="K1042" s="4" t="s">
        <v>77</v>
      </c>
      <c r="L1042" s="35" t="n">
        <f aca="false">G1042*H1042</f>
        <v>170</v>
      </c>
      <c r="M1042" s="35" t="n">
        <f aca="false">L1042*I1042</f>
        <v>0</v>
      </c>
      <c r="N1042" s="35" t="n">
        <f aca="false">L1042-M1042</f>
        <v>170</v>
      </c>
      <c r="O1042" s="4" t="n">
        <f aca="false">MONTH(B1042)</f>
        <v>8</v>
      </c>
      <c r="P1042" s="4" t="str">
        <f aca="false">CHOOSE(WEEKDAY(B1042,2),"Mon","Tue","Wed","Thu","Fri","Sat","Sun")</f>
        <v>Mon</v>
      </c>
      <c r="Q1042" s="4" t="str">
        <f aca="false">IF(WEEKDAY(B1042,2)&gt;5,"Weekend","Weekday")</f>
        <v>Weekday</v>
      </c>
      <c r="R1042" s="4" t="str">
        <f aca="false">IF(C1042&lt;11,"Morning (7-10)",IF(C1042&lt;14,"Lunch (11-13)",IF(C1042&lt;18,"Afternoon (14-17)","Evening (18-20)")))</f>
        <v>Morning (7-10)</v>
      </c>
      <c r="S1042" s="4" t="str">
        <f aca="false">IF(AND(O1042&gt;=3,O1042&lt;=5),"Hot Dry (Mar-May)",IF(AND(O1042&gt;=6,O1042&lt;=11),"Rainy (Jun-Nov)","Cool Dry (Dec-Feb)"))</f>
        <v>Rainy (Jun-Nov)</v>
      </c>
      <c r="T1042" s="4" t="str">
        <f aca="false">CHOOSE(O1042,"Jan","Feb","Mar","Apr","May","Jun","Jul","Aug","Sep","Oct","Nov","Dec")</f>
        <v>Aug</v>
      </c>
    </row>
    <row r="1043" customFormat="false" ht="15" hidden="false" customHeight="false" outlineLevel="0" collapsed="false">
      <c r="A1043" s="4" t="s">
        <v>1354</v>
      </c>
      <c r="B1043" s="17" t="n">
        <v>45873</v>
      </c>
      <c r="C1043" s="4" t="n">
        <v>8</v>
      </c>
      <c r="D1043" s="4" t="s">
        <v>70</v>
      </c>
      <c r="E1043" s="4" t="s">
        <v>99</v>
      </c>
      <c r="F1043" s="4" t="s">
        <v>100</v>
      </c>
      <c r="G1043" s="4" t="n">
        <v>3</v>
      </c>
      <c r="H1043" s="34" t="n">
        <v>110</v>
      </c>
      <c r="I1043" s="18" t="n">
        <v>0.15</v>
      </c>
      <c r="J1043" s="4" t="s">
        <v>81</v>
      </c>
      <c r="K1043" s="4" t="s">
        <v>71</v>
      </c>
      <c r="L1043" s="35" t="n">
        <f aca="false">G1043*H1043</f>
        <v>330</v>
      </c>
      <c r="M1043" s="35" t="n">
        <f aca="false">L1043*I1043</f>
        <v>49.5</v>
      </c>
      <c r="N1043" s="35" t="n">
        <f aca="false">L1043-M1043</f>
        <v>280.5</v>
      </c>
      <c r="O1043" s="4" t="n">
        <f aca="false">MONTH(B1043)</f>
        <v>8</v>
      </c>
      <c r="P1043" s="4" t="str">
        <f aca="false">CHOOSE(WEEKDAY(B1043,2),"Mon","Tue","Wed","Thu","Fri","Sat","Sun")</f>
        <v>Mon</v>
      </c>
      <c r="Q1043" s="4" t="str">
        <f aca="false">IF(WEEKDAY(B1043,2)&gt;5,"Weekend","Weekday")</f>
        <v>Weekday</v>
      </c>
      <c r="R1043" s="4" t="str">
        <f aca="false">IF(C1043&lt;11,"Morning (7-10)",IF(C1043&lt;14,"Lunch (11-13)",IF(C1043&lt;18,"Afternoon (14-17)","Evening (18-20)")))</f>
        <v>Morning (7-10)</v>
      </c>
      <c r="S1043" s="4" t="str">
        <f aca="false">IF(AND(O1043&gt;=3,O1043&lt;=5),"Hot Dry (Mar-May)",IF(AND(O1043&gt;=6,O1043&lt;=11),"Rainy (Jun-Nov)","Cool Dry (Dec-Feb)"))</f>
        <v>Rainy (Jun-Nov)</v>
      </c>
      <c r="T1043" s="4" t="str">
        <f aca="false">CHOOSE(O1043,"Jan","Feb","Mar","Apr","May","Jun","Jul","Aug","Sep","Oct","Nov","Dec")</f>
        <v>Aug</v>
      </c>
    </row>
    <row r="1044" customFormat="false" ht="15" hidden="false" customHeight="false" outlineLevel="0" collapsed="false">
      <c r="A1044" s="4" t="s">
        <v>1355</v>
      </c>
      <c r="B1044" s="17" t="n">
        <v>45873</v>
      </c>
      <c r="C1044" s="4" t="n">
        <v>8</v>
      </c>
      <c r="D1044" s="4" t="s">
        <v>70</v>
      </c>
      <c r="E1044" s="4" t="s">
        <v>65</v>
      </c>
      <c r="F1044" s="4" t="s">
        <v>121</v>
      </c>
      <c r="G1044" s="4" t="n">
        <v>3</v>
      </c>
      <c r="H1044" s="34" t="n">
        <v>170</v>
      </c>
      <c r="I1044" s="18" t="n">
        <v>0</v>
      </c>
      <c r="J1044" s="4" t="s">
        <v>67</v>
      </c>
      <c r="K1044" s="4" t="s">
        <v>68</v>
      </c>
      <c r="L1044" s="35" t="n">
        <f aca="false">G1044*H1044</f>
        <v>510</v>
      </c>
      <c r="M1044" s="35" t="n">
        <f aca="false">L1044*I1044</f>
        <v>0</v>
      </c>
      <c r="N1044" s="35" t="n">
        <f aca="false">L1044-M1044</f>
        <v>510</v>
      </c>
      <c r="O1044" s="4" t="n">
        <f aca="false">MONTH(B1044)</f>
        <v>8</v>
      </c>
      <c r="P1044" s="4" t="str">
        <f aca="false">CHOOSE(WEEKDAY(B1044,2),"Mon","Tue","Wed","Thu","Fri","Sat","Sun")</f>
        <v>Mon</v>
      </c>
      <c r="Q1044" s="4" t="str">
        <f aca="false">IF(WEEKDAY(B1044,2)&gt;5,"Weekend","Weekday")</f>
        <v>Weekday</v>
      </c>
      <c r="R1044" s="4" t="str">
        <f aca="false">IF(C1044&lt;11,"Morning (7-10)",IF(C1044&lt;14,"Lunch (11-13)",IF(C1044&lt;18,"Afternoon (14-17)","Evening (18-20)")))</f>
        <v>Morning (7-10)</v>
      </c>
      <c r="S1044" s="4" t="str">
        <f aca="false">IF(AND(O1044&gt;=3,O1044&lt;=5),"Hot Dry (Mar-May)",IF(AND(O1044&gt;=6,O1044&lt;=11),"Rainy (Jun-Nov)","Cool Dry (Dec-Feb)"))</f>
        <v>Rainy (Jun-Nov)</v>
      </c>
      <c r="T1044" s="4" t="str">
        <f aca="false">CHOOSE(O1044,"Jan","Feb","Mar","Apr","May","Jun","Jul","Aug","Sep","Oct","Nov","Dec")</f>
        <v>Aug</v>
      </c>
    </row>
    <row r="1045" customFormat="false" ht="15" hidden="false" customHeight="false" outlineLevel="0" collapsed="false">
      <c r="A1045" s="4" t="s">
        <v>1356</v>
      </c>
      <c r="B1045" s="17" t="n">
        <v>45873</v>
      </c>
      <c r="C1045" s="4" t="n">
        <v>9</v>
      </c>
      <c r="D1045" s="4" t="s">
        <v>73</v>
      </c>
      <c r="E1045" s="4" t="s">
        <v>79</v>
      </c>
      <c r="F1045" s="4" t="s">
        <v>135</v>
      </c>
      <c r="G1045" s="4" t="n">
        <v>1</v>
      </c>
      <c r="H1045" s="34" t="n">
        <v>130</v>
      </c>
      <c r="I1045" s="18" t="n">
        <v>0</v>
      </c>
      <c r="J1045" s="4" t="s">
        <v>81</v>
      </c>
      <c r="K1045" s="4" t="s">
        <v>77</v>
      </c>
      <c r="L1045" s="35" t="n">
        <f aca="false">G1045*H1045</f>
        <v>130</v>
      </c>
      <c r="M1045" s="35" t="n">
        <f aca="false">L1045*I1045</f>
        <v>0</v>
      </c>
      <c r="N1045" s="35" t="n">
        <f aca="false">L1045-M1045</f>
        <v>130</v>
      </c>
      <c r="O1045" s="4" t="n">
        <f aca="false">MONTH(B1045)</f>
        <v>8</v>
      </c>
      <c r="P1045" s="4" t="str">
        <f aca="false">CHOOSE(WEEKDAY(B1045,2),"Mon","Tue","Wed","Thu","Fri","Sat","Sun")</f>
        <v>Mon</v>
      </c>
      <c r="Q1045" s="4" t="str">
        <f aca="false">IF(WEEKDAY(B1045,2)&gt;5,"Weekend","Weekday")</f>
        <v>Weekday</v>
      </c>
      <c r="R1045" s="4" t="str">
        <f aca="false">IF(C1045&lt;11,"Morning (7-10)",IF(C1045&lt;14,"Lunch (11-13)",IF(C1045&lt;18,"Afternoon (14-17)","Evening (18-20)")))</f>
        <v>Morning (7-10)</v>
      </c>
      <c r="S1045" s="4" t="str">
        <f aca="false">IF(AND(O1045&gt;=3,O1045&lt;=5),"Hot Dry (Mar-May)",IF(AND(O1045&gt;=6,O1045&lt;=11),"Rainy (Jun-Nov)","Cool Dry (Dec-Feb)"))</f>
        <v>Rainy (Jun-Nov)</v>
      </c>
      <c r="T1045" s="4" t="str">
        <f aca="false">CHOOSE(O1045,"Jan","Feb","Mar","Apr","May","Jun","Jul","Aug","Sep","Oct","Nov","Dec")</f>
        <v>Aug</v>
      </c>
    </row>
    <row r="1046" customFormat="false" ht="15" hidden="false" customHeight="false" outlineLevel="0" collapsed="false">
      <c r="A1046" s="4" t="s">
        <v>1358</v>
      </c>
      <c r="B1046" s="17" t="n">
        <v>45873</v>
      </c>
      <c r="C1046" s="4" t="n">
        <v>12</v>
      </c>
      <c r="D1046" s="4" t="s">
        <v>70</v>
      </c>
      <c r="E1046" s="4" t="s">
        <v>65</v>
      </c>
      <c r="F1046" s="4" t="s">
        <v>66</v>
      </c>
      <c r="G1046" s="4" t="n">
        <v>3</v>
      </c>
      <c r="H1046" s="34" t="n">
        <v>120</v>
      </c>
      <c r="I1046" s="18" t="n">
        <v>0.1</v>
      </c>
      <c r="J1046" s="4" t="s">
        <v>67</v>
      </c>
      <c r="K1046" s="4" t="s">
        <v>71</v>
      </c>
      <c r="L1046" s="35" t="n">
        <f aca="false">G1046*H1046</f>
        <v>360</v>
      </c>
      <c r="M1046" s="35" t="n">
        <f aca="false">L1046*I1046</f>
        <v>36</v>
      </c>
      <c r="N1046" s="35" t="n">
        <f aca="false">L1046-M1046</f>
        <v>324</v>
      </c>
      <c r="O1046" s="4" t="n">
        <f aca="false">MONTH(B1046)</f>
        <v>8</v>
      </c>
      <c r="P1046" s="4" t="str">
        <f aca="false">CHOOSE(WEEKDAY(B1046,2),"Mon","Tue","Wed","Thu","Fri","Sat","Sun")</f>
        <v>Mon</v>
      </c>
      <c r="Q1046" s="4" t="str">
        <f aca="false">IF(WEEKDAY(B1046,2)&gt;5,"Weekend","Weekday")</f>
        <v>Weekday</v>
      </c>
      <c r="R1046" s="4" t="str">
        <f aca="false">IF(C1046&lt;11,"Morning (7-10)",IF(C1046&lt;14,"Lunch (11-13)",IF(C1046&lt;18,"Afternoon (14-17)","Evening (18-20)")))</f>
        <v>Lunch (11-13)</v>
      </c>
      <c r="S1046" s="4" t="str">
        <f aca="false">IF(AND(O1046&gt;=3,O1046&lt;=5),"Hot Dry (Mar-May)",IF(AND(O1046&gt;=6,O1046&lt;=11),"Rainy (Jun-Nov)","Cool Dry (Dec-Feb)"))</f>
        <v>Rainy (Jun-Nov)</v>
      </c>
      <c r="T1046" s="4" t="str">
        <f aca="false">CHOOSE(O1046,"Jan","Feb","Mar","Apr","May","Jun","Jul","Aug","Sep","Oct","Nov","Dec")</f>
        <v>Aug</v>
      </c>
    </row>
    <row r="1047" customFormat="false" ht="15" hidden="false" customHeight="false" outlineLevel="0" collapsed="false">
      <c r="A1047" s="4" t="s">
        <v>1359</v>
      </c>
      <c r="B1047" s="17" t="n">
        <v>45873</v>
      </c>
      <c r="C1047" s="4" t="n">
        <v>17</v>
      </c>
      <c r="D1047" s="4" t="s">
        <v>64</v>
      </c>
      <c r="E1047" s="4" t="s">
        <v>99</v>
      </c>
      <c r="F1047" s="4" t="s">
        <v>102</v>
      </c>
      <c r="G1047" s="4" t="n">
        <v>1</v>
      </c>
      <c r="H1047" s="34" t="n">
        <v>140</v>
      </c>
      <c r="I1047" s="18" t="n">
        <v>0</v>
      </c>
      <c r="J1047" s="4" t="s">
        <v>76</v>
      </c>
      <c r="K1047" s="4" t="s">
        <v>77</v>
      </c>
      <c r="L1047" s="35" t="n">
        <f aca="false">G1047*H1047</f>
        <v>140</v>
      </c>
      <c r="M1047" s="35" t="n">
        <f aca="false">L1047*I1047</f>
        <v>0</v>
      </c>
      <c r="N1047" s="35" t="n">
        <f aca="false">L1047-M1047</f>
        <v>140</v>
      </c>
      <c r="O1047" s="4" t="n">
        <f aca="false">MONTH(B1047)</f>
        <v>8</v>
      </c>
      <c r="P1047" s="4" t="str">
        <f aca="false">CHOOSE(WEEKDAY(B1047,2),"Mon","Tue","Wed","Thu","Fri","Sat","Sun")</f>
        <v>Mon</v>
      </c>
      <c r="Q1047" s="4" t="str">
        <f aca="false">IF(WEEKDAY(B1047,2)&gt;5,"Weekend","Weekday")</f>
        <v>Weekday</v>
      </c>
      <c r="R1047" s="4" t="str">
        <f aca="false">IF(C1047&lt;11,"Morning (7-10)",IF(C1047&lt;14,"Lunch (11-13)",IF(C1047&lt;18,"Afternoon (14-17)","Evening (18-20)")))</f>
        <v>Afternoon (14-17)</v>
      </c>
      <c r="S1047" s="4" t="str">
        <f aca="false">IF(AND(O1047&gt;=3,O1047&lt;=5),"Hot Dry (Mar-May)",IF(AND(O1047&gt;=6,O1047&lt;=11),"Rainy (Jun-Nov)","Cool Dry (Dec-Feb)"))</f>
        <v>Rainy (Jun-Nov)</v>
      </c>
      <c r="T1047" s="4" t="str">
        <f aca="false">CHOOSE(O1047,"Jan","Feb","Mar","Apr","May","Jun","Jul","Aug","Sep","Oct","Nov","Dec")</f>
        <v>Aug</v>
      </c>
    </row>
    <row r="1048" customFormat="false" ht="15" hidden="false" customHeight="false" outlineLevel="0" collapsed="false">
      <c r="A1048" s="4" t="s">
        <v>1360</v>
      </c>
      <c r="B1048" s="17" t="n">
        <v>45874</v>
      </c>
      <c r="C1048" s="4" t="n">
        <v>8</v>
      </c>
      <c r="D1048" s="4" t="s">
        <v>64</v>
      </c>
      <c r="E1048" s="4" t="s">
        <v>99</v>
      </c>
      <c r="F1048" s="4" t="s">
        <v>102</v>
      </c>
      <c r="G1048" s="4" t="n">
        <v>2</v>
      </c>
      <c r="H1048" s="34" t="n">
        <v>140</v>
      </c>
      <c r="I1048" s="18" t="n">
        <v>0</v>
      </c>
      <c r="J1048" s="4" t="s">
        <v>67</v>
      </c>
      <c r="K1048" s="4" t="s">
        <v>68</v>
      </c>
      <c r="L1048" s="35" t="n">
        <f aca="false">G1048*H1048</f>
        <v>280</v>
      </c>
      <c r="M1048" s="35" t="n">
        <f aca="false">L1048*I1048</f>
        <v>0</v>
      </c>
      <c r="N1048" s="35" t="n">
        <f aca="false">L1048-M1048</f>
        <v>280</v>
      </c>
      <c r="O1048" s="4" t="n">
        <f aca="false">MONTH(B1048)</f>
        <v>8</v>
      </c>
      <c r="P1048" s="4" t="str">
        <f aca="false">CHOOSE(WEEKDAY(B1048,2),"Mon","Tue","Wed","Thu","Fri","Sat","Sun")</f>
        <v>Tue</v>
      </c>
      <c r="Q1048" s="4" t="str">
        <f aca="false">IF(WEEKDAY(B1048,2)&gt;5,"Weekend","Weekday")</f>
        <v>Weekday</v>
      </c>
      <c r="R1048" s="4" t="str">
        <f aca="false">IF(C1048&lt;11,"Morning (7-10)",IF(C1048&lt;14,"Lunch (11-13)",IF(C1048&lt;18,"Afternoon (14-17)","Evening (18-20)")))</f>
        <v>Morning (7-10)</v>
      </c>
      <c r="S1048" s="4" t="str">
        <f aca="false">IF(AND(O1048&gt;=3,O1048&lt;=5),"Hot Dry (Mar-May)",IF(AND(O1048&gt;=6,O1048&lt;=11),"Rainy (Jun-Nov)","Cool Dry (Dec-Feb)"))</f>
        <v>Rainy (Jun-Nov)</v>
      </c>
      <c r="T1048" s="4" t="str">
        <f aca="false">CHOOSE(O1048,"Jan","Feb","Mar","Apr","May","Jun","Jul","Aug","Sep","Oct","Nov","Dec")</f>
        <v>Aug</v>
      </c>
    </row>
    <row r="1049" customFormat="false" ht="15" hidden="false" customHeight="false" outlineLevel="0" collapsed="false">
      <c r="A1049" s="4" t="s">
        <v>1361</v>
      </c>
      <c r="B1049" s="17" t="n">
        <v>45874</v>
      </c>
      <c r="C1049" s="4" t="n">
        <v>13</v>
      </c>
      <c r="D1049" s="4" t="s">
        <v>73</v>
      </c>
      <c r="E1049" s="4" t="s">
        <v>84</v>
      </c>
      <c r="F1049" s="4" t="s">
        <v>85</v>
      </c>
      <c r="G1049" s="4" t="n">
        <v>1</v>
      </c>
      <c r="H1049" s="34" t="n">
        <v>150</v>
      </c>
      <c r="I1049" s="18" t="n">
        <v>0.05</v>
      </c>
      <c r="J1049" s="4" t="s">
        <v>81</v>
      </c>
      <c r="K1049" s="4" t="s">
        <v>82</v>
      </c>
      <c r="L1049" s="35" t="n">
        <f aca="false">G1049*H1049</f>
        <v>150</v>
      </c>
      <c r="M1049" s="35" t="n">
        <f aca="false">L1049*I1049</f>
        <v>7.5</v>
      </c>
      <c r="N1049" s="35" t="n">
        <f aca="false">L1049-M1049</f>
        <v>142.5</v>
      </c>
      <c r="O1049" s="4" t="n">
        <f aca="false">MONTH(B1049)</f>
        <v>8</v>
      </c>
      <c r="P1049" s="4" t="str">
        <f aca="false">CHOOSE(WEEKDAY(B1049,2),"Mon","Tue","Wed","Thu","Fri","Sat","Sun")</f>
        <v>Tue</v>
      </c>
      <c r="Q1049" s="4" t="str">
        <f aca="false">IF(WEEKDAY(B1049,2)&gt;5,"Weekend","Weekday")</f>
        <v>Weekday</v>
      </c>
      <c r="R1049" s="4" t="str">
        <f aca="false">IF(C1049&lt;11,"Morning (7-10)",IF(C1049&lt;14,"Lunch (11-13)",IF(C1049&lt;18,"Afternoon (14-17)","Evening (18-20)")))</f>
        <v>Lunch (11-13)</v>
      </c>
      <c r="S1049" s="4" t="str">
        <f aca="false">IF(AND(O1049&gt;=3,O1049&lt;=5),"Hot Dry (Mar-May)",IF(AND(O1049&gt;=6,O1049&lt;=11),"Rainy (Jun-Nov)","Cool Dry (Dec-Feb)"))</f>
        <v>Rainy (Jun-Nov)</v>
      </c>
      <c r="T1049" s="4" t="str">
        <f aca="false">CHOOSE(O1049,"Jan","Feb","Mar","Apr","May","Jun","Jul","Aug","Sep","Oct","Nov","Dec")</f>
        <v>Aug</v>
      </c>
    </row>
    <row r="1050" customFormat="false" ht="15" hidden="false" customHeight="false" outlineLevel="0" collapsed="false">
      <c r="A1050" s="4" t="s">
        <v>1362</v>
      </c>
      <c r="B1050" s="17" t="n">
        <v>45874</v>
      </c>
      <c r="C1050" s="4" t="n">
        <v>19</v>
      </c>
      <c r="D1050" s="4" t="s">
        <v>70</v>
      </c>
      <c r="E1050" s="4" t="s">
        <v>99</v>
      </c>
      <c r="F1050" s="4" t="s">
        <v>100</v>
      </c>
      <c r="G1050" s="4" t="n">
        <v>1</v>
      </c>
      <c r="H1050" s="34" t="n">
        <v>110</v>
      </c>
      <c r="I1050" s="18" t="n">
        <v>0</v>
      </c>
      <c r="J1050" s="4" t="s">
        <v>67</v>
      </c>
      <c r="K1050" s="4" t="s">
        <v>68</v>
      </c>
      <c r="L1050" s="35" t="n">
        <f aca="false">G1050*H1050</f>
        <v>110</v>
      </c>
      <c r="M1050" s="35" t="n">
        <f aca="false">L1050*I1050</f>
        <v>0</v>
      </c>
      <c r="N1050" s="35" t="n">
        <f aca="false">L1050-M1050</f>
        <v>110</v>
      </c>
      <c r="O1050" s="4" t="n">
        <f aca="false">MONTH(B1050)</f>
        <v>8</v>
      </c>
      <c r="P1050" s="4" t="str">
        <f aca="false">CHOOSE(WEEKDAY(B1050,2),"Mon","Tue","Wed","Thu","Fri","Sat","Sun")</f>
        <v>Tue</v>
      </c>
      <c r="Q1050" s="4" t="str">
        <f aca="false">IF(WEEKDAY(B1050,2)&gt;5,"Weekend","Weekday")</f>
        <v>Weekday</v>
      </c>
      <c r="R1050" s="4" t="str">
        <f aca="false">IF(C1050&lt;11,"Morning (7-10)",IF(C1050&lt;14,"Lunch (11-13)",IF(C1050&lt;18,"Afternoon (14-17)","Evening (18-20)")))</f>
        <v>Evening (18-20)</v>
      </c>
      <c r="S1050" s="4" t="str">
        <f aca="false">IF(AND(O1050&gt;=3,O1050&lt;=5),"Hot Dry (Mar-May)",IF(AND(O1050&gt;=6,O1050&lt;=11),"Rainy (Jun-Nov)","Cool Dry (Dec-Feb)"))</f>
        <v>Rainy (Jun-Nov)</v>
      </c>
      <c r="T1050" s="4" t="str">
        <f aca="false">CHOOSE(O1050,"Jan","Feb","Mar","Apr","May","Jun","Jul","Aug","Sep","Oct","Nov","Dec")</f>
        <v>Aug</v>
      </c>
    </row>
    <row r="1051" customFormat="false" ht="15" hidden="false" customHeight="false" outlineLevel="0" collapsed="false">
      <c r="A1051" s="4" t="s">
        <v>1363</v>
      </c>
      <c r="B1051" s="17" t="n">
        <v>45874</v>
      </c>
      <c r="C1051" s="4" t="n">
        <v>20</v>
      </c>
      <c r="D1051" s="4" t="s">
        <v>64</v>
      </c>
      <c r="E1051" s="4" t="s">
        <v>79</v>
      </c>
      <c r="F1051" s="4" t="s">
        <v>135</v>
      </c>
      <c r="G1051" s="4" t="n">
        <v>4</v>
      </c>
      <c r="H1051" s="34" t="n">
        <v>130</v>
      </c>
      <c r="I1051" s="18" t="n">
        <v>0.2</v>
      </c>
      <c r="J1051" s="4" t="s">
        <v>81</v>
      </c>
      <c r="K1051" s="4" t="s">
        <v>82</v>
      </c>
      <c r="L1051" s="35" t="n">
        <f aca="false">G1051*H1051</f>
        <v>520</v>
      </c>
      <c r="M1051" s="35" t="n">
        <f aca="false">L1051*I1051</f>
        <v>104</v>
      </c>
      <c r="N1051" s="35" t="n">
        <f aca="false">L1051-M1051</f>
        <v>416</v>
      </c>
      <c r="O1051" s="4" t="n">
        <f aca="false">MONTH(B1051)</f>
        <v>8</v>
      </c>
      <c r="P1051" s="4" t="str">
        <f aca="false">CHOOSE(WEEKDAY(B1051,2),"Mon","Tue","Wed","Thu","Fri","Sat","Sun")</f>
        <v>Tue</v>
      </c>
      <c r="Q1051" s="4" t="str">
        <f aca="false">IF(WEEKDAY(B1051,2)&gt;5,"Weekend","Weekday")</f>
        <v>Weekday</v>
      </c>
      <c r="R1051" s="4" t="str">
        <f aca="false">IF(C1051&lt;11,"Morning (7-10)",IF(C1051&lt;14,"Lunch (11-13)",IF(C1051&lt;18,"Afternoon (14-17)","Evening (18-20)")))</f>
        <v>Evening (18-20)</v>
      </c>
      <c r="S1051" s="4" t="str">
        <f aca="false">IF(AND(O1051&gt;=3,O1051&lt;=5),"Hot Dry (Mar-May)",IF(AND(O1051&gt;=6,O1051&lt;=11),"Rainy (Jun-Nov)","Cool Dry (Dec-Feb)"))</f>
        <v>Rainy (Jun-Nov)</v>
      </c>
      <c r="T1051" s="4" t="str">
        <f aca="false">CHOOSE(O1051,"Jan","Feb","Mar","Apr","May","Jun","Jul","Aug","Sep","Oct","Nov","Dec")</f>
        <v>Aug</v>
      </c>
    </row>
    <row r="1052" customFormat="false" ht="15" hidden="false" customHeight="false" outlineLevel="0" collapsed="false">
      <c r="A1052" s="4" t="s">
        <v>1364</v>
      </c>
      <c r="B1052" s="17" t="n">
        <v>45875</v>
      </c>
      <c r="C1052" s="4" t="n">
        <v>9</v>
      </c>
      <c r="D1052" s="4" t="s">
        <v>70</v>
      </c>
      <c r="E1052" s="4" t="s">
        <v>84</v>
      </c>
      <c r="F1052" s="4" t="s">
        <v>106</v>
      </c>
      <c r="G1052" s="4" t="n">
        <v>1</v>
      </c>
      <c r="H1052" s="34" t="n">
        <v>60</v>
      </c>
      <c r="I1052" s="18" t="n">
        <v>0</v>
      </c>
      <c r="J1052" s="4" t="s">
        <v>76</v>
      </c>
      <c r="K1052" s="4" t="s">
        <v>68</v>
      </c>
      <c r="L1052" s="35" t="n">
        <f aca="false">G1052*H1052</f>
        <v>60</v>
      </c>
      <c r="M1052" s="35" t="n">
        <f aca="false">L1052*I1052</f>
        <v>0</v>
      </c>
      <c r="N1052" s="35" t="n">
        <f aca="false">L1052-M1052</f>
        <v>60</v>
      </c>
      <c r="O1052" s="4" t="n">
        <f aca="false">MONTH(B1052)</f>
        <v>8</v>
      </c>
      <c r="P1052" s="4" t="str">
        <f aca="false">CHOOSE(WEEKDAY(B1052,2),"Mon","Tue","Wed","Thu","Fri","Sat","Sun")</f>
        <v>Wed</v>
      </c>
      <c r="Q1052" s="4" t="str">
        <f aca="false">IF(WEEKDAY(B1052,2)&gt;5,"Weekend","Weekday")</f>
        <v>Weekday</v>
      </c>
      <c r="R1052" s="4" t="str">
        <f aca="false">IF(C1052&lt;11,"Morning (7-10)",IF(C1052&lt;14,"Lunch (11-13)",IF(C1052&lt;18,"Afternoon (14-17)","Evening (18-20)")))</f>
        <v>Morning (7-10)</v>
      </c>
      <c r="S1052" s="4" t="str">
        <f aca="false">IF(AND(O1052&gt;=3,O1052&lt;=5),"Hot Dry (Mar-May)",IF(AND(O1052&gt;=6,O1052&lt;=11),"Rainy (Jun-Nov)","Cool Dry (Dec-Feb)"))</f>
        <v>Rainy (Jun-Nov)</v>
      </c>
      <c r="T1052" s="4" t="str">
        <f aca="false">CHOOSE(O1052,"Jan","Feb","Mar","Apr","May","Jun","Jul","Aug","Sep","Oct","Nov","Dec")</f>
        <v>Aug</v>
      </c>
    </row>
    <row r="1053" customFormat="false" ht="15" hidden="false" customHeight="false" outlineLevel="0" collapsed="false">
      <c r="A1053" s="4" t="s">
        <v>1365</v>
      </c>
      <c r="B1053" s="17" t="n">
        <v>45875</v>
      </c>
      <c r="C1053" s="4" t="n">
        <v>10</v>
      </c>
      <c r="D1053" s="4" t="s">
        <v>70</v>
      </c>
      <c r="E1053" s="4" t="s">
        <v>65</v>
      </c>
      <c r="F1053" s="4" t="s">
        <v>87</v>
      </c>
      <c r="G1053" s="4" t="n">
        <v>2</v>
      </c>
      <c r="H1053" s="34" t="n">
        <v>160</v>
      </c>
      <c r="I1053" s="18" t="n">
        <v>0.05</v>
      </c>
      <c r="J1053" s="4" t="s">
        <v>67</v>
      </c>
      <c r="K1053" s="4" t="s">
        <v>82</v>
      </c>
      <c r="L1053" s="35" t="n">
        <f aca="false">G1053*H1053</f>
        <v>320</v>
      </c>
      <c r="M1053" s="35" t="n">
        <f aca="false">L1053*I1053</f>
        <v>16</v>
      </c>
      <c r="N1053" s="35" t="n">
        <f aca="false">L1053-M1053</f>
        <v>304</v>
      </c>
      <c r="O1053" s="4" t="n">
        <f aca="false">MONTH(B1053)</f>
        <v>8</v>
      </c>
      <c r="P1053" s="4" t="str">
        <f aca="false">CHOOSE(WEEKDAY(B1053,2),"Mon","Tue","Wed","Thu","Fri","Sat","Sun")</f>
        <v>Wed</v>
      </c>
      <c r="Q1053" s="4" t="str">
        <f aca="false">IF(WEEKDAY(B1053,2)&gt;5,"Weekend","Weekday")</f>
        <v>Weekday</v>
      </c>
      <c r="R1053" s="4" t="str">
        <f aca="false">IF(C1053&lt;11,"Morning (7-10)",IF(C1053&lt;14,"Lunch (11-13)",IF(C1053&lt;18,"Afternoon (14-17)","Evening (18-20)")))</f>
        <v>Morning (7-10)</v>
      </c>
      <c r="S1053" s="4" t="str">
        <f aca="false">IF(AND(O1053&gt;=3,O1053&lt;=5),"Hot Dry (Mar-May)",IF(AND(O1053&gt;=6,O1053&lt;=11),"Rainy (Jun-Nov)","Cool Dry (Dec-Feb)"))</f>
        <v>Rainy (Jun-Nov)</v>
      </c>
      <c r="T1053" s="4" t="str">
        <f aca="false">CHOOSE(O1053,"Jan","Feb","Mar","Apr","May","Jun","Jul","Aug","Sep","Oct","Nov","Dec")</f>
        <v>Aug</v>
      </c>
    </row>
    <row r="1054" customFormat="false" ht="15" hidden="false" customHeight="false" outlineLevel="0" collapsed="false">
      <c r="A1054" s="4" t="s">
        <v>1367</v>
      </c>
      <c r="B1054" s="17" t="n">
        <v>45875</v>
      </c>
      <c r="C1054" s="4" t="n">
        <v>10</v>
      </c>
      <c r="D1054" s="4" t="s">
        <v>73</v>
      </c>
      <c r="E1054" s="4" t="s">
        <v>99</v>
      </c>
      <c r="F1054" s="4" t="s">
        <v>133</v>
      </c>
      <c r="G1054" s="4" t="n">
        <v>3</v>
      </c>
      <c r="H1054" s="34" t="n">
        <v>90</v>
      </c>
      <c r="I1054" s="18" t="n">
        <v>0</v>
      </c>
      <c r="J1054" s="4" t="s">
        <v>76</v>
      </c>
      <c r="K1054" s="4" t="s">
        <v>68</v>
      </c>
      <c r="L1054" s="35" t="n">
        <f aca="false">G1054*H1054</f>
        <v>270</v>
      </c>
      <c r="M1054" s="35" t="n">
        <f aca="false">L1054*I1054</f>
        <v>0</v>
      </c>
      <c r="N1054" s="35" t="n">
        <f aca="false">L1054-M1054</f>
        <v>270</v>
      </c>
      <c r="O1054" s="4" t="n">
        <f aca="false">MONTH(B1054)</f>
        <v>8</v>
      </c>
      <c r="P1054" s="4" t="str">
        <f aca="false">CHOOSE(WEEKDAY(B1054,2),"Mon","Tue","Wed","Thu","Fri","Sat","Sun")</f>
        <v>Wed</v>
      </c>
      <c r="Q1054" s="4" t="str">
        <f aca="false">IF(WEEKDAY(B1054,2)&gt;5,"Weekend","Weekday")</f>
        <v>Weekday</v>
      </c>
      <c r="R1054" s="4" t="str">
        <f aca="false">IF(C1054&lt;11,"Morning (7-10)",IF(C1054&lt;14,"Lunch (11-13)",IF(C1054&lt;18,"Afternoon (14-17)","Evening (18-20)")))</f>
        <v>Morning (7-10)</v>
      </c>
      <c r="S1054" s="4" t="str">
        <f aca="false">IF(AND(O1054&gt;=3,O1054&lt;=5),"Hot Dry (Mar-May)",IF(AND(O1054&gt;=6,O1054&lt;=11),"Rainy (Jun-Nov)","Cool Dry (Dec-Feb)"))</f>
        <v>Rainy (Jun-Nov)</v>
      </c>
      <c r="T1054" s="4" t="str">
        <f aca="false">CHOOSE(O1054,"Jan","Feb","Mar","Apr","May","Jun","Jul","Aug","Sep","Oct","Nov","Dec")</f>
        <v>Aug</v>
      </c>
    </row>
    <row r="1055" customFormat="false" ht="15" hidden="false" customHeight="false" outlineLevel="0" collapsed="false">
      <c r="A1055" s="4" t="s">
        <v>1368</v>
      </c>
      <c r="B1055" s="17" t="n">
        <v>45875</v>
      </c>
      <c r="C1055" s="4" t="n">
        <v>12</v>
      </c>
      <c r="D1055" s="4" t="s">
        <v>70</v>
      </c>
      <c r="E1055" s="4" t="s">
        <v>99</v>
      </c>
      <c r="F1055" s="4" t="s">
        <v>100</v>
      </c>
      <c r="G1055" s="4" t="n">
        <v>1</v>
      </c>
      <c r="H1055" s="34" t="n">
        <v>110</v>
      </c>
      <c r="I1055" s="18" t="n">
        <v>0</v>
      </c>
      <c r="J1055" s="4" t="s">
        <v>76</v>
      </c>
      <c r="K1055" s="4" t="s">
        <v>77</v>
      </c>
      <c r="L1055" s="35" t="n">
        <f aca="false">G1055*H1055</f>
        <v>110</v>
      </c>
      <c r="M1055" s="35" t="n">
        <f aca="false">L1055*I1055</f>
        <v>0</v>
      </c>
      <c r="N1055" s="35" t="n">
        <f aca="false">L1055-M1055</f>
        <v>110</v>
      </c>
      <c r="O1055" s="4" t="n">
        <f aca="false">MONTH(B1055)</f>
        <v>8</v>
      </c>
      <c r="P1055" s="4" t="str">
        <f aca="false">CHOOSE(WEEKDAY(B1055,2),"Mon","Tue","Wed","Thu","Fri","Sat","Sun")</f>
        <v>Wed</v>
      </c>
      <c r="Q1055" s="4" t="str">
        <f aca="false">IF(WEEKDAY(B1055,2)&gt;5,"Weekend","Weekday")</f>
        <v>Weekday</v>
      </c>
      <c r="R1055" s="4" t="str">
        <f aca="false">IF(C1055&lt;11,"Morning (7-10)",IF(C1055&lt;14,"Lunch (11-13)",IF(C1055&lt;18,"Afternoon (14-17)","Evening (18-20)")))</f>
        <v>Lunch (11-13)</v>
      </c>
      <c r="S1055" s="4" t="str">
        <f aca="false">IF(AND(O1055&gt;=3,O1055&lt;=5),"Hot Dry (Mar-May)",IF(AND(O1055&gt;=6,O1055&lt;=11),"Rainy (Jun-Nov)","Cool Dry (Dec-Feb)"))</f>
        <v>Rainy (Jun-Nov)</v>
      </c>
      <c r="T1055" s="4" t="str">
        <f aca="false">CHOOSE(O1055,"Jan","Feb","Mar","Apr","May","Jun","Jul","Aug","Sep","Oct","Nov","Dec")</f>
        <v>Aug</v>
      </c>
    </row>
    <row r="1056" customFormat="false" ht="15" hidden="false" customHeight="false" outlineLevel="0" collapsed="false">
      <c r="A1056" s="4" t="s">
        <v>1369</v>
      </c>
      <c r="B1056" s="17" t="n">
        <v>45875</v>
      </c>
      <c r="C1056" s="4" t="n">
        <v>12</v>
      </c>
      <c r="D1056" s="4" t="s">
        <v>70</v>
      </c>
      <c r="E1056" s="4" t="s">
        <v>65</v>
      </c>
      <c r="F1056" s="4" t="s">
        <v>94</v>
      </c>
      <c r="G1056" s="4" t="n">
        <v>1</v>
      </c>
      <c r="H1056" s="34" t="n">
        <v>150</v>
      </c>
      <c r="I1056" s="18" t="n">
        <v>0.05</v>
      </c>
      <c r="J1056" s="4" t="s">
        <v>67</v>
      </c>
      <c r="K1056" s="4" t="s">
        <v>82</v>
      </c>
      <c r="L1056" s="35" t="n">
        <f aca="false">G1056*H1056</f>
        <v>150</v>
      </c>
      <c r="M1056" s="35" t="n">
        <f aca="false">L1056*I1056</f>
        <v>7.5</v>
      </c>
      <c r="N1056" s="35" t="n">
        <f aca="false">L1056-M1056</f>
        <v>142.5</v>
      </c>
      <c r="O1056" s="4" t="n">
        <f aca="false">MONTH(B1056)</f>
        <v>8</v>
      </c>
      <c r="P1056" s="4" t="str">
        <f aca="false">CHOOSE(WEEKDAY(B1056,2),"Mon","Tue","Wed","Thu","Fri","Sat","Sun")</f>
        <v>Wed</v>
      </c>
      <c r="Q1056" s="4" t="str">
        <f aca="false">IF(WEEKDAY(B1056,2)&gt;5,"Weekend","Weekday")</f>
        <v>Weekday</v>
      </c>
      <c r="R1056" s="4" t="str">
        <f aca="false">IF(C1056&lt;11,"Morning (7-10)",IF(C1056&lt;14,"Lunch (11-13)",IF(C1056&lt;18,"Afternoon (14-17)","Evening (18-20)")))</f>
        <v>Lunch (11-13)</v>
      </c>
      <c r="S1056" s="4" t="str">
        <f aca="false">IF(AND(O1056&gt;=3,O1056&lt;=5),"Hot Dry (Mar-May)",IF(AND(O1056&gt;=6,O1056&lt;=11),"Rainy (Jun-Nov)","Cool Dry (Dec-Feb)"))</f>
        <v>Rainy (Jun-Nov)</v>
      </c>
      <c r="T1056" s="4" t="str">
        <f aca="false">CHOOSE(O1056,"Jan","Feb","Mar","Apr","May","Jun","Jul","Aug","Sep","Oct","Nov","Dec")</f>
        <v>Aug</v>
      </c>
    </row>
    <row r="1057" customFormat="false" ht="15" hidden="false" customHeight="false" outlineLevel="0" collapsed="false">
      <c r="A1057" s="4" t="s">
        <v>1370</v>
      </c>
      <c r="B1057" s="17" t="n">
        <v>45875</v>
      </c>
      <c r="C1057" s="4" t="n">
        <v>14</v>
      </c>
      <c r="D1057" s="4" t="s">
        <v>64</v>
      </c>
      <c r="E1057" s="4" t="s">
        <v>99</v>
      </c>
      <c r="F1057" s="4" t="s">
        <v>102</v>
      </c>
      <c r="G1057" s="4" t="n">
        <v>2</v>
      </c>
      <c r="H1057" s="34" t="n">
        <v>140</v>
      </c>
      <c r="I1057" s="18" t="n">
        <v>0</v>
      </c>
      <c r="J1057" s="4" t="s">
        <v>67</v>
      </c>
      <c r="K1057" s="4" t="s">
        <v>82</v>
      </c>
      <c r="L1057" s="35" t="n">
        <f aca="false">G1057*H1057</f>
        <v>280</v>
      </c>
      <c r="M1057" s="35" t="n">
        <f aca="false">L1057*I1057</f>
        <v>0</v>
      </c>
      <c r="N1057" s="35" t="n">
        <f aca="false">L1057-M1057</f>
        <v>280</v>
      </c>
      <c r="O1057" s="4" t="n">
        <f aca="false">MONTH(B1057)</f>
        <v>8</v>
      </c>
      <c r="P1057" s="4" t="str">
        <f aca="false">CHOOSE(WEEKDAY(B1057,2),"Mon","Tue","Wed","Thu","Fri","Sat","Sun")</f>
        <v>Wed</v>
      </c>
      <c r="Q1057" s="4" t="str">
        <f aca="false">IF(WEEKDAY(B1057,2)&gt;5,"Weekend","Weekday")</f>
        <v>Weekday</v>
      </c>
      <c r="R1057" s="4" t="str">
        <f aca="false">IF(C1057&lt;11,"Morning (7-10)",IF(C1057&lt;14,"Lunch (11-13)",IF(C1057&lt;18,"Afternoon (14-17)","Evening (18-20)")))</f>
        <v>Afternoon (14-17)</v>
      </c>
      <c r="S1057" s="4" t="str">
        <f aca="false">IF(AND(O1057&gt;=3,O1057&lt;=5),"Hot Dry (Mar-May)",IF(AND(O1057&gt;=6,O1057&lt;=11),"Rainy (Jun-Nov)","Cool Dry (Dec-Feb)"))</f>
        <v>Rainy (Jun-Nov)</v>
      </c>
      <c r="T1057" s="4" t="str">
        <f aca="false">CHOOSE(O1057,"Jan","Feb","Mar","Apr","May","Jun","Jul","Aug","Sep","Oct","Nov","Dec")</f>
        <v>Aug</v>
      </c>
    </row>
    <row r="1058" customFormat="false" ht="15" hidden="false" customHeight="false" outlineLevel="0" collapsed="false">
      <c r="A1058" s="4" t="s">
        <v>1371</v>
      </c>
      <c r="B1058" s="17" t="n">
        <v>45875</v>
      </c>
      <c r="C1058" s="4" t="n">
        <v>16</v>
      </c>
      <c r="D1058" s="4" t="s">
        <v>64</v>
      </c>
      <c r="E1058" s="4" t="s">
        <v>74</v>
      </c>
      <c r="F1058" s="4" t="s">
        <v>91</v>
      </c>
      <c r="G1058" s="4" t="n">
        <v>2</v>
      </c>
      <c r="H1058" s="34" t="n">
        <v>200</v>
      </c>
      <c r="I1058" s="18" t="n">
        <v>0.1</v>
      </c>
      <c r="J1058" s="4" t="s">
        <v>81</v>
      </c>
      <c r="K1058" s="4" t="s">
        <v>71</v>
      </c>
      <c r="L1058" s="35" t="n">
        <f aca="false">G1058*H1058</f>
        <v>400</v>
      </c>
      <c r="M1058" s="35" t="n">
        <f aca="false">L1058*I1058</f>
        <v>40</v>
      </c>
      <c r="N1058" s="35" t="n">
        <f aca="false">L1058-M1058</f>
        <v>360</v>
      </c>
      <c r="O1058" s="4" t="n">
        <f aca="false">MONTH(B1058)</f>
        <v>8</v>
      </c>
      <c r="P1058" s="4" t="str">
        <f aca="false">CHOOSE(WEEKDAY(B1058,2),"Mon","Tue","Wed","Thu","Fri","Sat","Sun")</f>
        <v>Wed</v>
      </c>
      <c r="Q1058" s="4" t="str">
        <f aca="false">IF(WEEKDAY(B1058,2)&gt;5,"Weekend","Weekday")</f>
        <v>Weekday</v>
      </c>
      <c r="R1058" s="4" t="str">
        <f aca="false">IF(C1058&lt;11,"Morning (7-10)",IF(C1058&lt;14,"Lunch (11-13)",IF(C1058&lt;18,"Afternoon (14-17)","Evening (18-20)")))</f>
        <v>Afternoon (14-17)</v>
      </c>
      <c r="S1058" s="4" t="str">
        <f aca="false">IF(AND(O1058&gt;=3,O1058&lt;=5),"Hot Dry (Mar-May)",IF(AND(O1058&gt;=6,O1058&lt;=11),"Rainy (Jun-Nov)","Cool Dry (Dec-Feb)"))</f>
        <v>Rainy (Jun-Nov)</v>
      </c>
      <c r="T1058" s="4" t="str">
        <f aca="false">CHOOSE(O1058,"Jan","Feb","Mar","Apr","May","Jun","Jul","Aug","Sep","Oct","Nov","Dec")</f>
        <v>Aug</v>
      </c>
    </row>
    <row r="1059" customFormat="false" ht="15" hidden="false" customHeight="false" outlineLevel="0" collapsed="false">
      <c r="A1059" s="4" t="s">
        <v>1372</v>
      </c>
      <c r="B1059" s="17" t="n">
        <v>45875</v>
      </c>
      <c r="C1059" s="4" t="n">
        <v>16</v>
      </c>
      <c r="D1059" s="4" t="s">
        <v>73</v>
      </c>
      <c r="E1059" s="4" t="s">
        <v>99</v>
      </c>
      <c r="F1059" s="4" t="s">
        <v>100</v>
      </c>
      <c r="G1059" s="4" t="n">
        <v>1</v>
      </c>
      <c r="H1059" s="34" t="n">
        <v>110</v>
      </c>
      <c r="I1059" s="18" t="n">
        <v>0</v>
      </c>
      <c r="J1059" s="4" t="s">
        <v>67</v>
      </c>
      <c r="K1059" s="4" t="s">
        <v>77</v>
      </c>
      <c r="L1059" s="35" t="n">
        <f aca="false">G1059*H1059</f>
        <v>110</v>
      </c>
      <c r="M1059" s="35" t="n">
        <f aca="false">L1059*I1059</f>
        <v>0</v>
      </c>
      <c r="N1059" s="35" t="n">
        <f aca="false">L1059-M1059</f>
        <v>110</v>
      </c>
      <c r="O1059" s="4" t="n">
        <f aca="false">MONTH(B1059)</f>
        <v>8</v>
      </c>
      <c r="P1059" s="4" t="str">
        <f aca="false">CHOOSE(WEEKDAY(B1059,2),"Mon","Tue","Wed","Thu","Fri","Sat","Sun")</f>
        <v>Wed</v>
      </c>
      <c r="Q1059" s="4" t="str">
        <f aca="false">IF(WEEKDAY(B1059,2)&gt;5,"Weekend","Weekday")</f>
        <v>Weekday</v>
      </c>
      <c r="R1059" s="4" t="str">
        <f aca="false">IF(C1059&lt;11,"Morning (7-10)",IF(C1059&lt;14,"Lunch (11-13)",IF(C1059&lt;18,"Afternoon (14-17)","Evening (18-20)")))</f>
        <v>Afternoon (14-17)</v>
      </c>
      <c r="S1059" s="4" t="str">
        <f aca="false">IF(AND(O1059&gt;=3,O1059&lt;=5),"Hot Dry (Mar-May)",IF(AND(O1059&gt;=6,O1059&lt;=11),"Rainy (Jun-Nov)","Cool Dry (Dec-Feb)"))</f>
        <v>Rainy (Jun-Nov)</v>
      </c>
      <c r="T1059" s="4" t="str">
        <f aca="false">CHOOSE(O1059,"Jan","Feb","Mar","Apr","May","Jun","Jul","Aug","Sep","Oct","Nov","Dec")</f>
        <v>Aug</v>
      </c>
    </row>
    <row r="1060" customFormat="false" ht="15" hidden="false" customHeight="false" outlineLevel="0" collapsed="false">
      <c r="A1060" s="4" t="s">
        <v>1373</v>
      </c>
      <c r="B1060" s="17" t="n">
        <v>45875</v>
      </c>
      <c r="C1060" s="4" t="n">
        <v>17</v>
      </c>
      <c r="D1060" s="4" t="s">
        <v>64</v>
      </c>
      <c r="E1060" s="4" t="s">
        <v>79</v>
      </c>
      <c r="F1060" s="4" t="s">
        <v>135</v>
      </c>
      <c r="G1060" s="4" t="n">
        <v>4</v>
      </c>
      <c r="H1060" s="34" t="n">
        <v>130</v>
      </c>
      <c r="I1060" s="18" t="n">
        <v>0.05</v>
      </c>
      <c r="J1060" s="4" t="s">
        <v>67</v>
      </c>
      <c r="K1060" s="4" t="s">
        <v>82</v>
      </c>
      <c r="L1060" s="35" t="n">
        <f aca="false">G1060*H1060</f>
        <v>520</v>
      </c>
      <c r="M1060" s="35" t="n">
        <f aca="false">L1060*I1060</f>
        <v>26</v>
      </c>
      <c r="N1060" s="35" t="n">
        <f aca="false">L1060-M1060</f>
        <v>494</v>
      </c>
      <c r="O1060" s="4" t="n">
        <f aca="false">MONTH(B1060)</f>
        <v>8</v>
      </c>
      <c r="P1060" s="4" t="str">
        <f aca="false">CHOOSE(WEEKDAY(B1060,2),"Mon","Tue","Wed","Thu","Fri","Sat","Sun")</f>
        <v>Wed</v>
      </c>
      <c r="Q1060" s="4" t="str">
        <f aca="false">IF(WEEKDAY(B1060,2)&gt;5,"Weekend","Weekday")</f>
        <v>Weekday</v>
      </c>
      <c r="R1060" s="4" t="str">
        <f aca="false">IF(C1060&lt;11,"Morning (7-10)",IF(C1060&lt;14,"Lunch (11-13)",IF(C1060&lt;18,"Afternoon (14-17)","Evening (18-20)")))</f>
        <v>Afternoon (14-17)</v>
      </c>
      <c r="S1060" s="4" t="str">
        <f aca="false">IF(AND(O1060&gt;=3,O1060&lt;=5),"Hot Dry (Mar-May)",IF(AND(O1060&gt;=6,O1060&lt;=11),"Rainy (Jun-Nov)","Cool Dry (Dec-Feb)"))</f>
        <v>Rainy (Jun-Nov)</v>
      </c>
      <c r="T1060" s="4" t="str">
        <f aca="false">CHOOSE(O1060,"Jan","Feb","Mar","Apr","May","Jun","Jul","Aug","Sep","Oct","Nov","Dec")</f>
        <v>Aug</v>
      </c>
    </row>
    <row r="1061" customFormat="false" ht="15" hidden="false" customHeight="false" outlineLevel="0" collapsed="false">
      <c r="A1061" s="4" t="s">
        <v>1374</v>
      </c>
      <c r="B1061" s="17" t="n">
        <v>45875</v>
      </c>
      <c r="C1061" s="4" t="n">
        <v>19</v>
      </c>
      <c r="D1061" s="4" t="s">
        <v>70</v>
      </c>
      <c r="E1061" s="4" t="s">
        <v>65</v>
      </c>
      <c r="F1061" s="4" t="s">
        <v>94</v>
      </c>
      <c r="G1061" s="4" t="n">
        <v>1</v>
      </c>
      <c r="H1061" s="34" t="n">
        <v>150</v>
      </c>
      <c r="I1061" s="18" t="n">
        <v>0.1</v>
      </c>
      <c r="J1061" s="4" t="s">
        <v>76</v>
      </c>
      <c r="K1061" s="4" t="s">
        <v>71</v>
      </c>
      <c r="L1061" s="35" t="n">
        <f aca="false">G1061*H1061</f>
        <v>150</v>
      </c>
      <c r="M1061" s="35" t="n">
        <f aca="false">L1061*I1061</f>
        <v>15</v>
      </c>
      <c r="N1061" s="35" t="n">
        <f aca="false">L1061-M1061</f>
        <v>135</v>
      </c>
      <c r="O1061" s="4" t="n">
        <f aca="false">MONTH(B1061)</f>
        <v>8</v>
      </c>
      <c r="P1061" s="4" t="str">
        <f aca="false">CHOOSE(WEEKDAY(B1061,2),"Mon","Tue","Wed","Thu","Fri","Sat","Sun")</f>
        <v>Wed</v>
      </c>
      <c r="Q1061" s="4" t="str">
        <f aca="false">IF(WEEKDAY(B1061,2)&gt;5,"Weekend","Weekday")</f>
        <v>Weekday</v>
      </c>
      <c r="R1061" s="4" t="str">
        <f aca="false">IF(C1061&lt;11,"Morning (7-10)",IF(C1061&lt;14,"Lunch (11-13)",IF(C1061&lt;18,"Afternoon (14-17)","Evening (18-20)")))</f>
        <v>Evening (18-20)</v>
      </c>
      <c r="S1061" s="4" t="str">
        <f aca="false">IF(AND(O1061&gt;=3,O1061&lt;=5),"Hot Dry (Mar-May)",IF(AND(O1061&gt;=6,O1061&lt;=11),"Rainy (Jun-Nov)","Cool Dry (Dec-Feb)"))</f>
        <v>Rainy (Jun-Nov)</v>
      </c>
      <c r="T1061" s="4" t="str">
        <f aca="false">CHOOSE(O1061,"Jan","Feb","Mar","Apr","May","Jun","Jul","Aug","Sep","Oct","Nov","Dec")</f>
        <v>Aug</v>
      </c>
    </row>
    <row r="1062" customFormat="false" ht="15" hidden="false" customHeight="false" outlineLevel="0" collapsed="false">
      <c r="A1062" s="4" t="s">
        <v>1375</v>
      </c>
      <c r="B1062" s="17" t="n">
        <v>45876</v>
      </c>
      <c r="C1062" s="4" t="n">
        <v>7</v>
      </c>
      <c r="D1062" s="4" t="s">
        <v>70</v>
      </c>
      <c r="E1062" s="4" t="s">
        <v>99</v>
      </c>
      <c r="F1062" s="4" t="s">
        <v>102</v>
      </c>
      <c r="G1062" s="4" t="n">
        <v>4</v>
      </c>
      <c r="H1062" s="34" t="n">
        <v>140</v>
      </c>
      <c r="I1062" s="18" t="n">
        <v>0</v>
      </c>
      <c r="J1062" s="4" t="s">
        <v>112</v>
      </c>
      <c r="K1062" s="4" t="s">
        <v>71</v>
      </c>
      <c r="L1062" s="35" t="n">
        <f aca="false">G1062*H1062</f>
        <v>560</v>
      </c>
      <c r="M1062" s="35" t="n">
        <f aca="false">L1062*I1062</f>
        <v>0</v>
      </c>
      <c r="N1062" s="35" t="n">
        <f aca="false">L1062-M1062</f>
        <v>560</v>
      </c>
      <c r="O1062" s="4" t="n">
        <f aca="false">MONTH(B1062)</f>
        <v>8</v>
      </c>
      <c r="P1062" s="4" t="str">
        <f aca="false">CHOOSE(WEEKDAY(B1062,2),"Mon","Tue","Wed","Thu","Fri","Sat","Sun")</f>
        <v>Thu</v>
      </c>
      <c r="Q1062" s="4" t="str">
        <f aca="false">IF(WEEKDAY(B1062,2)&gt;5,"Weekend","Weekday")</f>
        <v>Weekday</v>
      </c>
      <c r="R1062" s="4" t="str">
        <f aca="false">IF(C1062&lt;11,"Morning (7-10)",IF(C1062&lt;14,"Lunch (11-13)",IF(C1062&lt;18,"Afternoon (14-17)","Evening (18-20)")))</f>
        <v>Morning (7-10)</v>
      </c>
      <c r="S1062" s="4" t="str">
        <f aca="false">IF(AND(O1062&gt;=3,O1062&lt;=5),"Hot Dry (Mar-May)",IF(AND(O1062&gt;=6,O1062&lt;=11),"Rainy (Jun-Nov)","Cool Dry (Dec-Feb)"))</f>
        <v>Rainy (Jun-Nov)</v>
      </c>
      <c r="T1062" s="4" t="str">
        <f aca="false">CHOOSE(O1062,"Jan","Feb","Mar","Apr","May","Jun","Jul","Aug","Sep","Oct","Nov","Dec")</f>
        <v>Aug</v>
      </c>
    </row>
    <row r="1063" customFormat="false" ht="15" hidden="false" customHeight="false" outlineLevel="0" collapsed="false">
      <c r="A1063" s="4" t="s">
        <v>1376</v>
      </c>
      <c r="B1063" s="17" t="n">
        <v>45876</v>
      </c>
      <c r="C1063" s="4" t="n">
        <v>10</v>
      </c>
      <c r="D1063" s="4" t="s">
        <v>70</v>
      </c>
      <c r="E1063" s="4" t="s">
        <v>65</v>
      </c>
      <c r="F1063" s="4" t="s">
        <v>66</v>
      </c>
      <c r="G1063" s="4" t="n">
        <v>2</v>
      </c>
      <c r="H1063" s="34" t="n">
        <v>120</v>
      </c>
      <c r="I1063" s="18" t="n">
        <v>0.15</v>
      </c>
      <c r="J1063" s="4" t="s">
        <v>76</v>
      </c>
      <c r="K1063" s="4" t="s">
        <v>77</v>
      </c>
      <c r="L1063" s="35" t="n">
        <f aca="false">G1063*H1063</f>
        <v>240</v>
      </c>
      <c r="M1063" s="35" t="n">
        <f aca="false">L1063*I1063</f>
        <v>36</v>
      </c>
      <c r="N1063" s="35" t="n">
        <f aca="false">L1063-M1063</f>
        <v>204</v>
      </c>
      <c r="O1063" s="4" t="n">
        <f aca="false">MONTH(B1063)</f>
        <v>8</v>
      </c>
      <c r="P1063" s="4" t="str">
        <f aca="false">CHOOSE(WEEKDAY(B1063,2),"Mon","Tue","Wed","Thu","Fri","Sat","Sun")</f>
        <v>Thu</v>
      </c>
      <c r="Q1063" s="4" t="str">
        <f aca="false">IF(WEEKDAY(B1063,2)&gt;5,"Weekend","Weekday")</f>
        <v>Weekday</v>
      </c>
      <c r="R1063" s="4" t="str">
        <f aca="false">IF(C1063&lt;11,"Morning (7-10)",IF(C1063&lt;14,"Lunch (11-13)",IF(C1063&lt;18,"Afternoon (14-17)","Evening (18-20)")))</f>
        <v>Morning (7-10)</v>
      </c>
      <c r="S1063" s="4" t="str">
        <f aca="false">IF(AND(O1063&gt;=3,O1063&lt;=5),"Hot Dry (Mar-May)",IF(AND(O1063&gt;=6,O1063&lt;=11),"Rainy (Jun-Nov)","Cool Dry (Dec-Feb)"))</f>
        <v>Rainy (Jun-Nov)</v>
      </c>
      <c r="T1063" s="4" t="str">
        <f aca="false">CHOOSE(O1063,"Jan","Feb","Mar","Apr","May","Jun","Jul","Aug","Sep","Oct","Nov","Dec")</f>
        <v>Aug</v>
      </c>
    </row>
    <row r="1064" customFormat="false" ht="15" hidden="false" customHeight="false" outlineLevel="0" collapsed="false">
      <c r="A1064" s="4" t="s">
        <v>1377</v>
      </c>
      <c r="B1064" s="17" t="n">
        <v>45876</v>
      </c>
      <c r="C1064" s="4" t="n">
        <v>12</v>
      </c>
      <c r="D1064" s="4" t="s">
        <v>64</v>
      </c>
      <c r="E1064" s="4" t="s">
        <v>99</v>
      </c>
      <c r="F1064" s="4" t="s">
        <v>102</v>
      </c>
      <c r="G1064" s="4" t="n">
        <v>1</v>
      </c>
      <c r="H1064" s="34" t="n">
        <v>140</v>
      </c>
      <c r="I1064" s="18" t="n">
        <v>0</v>
      </c>
      <c r="J1064" s="4" t="s">
        <v>81</v>
      </c>
      <c r="K1064" s="4" t="s">
        <v>68</v>
      </c>
      <c r="L1064" s="35" t="n">
        <f aca="false">G1064*H1064</f>
        <v>140</v>
      </c>
      <c r="M1064" s="35" t="n">
        <f aca="false">L1064*I1064</f>
        <v>0</v>
      </c>
      <c r="N1064" s="35" t="n">
        <f aca="false">L1064-M1064</f>
        <v>140</v>
      </c>
      <c r="O1064" s="4" t="n">
        <f aca="false">MONTH(B1064)</f>
        <v>8</v>
      </c>
      <c r="P1064" s="4" t="str">
        <f aca="false">CHOOSE(WEEKDAY(B1064,2),"Mon","Tue","Wed","Thu","Fri","Sat","Sun")</f>
        <v>Thu</v>
      </c>
      <c r="Q1064" s="4" t="str">
        <f aca="false">IF(WEEKDAY(B1064,2)&gt;5,"Weekend","Weekday")</f>
        <v>Weekday</v>
      </c>
      <c r="R1064" s="4" t="str">
        <f aca="false">IF(C1064&lt;11,"Morning (7-10)",IF(C1064&lt;14,"Lunch (11-13)",IF(C1064&lt;18,"Afternoon (14-17)","Evening (18-20)")))</f>
        <v>Lunch (11-13)</v>
      </c>
      <c r="S1064" s="4" t="str">
        <f aca="false">IF(AND(O1064&gt;=3,O1064&lt;=5),"Hot Dry (Mar-May)",IF(AND(O1064&gt;=6,O1064&lt;=11),"Rainy (Jun-Nov)","Cool Dry (Dec-Feb)"))</f>
        <v>Rainy (Jun-Nov)</v>
      </c>
      <c r="T1064" s="4" t="str">
        <f aca="false">CHOOSE(O1064,"Jan","Feb","Mar","Apr","May","Jun","Jul","Aug","Sep","Oct","Nov","Dec")</f>
        <v>Aug</v>
      </c>
    </row>
    <row r="1065" customFormat="false" ht="15" hidden="false" customHeight="false" outlineLevel="0" collapsed="false">
      <c r="A1065" s="4" t="s">
        <v>1378</v>
      </c>
      <c r="B1065" s="17" t="n">
        <v>45876</v>
      </c>
      <c r="C1065" s="4" t="n">
        <v>14</v>
      </c>
      <c r="D1065" s="4" t="s">
        <v>64</v>
      </c>
      <c r="E1065" s="4" t="s">
        <v>79</v>
      </c>
      <c r="F1065" s="4" t="s">
        <v>148</v>
      </c>
      <c r="G1065" s="4" t="n">
        <v>1</v>
      </c>
      <c r="H1065" s="34" t="n">
        <v>120</v>
      </c>
      <c r="I1065" s="18" t="n">
        <v>0</v>
      </c>
      <c r="J1065" s="4" t="s">
        <v>81</v>
      </c>
      <c r="K1065" s="4" t="s">
        <v>77</v>
      </c>
      <c r="L1065" s="35" t="n">
        <f aca="false">G1065*H1065</f>
        <v>120</v>
      </c>
      <c r="M1065" s="35" t="n">
        <f aca="false">L1065*I1065</f>
        <v>0</v>
      </c>
      <c r="N1065" s="35" t="n">
        <f aca="false">L1065-M1065</f>
        <v>120</v>
      </c>
      <c r="O1065" s="4" t="n">
        <f aca="false">MONTH(B1065)</f>
        <v>8</v>
      </c>
      <c r="P1065" s="4" t="str">
        <f aca="false">CHOOSE(WEEKDAY(B1065,2),"Mon","Tue","Wed","Thu","Fri","Sat","Sun")</f>
        <v>Thu</v>
      </c>
      <c r="Q1065" s="4" t="str">
        <f aca="false">IF(WEEKDAY(B1065,2)&gt;5,"Weekend","Weekday")</f>
        <v>Weekday</v>
      </c>
      <c r="R1065" s="4" t="str">
        <f aca="false">IF(C1065&lt;11,"Morning (7-10)",IF(C1065&lt;14,"Lunch (11-13)",IF(C1065&lt;18,"Afternoon (14-17)","Evening (18-20)")))</f>
        <v>Afternoon (14-17)</v>
      </c>
      <c r="S1065" s="4" t="str">
        <f aca="false">IF(AND(O1065&gt;=3,O1065&lt;=5),"Hot Dry (Mar-May)",IF(AND(O1065&gt;=6,O1065&lt;=11),"Rainy (Jun-Nov)","Cool Dry (Dec-Feb)"))</f>
        <v>Rainy (Jun-Nov)</v>
      </c>
      <c r="T1065" s="4" t="str">
        <f aca="false">CHOOSE(O1065,"Jan","Feb","Mar","Apr","May","Jun","Jul","Aug","Sep","Oct","Nov","Dec")</f>
        <v>Aug</v>
      </c>
    </row>
    <row r="1066" customFormat="false" ht="15" hidden="false" customHeight="false" outlineLevel="0" collapsed="false">
      <c r="A1066" s="4" t="s">
        <v>1379</v>
      </c>
      <c r="B1066" s="17" t="n">
        <v>45876</v>
      </c>
      <c r="C1066" s="4" t="n">
        <v>15</v>
      </c>
      <c r="D1066" s="4" t="s">
        <v>73</v>
      </c>
      <c r="E1066" s="4" t="s">
        <v>79</v>
      </c>
      <c r="F1066" s="4" t="s">
        <v>80</v>
      </c>
      <c r="G1066" s="4" t="n">
        <v>2</v>
      </c>
      <c r="H1066" s="34" t="n">
        <v>160</v>
      </c>
      <c r="I1066" s="18" t="n">
        <v>0</v>
      </c>
      <c r="J1066" s="4" t="s">
        <v>81</v>
      </c>
      <c r="K1066" s="4" t="s">
        <v>68</v>
      </c>
      <c r="L1066" s="35" t="n">
        <f aca="false">G1066*H1066</f>
        <v>320</v>
      </c>
      <c r="M1066" s="35" t="n">
        <f aca="false">L1066*I1066</f>
        <v>0</v>
      </c>
      <c r="N1066" s="35" t="n">
        <f aca="false">L1066-M1066</f>
        <v>320</v>
      </c>
      <c r="O1066" s="4" t="n">
        <f aca="false">MONTH(B1066)</f>
        <v>8</v>
      </c>
      <c r="P1066" s="4" t="str">
        <f aca="false">CHOOSE(WEEKDAY(B1066,2),"Mon","Tue","Wed","Thu","Fri","Sat","Sun")</f>
        <v>Thu</v>
      </c>
      <c r="Q1066" s="4" t="str">
        <f aca="false">IF(WEEKDAY(B1066,2)&gt;5,"Weekend","Weekday")</f>
        <v>Weekday</v>
      </c>
      <c r="R1066" s="4" t="str">
        <f aca="false">IF(C1066&lt;11,"Morning (7-10)",IF(C1066&lt;14,"Lunch (11-13)",IF(C1066&lt;18,"Afternoon (14-17)","Evening (18-20)")))</f>
        <v>Afternoon (14-17)</v>
      </c>
      <c r="S1066" s="4" t="str">
        <f aca="false">IF(AND(O1066&gt;=3,O1066&lt;=5),"Hot Dry (Mar-May)",IF(AND(O1066&gt;=6,O1066&lt;=11),"Rainy (Jun-Nov)","Cool Dry (Dec-Feb)"))</f>
        <v>Rainy (Jun-Nov)</v>
      </c>
      <c r="T1066" s="4" t="str">
        <f aca="false">CHOOSE(O1066,"Jan","Feb","Mar","Apr","May","Jun","Jul","Aug","Sep","Oct","Nov","Dec")</f>
        <v>Aug</v>
      </c>
    </row>
    <row r="1067" customFormat="false" ht="15" hidden="false" customHeight="false" outlineLevel="0" collapsed="false">
      <c r="A1067" s="4" t="s">
        <v>1380</v>
      </c>
      <c r="B1067" s="17" t="n">
        <v>45876</v>
      </c>
      <c r="C1067" s="4" t="n">
        <v>16</v>
      </c>
      <c r="D1067" s="4" t="s">
        <v>64</v>
      </c>
      <c r="E1067" s="4" t="s">
        <v>84</v>
      </c>
      <c r="F1067" s="4" t="s">
        <v>117</v>
      </c>
      <c r="G1067" s="4" t="n">
        <v>2</v>
      </c>
      <c r="H1067" s="34" t="n">
        <v>95</v>
      </c>
      <c r="I1067" s="18" t="n">
        <v>0</v>
      </c>
      <c r="J1067" s="4" t="s">
        <v>67</v>
      </c>
      <c r="K1067" s="4" t="s">
        <v>68</v>
      </c>
      <c r="L1067" s="35" t="n">
        <f aca="false">G1067*H1067</f>
        <v>190</v>
      </c>
      <c r="M1067" s="35" t="n">
        <f aca="false">L1067*I1067</f>
        <v>0</v>
      </c>
      <c r="N1067" s="35" t="n">
        <f aca="false">L1067-M1067</f>
        <v>190</v>
      </c>
      <c r="O1067" s="4" t="n">
        <f aca="false">MONTH(B1067)</f>
        <v>8</v>
      </c>
      <c r="P1067" s="4" t="str">
        <f aca="false">CHOOSE(WEEKDAY(B1067,2),"Mon","Tue","Wed","Thu","Fri","Sat","Sun")</f>
        <v>Thu</v>
      </c>
      <c r="Q1067" s="4" t="str">
        <f aca="false">IF(WEEKDAY(B1067,2)&gt;5,"Weekend","Weekday")</f>
        <v>Weekday</v>
      </c>
      <c r="R1067" s="4" t="str">
        <f aca="false">IF(C1067&lt;11,"Morning (7-10)",IF(C1067&lt;14,"Lunch (11-13)",IF(C1067&lt;18,"Afternoon (14-17)","Evening (18-20)")))</f>
        <v>Afternoon (14-17)</v>
      </c>
      <c r="S1067" s="4" t="str">
        <f aca="false">IF(AND(O1067&gt;=3,O1067&lt;=5),"Hot Dry (Mar-May)",IF(AND(O1067&gt;=6,O1067&lt;=11),"Rainy (Jun-Nov)","Cool Dry (Dec-Feb)"))</f>
        <v>Rainy (Jun-Nov)</v>
      </c>
      <c r="T1067" s="4" t="str">
        <f aca="false">CHOOSE(O1067,"Jan","Feb","Mar","Apr","May","Jun","Jul","Aug","Sep","Oct","Nov","Dec")</f>
        <v>Aug</v>
      </c>
    </row>
    <row r="1068" customFormat="false" ht="15" hidden="false" customHeight="false" outlineLevel="0" collapsed="false">
      <c r="A1068" s="4" t="s">
        <v>1381</v>
      </c>
      <c r="B1068" s="17" t="n">
        <v>45876</v>
      </c>
      <c r="C1068" s="4" t="n">
        <v>17</v>
      </c>
      <c r="D1068" s="4" t="s">
        <v>64</v>
      </c>
      <c r="E1068" s="4" t="s">
        <v>99</v>
      </c>
      <c r="F1068" s="4" t="s">
        <v>100</v>
      </c>
      <c r="G1068" s="4" t="n">
        <v>1</v>
      </c>
      <c r="H1068" s="34" t="n">
        <v>110</v>
      </c>
      <c r="I1068" s="18" t="n">
        <v>0.05</v>
      </c>
      <c r="J1068" s="4" t="s">
        <v>112</v>
      </c>
      <c r="K1068" s="4" t="s">
        <v>82</v>
      </c>
      <c r="L1068" s="35" t="n">
        <f aca="false">G1068*H1068</f>
        <v>110</v>
      </c>
      <c r="M1068" s="35" t="n">
        <f aca="false">L1068*I1068</f>
        <v>5.5</v>
      </c>
      <c r="N1068" s="35" t="n">
        <f aca="false">L1068-M1068</f>
        <v>104.5</v>
      </c>
      <c r="O1068" s="4" t="n">
        <f aca="false">MONTH(B1068)</f>
        <v>8</v>
      </c>
      <c r="P1068" s="4" t="str">
        <f aca="false">CHOOSE(WEEKDAY(B1068,2),"Mon","Tue","Wed","Thu","Fri","Sat","Sun")</f>
        <v>Thu</v>
      </c>
      <c r="Q1068" s="4" t="str">
        <f aca="false">IF(WEEKDAY(B1068,2)&gt;5,"Weekend","Weekday")</f>
        <v>Weekday</v>
      </c>
      <c r="R1068" s="4" t="str">
        <f aca="false">IF(C1068&lt;11,"Morning (7-10)",IF(C1068&lt;14,"Lunch (11-13)",IF(C1068&lt;18,"Afternoon (14-17)","Evening (18-20)")))</f>
        <v>Afternoon (14-17)</v>
      </c>
      <c r="S1068" s="4" t="str">
        <f aca="false">IF(AND(O1068&gt;=3,O1068&lt;=5),"Hot Dry (Mar-May)",IF(AND(O1068&gt;=6,O1068&lt;=11),"Rainy (Jun-Nov)","Cool Dry (Dec-Feb)"))</f>
        <v>Rainy (Jun-Nov)</v>
      </c>
      <c r="T1068" s="4" t="str">
        <f aca="false">CHOOSE(O1068,"Jan","Feb","Mar","Apr","May","Jun","Jul","Aug","Sep","Oct","Nov","Dec")</f>
        <v>Aug</v>
      </c>
    </row>
    <row r="1069" customFormat="false" ht="15" hidden="false" customHeight="false" outlineLevel="0" collapsed="false">
      <c r="A1069" s="4" t="s">
        <v>1382</v>
      </c>
      <c r="B1069" s="17" t="n">
        <v>45876</v>
      </c>
      <c r="C1069" s="4" t="n">
        <v>17</v>
      </c>
      <c r="D1069" s="4" t="s">
        <v>73</v>
      </c>
      <c r="E1069" s="4" t="s">
        <v>65</v>
      </c>
      <c r="F1069" s="4" t="s">
        <v>121</v>
      </c>
      <c r="G1069" s="4" t="n">
        <v>1</v>
      </c>
      <c r="H1069" s="34" t="n">
        <v>170</v>
      </c>
      <c r="I1069" s="18" t="n">
        <v>0.1</v>
      </c>
      <c r="J1069" s="4" t="s">
        <v>67</v>
      </c>
      <c r="K1069" s="4" t="s">
        <v>82</v>
      </c>
      <c r="L1069" s="35" t="n">
        <f aca="false">G1069*H1069</f>
        <v>170</v>
      </c>
      <c r="M1069" s="35" t="n">
        <f aca="false">L1069*I1069</f>
        <v>17</v>
      </c>
      <c r="N1069" s="35" t="n">
        <f aca="false">L1069-M1069</f>
        <v>153</v>
      </c>
      <c r="O1069" s="4" t="n">
        <f aca="false">MONTH(B1069)</f>
        <v>8</v>
      </c>
      <c r="P1069" s="4" t="str">
        <f aca="false">CHOOSE(WEEKDAY(B1069,2),"Mon","Tue","Wed","Thu","Fri","Sat","Sun")</f>
        <v>Thu</v>
      </c>
      <c r="Q1069" s="4" t="str">
        <f aca="false">IF(WEEKDAY(B1069,2)&gt;5,"Weekend","Weekday")</f>
        <v>Weekday</v>
      </c>
      <c r="R1069" s="4" t="str">
        <f aca="false">IF(C1069&lt;11,"Morning (7-10)",IF(C1069&lt;14,"Lunch (11-13)",IF(C1069&lt;18,"Afternoon (14-17)","Evening (18-20)")))</f>
        <v>Afternoon (14-17)</v>
      </c>
      <c r="S1069" s="4" t="str">
        <f aca="false">IF(AND(O1069&gt;=3,O1069&lt;=5),"Hot Dry (Mar-May)",IF(AND(O1069&gt;=6,O1069&lt;=11),"Rainy (Jun-Nov)","Cool Dry (Dec-Feb)"))</f>
        <v>Rainy (Jun-Nov)</v>
      </c>
      <c r="T1069" s="4" t="str">
        <f aca="false">CHOOSE(O1069,"Jan","Feb","Mar","Apr","May","Jun","Jul","Aug","Sep","Oct","Nov","Dec")</f>
        <v>Aug</v>
      </c>
    </row>
    <row r="1070" customFormat="false" ht="15" hidden="false" customHeight="false" outlineLevel="0" collapsed="false">
      <c r="A1070" s="4" t="s">
        <v>1383</v>
      </c>
      <c r="B1070" s="17" t="n">
        <v>45877</v>
      </c>
      <c r="C1070" s="4" t="n">
        <v>7</v>
      </c>
      <c r="D1070" s="4" t="s">
        <v>73</v>
      </c>
      <c r="E1070" s="4" t="s">
        <v>99</v>
      </c>
      <c r="F1070" s="4" t="s">
        <v>109</v>
      </c>
      <c r="G1070" s="4" t="n">
        <v>2</v>
      </c>
      <c r="H1070" s="34" t="n">
        <v>130</v>
      </c>
      <c r="I1070" s="18" t="n">
        <v>0.05</v>
      </c>
      <c r="J1070" s="4" t="s">
        <v>81</v>
      </c>
      <c r="K1070" s="4" t="s">
        <v>82</v>
      </c>
      <c r="L1070" s="35" t="n">
        <f aca="false">G1070*H1070</f>
        <v>260</v>
      </c>
      <c r="M1070" s="35" t="n">
        <f aca="false">L1070*I1070</f>
        <v>13</v>
      </c>
      <c r="N1070" s="35" t="n">
        <f aca="false">L1070-M1070</f>
        <v>247</v>
      </c>
      <c r="O1070" s="4" t="n">
        <f aca="false">MONTH(B1070)</f>
        <v>8</v>
      </c>
      <c r="P1070" s="4" t="str">
        <f aca="false">CHOOSE(WEEKDAY(B1070,2),"Mon","Tue","Wed","Thu","Fri","Sat","Sun")</f>
        <v>Fri</v>
      </c>
      <c r="Q1070" s="4" t="str">
        <f aca="false">IF(WEEKDAY(B1070,2)&gt;5,"Weekend","Weekday")</f>
        <v>Weekday</v>
      </c>
      <c r="R1070" s="4" t="str">
        <f aca="false">IF(C1070&lt;11,"Morning (7-10)",IF(C1070&lt;14,"Lunch (11-13)",IF(C1070&lt;18,"Afternoon (14-17)","Evening (18-20)")))</f>
        <v>Morning (7-10)</v>
      </c>
      <c r="S1070" s="4" t="str">
        <f aca="false">IF(AND(O1070&gt;=3,O1070&lt;=5),"Hot Dry (Mar-May)",IF(AND(O1070&gt;=6,O1070&lt;=11),"Rainy (Jun-Nov)","Cool Dry (Dec-Feb)"))</f>
        <v>Rainy (Jun-Nov)</v>
      </c>
      <c r="T1070" s="4" t="str">
        <f aca="false">CHOOSE(O1070,"Jan","Feb","Mar","Apr","May","Jun","Jul","Aug","Sep","Oct","Nov","Dec")</f>
        <v>Aug</v>
      </c>
    </row>
    <row r="1071" customFormat="false" ht="15" hidden="false" customHeight="false" outlineLevel="0" collapsed="false">
      <c r="A1071" s="4" t="s">
        <v>1385</v>
      </c>
      <c r="B1071" s="17" t="n">
        <v>45877</v>
      </c>
      <c r="C1071" s="4" t="n">
        <v>9</v>
      </c>
      <c r="D1071" s="4" t="s">
        <v>64</v>
      </c>
      <c r="E1071" s="4" t="s">
        <v>65</v>
      </c>
      <c r="F1071" s="4" t="s">
        <v>94</v>
      </c>
      <c r="G1071" s="4" t="n">
        <v>1</v>
      </c>
      <c r="H1071" s="34" t="n">
        <v>150</v>
      </c>
      <c r="I1071" s="18" t="n">
        <v>0</v>
      </c>
      <c r="J1071" s="4" t="s">
        <v>112</v>
      </c>
      <c r="K1071" s="4" t="s">
        <v>68</v>
      </c>
      <c r="L1071" s="35" t="n">
        <f aca="false">G1071*H1071</f>
        <v>150</v>
      </c>
      <c r="M1071" s="35" t="n">
        <f aca="false">L1071*I1071</f>
        <v>0</v>
      </c>
      <c r="N1071" s="35" t="n">
        <f aca="false">L1071-M1071</f>
        <v>150</v>
      </c>
      <c r="O1071" s="4" t="n">
        <f aca="false">MONTH(B1071)</f>
        <v>8</v>
      </c>
      <c r="P1071" s="4" t="str">
        <f aca="false">CHOOSE(WEEKDAY(B1071,2),"Mon","Tue","Wed","Thu","Fri","Sat","Sun")</f>
        <v>Fri</v>
      </c>
      <c r="Q1071" s="4" t="str">
        <f aca="false">IF(WEEKDAY(B1071,2)&gt;5,"Weekend","Weekday")</f>
        <v>Weekday</v>
      </c>
      <c r="R1071" s="4" t="str">
        <f aca="false">IF(C1071&lt;11,"Morning (7-10)",IF(C1071&lt;14,"Lunch (11-13)",IF(C1071&lt;18,"Afternoon (14-17)","Evening (18-20)")))</f>
        <v>Morning (7-10)</v>
      </c>
      <c r="S1071" s="4" t="str">
        <f aca="false">IF(AND(O1071&gt;=3,O1071&lt;=5),"Hot Dry (Mar-May)",IF(AND(O1071&gt;=6,O1071&lt;=11),"Rainy (Jun-Nov)","Cool Dry (Dec-Feb)"))</f>
        <v>Rainy (Jun-Nov)</v>
      </c>
      <c r="T1071" s="4" t="str">
        <f aca="false">CHOOSE(O1071,"Jan","Feb","Mar","Apr","May","Jun","Jul","Aug","Sep","Oct","Nov","Dec")</f>
        <v>Aug</v>
      </c>
    </row>
    <row r="1072" customFormat="false" ht="15" hidden="false" customHeight="false" outlineLevel="0" collapsed="false">
      <c r="A1072" s="4" t="s">
        <v>1386</v>
      </c>
      <c r="B1072" s="17" t="n">
        <v>45877</v>
      </c>
      <c r="C1072" s="4" t="n">
        <v>11</v>
      </c>
      <c r="D1072" s="4" t="s">
        <v>70</v>
      </c>
      <c r="E1072" s="4" t="s">
        <v>79</v>
      </c>
      <c r="F1072" s="4" t="s">
        <v>148</v>
      </c>
      <c r="G1072" s="4" t="n">
        <v>2</v>
      </c>
      <c r="H1072" s="34" t="n">
        <v>120</v>
      </c>
      <c r="I1072" s="18" t="n">
        <v>0</v>
      </c>
      <c r="J1072" s="4" t="s">
        <v>81</v>
      </c>
      <c r="K1072" s="4" t="s">
        <v>77</v>
      </c>
      <c r="L1072" s="35" t="n">
        <f aca="false">G1072*H1072</f>
        <v>240</v>
      </c>
      <c r="M1072" s="35" t="n">
        <f aca="false">L1072*I1072</f>
        <v>0</v>
      </c>
      <c r="N1072" s="35" t="n">
        <f aca="false">L1072-M1072</f>
        <v>240</v>
      </c>
      <c r="O1072" s="4" t="n">
        <f aca="false">MONTH(B1072)</f>
        <v>8</v>
      </c>
      <c r="P1072" s="4" t="str">
        <f aca="false">CHOOSE(WEEKDAY(B1072,2),"Mon","Tue","Wed","Thu","Fri","Sat","Sun")</f>
        <v>Fri</v>
      </c>
      <c r="Q1072" s="4" t="str">
        <f aca="false">IF(WEEKDAY(B1072,2)&gt;5,"Weekend","Weekday")</f>
        <v>Weekday</v>
      </c>
      <c r="R1072" s="4" t="str">
        <f aca="false">IF(C1072&lt;11,"Morning (7-10)",IF(C1072&lt;14,"Lunch (11-13)",IF(C1072&lt;18,"Afternoon (14-17)","Evening (18-20)")))</f>
        <v>Lunch (11-13)</v>
      </c>
      <c r="S1072" s="4" t="str">
        <f aca="false">IF(AND(O1072&gt;=3,O1072&lt;=5),"Hot Dry (Mar-May)",IF(AND(O1072&gt;=6,O1072&lt;=11),"Rainy (Jun-Nov)","Cool Dry (Dec-Feb)"))</f>
        <v>Rainy (Jun-Nov)</v>
      </c>
      <c r="T1072" s="4" t="str">
        <f aca="false">CHOOSE(O1072,"Jan","Feb","Mar","Apr","May","Jun","Jul","Aug","Sep","Oct","Nov","Dec")</f>
        <v>Aug</v>
      </c>
    </row>
    <row r="1073" customFormat="false" ht="15" hidden="false" customHeight="false" outlineLevel="0" collapsed="false">
      <c r="A1073" s="4" t="s">
        <v>1387</v>
      </c>
      <c r="B1073" s="17" t="n">
        <v>45877</v>
      </c>
      <c r="C1073" s="4" t="n">
        <v>13</v>
      </c>
      <c r="D1073" s="4" t="s">
        <v>70</v>
      </c>
      <c r="E1073" s="4" t="s">
        <v>84</v>
      </c>
      <c r="F1073" s="4" t="s">
        <v>114</v>
      </c>
      <c r="G1073" s="4" t="n">
        <v>1</v>
      </c>
      <c r="H1073" s="34" t="n">
        <v>85</v>
      </c>
      <c r="I1073" s="18" t="n">
        <v>0.05</v>
      </c>
      <c r="J1073" s="4" t="s">
        <v>76</v>
      </c>
      <c r="K1073" s="4" t="s">
        <v>82</v>
      </c>
      <c r="L1073" s="35" t="n">
        <f aca="false">G1073*H1073</f>
        <v>85</v>
      </c>
      <c r="M1073" s="35" t="n">
        <f aca="false">L1073*I1073</f>
        <v>4.25</v>
      </c>
      <c r="N1073" s="35" t="n">
        <f aca="false">L1073-M1073</f>
        <v>80.75</v>
      </c>
      <c r="O1073" s="4" t="n">
        <f aca="false">MONTH(B1073)</f>
        <v>8</v>
      </c>
      <c r="P1073" s="4" t="str">
        <f aca="false">CHOOSE(WEEKDAY(B1073,2),"Mon","Tue","Wed","Thu","Fri","Sat","Sun")</f>
        <v>Fri</v>
      </c>
      <c r="Q1073" s="4" t="str">
        <f aca="false">IF(WEEKDAY(B1073,2)&gt;5,"Weekend","Weekday")</f>
        <v>Weekday</v>
      </c>
      <c r="R1073" s="4" t="str">
        <f aca="false">IF(C1073&lt;11,"Morning (7-10)",IF(C1073&lt;14,"Lunch (11-13)",IF(C1073&lt;18,"Afternoon (14-17)","Evening (18-20)")))</f>
        <v>Lunch (11-13)</v>
      </c>
      <c r="S1073" s="4" t="str">
        <f aca="false">IF(AND(O1073&gt;=3,O1073&lt;=5),"Hot Dry (Mar-May)",IF(AND(O1073&gt;=6,O1073&lt;=11),"Rainy (Jun-Nov)","Cool Dry (Dec-Feb)"))</f>
        <v>Rainy (Jun-Nov)</v>
      </c>
      <c r="T1073" s="4" t="str">
        <f aca="false">CHOOSE(O1073,"Jan","Feb","Mar","Apr","May","Jun","Jul","Aug","Sep","Oct","Nov","Dec")</f>
        <v>Aug</v>
      </c>
    </row>
    <row r="1074" customFormat="false" ht="15" hidden="false" customHeight="false" outlineLevel="0" collapsed="false">
      <c r="A1074" s="4" t="s">
        <v>1388</v>
      </c>
      <c r="B1074" s="17" t="n">
        <v>45877</v>
      </c>
      <c r="C1074" s="4" t="n">
        <v>13</v>
      </c>
      <c r="D1074" s="4" t="s">
        <v>70</v>
      </c>
      <c r="E1074" s="4" t="s">
        <v>84</v>
      </c>
      <c r="F1074" s="4" t="s">
        <v>114</v>
      </c>
      <c r="G1074" s="4" t="n">
        <v>1</v>
      </c>
      <c r="H1074" s="34" t="n">
        <v>85</v>
      </c>
      <c r="I1074" s="18" t="n">
        <v>0.05</v>
      </c>
      <c r="J1074" s="4" t="s">
        <v>67</v>
      </c>
      <c r="K1074" s="4" t="s">
        <v>82</v>
      </c>
      <c r="L1074" s="35" t="n">
        <f aca="false">G1074*H1074</f>
        <v>85</v>
      </c>
      <c r="M1074" s="35" t="n">
        <f aca="false">L1074*I1074</f>
        <v>4.25</v>
      </c>
      <c r="N1074" s="35" t="n">
        <f aca="false">L1074-M1074</f>
        <v>80.75</v>
      </c>
      <c r="O1074" s="4" t="n">
        <f aca="false">MONTH(B1074)</f>
        <v>8</v>
      </c>
      <c r="P1074" s="4" t="str">
        <f aca="false">CHOOSE(WEEKDAY(B1074,2),"Mon","Tue","Wed","Thu","Fri","Sat","Sun")</f>
        <v>Fri</v>
      </c>
      <c r="Q1074" s="4" t="str">
        <f aca="false">IF(WEEKDAY(B1074,2)&gt;5,"Weekend","Weekday")</f>
        <v>Weekday</v>
      </c>
      <c r="R1074" s="4" t="str">
        <f aca="false">IF(C1074&lt;11,"Morning (7-10)",IF(C1074&lt;14,"Lunch (11-13)",IF(C1074&lt;18,"Afternoon (14-17)","Evening (18-20)")))</f>
        <v>Lunch (11-13)</v>
      </c>
      <c r="S1074" s="4" t="str">
        <f aca="false">IF(AND(O1074&gt;=3,O1074&lt;=5),"Hot Dry (Mar-May)",IF(AND(O1074&gt;=6,O1074&lt;=11),"Rainy (Jun-Nov)","Cool Dry (Dec-Feb)"))</f>
        <v>Rainy (Jun-Nov)</v>
      </c>
      <c r="T1074" s="4" t="str">
        <f aca="false">CHOOSE(O1074,"Jan","Feb","Mar","Apr","May","Jun","Jul","Aug","Sep","Oct","Nov","Dec")</f>
        <v>Aug</v>
      </c>
    </row>
    <row r="1075" customFormat="false" ht="15" hidden="false" customHeight="false" outlineLevel="0" collapsed="false">
      <c r="A1075" s="4" t="s">
        <v>1389</v>
      </c>
      <c r="B1075" s="17" t="n">
        <v>45877</v>
      </c>
      <c r="C1075" s="4" t="n">
        <v>16</v>
      </c>
      <c r="D1075" s="4" t="s">
        <v>64</v>
      </c>
      <c r="E1075" s="4" t="s">
        <v>99</v>
      </c>
      <c r="F1075" s="4" t="s">
        <v>100</v>
      </c>
      <c r="G1075" s="4" t="n">
        <v>2</v>
      </c>
      <c r="H1075" s="34" t="n">
        <v>110</v>
      </c>
      <c r="I1075" s="18" t="n">
        <v>0.05</v>
      </c>
      <c r="J1075" s="4" t="s">
        <v>76</v>
      </c>
      <c r="K1075" s="4" t="s">
        <v>82</v>
      </c>
      <c r="L1075" s="35" t="n">
        <f aca="false">G1075*H1075</f>
        <v>220</v>
      </c>
      <c r="M1075" s="35" t="n">
        <f aca="false">L1075*I1075</f>
        <v>11</v>
      </c>
      <c r="N1075" s="35" t="n">
        <f aca="false">L1075-M1075</f>
        <v>209</v>
      </c>
      <c r="O1075" s="4" t="n">
        <f aca="false">MONTH(B1075)</f>
        <v>8</v>
      </c>
      <c r="P1075" s="4" t="str">
        <f aca="false">CHOOSE(WEEKDAY(B1075,2),"Mon","Tue","Wed","Thu","Fri","Sat","Sun")</f>
        <v>Fri</v>
      </c>
      <c r="Q1075" s="4" t="str">
        <f aca="false">IF(WEEKDAY(B1075,2)&gt;5,"Weekend","Weekday")</f>
        <v>Weekday</v>
      </c>
      <c r="R1075" s="4" t="str">
        <f aca="false">IF(C1075&lt;11,"Morning (7-10)",IF(C1075&lt;14,"Lunch (11-13)",IF(C1075&lt;18,"Afternoon (14-17)","Evening (18-20)")))</f>
        <v>Afternoon (14-17)</v>
      </c>
      <c r="S1075" s="4" t="str">
        <f aca="false">IF(AND(O1075&gt;=3,O1075&lt;=5),"Hot Dry (Mar-May)",IF(AND(O1075&gt;=6,O1075&lt;=11),"Rainy (Jun-Nov)","Cool Dry (Dec-Feb)"))</f>
        <v>Rainy (Jun-Nov)</v>
      </c>
      <c r="T1075" s="4" t="str">
        <f aca="false">CHOOSE(O1075,"Jan","Feb","Mar","Apr","May","Jun","Jul","Aug","Sep","Oct","Nov","Dec")</f>
        <v>Aug</v>
      </c>
    </row>
    <row r="1076" customFormat="false" ht="15" hidden="false" customHeight="false" outlineLevel="0" collapsed="false">
      <c r="A1076" s="4" t="s">
        <v>1390</v>
      </c>
      <c r="B1076" s="17" t="n">
        <v>45878</v>
      </c>
      <c r="C1076" s="4" t="n">
        <v>9</v>
      </c>
      <c r="D1076" s="4" t="s">
        <v>73</v>
      </c>
      <c r="E1076" s="4" t="s">
        <v>65</v>
      </c>
      <c r="F1076" s="4" t="s">
        <v>94</v>
      </c>
      <c r="G1076" s="4" t="n">
        <v>1</v>
      </c>
      <c r="H1076" s="34" t="n">
        <v>150</v>
      </c>
      <c r="I1076" s="18" t="n">
        <v>0</v>
      </c>
      <c r="J1076" s="4" t="s">
        <v>81</v>
      </c>
      <c r="K1076" s="4" t="s">
        <v>68</v>
      </c>
      <c r="L1076" s="35" t="n">
        <f aca="false">G1076*H1076</f>
        <v>150</v>
      </c>
      <c r="M1076" s="35" t="n">
        <f aca="false">L1076*I1076</f>
        <v>0</v>
      </c>
      <c r="N1076" s="35" t="n">
        <f aca="false">L1076-M1076</f>
        <v>150</v>
      </c>
      <c r="O1076" s="4" t="n">
        <f aca="false">MONTH(B1076)</f>
        <v>8</v>
      </c>
      <c r="P1076" s="4" t="str">
        <f aca="false">CHOOSE(WEEKDAY(B1076,2),"Mon","Tue","Wed","Thu","Fri","Sat","Sun")</f>
        <v>Sat</v>
      </c>
      <c r="Q1076" s="4" t="str">
        <f aca="false">IF(WEEKDAY(B1076,2)&gt;5,"Weekend","Weekday")</f>
        <v>Weekend</v>
      </c>
      <c r="R1076" s="4" t="str">
        <f aca="false">IF(C1076&lt;11,"Morning (7-10)",IF(C1076&lt;14,"Lunch (11-13)",IF(C1076&lt;18,"Afternoon (14-17)","Evening (18-20)")))</f>
        <v>Morning (7-10)</v>
      </c>
      <c r="S1076" s="4" t="str">
        <f aca="false">IF(AND(O1076&gt;=3,O1076&lt;=5),"Hot Dry (Mar-May)",IF(AND(O1076&gt;=6,O1076&lt;=11),"Rainy (Jun-Nov)","Cool Dry (Dec-Feb)"))</f>
        <v>Rainy (Jun-Nov)</v>
      </c>
      <c r="T1076" s="4" t="str">
        <f aca="false">CHOOSE(O1076,"Jan","Feb","Mar","Apr","May","Jun","Jul","Aug","Sep","Oct","Nov","Dec")</f>
        <v>Aug</v>
      </c>
    </row>
    <row r="1077" customFormat="false" ht="15" hidden="false" customHeight="false" outlineLevel="0" collapsed="false">
      <c r="A1077" s="4" t="s">
        <v>1391</v>
      </c>
      <c r="B1077" s="17" t="n">
        <v>45878</v>
      </c>
      <c r="C1077" s="4" t="n">
        <v>11</v>
      </c>
      <c r="D1077" s="4" t="s">
        <v>73</v>
      </c>
      <c r="E1077" s="4" t="s">
        <v>79</v>
      </c>
      <c r="F1077" s="4" t="s">
        <v>148</v>
      </c>
      <c r="G1077" s="4" t="n">
        <v>1</v>
      </c>
      <c r="H1077" s="34" t="n">
        <v>120</v>
      </c>
      <c r="I1077" s="18" t="n">
        <v>0</v>
      </c>
      <c r="J1077" s="4" t="s">
        <v>112</v>
      </c>
      <c r="K1077" s="4" t="s">
        <v>77</v>
      </c>
      <c r="L1077" s="35" t="n">
        <f aca="false">G1077*H1077</f>
        <v>120</v>
      </c>
      <c r="M1077" s="35" t="n">
        <f aca="false">L1077*I1077</f>
        <v>0</v>
      </c>
      <c r="N1077" s="35" t="n">
        <f aca="false">L1077-M1077</f>
        <v>120</v>
      </c>
      <c r="O1077" s="4" t="n">
        <f aca="false">MONTH(B1077)</f>
        <v>8</v>
      </c>
      <c r="P1077" s="4" t="str">
        <f aca="false">CHOOSE(WEEKDAY(B1077,2),"Mon","Tue","Wed","Thu","Fri","Sat","Sun")</f>
        <v>Sat</v>
      </c>
      <c r="Q1077" s="4" t="str">
        <f aca="false">IF(WEEKDAY(B1077,2)&gt;5,"Weekend","Weekday")</f>
        <v>Weekend</v>
      </c>
      <c r="R1077" s="4" t="str">
        <f aca="false">IF(C1077&lt;11,"Morning (7-10)",IF(C1077&lt;14,"Lunch (11-13)",IF(C1077&lt;18,"Afternoon (14-17)","Evening (18-20)")))</f>
        <v>Lunch (11-13)</v>
      </c>
      <c r="S1077" s="4" t="str">
        <f aca="false">IF(AND(O1077&gt;=3,O1077&lt;=5),"Hot Dry (Mar-May)",IF(AND(O1077&gt;=6,O1077&lt;=11),"Rainy (Jun-Nov)","Cool Dry (Dec-Feb)"))</f>
        <v>Rainy (Jun-Nov)</v>
      </c>
      <c r="T1077" s="4" t="str">
        <f aca="false">CHOOSE(O1077,"Jan","Feb","Mar","Apr","May","Jun","Jul","Aug","Sep","Oct","Nov","Dec")</f>
        <v>Aug</v>
      </c>
    </row>
    <row r="1078" customFormat="false" ht="15" hidden="false" customHeight="false" outlineLevel="0" collapsed="false">
      <c r="A1078" s="4" t="s">
        <v>1392</v>
      </c>
      <c r="B1078" s="17" t="n">
        <v>45878</v>
      </c>
      <c r="C1078" s="4" t="n">
        <v>12</v>
      </c>
      <c r="D1078" s="4" t="s">
        <v>70</v>
      </c>
      <c r="E1078" s="4" t="s">
        <v>74</v>
      </c>
      <c r="F1078" s="4" t="s">
        <v>75</v>
      </c>
      <c r="G1078" s="4" t="n">
        <v>2</v>
      </c>
      <c r="H1078" s="34" t="n">
        <v>220</v>
      </c>
      <c r="I1078" s="18" t="n">
        <v>0.15</v>
      </c>
      <c r="J1078" s="4" t="s">
        <v>76</v>
      </c>
      <c r="K1078" s="4" t="s">
        <v>77</v>
      </c>
      <c r="L1078" s="35" t="n">
        <f aca="false">G1078*H1078</f>
        <v>440</v>
      </c>
      <c r="M1078" s="35" t="n">
        <f aca="false">L1078*I1078</f>
        <v>66</v>
      </c>
      <c r="N1078" s="35" t="n">
        <f aca="false">L1078-M1078</f>
        <v>374</v>
      </c>
      <c r="O1078" s="4" t="n">
        <f aca="false">MONTH(B1078)</f>
        <v>8</v>
      </c>
      <c r="P1078" s="4" t="str">
        <f aca="false">CHOOSE(WEEKDAY(B1078,2),"Mon","Tue","Wed","Thu","Fri","Sat","Sun")</f>
        <v>Sat</v>
      </c>
      <c r="Q1078" s="4" t="str">
        <f aca="false">IF(WEEKDAY(B1078,2)&gt;5,"Weekend","Weekday")</f>
        <v>Weekend</v>
      </c>
      <c r="R1078" s="4" t="str">
        <f aca="false">IF(C1078&lt;11,"Morning (7-10)",IF(C1078&lt;14,"Lunch (11-13)",IF(C1078&lt;18,"Afternoon (14-17)","Evening (18-20)")))</f>
        <v>Lunch (11-13)</v>
      </c>
      <c r="S1078" s="4" t="str">
        <f aca="false">IF(AND(O1078&gt;=3,O1078&lt;=5),"Hot Dry (Mar-May)",IF(AND(O1078&gt;=6,O1078&lt;=11),"Rainy (Jun-Nov)","Cool Dry (Dec-Feb)"))</f>
        <v>Rainy (Jun-Nov)</v>
      </c>
      <c r="T1078" s="4" t="str">
        <f aca="false">CHOOSE(O1078,"Jan","Feb","Mar","Apr","May","Jun","Jul","Aug","Sep","Oct","Nov","Dec")</f>
        <v>Aug</v>
      </c>
    </row>
    <row r="1079" customFormat="false" ht="15" hidden="false" customHeight="false" outlineLevel="0" collapsed="false">
      <c r="A1079" s="4" t="s">
        <v>1393</v>
      </c>
      <c r="B1079" s="17" t="n">
        <v>45878</v>
      </c>
      <c r="C1079" s="4" t="n">
        <v>15</v>
      </c>
      <c r="D1079" s="4" t="s">
        <v>73</v>
      </c>
      <c r="E1079" s="4" t="s">
        <v>79</v>
      </c>
      <c r="F1079" s="4" t="s">
        <v>135</v>
      </c>
      <c r="G1079" s="4" t="n">
        <v>1</v>
      </c>
      <c r="H1079" s="34" t="n">
        <v>130</v>
      </c>
      <c r="I1079" s="18" t="n">
        <v>0.1</v>
      </c>
      <c r="J1079" s="4" t="s">
        <v>67</v>
      </c>
      <c r="K1079" s="4" t="s">
        <v>71</v>
      </c>
      <c r="L1079" s="35" t="n">
        <f aca="false">G1079*H1079</f>
        <v>130</v>
      </c>
      <c r="M1079" s="35" t="n">
        <f aca="false">L1079*I1079</f>
        <v>13</v>
      </c>
      <c r="N1079" s="35" t="n">
        <f aca="false">L1079-M1079</f>
        <v>117</v>
      </c>
      <c r="O1079" s="4" t="n">
        <f aca="false">MONTH(B1079)</f>
        <v>8</v>
      </c>
      <c r="P1079" s="4" t="str">
        <f aca="false">CHOOSE(WEEKDAY(B1079,2),"Mon","Tue","Wed","Thu","Fri","Sat","Sun")</f>
        <v>Sat</v>
      </c>
      <c r="Q1079" s="4" t="str">
        <f aca="false">IF(WEEKDAY(B1079,2)&gt;5,"Weekend","Weekday")</f>
        <v>Weekend</v>
      </c>
      <c r="R1079" s="4" t="str">
        <f aca="false">IF(C1079&lt;11,"Morning (7-10)",IF(C1079&lt;14,"Lunch (11-13)",IF(C1079&lt;18,"Afternoon (14-17)","Evening (18-20)")))</f>
        <v>Afternoon (14-17)</v>
      </c>
      <c r="S1079" s="4" t="str">
        <f aca="false">IF(AND(O1079&gt;=3,O1079&lt;=5),"Hot Dry (Mar-May)",IF(AND(O1079&gt;=6,O1079&lt;=11),"Rainy (Jun-Nov)","Cool Dry (Dec-Feb)"))</f>
        <v>Rainy (Jun-Nov)</v>
      </c>
      <c r="T1079" s="4" t="str">
        <f aca="false">CHOOSE(O1079,"Jan","Feb","Mar","Apr","May","Jun","Jul","Aug","Sep","Oct","Nov","Dec")</f>
        <v>Aug</v>
      </c>
    </row>
    <row r="1080" customFormat="false" ht="15" hidden="false" customHeight="false" outlineLevel="0" collapsed="false">
      <c r="A1080" s="4" t="s">
        <v>1394</v>
      </c>
      <c r="B1080" s="17" t="n">
        <v>45878</v>
      </c>
      <c r="C1080" s="4" t="n">
        <v>18</v>
      </c>
      <c r="D1080" s="4" t="s">
        <v>64</v>
      </c>
      <c r="E1080" s="4" t="s">
        <v>99</v>
      </c>
      <c r="F1080" s="4" t="s">
        <v>109</v>
      </c>
      <c r="G1080" s="4" t="n">
        <v>2</v>
      </c>
      <c r="H1080" s="34" t="n">
        <v>130</v>
      </c>
      <c r="I1080" s="18" t="n">
        <v>0</v>
      </c>
      <c r="J1080" s="4" t="s">
        <v>67</v>
      </c>
      <c r="K1080" s="4" t="s">
        <v>77</v>
      </c>
      <c r="L1080" s="35" t="n">
        <f aca="false">G1080*H1080</f>
        <v>260</v>
      </c>
      <c r="M1080" s="35" t="n">
        <f aca="false">L1080*I1080</f>
        <v>0</v>
      </c>
      <c r="N1080" s="35" t="n">
        <f aca="false">L1080-M1080</f>
        <v>260</v>
      </c>
      <c r="O1080" s="4" t="n">
        <f aca="false">MONTH(B1080)</f>
        <v>8</v>
      </c>
      <c r="P1080" s="4" t="str">
        <f aca="false">CHOOSE(WEEKDAY(B1080,2),"Mon","Tue","Wed","Thu","Fri","Sat","Sun")</f>
        <v>Sat</v>
      </c>
      <c r="Q1080" s="4" t="str">
        <f aca="false">IF(WEEKDAY(B1080,2)&gt;5,"Weekend","Weekday")</f>
        <v>Weekend</v>
      </c>
      <c r="R1080" s="4" t="str">
        <f aca="false">IF(C1080&lt;11,"Morning (7-10)",IF(C1080&lt;14,"Lunch (11-13)",IF(C1080&lt;18,"Afternoon (14-17)","Evening (18-20)")))</f>
        <v>Evening (18-20)</v>
      </c>
      <c r="S1080" s="4" t="str">
        <f aca="false">IF(AND(O1080&gt;=3,O1080&lt;=5),"Hot Dry (Mar-May)",IF(AND(O1080&gt;=6,O1080&lt;=11),"Rainy (Jun-Nov)","Cool Dry (Dec-Feb)"))</f>
        <v>Rainy (Jun-Nov)</v>
      </c>
      <c r="T1080" s="4" t="str">
        <f aca="false">CHOOSE(O1080,"Jan","Feb","Mar","Apr","May","Jun","Jul","Aug","Sep","Oct","Nov","Dec")</f>
        <v>Aug</v>
      </c>
    </row>
    <row r="1081" customFormat="false" ht="15" hidden="false" customHeight="false" outlineLevel="0" collapsed="false">
      <c r="A1081" s="4" t="s">
        <v>1395</v>
      </c>
      <c r="B1081" s="17" t="n">
        <v>45879</v>
      </c>
      <c r="C1081" s="4" t="n">
        <v>7</v>
      </c>
      <c r="D1081" s="4" t="s">
        <v>70</v>
      </c>
      <c r="E1081" s="4" t="s">
        <v>65</v>
      </c>
      <c r="F1081" s="4" t="s">
        <v>94</v>
      </c>
      <c r="G1081" s="4" t="n">
        <v>1</v>
      </c>
      <c r="H1081" s="34" t="n">
        <v>150</v>
      </c>
      <c r="I1081" s="18" t="n">
        <v>0</v>
      </c>
      <c r="J1081" s="4" t="s">
        <v>76</v>
      </c>
      <c r="K1081" s="4" t="s">
        <v>68</v>
      </c>
      <c r="L1081" s="35" t="n">
        <f aca="false">G1081*H1081</f>
        <v>150</v>
      </c>
      <c r="M1081" s="35" t="n">
        <f aca="false">L1081*I1081</f>
        <v>0</v>
      </c>
      <c r="N1081" s="35" t="n">
        <f aca="false">L1081-M1081</f>
        <v>150</v>
      </c>
      <c r="O1081" s="4" t="n">
        <f aca="false">MONTH(B1081)</f>
        <v>8</v>
      </c>
      <c r="P1081" s="4" t="str">
        <f aca="false">CHOOSE(WEEKDAY(B1081,2),"Mon","Tue","Wed","Thu","Fri","Sat","Sun")</f>
        <v>Sun</v>
      </c>
      <c r="Q1081" s="4" t="str">
        <f aca="false">IF(WEEKDAY(B1081,2)&gt;5,"Weekend","Weekday")</f>
        <v>Weekend</v>
      </c>
      <c r="R1081" s="4" t="str">
        <f aca="false">IF(C1081&lt;11,"Morning (7-10)",IF(C1081&lt;14,"Lunch (11-13)",IF(C1081&lt;18,"Afternoon (14-17)","Evening (18-20)")))</f>
        <v>Morning (7-10)</v>
      </c>
      <c r="S1081" s="4" t="str">
        <f aca="false">IF(AND(O1081&gt;=3,O1081&lt;=5),"Hot Dry (Mar-May)",IF(AND(O1081&gt;=6,O1081&lt;=11),"Rainy (Jun-Nov)","Cool Dry (Dec-Feb)"))</f>
        <v>Rainy (Jun-Nov)</v>
      </c>
      <c r="T1081" s="4" t="str">
        <f aca="false">CHOOSE(O1081,"Jan","Feb","Mar","Apr","May","Jun","Jul","Aug","Sep","Oct","Nov","Dec")</f>
        <v>Aug</v>
      </c>
    </row>
    <row r="1082" customFormat="false" ht="15" hidden="false" customHeight="false" outlineLevel="0" collapsed="false">
      <c r="A1082" s="4" t="s">
        <v>1397</v>
      </c>
      <c r="B1082" s="17" t="n">
        <v>45879</v>
      </c>
      <c r="C1082" s="4" t="n">
        <v>15</v>
      </c>
      <c r="D1082" s="4" t="s">
        <v>70</v>
      </c>
      <c r="E1082" s="4" t="s">
        <v>99</v>
      </c>
      <c r="F1082" s="4" t="s">
        <v>109</v>
      </c>
      <c r="G1082" s="4" t="n">
        <v>2</v>
      </c>
      <c r="H1082" s="34" t="n">
        <v>130</v>
      </c>
      <c r="I1082" s="18" t="n">
        <v>0.05</v>
      </c>
      <c r="J1082" s="4" t="s">
        <v>67</v>
      </c>
      <c r="K1082" s="4" t="s">
        <v>82</v>
      </c>
      <c r="L1082" s="35" t="n">
        <f aca="false">G1082*H1082</f>
        <v>260</v>
      </c>
      <c r="M1082" s="35" t="n">
        <f aca="false">L1082*I1082</f>
        <v>13</v>
      </c>
      <c r="N1082" s="35" t="n">
        <f aca="false">L1082-M1082</f>
        <v>247</v>
      </c>
      <c r="O1082" s="4" t="n">
        <f aca="false">MONTH(B1082)</f>
        <v>8</v>
      </c>
      <c r="P1082" s="4" t="str">
        <f aca="false">CHOOSE(WEEKDAY(B1082,2),"Mon","Tue","Wed","Thu","Fri","Sat","Sun")</f>
        <v>Sun</v>
      </c>
      <c r="Q1082" s="4" t="str">
        <f aca="false">IF(WEEKDAY(B1082,2)&gt;5,"Weekend","Weekday")</f>
        <v>Weekend</v>
      </c>
      <c r="R1082" s="4" t="str">
        <f aca="false">IF(C1082&lt;11,"Morning (7-10)",IF(C1082&lt;14,"Lunch (11-13)",IF(C1082&lt;18,"Afternoon (14-17)","Evening (18-20)")))</f>
        <v>Afternoon (14-17)</v>
      </c>
      <c r="S1082" s="4" t="str">
        <f aca="false">IF(AND(O1082&gt;=3,O1082&lt;=5),"Hot Dry (Mar-May)",IF(AND(O1082&gt;=6,O1082&lt;=11),"Rainy (Jun-Nov)","Cool Dry (Dec-Feb)"))</f>
        <v>Rainy (Jun-Nov)</v>
      </c>
      <c r="T1082" s="4" t="str">
        <f aca="false">CHOOSE(O1082,"Jan","Feb","Mar","Apr","May","Jun","Jul","Aug","Sep","Oct","Nov","Dec")</f>
        <v>Aug</v>
      </c>
    </row>
    <row r="1083" customFormat="false" ht="15" hidden="false" customHeight="false" outlineLevel="0" collapsed="false">
      <c r="A1083" s="4" t="s">
        <v>1398</v>
      </c>
      <c r="B1083" s="17" t="n">
        <v>45880</v>
      </c>
      <c r="C1083" s="4" t="n">
        <v>7</v>
      </c>
      <c r="D1083" s="4" t="s">
        <v>70</v>
      </c>
      <c r="E1083" s="4" t="s">
        <v>65</v>
      </c>
      <c r="F1083" s="4" t="s">
        <v>94</v>
      </c>
      <c r="G1083" s="4" t="n">
        <v>4</v>
      </c>
      <c r="H1083" s="34" t="n">
        <v>150</v>
      </c>
      <c r="I1083" s="18" t="n">
        <v>0</v>
      </c>
      <c r="J1083" s="4" t="s">
        <v>76</v>
      </c>
      <c r="K1083" s="4" t="s">
        <v>68</v>
      </c>
      <c r="L1083" s="35" t="n">
        <f aca="false">G1083*H1083</f>
        <v>600</v>
      </c>
      <c r="M1083" s="35" t="n">
        <f aca="false">L1083*I1083</f>
        <v>0</v>
      </c>
      <c r="N1083" s="35" t="n">
        <f aca="false">L1083-M1083</f>
        <v>600</v>
      </c>
      <c r="O1083" s="4" t="n">
        <f aca="false">MONTH(B1083)</f>
        <v>8</v>
      </c>
      <c r="P1083" s="4" t="str">
        <f aca="false">CHOOSE(WEEKDAY(B1083,2),"Mon","Tue","Wed","Thu","Fri","Sat","Sun")</f>
        <v>Mon</v>
      </c>
      <c r="Q1083" s="4" t="str">
        <f aca="false">IF(WEEKDAY(B1083,2)&gt;5,"Weekend","Weekday")</f>
        <v>Weekday</v>
      </c>
      <c r="R1083" s="4" t="str">
        <f aca="false">IF(C1083&lt;11,"Morning (7-10)",IF(C1083&lt;14,"Lunch (11-13)",IF(C1083&lt;18,"Afternoon (14-17)","Evening (18-20)")))</f>
        <v>Morning (7-10)</v>
      </c>
      <c r="S1083" s="4" t="str">
        <f aca="false">IF(AND(O1083&gt;=3,O1083&lt;=5),"Hot Dry (Mar-May)",IF(AND(O1083&gt;=6,O1083&lt;=11),"Rainy (Jun-Nov)","Cool Dry (Dec-Feb)"))</f>
        <v>Rainy (Jun-Nov)</v>
      </c>
      <c r="T1083" s="4" t="str">
        <f aca="false">CHOOSE(O1083,"Jan","Feb","Mar","Apr","May","Jun","Jul","Aug","Sep","Oct","Nov","Dec")</f>
        <v>Aug</v>
      </c>
    </row>
    <row r="1084" customFormat="false" ht="15" hidden="false" customHeight="false" outlineLevel="0" collapsed="false">
      <c r="A1084" s="4" t="s">
        <v>1399</v>
      </c>
      <c r="B1084" s="17" t="n">
        <v>45880</v>
      </c>
      <c r="C1084" s="4" t="n">
        <v>8</v>
      </c>
      <c r="D1084" s="4" t="s">
        <v>64</v>
      </c>
      <c r="E1084" s="4" t="s">
        <v>79</v>
      </c>
      <c r="F1084" s="4" t="s">
        <v>80</v>
      </c>
      <c r="G1084" s="4" t="n">
        <v>2</v>
      </c>
      <c r="H1084" s="34" t="n">
        <v>160</v>
      </c>
      <c r="I1084" s="18" t="n">
        <v>0</v>
      </c>
      <c r="J1084" s="4" t="s">
        <v>76</v>
      </c>
      <c r="K1084" s="4" t="s">
        <v>68</v>
      </c>
      <c r="L1084" s="35" t="n">
        <f aca="false">G1084*H1084</f>
        <v>320</v>
      </c>
      <c r="M1084" s="35" t="n">
        <f aca="false">L1084*I1084</f>
        <v>0</v>
      </c>
      <c r="N1084" s="35" t="n">
        <f aca="false">L1084-M1084</f>
        <v>320</v>
      </c>
      <c r="O1084" s="4" t="n">
        <f aca="false">MONTH(B1084)</f>
        <v>8</v>
      </c>
      <c r="P1084" s="4" t="str">
        <f aca="false">CHOOSE(WEEKDAY(B1084,2),"Mon","Tue","Wed","Thu","Fri","Sat","Sun")</f>
        <v>Mon</v>
      </c>
      <c r="Q1084" s="4" t="str">
        <f aca="false">IF(WEEKDAY(B1084,2)&gt;5,"Weekend","Weekday")</f>
        <v>Weekday</v>
      </c>
      <c r="R1084" s="4" t="str">
        <f aca="false">IF(C1084&lt;11,"Morning (7-10)",IF(C1084&lt;14,"Lunch (11-13)",IF(C1084&lt;18,"Afternoon (14-17)","Evening (18-20)")))</f>
        <v>Morning (7-10)</v>
      </c>
      <c r="S1084" s="4" t="str">
        <f aca="false">IF(AND(O1084&gt;=3,O1084&lt;=5),"Hot Dry (Mar-May)",IF(AND(O1084&gt;=6,O1084&lt;=11),"Rainy (Jun-Nov)","Cool Dry (Dec-Feb)"))</f>
        <v>Rainy (Jun-Nov)</v>
      </c>
      <c r="T1084" s="4" t="str">
        <f aca="false">CHOOSE(O1084,"Jan","Feb","Mar","Apr","May","Jun","Jul","Aug","Sep","Oct","Nov","Dec")</f>
        <v>Aug</v>
      </c>
    </row>
    <row r="1085" customFormat="false" ht="15" hidden="false" customHeight="false" outlineLevel="0" collapsed="false">
      <c r="A1085" s="4" t="s">
        <v>1401</v>
      </c>
      <c r="B1085" s="17" t="n">
        <v>45880</v>
      </c>
      <c r="C1085" s="4" t="n">
        <v>11</v>
      </c>
      <c r="D1085" s="4" t="s">
        <v>73</v>
      </c>
      <c r="E1085" s="4" t="s">
        <v>74</v>
      </c>
      <c r="F1085" s="4" t="s">
        <v>139</v>
      </c>
      <c r="G1085" s="4" t="n">
        <v>1</v>
      </c>
      <c r="H1085" s="34" t="n">
        <v>260</v>
      </c>
      <c r="I1085" s="18" t="n">
        <v>0</v>
      </c>
      <c r="J1085" s="4" t="s">
        <v>88</v>
      </c>
      <c r="K1085" s="4" t="s">
        <v>77</v>
      </c>
      <c r="L1085" s="35" t="n">
        <f aca="false">G1085*H1085</f>
        <v>260</v>
      </c>
      <c r="M1085" s="35" t="n">
        <f aca="false">L1085*I1085</f>
        <v>0</v>
      </c>
      <c r="N1085" s="35" t="n">
        <f aca="false">L1085-M1085</f>
        <v>260</v>
      </c>
      <c r="O1085" s="4" t="n">
        <f aca="false">MONTH(B1085)</f>
        <v>8</v>
      </c>
      <c r="P1085" s="4" t="str">
        <f aca="false">CHOOSE(WEEKDAY(B1085,2),"Mon","Tue","Wed","Thu","Fri","Sat","Sun")</f>
        <v>Mon</v>
      </c>
      <c r="Q1085" s="4" t="str">
        <f aca="false">IF(WEEKDAY(B1085,2)&gt;5,"Weekend","Weekday")</f>
        <v>Weekday</v>
      </c>
      <c r="R1085" s="4" t="str">
        <f aca="false">IF(C1085&lt;11,"Morning (7-10)",IF(C1085&lt;14,"Lunch (11-13)",IF(C1085&lt;18,"Afternoon (14-17)","Evening (18-20)")))</f>
        <v>Lunch (11-13)</v>
      </c>
      <c r="S1085" s="4" t="str">
        <f aca="false">IF(AND(O1085&gt;=3,O1085&lt;=5),"Hot Dry (Mar-May)",IF(AND(O1085&gt;=6,O1085&lt;=11),"Rainy (Jun-Nov)","Cool Dry (Dec-Feb)"))</f>
        <v>Rainy (Jun-Nov)</v>
      </c>
      <c r="T1085" s="4" t="str">
        <f aca="false">CHOOSE(O1085,"Jan","Feb","Mar","Apr","May","Jun","Jul","Aug","Sep","Oct","Nov","Dec")</f>
        <v>Aug</v>
      </c>
    </row>
    <row r="1086" customFormat="false" ht="15" hidden="false" customHeight="false" outlineLevel="0" collapsed="false">
      <c r="A1086" s="4" t="s">
        <v>1402</v>
      </c>
      <c r="B1086" s="17" t="n">
        <v>45880</v>
      </c>
      <c r="C1086" s="4" t="n">
        <v>16</v>
      </c>
      <c r="D1086" s="4" t="s">
        <v>98</v>
      </c>
      <c r="E1086" s="4" t="s">
        <v>79</v>
      </c>
      <c r="F1086" s="4" t="s">
        <v>135</v>
      </c>
      <c r="G1086" s="4" t="n">
        <v>2</v>
      </c>
      <c r="H1086" s="34" t="n">
        <v>130</v>
      </c>
      <c r="I1086" s="18" t="n">
        <v>0</v>
      </c>
      <c r="J1086" s="4" t="s">
        <v>67</v>
      </c>
      <c r="K1086" s="4" t="s">
        <v>77</v>
      </c>
      <c r="L1086" s="35" t="n">
        <f aca="false">G1086*H1086</f>
        <v>260</v>
      </c>
      <c r="M1086" s="35" t="n">
        <f aca="false">L1086*I1086</f>
        <v>0</v>
      </c>
      <c r="N1086" s="35" t="n">
        <f aca="false">L1086-M1086</f>
        <v>260</v>
      </c>
      <c r="O1086" s="4" t="n">
        <f aca="false">MONTH(B1086)</f>
        <v>8</v>
      </c>
      <c r="P1086" s="4" t="str">
        <f aca="false">CHOOSE(WEEKDAY(B1086,2),"Mon","Tue","Wed","Thu","Fri","Sat","Sun")</f>
        <v>Mon</v>
      </c>
      <c r="Q1086" s="4" t="str">
        <f aca="false">IF(WEEKDAY(B1086,2)&gt;5,"Weekend","Weekday")</f>
        <v>Weekday</v>
      </c>
      <c r="R1086" s="4" t="str">
        <f aca="false">IF(C1086&lt;11,"Morning (7-10)",IF(C1086&lt;14,"Lunch (11-13)",IF(C1086&lt;18,"Afternoon (14-17)","Evening (18-20)")))</f>
        <v>Afternoon (14-17)</v>
      </c>
      <c r="S1086" s="4" t="str">
        <f aca="false">IF(AND(O1086&gt;=3,O1086&lt;=5),"Hot Dry (Mar-May)",IF(AND(O1086&gt;=6,O1086&lt;=11),"Rainy (Jun-Nov)","Cool Dry (Dec-Feb)"))</f>
        <v>Rainy (Jun-Nov)</v>
      </c>
      <c r="T1086" s="4" t="str">
        <f aca="false">CHOOSE(O1086,"Jan","Feb","Mar","Apr","May","Jun","Jul","Aug","Sep","Oct","Nov","Dec")</f>
        <v>Aug</v>
      </c>
    </row>
    <row r="1087" customFormat="false" ht="15" hidden="false" customHeight="false" outlineLevel="0" collapsed="false">
      <c r="A1087" s="4" t="s">
        <v>1403</v>
      </c>
      <c r="B1087" s="17" t="n">
        <v>45880</v>
      </c>
      <c r="C1087" s="4" t="n">
        <v>16</v>
      </c>
      <c r="D1087" s="4" t="s">
        <v>64</v>
      </c>
      <c r="E1087" s="4" t="s">
        <v>99</v>
      </c>
      <c r="F1087" s="4" t="s">
        <v>102</v>
      </c>
      <c r="G1087" s="4" t="n">
        <v>3</v>
      </c>
      <c r="H1087" s="34" t="n">
        <v>140</v>
      </c>
      <c r="I1087" s="18" t="n">
        <v>0</v>
      </c>
      <c r="J1087" s="4" t="s">
        <v>88</v>
      </c>
      <c r="K1087" s="4" t="s">
        <v>77</v>
      </c>
      <c r="L1087" s="35" t="n">
        <f aca="false">G1087*H1087</f>
        <v>420</v>
      </c>
      <c r="M1087" s="35" t="n">
        <f aca="false">L1087*I1087</f>
        <v>0</v>
      </c>
      <c r="N1087" s="35" t="n">
        <f aca="false">L1087-M1087</f>
        <v>420</v>
      </c>
      <c r="O1087" s="4" t="n">
        <f aca="false">MONTH(B1087)</f>
        <v>8</v>
      </c>
      <c r="P1087" s="4" t="str">
        <f aca="false">CHOOSE(WEEKDAY(B1087,2),"Mon","Tue","Wed","Thu","Fri","Sat","Sun")</f>
        <v>Mon</v>
      </c>
      <c r="Q1087" s="4" t="str">
        <f aca="false">IF(WEEKDAY(B1087,2)&gt;5,"Weekend","Weekday")</f>
        <v>Weekday</v>
      </c>
      <c r="R1087" s="4" t="str">
        <f aca="false">IF(C1087&lt;11,"Morning (7-10)",IF(C1087&lt;14,"Lunch (11-13)",IF(C1087&lt;18,"Afternoon (14-17)","Evening (18-20)")))</f>
        <v>Afternoon (14-17)</v>
      </c>
      <c r="S1087" s="4" t="str">
        <f aca="false">IF(AND(O1087&gt;=3,O1087&lt;=5),"Hot Dry (Mar-May)",IF(AND(O1087&gt;=6,O1087&lt;=11),"Rainy (Jun-Nov)","Cool Dry (Dec-Feb)"))</f>
        <v>Rainy (Jun-Nov)</v>
      </c>
      <c r="T1087" s="4" t="str">
        <f aca="false">CHOOSE(O1087,"Jan","Feb","Mar","Apr","May","Jun","Jul","Aug","Sep","Oct","Nov","Dec")</f>
        <v>Aug</v>
      </c>
    </row>
    <row r="1088" customFormat="false" ht="15" hidden="false" customHeight="false" outlineLevel="0" collapsed="false">
      <c r="A1088" s="4" t="s">
        <v>1404</v>
      </c>
      <c r="B1088" s="17" t="n">
        <v>45881</v>
      </c>
      <c r="C1088" s="4" t="n">
        <v>8</v>
      </c>
      <c r="D1088" s="4" t="s">
        <v>70</v>
      </c>
      <c r="E1088" s="4" t="s">
        <v>99</v>
      </c>
      <c r="F1088" s="4" t="s">
        <v>100</v>
      </c>
      <c r="G1088" s="4" t="n">
        <v>2</v>
      </c>
      <c r="H1088" s="34" t="n">
        <v>110</v>
      </c>
      <c r="I1088" s="18" t="n">
        <v>0</v>
      </c>
      <c r="J1088" s="4" t="s">
        <v>112</v>
      </c>
      <c r="K1088" s="4" t="s">
        <v>77</v>
      </c>
      <c r="L1088" s="35" t="n">
        <f aca="false">G1088*H1088</f>
        <v>220</v>
      </c>
      <c r="M1088" s="35" t="n">
        <f aca="false">L1088*I1088</f>
        <v>0</v>
      </c>
      <c r="N1088" s="35" t="n">
        <f aca="false">L1088-M1088</f>
        <v>220</v>
      </c>
      <c r="O1088" s="4" t="n">
        <f aca="false">MONTH(B1088)</f>
        <v>8</v>
      </c>
      <c r="P1088" s="4" t="str">
        <f aca="false">CHOOSE(WEEKDAY(B1088,2),"Mon","Tue","Wed","Thu","Fri","Sat","Sun")</f>
        <v>Tue</v>
      </c>
      <c r="Q1088" s="4" t="str">
        <f aca="false">IF(WEEKDAY(B1088,2)&gt;5,"Weekend","Weekday")</f>
        <v>Weekday</v>
      </c>
      <c r="R1088" s="4" t="str">
        <f aca="false">IF(C1088&lt;11,"Morning (7-10)",IF(C1088&lt;14,"Lunch (11-13)",IF(C1088&lt;18,"Afternoon (14-17)","Evening (18-20)")))</f>
        <v>Morning (7-10)</v>
      </c>
      <c r="S1088" s="4" t="str">
        <f aca="false">IF(AND(O1088&gt;=3,O1088&lt;=5),"Hot Dry (Mar-May)",IF(AND(O1088&gt;=6,O1088&lt;=11),"Rainy (Jun-Nov)","Cool Dry (Dec-Feb)"))</f>
        <v>Rainy (Jun-Nov)</v>
      </c>
      <c r="T1088" s="4" t="str">
        <f aca="false">CHOOSE(O1088,"Jan","Feb","Mar","Apr","May","Jun","Jul","Aug","Sep","Oct","Nov","Dec")</f>
        <v>Aug</v>
      </c>
    </row>
    <row r="1089" customFormat="false" ht="15" hidden="false" customHeight="false" outlineLevel="0" collapsed="false">
      <c r="A1089" s="4" t="s">
        <v>1406</v>
      </c>
      <c r="B1089" s="17" t="n">
        <v>45881</v>
      </c>
      <c r="C1089" s="4" t="n">
        <v>9</v>
      </c>
      <c r="D1089" s="4" t="s">
        <v>70</v>
      </c>
      <c r="E1089" s="4" t="s">
        <v>79</v>
      </c>
      <c r="F1089" s="4" t="s">
        <v>148</v>
      </c>
      <c r="G1089" s="4" t="n">
        <v>1</v>
      </c>
      <c r="H1089" s="34" t="n">
        <v>120</v>
      </c>
      <c r="I1089" s="18" t="n">
        <v>0</v>
      </c>
      <c r="J1089" s="4" t="s">
        <v>81</v>
      </c>
      <c r="K1089" s="4" t="s">
        <v>68</v>
      </c>
      <c r="L1089" s="35" t="n">
        <f aca="false">G1089*H1089</f>
        <v>120</v>
      </c>
      <c r="M1089" s="35" t="n">
        <f aca="false">L1089*I1089</f>
        <v>0</v>
      </c>
      <c r="N1089" s="35" t="n">
        <f aca="false">L1089-M1089</f>
        <v>120</v>
      </c>
      <c r="O1089" s="4" t="n">
        <f aca="false">MONTH(B1089)</f>
        <v>8</v>
      </c>
      <c r="P1089" s="4" t="str">
        <f aca="false">CHOOSE(WEEKDAY(B1089,2),"Mon","Tue","Wed","Thu","Fri","Sat","Sun")</f>
        <v>Tue</v>
      </c>
      <c r="Q1089" s="4" t="str">
        <f aca="false">IF(WEEKDAY(B1089,2)&gt;5,"Weekend","Weekday")</f>
        <v>Weekday</v>
      </c>
      <c r="R1089" s="4" t="str">
        <f aca="false">IF(C1089&lt;11,"Morning (7-10)",IF(C1089&lt;14,"Lunch (11-13)",IF(C1089&lt;18,"Afternoon (14-17)","Evening (18-20)")))</f>
        <v>Morning (7-10)</v>
      </c>
      <c r="S1089" s="4" t="str">
        <f aca="false">IF(AND(O1089&gt;=3,O1089&lt;=5),"Hot Dry (Mar-May)",IF(AND(O1089&gt;=6,O1089&lt;=11),"Rainy (Jun-Nov)","Cool Dry (Dec-Feb)"))</f>
        <v>Rainy (Jun-Nov)</v>
      </c>
      <c r="T1089" s="4" t="str">
        <f aca="false">CHOOSE(O1089,"Jan","Feb","Mar","Apr","May","Jun","Jul","Aug","Sep","Oct","Nov","Dec")</f>
        <v>Aug</v>
      </c>
    </row>
    <row r="1090" customFormat="false" ht="15" hidden="false" customHeight="false" outlineLevel="0" collapsed="false">
      <c r="A1090" s="4" t="s">
        <v>1407</v>
      </c>
      <c r="B1090" s="17" t="n">
        <v>45881</v>
      </c>
      <c r="C1090" s="4" t="n">
        <v>12</v>
      </c>
      <c r="D1090" s="4" t="s">
        <v>64</v>
      </c>
      <c r="E1090" s="4" t="s">
        <v>84</v>
      </c>
      <c r="F1090" s="4" t="s">
        <v>114</v>
      </c>
      <c r="G1090" s="4" t="n">
        <v>4</v>
      </c>
      <c r="H1090" s="34" t="n">
        <v>85</v>
      </c>
      <c r="I1090" s="18" t="n">
        <v>0.2</v>
      </c>
      <c r="J1090" s="4" t="s">
        <v>67</v>
      </c>
      <c r="K1090" s="4" t="s">
        <v>71</v>
      </c>
      <c r="L1090" s="35" t="n">
        <f aca="false">G1090*H1090</f>
        <v>340</v>
      </c>
      <c r="M1090" s="35" t="n">
        <f aca="false">L1090*I1090</f>
        <v>68</v>
      </c>
      <c r="N1090" s="35" t="n">
        <f aca="false">L1090-M1090</f>
        <v>272</v>
      </c>
      <c r="O1090" s="4" t="n">
        <f aca="false">MONTH(B1090)</f>
        <v>8</v>
      </c>
      <c r="P1090" s="4" t="str">
        <f aca="false">CHOOSE(WEEKDAY(B1090,2),"Mon","Tue","Wed","Thu","Fri","Sat","Sun")</f>
        <v>Tue</v>
      </c>
      <c r="Q1090" s="4" t="str">
        <f aca="false">IF(WEEKDAY(B1090,2)&gt;5,"Weekend","Weekday")</f>
        <v>Weekday</v>
      </c>
      <c r="R1090" s="4" t="str">
        <f aca="false">IF(C1090&lt;11,"Morning (7-10)",IF(C1090&lt;14,"Lunch (11-13)",IF(C1090&lt;18,"Afternoon (14-17)","Evening (18-20)")))</f>
        <v>Lunch (11-13)</v>
      </c>
      <c r="S1090" s="4" t="str">
        <f aca="false">IF(AND(O1090&gt;=3,O1090&lt;=5),"Hot Dry (Mar-May)",IF(AND(O1090&gt;=6,O1090&lt;=11),"Rainy (Jun-Nov)","Cool Dry (Dec-Feb)"))</f>
        <v>Rainy (Jun-Nov)</v>
      </c>
      <c r="T1090" s="4" t="str">
        <f aca="false">CHOOSE(O1090,"Jan","Feb","Mar","Apr","May","Jun","Jul","Aug","Sep","Oct","Nov","Dec")</f>
        <v>Aug</v>
      </c>
    </row>
    <row r="1091" customFormat="false" ht="15" hidden="false" customHeight="false" outlineLevel="0" collapsed="false">
      <c r="A1091" s="4" t="s">
        <v>1408</v>
      </c>
      <c r="B1091" s="17" t="n">
        <v>45881</v>
      </c>
      <c r="C1091" s="4" t="n">
        <v>15</v>
      </c>
      <c r="D1091" s="4" t="s">
        <v>70</v>
      </c>
      <c r="E1091" s="4" t="s">
        <v>79</v>
      </c>
      <c r="F1091" s="4" t="s">
        <v>148</v>
      </c>
      <c r="G1091" s="4" t="n">
        <v>1</v>
      </c>
      <c r="H1091" s="34" t="n">
        <v>120</v>
      </c>
      <c r="I1091" s="18" t="n">
        <v>0</v>
      </c>
      <c r="J1091" s="4" t="s">
        <v>76</v>
      </c>
      <c r="K1091" s="4" t="s">
        <v>68</v>
      </c>
      <c r="L1091" s="35" t="n">
        <f aca="false">G1091*H1091</f>
        <v>120</v>
      </c>
      <c r="M1091" s="35" t="n">
        <f aca="false">L1091*I1091</f>
        <v>0</v>
      </c>
      <c r="N1091" s="35" t="n">
        <f aca="false">L1091-M1091</f>
        <v>120</v>
      </c>
      <c r="O1091" s="4" t="n">
        <f aca="false">MONTH(B1091)</f>
        <v>8</v>
      </c>
      <c r="P1091" s="4" t="str">
        <f aca="false">CHOOSE(WEEKDAY(B1091,2),"Mon","Tue","Wed","Thu","Fri","Sat","Sun")</f>
        <v>Tue</v>
      </c>
      <c r="Q1091" s="4" t="str">
        <f aca="false">IF(WEEKDAY(B1091,2)&gt;5,"Weekend","Weekday")</f>
        <v>Weekday</v>
      </c>
      <c r="R1091" s="4" t="str">
        <f aca="false">IF(C1091&lt;11,"Morning (7-10)",IF(C1091&lt;14,"Lunch (11-13)",IF(C1091&lt;18,"Afternoon (14-17)","Evening (18-20)")))</f>
        <v>Afternoon (14-17)</v>
      </c>
      <c r="S1091" s="4" t="str">
        <f aca="false">IF(AND(O1091&gt;=3,O1091&lt;=5),"Hot Dry (Mar-May)",IF(AND(O1091&gt;=6,O1091&lt;=11),"Rainy (Jun-Nov)","Cool Dry (Dec-Feb)"))</f>
        <v>Rainy (Jun-Nov)</v>
      </c>
      <c r="T1091" s="4" t="str">
        <f aca="false">CHOOSE(O1091,"Jan","Feb","Mar","Apr","May","Jun","Jul","Aug","Sep","Oct","Nov","Dec")</f>
        <v>Aug</v>
      </c>
    </row>
    <row r="1092" customFormat="false" ht="15" hidden="false" customHeight="false" outlineLevel="0" collapsed="false">
      <c r="A1092" s="4" t="s">
        <v>1410</v>
      </c>
      <c r="B1092" s="17" t="n">
        <v>45881</v>
      </c>
      <c r="C1092" s="4" t="n">
        <v>17</v>
      </c>
      <c r="D1092" s="4" t="s">
        <v>64</v>
      </c>
      <c r="E1092" s="4" t="s">
        <v>65</v>
      </c>
      <c r="F1092" s="4" t="s">
        <v>121</v>
      </c>
      <c r="G1092" s="4" t="n">
        <v>1</v>
      </c>
      <c r="H1092" s="34" t="n">
        <v>170</v>
      </c>
      <c r="I1092" s="18" t="n">
        <v>0</v>
      </c>
      <c r="J1092" s="4" t="s">
        <v>81</v>
      </c>
      <c r="K1092" s="4" t="s">
        <v>77</v>
      </c>
      <c r="L1092" s="35" t="n">
        <f aca="false">G1092*H1092</f>
        <v>170</v>
      </c>
      <c r="M1092" s="35" t="n">
        <f aca="false">L1092*I1092</f>
        <v>0</v>
      </c>
      <c r="N1092" s="35" t="n">
        <f aca="false">L1092-M1092</f>
        <v>170</v>
      </c>
      <c r="O1092" s="4" t="n">
        <f aca="false">MONTH(B1092)</f>
        <v>8</v>
      </c>
      <c r="P1092" s="4" t="str">
        <f aca="false">CHOOSE(WEEKDAY(B1092,2),"Mon","Tue","Wed","Thu","Fri","Sat","Sun")</f>
        <v>Tue</v>
      </c>
      <c r="Q1092" s="4" t="str">
        <f aca="false">IF(WEEKDAY(B1092,2)&gt;5,"Weekend","Weekday")</f>
        <v>Weekday</v>
      </c>
      <c r="R1092" s="4" t="str">
        <f aca="false">IF(C1092&lt;11,"Morning (7-10)",IF(C1092&lt;14,"Lunch (11-13)",IF(C1092&lt;18,"Afternoon (14-17)","Evening (18-20)")))</f>
        <v>Afternoon (14-17)</v>
      </c>
      <c r="S1092" s="4" t="str">
        <f aca="false">IF(AND(O1092&gt;=3,O1092&lt;=5),"Hot Dry (Mar-May)",IF(AND(O1092&gt;=6,O1092&lt;=11),"Rainy (Jun-Nov)","Cool Dry (Dec-Feb)"))</f>
        <v>Rainy (Jun-Nov)</v>
      </c>
      <c r="T1092" s="4" t="str">
        <f aca="false">CHOOSE(O1092,"Jan","Feb","Mar","Apr","May","Jun","Jul","Aug","Sep","Oct","Nov","Dec")</f>
        <v>Aug</v>
      </c>
    </row>
    <row r="1093" customFormat="false" ht="15" hidden="false" customHeight="false" outlineLevel="0" collapsed="false">
      <c r="A1093" s="4" t="s">
        <v>1411</v>
      </c>
      <c r="B1093" s="17" t="n">
        <v>45881</v>
      </c>
      <c r="C1093" s="4" t="n">
        <v>18</v>
      </c>
      <c r="D1093" s="4" t="s">
        <v>70</v>
      </c>
      <c r="E1093" s="4" t="s">
        <v>65</v>
      </c>
      <c r="F1093" s="4" t="s">
        <v>94</v>
      </c>
      <c r="G1093" s="4" t="n">
        <v>1</v>
      </c>
      <c r="H1093" s="34" t="n">
        <v>150</v>
      </c>
      <c r="I1093" s="18" t="n">
        <v>0.1</v>
      </c>
      <c r="J1093" s="4" t="s">
        <v>67</v>
      </c>
      <c r="K1093" s="4" t="s">
        <v>71</v>
      </c>
      <c r="L1093" s="35" t="n">
        <f aca="false">G1093*H1093</f>
        <v>150</v>
      </c>
      <c r="M1093" s="35" t="n">
        <f aca="false">L1093*I1093</f>
        <v>15</v>
      </c>
      <c r="N1093" s="35" t="n">
        <f aca="false">L1093-M1093</f>
        <v>135</v>
      </c>
      <c r="O1093" s="4" t="n">
        <f aca="false">MONTH(B1093)</f>
        <v>8</v>
      </c>
      <c r="P1093" s="4" t="str">
        <f aca="false">CHOOSE(WEEKDAY(B1093,2),"Mon","Tue","Wed","Thu","Fri","Sat","Sun")</f>
        <v>Tue</v>
      </c>
      <c r="Q1093" s="4" t="str">
        <f aca="false">IF(WEEKDAY(B1093,2)&gt;5,"Weekend","Weekday")</f>
        <v>Weekday</v>
      </c>
      <c r="R1093" s="4" t="str">
        <f aca="false">IF(C1093&lt;11,"Morning (7-10)",IF(C1093&lt;14,"Lunch (11-13)",IF(C1093&lt;18,"Afternoon (14-17)","Evening (18-20)")))</f>
        <v>Evening (18-20)</v>
      </c>
      <c r="S1093" s="4" t="str">
        <f aca="false">IF(AND(O1093&gt;=3,O1093&lt;=5),"Hot Dry (Mar-May)",IF(AND(O1093&gt;=6,O1093&lt;=11),"Rainy (Jun-Nov)","Cool Dry (Dec-Feb)"))</f>
        <v>Rainy (Jun-Nov)</v>
      </c>
      <c r="T1093" s="4" t="str">
        <f aca="false">CHOOSE(O1093,"Jan","Feb","Mar","Apr","May","Jun","Jul","Aug","Sep","Oct","Nov","Dec")</f>
        <v>Aug</v>
      </c>
    </row>
    <row r="1094" customFormat="false" ht="15" hidden="false" customHeight="false" outlineLevel="0" collapsed="false">
      <c r="A1094" s="4" t="s">
        <v>1412</v>
      </c>
      <c r="B1094" s="17" t="n">
        <v>45882</v>
      </c>
      <c r="C1094" s="4" t="n">
        <v>8</v>
      </c>
      <c r="D1094" s="4" t="s">
        <v>73</v>
      </c>
      <c r="E1094" s="4" t="s">
        <v>65</v>
      </c>
      <c r="F1094" s="4" t="s">
        <v>94</v>
      </c>
      <c r="G1094" s="4" t="n">
        <v>2</v>
      </c>
      <c r="H1094" s="34" t="n">
        <v>150</v>
      </c>
      <c r="I1094" s="18" t="n">
        <v>0</v>
      </c>
      <c r="J1094" s="4" t="s">
        <v>81</v>
      </c>
      <c r="K1094" s="4" t="s">
        <v>68</v>
      </c>
      <c r="L1094" s="35" t="n">
        <f aca="false">G1094*H1094</f>
        <v>300</v>
      </c>
      <c r="M1094" s="35" t="n">
        <f aca="false">L1094*I1094</f>
        <v>0</v>
      </c>
      <c r="N1094" s="35" t="n">
        <f aca="false">L1094-M1094</f>
        <v>300</v>
      </c>
      <c r="O1094" s="4" t="n">
        <f aca="false">MONTH(B1094)</f>
        <v>8</v>
      </c>
      <c r="P1094" s="4" t="str">
        <f aca="false">CHOOSE(WEEKDAY(B1094,2),"Mon","Tue","Wed","Thu","Fri","Sat","Sun")</f>
        <v>Wed</v>
      </c>
      <c r="Q1094" s="4" t="str">
        <f aca="false">IF(WEEKDAY(B1094,2)&gt;5,"Weekend","Weekday")</f>
        <v>Weekday</v>
      </c>
      <c r="R1094" s="4" t="str">
        <f aca="false">IF(C1094&lt;11,"Morning (7-10)",IF(C1094&lt;14,"Lunch (11-13)",IF(C1094&lt;18,"Afternoon (14-17)","Evening (18-20)")))</f>
        <v>Morning (7-10)</v>
      </c>
      <c r="S1094" s="4" t="str">
        <f aca="false">IF(AND(O1094&gt;=3,O1094&lt;=5),"Hot Dry (Mar-May)",IF(AND(O1094&gt;=6,O1094&lt;=11),"Rainy (Jun-Nov)","Cool Dry (Dec-Feb)"))</f>
        <v>Rainy (Jun-Nov)</v>
      </c>
      <c r="T1094" s="4" t="str">
        <f aca="false">CHOOSE(O1094,"Jan","Feb","Mar","Apr","May","Jun","Jul","Aug","Sep","Oct","Nov","Dec")</f>
        <v>Aug</v>
      </c>
    </row>
    <row r="1095" customFormat="false" ht="15" hidden="false" customHeight="false" outlineLevel="0" collapsed="false">
      <c r="A1095" s="4" t="s">
        <v>1414</v>
      </c>
      <c r="B1095" s="17" t="n">
        <v>45882</v>
      </c>
      <c r="C1095" s="4" t="n">
        <v>10</v>
      </c>
      <c r="D1095" s="4" t="s">
        <v>64</v>
      </c>
      <c r="E1095" s="4" t="s">
        <v>99</v>
      </c>
      <c r="F1095" s="4" t="s">
        <v>133</v>
      </c>
      <c r="G1095" s="4" t="n">
        <v>3</v>
      </c>
      <c r="H1095" s="34" t="n">
        <v>90</v>
      </c>
      <c r="I1095" s="18" t="n">
        <v>0</v>
      </c>
      <c r="J1095" s="4" t="s">
        <v>76</v>
      </c>
      <c r="K1095" s="4" t="s">
        <v>77</v>
      </c>
      <c r="L1095" s="35" t="n">
        <f aca="false">G1095*H1095</f>
        <v>270</v>
      </c>
      <c r="M1095" s="35" t="n">
        <f aca="false">L1095*I1095</f>
        <v>0</v>
      </c>
      <c r="N1095" s="35" t="n">
        <f aca="false">L1095-M1095</f>
        <v>270</v>
      </c>
      <c r="O1095" s="4" t="n">
        <f aca="false">MONTH(B1095)</f>
        <v>8</v>
      </c>
      <c r="P1095" s="4" t="str">
        <f aca="false">CHOOSE(WEEKDAY(B1095,2),"Mon","Tue","Wed","Thu","Fri","Sat","Sun")</f>
        <v>Wed</v>
      </c>
      <c r="Q1095" s="4" t="str">
        <f aca="false">IF(WEEKDAY(B1095,2)&gt;5,"Weekend","Weekday")</f>
        <v>Weekday</v>
      </c>
      <c r="R1095" s="4" t="str">
        <f aca="false">IF(C1095&lt;11,"Morning (7-10)",IF(C1095&lt;14,"Lunch (11-13)",IF(C1095&lt;18,"Afternoon (14-17)","Evening (18-20)")))</f>
        <v>Morning (7-10)</v>
      </c>
      <c r="S1095" s="4" t="str">
        <f aca="false">IF(AND(O1095&gt;=3,O1095&lt;=5),"Hot Dry (Mar-May)",IF(AND(O1095&gt;=6,O1095&lt;=11),"Rainy (Jun-Nov)","Cool Dry (Dec-Feb)"))</f>
        <v>Rainy (Jun-Nov)</v>
      </c>
      <c r="T1095" s="4" t="str">
        <f aca="false">CHOOSE(O1095,"Jan","Feb","Mar","Apr","May","Jun","Jul","Aug","Sep","Oct","Nov","Dec")</f>
        <v>Aug</v>
      </c>
    </row>
    <row r="1096" customFormat="false" ht="15" hidden="false" customHeight="false" outlineLevel="0" collapsed="false">
      <c r="A1096" s="4" t="s">
        <v>1415</v>
      </c>
      <c r="B1096" s="17" t="n">
        <v>45882</v>
      </c>
      <c r="C1096" s="4" t="n">
        <v>12</v>
      </c>
      <c r="D1096" s="4" t="s">
        <v>64</v>
      </c>
      <c r="E1096" s="4" t="s">
        <v>84</v>
      </c>
      <c r="F1096" s="4" t="s">
        <v>114</v>
      </c>
      <c r="G1096" s="4" t="n">
        <v>1</v>
      </c>
      <c r="H1096" s="34" t="n">
        <v>85</v>
      </c>
      <c r="I1096" s="18" t="n">
        <v>0.1</v>
      </c>
      <c r="J1096" s="4" t="s">
        <v>81</v>
      </c>
      <c r="K1096" s="4" t="s">
        <v>71</v>
      </c>
      <c r="L1096" s="35" t="n">
        <f aca="false">G1096*H1096</f>
        <v>85</v>
      </c>
      <c r="M1096" s="35" t="n">
        <f aca="false">L1096*I1096</f>
        <v>8.5</v>
      </c>
      <c r="N1096" s="35" t="n">
        <f aca="false">L1096-M1096</f>
        <v>76.5</v>
      </c>
      <c r="O1096" s="4" t="n">
        <f aca="false">MONTH(B1096)</f>
        <v>8</v>
      </c>
      <c r="P1096" s="4" t="str">
        <f aca="false">CHOOSE(WEEKDAY(B1096,2),"Mon","Tue","Wed","Thu","Fri","Sat","Sun")</f>
        <v>Wed</v>
      </c>
      <c r="Q1096" s="4" t="str">
        <f aca="false">IF(WEEKDAY(B1096,2)&gt;5,"Weekend","Weekday")</f>
        <v>Weekday</v>
      </c>
      <c r="R1096" s="4" t="str">
        <f aca="false">IF(C1096&lt;11,"Morning (7-10)",IF(C1096&lt;14,"Lunch (11-13)",IF(C1096&lt;18,"Afternoon (14-17)","Evening (18-20)")))</f>
        <v>Lunch (11-13)</v>
      </c>
      <c r="S1096" s="4" t="str">
        <f aca="false">IF(AND(O1096&gt;=3,O1096&lt;=5),"Hot Dry (Mar-May)",IF(AND(O1096&gt;=6,O1096&lt;=11),"Rainy (Jun-Nov)","Cool Dry (Dec-Feb)"))</f>
        <v>Rainy (Jun-Nov)</v>
      </c>
      <c r="T1096" s="4" t="str">
        <f aca="false">CHOOSE(O1096,"Jan","Feb","Mar","Apr","May","Jun","Jul","Aug","Sep","Oct","Nov","Dec")</f>
        <v>Aug</v>
      </c>
    </row>
    <row r="1097" customFormat="false" ht="15" hidden="false" customHeight="false" outlineLevel="0" collapsed="false">
      <c r="A1097" s="4" t="s">
        <v>1416</v>
      </c>
      <c r="B1097" s="17" t="n">
        <v>45882</v>
      </c>
      <c r="C1097" s="4" t="n">
        <v>13</v>
      </c>
      <c r="D1097" s="4" t="s">
        <v>98</v>
      </c>
      <c r="E1097" s="4" t="s">
        <v>99</v>
      </c>
      <c r="F1097" s="4" t="s">
        <v>109</v>
      </c>
      <c r="G1097" s="4" t="n">
        <v>1</v>
      </c>
      <c r="H1097" s="34" t="n">
        <v>130</v>
      </c>
      <c r="I1097" s="18" t="n">
        <v>0.15</v>
      </c>
      <c r="J1097" s="4" t="s">
        <v>76</v>
      </c>
      <c r="K1097" s="4" t="s">
        <v>71</v>
      </c>
      <c r="L1097" s="35" t="n">
        <f aca="false">G1097*H1097</f>
        <v>130</v>
      </c>
      <c r="M1097" s="35" t="n">
        <f aca="false">L1097*I1097</f>
        <v>19.5</v>
      </c>
      <c r="N1097" s="35" t="n">
        <f aca="false">L1097-M1097</f>
        <v>110.5</v>
      </c>
      <c r="O1097" s="4" t="n">
        <f aca="false">MONTH(B1097)</f>
        <v>8</v>
      </c>
      <c r="P1097" s="4" t="str">
        <f aca="false">CHOOSE(WEEKDAY(B1097,2),"Mon","Tue","Wed","Thu","Fri","Sat","Sun")</f>
        <v>Wed</v>
      </c>
      <c r="Q1097" s="4" t="str">
        <f aca="false">IF(WEEKDAY(B1097,2)&gt;5,"Weekend","Weekday")</f>
        <v>Weekday</v>
      </c>
      <c r="R1097" s="4" t="str">
        <f aca="false">IF(C1097&lt;11,"Morning (7-10)",IF(C1097&lt;14,"Lunch (11-13)",IF(C1097&lt;18,"Afternoon (14-17)","Evening (18-20)")))</f>
        <v>Lunch (11-13)</v>
      </c>
      <c r="S1097" s="4" t="str">
        <f aca="false">IF(AND(O1097&gt;=3,O1097&lt;=5),"Hot Dry (Mar-May)",IF(AND(O1097&gt;=6,O1097&lt;=11),"Rainy (Jun-Nov)","Cool Dry (Dec-Feb)"))</f>
        <v>Rainy (Jun-Nov)</v>
      </c>
      <c r="T1097" s="4" t="str">
        <f aca="false">CHOOSE(O1097,"Jan","Feb","Mar","Apr","May","Jun","Jul","Aug","Sep","Oct","Nov","Dec")</f>
        <v>Aug</v>
      </c>
    </row>
    <row r="1098" customFormat="false" ht="15" hidden="false" customHeight="false" outlineLevel="0" collapsed="false">
      <c r="A1098" s="4" t="s">
        <v>1417</v>
      </c>
      <c r="B1098" s="17" t="n">
        <v>45882</v>
      </c>
      <c r="C1098" s="4" t="n">
        <v>13</v>
      </c>
      <c r="D1098" s="4" t="s">
        <v>64</v>
      </c>
      <c r="E1098" s="4" t="s">
        <v>84</v>
      </c>
      <c r="F1098" s="4" t="s">
        <v>85</v>
      </c>
      <c r="G1098" s="4" t="n">
        <v>1</v>
      </c>
      <c r="H1098" s="34" t="n">
        <v>150</v>
      </c>
      <c r="I1098" s="18" t="n">
        <v>0</v>
      </c>
      <c r="J1098" s="4" t="s">
        <v>67</v>
      </c>
      <c r="K1098" s="4" t="s">
        <v>77</v>
      </c>
      <c r="L1098" s="35" t="n">
        <f aca="false">G1098*H1098</f>
        <v>150</v>
      </c>
      <c r="M1098" s="35" t="n">
        <f aca="false">L1098*I1098</f>
        <v>0</v>
      </c>
      <c r="N1098" s="35" t="n">
        <f aca="false">L1098-M1098</f>
        <v>150</v>
      </c>
      <c r="O1098" s="4" t="n">
        <f aca="false">MONTH(B1098)</f>
        <v>8</v>
      </c>
      <c r="P1098" s="4" t="str">
        <f aca="false">CHOOSE(WEEKDAY(B1098,2),"Mon","Tue","Wed","Thu","Fri","Sat","Sun")</f>
        <v>Wed</v>
      </c>
      <c r="Q1098" s="4" t="str">
        <f aca="false">IF(WEEKDAY(B1098,2)&gt;5,"Weekend","Weekday")</f>
        <v>Weekday</v>
      </c>
      <c r="R1098" s="4" t="str">
        <f aca="false">IF(C1098&lt;11,"Morning (7-10)",IF(C1098&lt;14,"Lunch (11-13)",IF(C1098&lt;18,"Afternoon (14-17)","Evening (18-20)")))</f>
        <v>Lunch (11-13)</v>
      </c>
      <c r="S1098" s="4" t="str">
        <f aca="false">IF(AND(O1098&gt;=3,O1098&lt;=5),"Hot Dry (Mar-May)",IF(AND(O1098&gt;=6,O1098&lt;=11),"Rainy (Jun-Nov)","Cool Dry (Dec-Feb)"))</f>
        <v>Rainy (Jun-Nov)</v>
      </c>
      <c r="T1098" s="4" t="str">
        <f aca="false">CHOOSE(O1098,"Jan","Feb","Mar","Apr","May","Jun","Jul","Aug","Sep","Oct","Nov","Dec")</f>
        <v>Aug</v>
      </c>
    </row>
    <row r="1099" customFormat="false" ht="15" hidden="false" customHeight="false" outlineLevel="0" collapsed="false">
      <c r="A1099" s="4" t="s">
        <v>1418</v>
      </c>
      <c r="B1099" s="17" t="n">
        <v>45882</v>
      </c>
      <c r="C1099" s="4" t="n">
        <v>14</v>
      </c>
      <c r="D1099" s="4" t="s">
        <v>70</v>
      </c>
      <c r="E1099" s="4" t="s">
        <v>99</v>
      </c>
      <c r="F1099" s="4" t="s">
        <v>102</v>
      </c>
      <c r="G1099" s="4" t="n">
        <v>2</v>
      </c>
      <c r="H1099" s="34" t="n">
        <v>140</v>
      </c>
      <c r="I1099" s="18" t="n">
        <v>0.05</v>
      </c>
      <c r="J1099" s="4" t="s">
        <v>76</v>
      </c>
      <c r="K1099" s="4" t="s">
        <v>82</v>
      </c>
      <c r="L1099" s="35" t="n">
        <f aca="false">G1099*H1099</f>
        <v>280</v>
      </c>
      <c r="M1099" s="35" t="n">
        <f aca="false">L1099*I1099</f>
        <v>14</v>
      </c>
      <c r="N1099" s="35" t="n">
        <f aca="false">L1099-M1099</f>
        <v>266</v>
      </c>
      <c r="O1099" s="4" t="n">
        <f aca="false">MONTH(B1099)</f>
        <v>8</v>
      </c>
      <c r="P1099" s="4" t="str">
        <f aca="false">CHOOSE(WEEKDAY(B1099,2),"Mon","Tue","Wed","Thu","Fri","Sat","Sun")</f>
        <v>Wed</v>
      </c>
      <c r="Q1099" s="4" t="str">
        <f aca="false">IF(WEEKDAY(B1099,2)&gt;5,"Weekend","Weekday")</f>
        <v>Weekday</v>
      </c>
      <c r="R1099" s="4" t="str">
        <f aca="false">IF(C1099&lt;11,"Morning (7-10)",IF(C1099&lt;14,"Lunch (11-13)",IF(C1099&lt;18,"Afternoon (14-17)","Evening (18-20)")))</f>
        <v>Afternoon (14-17)</v>
      </c>
      <c r="S1099" s="4" t="str">
        <f aca="false">IF(AND(O1099&gt;=3,O1099&lt;=5),"Hot Dry (Mar-May)",IF(AND(O1099&gt;=6,O1099&lt;=11),"Rainy (Jun-Nov)","Cool Dry (Dec-Feb)"))</f>
        <v>Rainy (Jun-Nov)</v>
      </c>
      <c r="T1099" s="4" t="str">
        <f aca="false">CHOOSE(O1099,"Jan","Feb","Mar","Apr","May","Jun","Jul","Aug","Sep","Oct","Nov","Dec")</f>
        <v>Aug</v>
      </c>
    </row>
    <row r="1100" customFormat="false" ht="15" hidden="false" customHeight="false" outlineLevel="0" collapsed="false">
      <c r="A1100" s="4" t="s">
        <v>1419</v>
      </c>
      <c r="B1100" s="17" t="n">
        <v>45882</v>
      </c>
      <c r="C1100" s="4" t="n">
        <v>14</v>
      </c>
      <c r="D1100" s="4" t="s">
        <v>98</v>
      </c>
      <c r="E1100" s="4" t="s">
        <v>65</v>
      </c>
      <c r="F1100" s="4" t="s">
        <v>87</v>
      </c>
      <c r="G1100" s="4" t="n">
        <v>1</v>
      </c>
      <c r="H1100" s="34" t="n">
        <v>160</v>
      </c>
      <c r="I1100" s="18" t="n">
        <v>0</v>
      </c>
      <c r="J1100" s="4" t="s">
        <v>81</v>
      </c>
      <c r="K1100" s="4" t="s">
        <v>68</v>
      </c>
      <c r="L1100" s="35" t="n">
        <f aca="false">G1100*H1100</f>
        <v>160</v>
      </c>
      <c r="M1100" s="35" t="n">
        <f aca="false">L1100*I1100</f>
        <v>0</v>
      </c>
      <c r="N1100" s="35" t="n">
        <f aca="false">L1100-M1100</f>
        <v>160</v>
      </c>
      <c r="O1100" s="4" t="n">
        <f aca="false">MONTH(B1100)</f>
        <v>8</v>
      </c>
      <c r="P1100" s="4" t="str">
        <f aca="false">CHOOSE(WEEKDAY(B1100,2),"Mon","Tue","Wed","Thu","Fri","Sat","Sun")</f>
        <v>Wed</v>
      </c>
      <c r="Q1100" s="4" t="str">
        <f aca="false">IF(WEEKDAY(B1100,2)&gt;5,"Weekend","Weekday")</f>
        <v>Weekday</v>
      </c>
      <c r="R1100" s="4" t="str">
        <f aca="false">IF(C1100&lt;11,"Morning (7-10)",IF(C1100&lt;14,"Lunch (11-13)",IF(C1100&lt;18,"Afternoon (14-17)","Evening (18-20)")))</f>
        <v>Afternoon (14-17)</v>
      </c>
      <c r="S1100" s="4" t="str">
        <f aca="false">IF(AND(O1100&gt;=3,O1100&lt;=5),"Hot Dry (Mar-May)",IF(AND(O1100&gt;=6,O1100&lt;=11),"Rainy (Jun-Nov)","Cool Dry (Dec-Feb)"))</f>
        <v>Rainy (Jun-Nov)</v>
      </c>
      <c r="T1100" s="4" t="str">
        <f aca="false">CHOOSE(O1100,"Jan","Feb","Mar","Apr","May","Jun","Jul","Aug","Sep","Oct","Nov","Dec")</f>
        <v>Aug</v>
      </c>
    </row>
    <row r="1101" customFormat="false" ht="15" hidden="false" customHeight="false" outlineLevel="0" collapsed="false">
      <c r="A1101" s="4" t="s">
        <v>1420</v>
      </c>
      <c r="B1101" s="17" t="n">
        <v>45883</v>
      </c>
      <c r="C1101" s="4" t="n">
        <v>10</v>
      </c>
      <c r="D1101" s="4" t="s">
        <v>64</v>
      </c>
      <c r="E1101" s="4" t="s">
        <v>84</v>
      </c>
      <c r="F1101" s="4" t="s">
        <v>106</v>
      </c>
      <c r="G1101" s="4" t="n">
        <v>2</v>
      </c>
      <c r="H1101" s="34" t="n">
        <v>60</v>
      </c>
      <c r="I1101" s="18" t="n">
        <v>0</v>
      </c>
      <c r="J1101" s="4" t="s">
        <v>76</v>
      </c>
      <c r="K1101" s="4" t="s">
        <v>68</v>
      </c>
      <c r="L1101" s="35" t="n">
        <f aca="false">G1101*H1101</f>
        <v>120</v>
      </c>
      <c r="M1101" s="35" t="n">
        <f aca="false">L1101*I1101</f>
        <v>0</v>
      </c>
      <c r="N1101" s="35" t="n">
        <f aca="false">L1101-M1101</f>
        <v>120</v>
      </c>
      <c r="O1101" s="4" t="n">
        <f aca="false">MONTH(B1101)</f>
        <v>8</v>
      </c>
      <c r="P1101" s="4" t="str">
        <f aca="false">CHOOSE(WEEKDAY(B1101,2),"Mon","Tue","Wed","Thu","Fri","Sat","Sun")</f>
        <v>Thu</v>
      </c>
      <c r="Q1101" s="4" t="str">
        <f aca="false">IF(WEEKDAY(B1101,2)&gt;5,"Weekend","Weekday")</f>
        <v>Weekday</v>
      </c>
      <c r="R1101" s="4" t="str">
        <f aca="false">IF(C1101&lt;11,"Morning (7-10)",IF(C1101&lt;14,"Lunch (11-13)",IF(C1101&lt;18,"Afternoon (14-17)","Evening (18-20)")))</f>
        <v>Morning (7-10)</v>
      </c>
      <c r="S1101" s="4" t="str">
        <f aca="false">IF(AND(O1101&gt;=3,O1101&lt;=5),"Hot Dry (Mar-May)",IF(AND(O1101&gt;=6,O1101&lt;=11),"Rainy (Jun-Nov)","Cool Dry (Dec-Feb)"))</f>
        <v>Rainy (Jun-Nov)</v>
      </c>
      <c r="T1101" s="4" t="str">
        <f aca="false">CHOOSE(O1101,"Jan","Feb","Mar","Apr","May","Jun","Jul","Aug","Sep","Oct","Nov","Dec")</f>
        <v>Aug</v>
      </c>
    </row>
    <row r="1102" customFormat="false" ht="15" hidden="false" customHeight="false" outlineLevel="0" collapsed="false">
      <c r="A1102" s="4" t="s">
        <v>1421</v>
      </c>
      <c r="B1102" s="17" t="n">
        <v>45883</v>
      </c>
      <c r="C1102" s="4" t="n">
        <v>11</v>
      </c>
      <c r="D1102" s="4" t="s">
        <v>70</v>
      </c>
      <c r="E1102" s="4" t="s">
        <v>99</v>
      </c>
      <c r="F1102" s="4" t="s">
        <v>109</v>
      </c>
      <c r="G1102" s="4" t="n">
        <v>1</v>
      </c>
      <c r="H1102" s="34" t="n">
        <v>130</v>
      </c>
      <c r="I1102" s="18" t="n">
        <v>0</v>
      </c>
      <c r="J1102" s="4" t="s">
        <v>67</v>
      </c>
      <c r="K1102" s="4" t="s">
        <v>77</v>
      </c>
      <c r="L1102" s="35" t="n">
        <f aca="false">G1102*H1102</f>
        <v>130</v>
      </c>
      <c r="M1102" s="35" t="n">
        <f aca="false">L1102*I1102</f>
        <v>0</v>
      </c>
      <c r="N1102" s="35" t="n">
        <f aca="false">L1102-M1102</f>
        <v>130</v>
      </c>
      <c r="O1102" s="4" t="n">
        <f aca="false">MONTH(B1102)</f>
        <v>8</v>
      </c>
      <c r="P1102" s="4" t="str">
        <f aca="false">CHOOSE(WEEKDAY(B1102,2),"Mon","Tue","Wed","Thu","Fri","Sat","Sun")</f>
        <v>Thu</v>
      </c>
      <c r="Q1102" s="4" t="str">
        <f aca="false">IF(WEEKDAY(B1102,2)&gt;5,"Weekend","Weekday")</f>
        <v>Weekday</v>
      </c>
      <c r="R1102" s="4" t="str">
        <f aca="false">IF(C1102&lt;11,"Morning (7-10)",IF(C1102&lt;14,"Lunch (11-13)",IF(C1102&lt;18,"Afternoon (14-17)","Evening (18-20)")))</f>
        <v>Lunch (11-13)</v>
      </c>
      <c r="S1102" s="4" t="str">
        <f aca="false">IF(AND(O1102&gt;=3,O1102&lt;=5),"Hot Dry (Mar-May)",IF(AND(O1102&gt;=6,O1102&lt;=11),"Rainy (Jun-Nov)","Cool Dry (Dec-Feb)"))</f>
        <v>Rainy (Jun-Nov)</v>
      </c>
      <c r="T1102" s="4" t="str">
        <f aca="false">CHOOSE(O1102,"Jan","Feb","Mar","Apr","May","Jun","Jul","Aug","Sep","Oct","Nov","Dec")</f>
        <v>Aug</v>
      </c>
    </row>
    <row r="1103" customFormat="false" ht="15" hidden="false" customHeight="false" outlineLevel="0" collapsed="false">
      <c r="A1103" s="4" t="s">
        <v>1422</v>
      </c>
      <c r="B1103" s="17" t="n">
        <v>45883</v>
      </c>
      <c r="C1103" s="4" t="n">
        <v>11</v>
      </c>
      <c r="D1103" s="4" t="s">
        <v>73</v>
      </c>
      <c r="E1103" s="4" t="s">
        <v>74</v>
      </c>
      <c r="F1103" s="4" t="s">
        <v>75</v>
      </c>
      <c r="G1103" s="4" t="n">
        <v>2</v>
      </c>
      <c r="H1103" s="34" t="n">
        <v>220</v>
      </c>
      <c r="I1103" s="18" t="n">
        <v>0.1</v>
      </c>
      <c r="J1103" s="4" t="s">
        <v>81</v>
      </c>
      <c r="K1103" s="4" t="s">
        <v>71</v>
      </c>
      <c r="L1103" s="35" t="n">
        <f aca="false">G1103*H1103</f>
        <v>440</v>
      </c>
      <c r="M1103" s="35" t="n">
        <f aca="false">L1103*I1103</f>
        <v>44</v>
      </c>
      <c r="N1103" s="35" t="n">
        <f aca="false">L1103-M1103</f>
        <v>396</v>
      </c>
      <c r="O1103" s="4" t="n">
        <f aca="false">MONTH(B1103)</f>
        <v>8</v>
      </c>
      <c r="P1103" s="4" t="str">
        <f aca="false">CHOOSE(WEEKDAY(B1103,2),"Mon","Tue","Wed","Thu","Fri","Sat","Sun")</f>
        <v>Thu</v>
      </c>
      <c r="Q1103" s="4" t="str">
        <f aca="false">IF(WEEKDAY(B1103,2)&gt;5,"Weekend","Weekday")</f>
        <v>Weekday</v>
      </c>
      <c r="R1103" s="4" t="str">
        <f aca="false">IF(C1103&lt;11,"Morning (7-10)",IF(C1103&lt;14,"Lunch (11-13)",IF(C1103&lt;18,"Afternoon (14-17)","Evening (18-20)")))</f>
        <v>Lunch (11-13)</v>
      </c>
      <c r="S1103" s="4" t="str">
        <f aca="false">IF(AND(O1103&gt;=3,O1103&lt;=5),"Hot Dry (Mar-May)",IF(AND(O1103&gt;=6,O1103&lt;=11),"Rainy (Jun-Nov)","Cool Dry (Dec-Feb)"))</f>
        <v>Rainy (Jun-Nov)</v>
      </c>
      <c r="T1103" s="4" t="str">
        <f aca="false">CHOOSE(O1103,"Jan","Feb","Mar","Apr","May","Jun","Jul","Aug","Sep","Oct","Nov","Dec")</f>
        <v>Aug</v>
      </c>
    </row>
    <row r="1104" customFormat="false" ht="15" hidden="false" customHeight="false" outlineLevel="0" collapsed="false">
      <c r="A1104" s="4" t="s">
        <v>1423</v>
      </c>
      <c r="B1104" s="17" t="n">
        <v>45883</v>
      </c>
      <c r="C1104" s="4" t="n">
        <v>12</v>
      </c>
      <c r="D1104" s="4" t="s">
        <v>64</v>
      </c>
      <c r="E1104" s="4" t="s">
        <v>84</v>
      </c>
      <c r="F1104" s="4" t="s">
        <v>85</v>
      </c>
      <c r="G1104" s="4" t="n">
        <v>1</v>
      </c>
      <c r="H1104" s="34" t="n">
        <v>150</v>
      </c>
      <c r="I1104" s="18" t="n">
        <v>0.1</v>
      </c>
      <c r="J1104" s="4" t="s">
        <v>67</v>
      </c>
      <c r="K1104" s="4" t="s">
        <v>71</v>
      </c>
      <c r="L1104" s="35" t="n">
        <f aca="false">G1104*H1104</f>
        <v>150</v>
      </c>
      <c r="M1104" s="35" t="n">
        <f aca="false">L1104*I1104</f>
        <v>15</v>
      </c>
      <c r="N1104" s="35" t="n">
        <f aca="false">L1104-M1104</f>
        <v>135</v>
      </c>
      <c r="O1104" s="4" t="n">
        <f aca="false">MONTH(B1104)</f>
        <v>8</v>
      </c>
      <c r="P1104" s="4" t="str">
        <f aca="false">CHOOSE(WEEKDAY(B1104,2),"Mon","Tue","Wed","Thu","Fri","Sat","Sun")</f>
        <v>Thu</v>
      </c>
      <c r="Q1104" s="4" t="str">
        <f aca="false">IF(WEEKDAY(B1104,2)&gt;5,"Weekend","Weekday")</f>
        <v>Weekday</v>
      </c>
      <c r="R1104" s="4" t="str">
        <f aca="false">IF(C1104&lt;11,"Morning (7-10)",IF(C1104&lt;14,"Lunch (11-13)",IF(C1104&lt;18,"Afternoon (14-17)","Evening (18-20)")))</f>
        <v>Lunch (11-13)</v>
      </c>
      <c r="S1104" s="4" t="str">
        <f aca="false">IF(AND(O1104&gt;=3,O1104&lt;=5),"Hot Dry (Mar-May)",IF(AND(O1104&gt;=6,O1104&lt;=11),"Rainy (Jun-Nov)","Cool Dry (Dec-Feb)"))</f>
        <v>Rainy (Jun-Nov)</v>
      </c>
      <c r="T1104" s="4" t="str">
        <f aca="false">CHOOSE(O1104,"Jan","Feb","Mar","Apr","May","Jun","Jul","Aug","Sep","Oct","Nov","Dec")</f>
        <v>Aug</v>
      </c>
    </row>
    <row r="1105" customFormat="false" ht="15" hidden="false" customHeight="false" outlineLevel="0" collapsed="false">
      <c r="A1105" s="4" t="s">
        <v>1424</v>
      </c>
      <c r="B1105" s="17" t="n">
        <v>45883</v>
      </c>
      <c r="C1105" s="4" t="n">
        <v>12</v>
      </c>
      <c r="D1105" s="4" t="s">
        <v>64</v>
      </c>
      <c r="E1105" s="4" t="s">
        <v>99</v>
      </c>
      <c r="F1105" s="4" t="s">
        <v>109</v>
      </c>
      <c r="G1105" s="4" t="n">
        <v>4</v>
      </c>
      <c r="H1105" s="34" t="n">
        <v>130</v>
      </c>
      <c r="I1105" s="18" t="n">
        <v>0.05</v>
      </c>
      <c r="J1105" s="4" t="s">
        <v>76</v>
      </c>
      <c r="K1105" s="4" t="s">
        <v>82</v>
      </c>
      <c r="L1105" s="35" t="n">
        <f aca="false">G1105*H1105</f>
        <v>520</v>
      </c>
      <c r="M1105" s="35" t="n">
        <f aca="false">L1105*I1105</f>
        <v>26</v>
      </c>
      <c r="N1105" s="35" t="n">
        <f aca="false">L1105-M1105</f>
        <v>494</v>
      </c>
      <c r="O1105" s="4" t="n">
        <f aca="false">MONTH(B1105)</f>
        <v>8</v>
      </c>
      <c r="P1105" s="4" t="str">
        <f aca="false">CHOOSE(WEEKDAY(B1105,2),"Mon","Tue","Wed","Thu","Fri","Sat","Sun")</f>
        <v>Thu</v>
      </c>
      <c r="Q1105" s="4" t="str">
        <f aca="false">IF(WEEKDAY(B1105,2)&gt;5,"Weekend","Weekday")</f>
        <v>Weekday</v>
      </c>
      <c r="R1105" s="4" t="str">
        <f aca="false">IF(C1105&lt;11,"Morning (7-10)",IF(C1105&lt;14,"Lunch (11-13)",IF(C1105&lt;18,"Afternoon (14-17)","Evening (18-20)")))</f>
        <v>Lunch (11-13)</v>
      </c>
      <c r="S1105" s="4" t="str">
        <f aca="false">IF(AND(O1105&gt;=3,O1105&lt;=5),"Hot Dry (Mar-May)",IF(AND(O1105&gt;=6,O1105&lt;=11),"Rainy (Jun-Nov)","Cool Dry (Dec-Feb)"))</f>
        <v>Rainy (Jun-Nov)</v>
      </c>
      <c r="T1105" s="4" t="str">
        <f aca="false">CHOOSE(O1105,"Jan","Feb","Mar","Apr","May","Jun","Jul","Aug","Sep","Oct","Nov","Dec")</f>
        <v>Aug</v>
      </c>
    </row>
    <row r="1106" customFormat="false" ht="15" hidden="false" customHeight="false" outlineLevel="0" collapsed="false">
      <c r="A1106" s="4" t="s">
        <v>1425</v>
      </c>
      <c r="B1106" s="17" t="n">
        <v>45883</v>
      </c>
      <c r="C1106" s="4" t="n">
        <v>17</v>
      </c>
      <c r="D1106" s="4" t="s">
        <v>70</v>
      </c>
      <c r="E1106" s="4" t="s">
        <v>99</v>
      </c>
      <c r="F1106" s="4" t="s">
        <v>109</v>
      </c>
      <c r="G1106" s="4" t="n">
        <v>4</v>
      </c>
      <c r="H1106" s="34" t="n">
        <v>130</v>
      </c>
      <c r="I1106" s="18" t="n">
        <v>0.15</v>
      </c>
      <c r="J1106" s="4" t="s">
        <v>67</v>
      </c>
      <c r="K1106" s="4" t="s">
        <v>82</v>
      </c>
      <c r="L1106" s="35" t="n">
        <f aca="false">G1106*H1106</f>
        <v>520</v>
      </c>
      <c r="M1106" s="35" t="n">
        <f aca="false">L1106*I1106</f>
        <v>78</v>
      </c>
      <c r="N1106" s="35" t="n">
        <f aca="false">L1106-M1106</f>
        <v>442</v>
      </c>
      <c r="O1106" s="4" t="n">
        <f aca="false">MONTH(B1106)</f>
        <v>8</v>
      </c>
      <c r="P1106" s="4" t="str">
        <f aca="false">CHOOSE(WEEKDAY(B1106,2),"Mon","Tue","Wed","Thu","Fri","Sat","Sun")</f>
        <v>Thu</v>
      </c>
      <c r="Q1106" s="4" t="str">
        <f aca="false">IF(WEEKDAY(B1106,2)&gt;5,"Weekend","Weekday")</f>
        <v>Weekday</v>
      </c>
      <c r="R1106" s="4" t="str">
        <f aca="false">IF(C1106&lt;11,"Morning (7-10)",IF(C1106&lt;14,"Lunch (11-13)",IF(C1106&lt;18,"Afternoon (14-17)","Evening (18-20)")))</f>
        <v>Afternoon (14-17)</v>
      </c>
      <c r="S1106" s="4" t="str">
        <f aca="false">IF(AND(O1106&gt;=3,O1106&lt;=5),"Hot Dry (Mar-May)",IF(AND(O1106&gt;=6,O1106&lt;=11),"Rainy (Jun-Nov)","Cool Dry (Dec-Feb)"))</f>
        <v>Rainy (Jun-Nov)</v>
      </c>
      <c r="T1106" s="4" t="str">
        <f aca="false">CHOOSE(O1106,"Jan","Feb","Mar","Apr","May","Jun","Jul","Aug","Sep","Oct","Nov","Dec")</f>
        <v>Aug</v>
      </c>
    </row>
    <row r="1107" customFormat="false" ht="15" hidden="false" customHeight="false" outlineLevel="0" collapsed="false">
      <c r="A1107" s="4" t="s">
        <v>1426</v>
      </c>
      <c r="B1107" s="17" t="n">
        <v>45884</v>
      </c>
      <c r="C1107" s="4" t="n">
        <v>7</v>
      </c>
      <c r="D1107" s="4" t="s">
        <v>70</v>
      </c>
      <c r="E1107" s="4" t="s">
        <v>65</v>
      </c>
      <c r="F1107" s="4" t="s">
        <v>94</v>
      </c>
      <c r="G1107" s="4" t="n">
        <v>1</v>
      </c>
      <c r="H1107" s="34" t="n">
        <v>150</v>
      </c>
      <c r="I1107" s="18" t="n">
        <v>0.05</v>
      </c>
      <c r="J1107" s="4" t="s">
        <v>81</v>
      </c>
      <c r="K1107" s="4" t="s">
        <v>82</v>
      </c>
      <c r="L1107" s="35" t="n">
        <f aca="false">G1107*H1107</f>
        <v>150</v>
      </c>
      <c r="M1107" s="35" t="n">
        <f aca="false">L1107*I1107</f>
        <v>7.5</v>
      </c>
      <c r="N1107" s="35" t="n">
        <f aca="false">L1107-M1107</f>
        <v>142.5</v>
      </c>
      <c r="O1107" s="4" t="n">
        <f aca="false">MONTH(B1107)</f>
        <v>8</v>
      </c>
      <c r="P1107" s="4" t="str">
        <f aca="false">CHOOSE(WEEKDAY(B1107,2),"Mon","Tue","Wed","Thu","Fri","Sat","Sun")</f>
        <v>Fri</v>
      </c>
      <c r="Q1107" s="4" t="str">
        <f aca="false">IF(WEEKDAY(B1107,2)&gt;5,"Weekend","Weekday")</f>
        <v>Weekday</v>
      </c>
      <c r="R1107" s="4" t="str">
        <f aca="false">IF(C1107&lt;11,"Morning (7-10)",IF(C1107&lt;14,"Lunch (11-13)",IF(C1107&lt;18,"Afternoon (14-17)","Evening (18-20)")))</f>
        <v>Morning (7-10)</v>
      </c>
      <c r="S1107" s="4" t="str">
        <f aca="false">IF(AND(O1107&gt;=3,O1107&lt;=5),"Hot Dry (Mar-May)",IF(AND(O1107&gt;=6,O1107&lt;=11),"Rainy (Jun-Nov)","Cool Dry (Dec-Feb)"))</f>
        <v>Rainy (Jun-Nov)</v>
      </c>
      <c r="T1107" s="4" t="str">
        <f aca="false">CHOOSE(O1107,"Jan","Feb","Mar","Apr","May","Jun","Jul","Aug","Sep","Oct","Nov","Dec")</f>
        <v>Aug</v>
      </c>
    </row>
    <row r="1108" customFormat="false" ht="15" hidden="false" customHeight="false" outlineLevel="0" collapsed="false">
      <c r="A1108" s="4" t="s">
        <v>1427</v>
      </c>
      <c r="B1108" s="17" t="n">
        <v>45884</v>
      </c>
      <c r="C1108" s="4" t="n">
        <v>9</v>
      </c>
      <c r="D1108" s="4" t="s">
        <v>70</v>
      </c>
      <c r="E1108" s="4" t="s">
        <v>79</v>
      </c>
      <c r="F1108" s="4" t="s">
        <v>135</v>
      </c>
      <c r="G1108" s="4" t="n">
        <v>1</v>
      </c>
      <c r="H1108" s="34" t="n">
        <v>130</v>
      </c>
      <c r="I1108" s="18" t="n">
        <v>0</v>
      </c>
      <c r="J1108" s="4" t="s">
        <v>76</v>
      </c>
      <c r="K1108" s="4" t="s">
        <v>68</v>
      </c>
      <c r="L1108" s="35" t="n">
        <f aca="false">G1108*H1108</f>
        <v>130</v>
      </c>
      <c r="M1108" s="35" t="n">
        <f aca="false">L1108*I1108</f>
        <v>0</v>
      </c>
      <c r="N1108" s="35" t="n">
        <f aca="false">L1108-M1108</f>
        <v>130</v>
      </c>
      <c r="O1108" s="4" t="n">
        <f aca="false">MONTH(B1108)</f>
        <v>8</v>
      </c>
      <c r="P1108" s="4" t="str">
        <f aca="false">CHOOSE(WEEKDAY(B1108,2),"Mon","Tue","Wed","Thu","Fri","Sat","Sun")</f>
        <v>Fri</v>
      </c>
      <c r="Q1108" s="4" t="str">
        <f aca="false">IF(WEEKDAY(B1108,2)&gt;5,"Weekend","Weekday")</f>
        <v>Weekday</v>
      </c>
      <c r="R1108" s="4" t="str">
        <f aca="false">IF(C1108&lt;11,"Morning (7-10)",IF(C1108&lt;14,"Lunch (11-13)",IF(C1108&lt;18,"Afternoon (14-17)","Evening (18-20)")))</f>
        <v>Morning (7-10)</v>
      </c>
      <c r="S1108" s="4" t="str">
        <f aca="false">IF(AND(O1108&gt;=3,O1108&lt;=5),"Hot Dry (Mar-May)",IF(AND(O1108&gt;=6,O1108&lt;=11),"Rainy (Jun-Nov)","Cool Dry (Dec-Feb)"))</f>
        <v>Rainy (Jun-Nov)</v>
      </c>
      <c r="T1108" s="4" t="str">
        <f aca="false">CHOOSE(O1108,"Jan","Feb","Mar","Apr","May","Jun","Jul","Aug","Sep","Oct","Nov","Dec")</f>
        <v>Aug</v>
      </c>
    </row>
    <row r="1109" customFormat="false" ht="15" hidden="false" customHeight="false" outlineLevel="0" collapsed="false">
      <c r="A1109" s="4" t="s">
        <v>1429</v>
      </c>
      <c r="B1109" s="17" t="n">
        <v>45884</v>
      </c>
      <c r="C1109" s="4" t="n">
        <v>12</v>
      </c>
      <c r="D1109" s="4" t="s">
        <v>73</v>
      </c>
      <c r="E1109" s="4" t="s">
        <v>99</v>
      </c>
      <c r="F1109" s="4" t="s">
        <v>100</v>
      </c>
      <c r="G1109" s="4" t="n">
        <v>4</v>
      </c>
      <c r="H1109" s="34" t="n">
        <v>110</v>
      </c>
      <c r="I1109" s="18" t="n">
        <v>0.1</v>
      </c>
      <c r="J1109" s="4" t="s">
        <v>67</v>
      </c>
      <c r="K1109" s="4" t="s">
        <v>71</v>
      </c>
      <c r="L1109" s="35" t="n">
        <f aca="false">G1109*H1109</f>
        <v>440</v>
      </c>
      <c r="M1109" s="35" t="n">
        <f aca="false">L1109*I1109</f>
        <v>44</v>
      </c>
      <c r="N1109" s="35" t="n">
        <f aca="false">L1109-M1109</f>
        <v>396</v>
      </c>
      <c r="O1109" s="4" t="n">
        <f aca="false">MONTH(B1109)</f>
        <v>8</v>
      </c>
      <c r="P1109" s="4" t="str">
        <f aca="false">CHOOSE(WEEKDAY(B1109,2),"Mon","Tue","Wed","Thu","Fri","Sat","Sun")</f>
        <v>Fri</v>
      </c>
      <c r="Q1109" s="4" t="str">
        <f aca="false">IF(WEEKDAY(B1109,2)&gt;5,"Weekend","Weekday")</f>
        <v>Weekday</v>
      </c>
      <c r="R1109" s="4" t="str">
        <f aca="false">IF(C1109&lt;11,"Morning (7-10)",IF(C1109&lt;14,"Lunch (11-13)",IF(C1109&lt;18,"Afternoon (14-17)","Evening (18-20)")))</f>
        <v>Lunch (11-13)</v>
      </c>
      <c r="S1109" s="4" t="str">
        <f aca="false">IF(AND(O1109&gt;=3,O1109&lt;=5),"Hot Dry (Mar-May)",IF(AND(O1109&gt;=6,O1109&lt;=11),"Rainy (Jun-Nov)","Cool Dry (Dec-Feb)"))</f>
        <v>Rainy (Jun-Nov)</v>
      </c>
      <c r="T1109" s="4" t="str">
        <f aca="false">CHOOSE(O1109,"Jan","Feb","Mar","Apr","May","Jun","Jul","Aug","Sep","Oct","Nov","Dec")</f>
        <v>Aug</v>
      </c>
    </row>
    <row r="1110" customFormat="false" ht="15" hidden="false" customHeight="false" outlineLevel="0" collapsed="false">
      <c r="A1110" s="4" t="s">
        <v>1430</v>
      </c>
      <c r="B1110" s="17" t="n">
        <v>45884</v>
      </c>
      <c r="C1110" s="4" t="n">
        <v>17</v>
      </c>
      <c r="D1110" s="4" t="s">
        <v>64</v>
      </c>
      <c r="E1110" s="4" t="s">
        <v>79</v>
      </c>
      <c r="F1110" s="4" t="s">
        <v>148</v>
      </c>
      <c r="G1110" s="4" t="n">
        <v>1</v>
      </c>
      <c r="H1110" s="34" t="n">
        <v>120</v>
      </c>
      <c r="I1110" s="18" t="n">
        <v>0.05</v>
      </c>
      <c r="J1110" s="4" t="s">
        <v>81</v>
      </c>
      <c r="K1110" s="4" t="s">
        <v>2289</v>
      </c>
      <c r="L1110" s="35" t="n">
        <f aca="false">G1110*H1110</f>
        <v>120</v>
      </c>
      <c r="M1110" s="35" t="n">
        <f aca="false">L1110*I1110</f>
        <v>6</v>
      </c>
      <c r="N1110" s="35" t="n">
        <f aca="false">L1110-M1110</f>
        <v>114</v>
      </c>
      <c r="O1110" s="4" t="n">
        <f aca="false">MONTH(B1110)</f>
        <v>8</v>
      </c>
      <c r="P1110" s="4" t="str">
        <f aca="false">CHOOSE(WEEKDAY(B1110,2),"Mon","Tue","Wed","Thu","Fri","Sat","Sun")</f>
        <v>Fri</v>
      </c>
      <c r="Q1110" s="4" t="str">
        <f aca="false">IF(WEEKDAY(B1110,2)&gt;5,"Weekend","Weekday")</f>
        <v>Weekday</v>
      </c>
      <c r="R1110" s="4" t="str">
        <f aca="false">IF(C1110&lt;11,"Morning (7-10)",IF(C1110&lt;14,"Lunch (11-13)",IF(C1110&lt;18,"Afternoon (14-17)","Evening (18-20)")))</f>
        <v>Afternoon (14-17)</v>
      </c>
      <c r="S1110" s="4" t="str">
        <f aca="false">IF(AND(O1110&gt;=3,O1110&lt;=5),"Hot Dry (Mar-May)",IF(AND(O1110&gt;=6,O1110&lt;=11),"Rainy (Jun-Nov)","Cool Dry (Dec-Feb)"))</f>
        <v>Rainy (Jun-Nov)</v>
      </c>
      <c r="T1110" s="4" t="str">
        <f aca="false">CHOOSE(O1110,"Jan","Feb","Mar","Apr","May","Jun","Jul","Aug","Sep","Oct","Nov","Dec")</f>
        <v>Aug</v>
      </c>
    </row>
    <row r="1111" customFormat="false" ht="15" hidden="false" customHeight="false" outlineLevel="0" collapsed="false">
      <c r="A1111" s="4" t="s">
        <v>1431</v>
      </c>
      <c r="B1111" s="17" t="n">
        <v>45884</v>
      </c>
      <c r="C1111" s="4" t="n">
        <v>18</v>
      </c>
      <c r="D1111" s="4" t="s">
        <v>70</v>
      </c>
      <c r="E1111" s="4" t="s">
        <v>99</v>
      </c>
      <c r="F1111" s="4" t="s">
        <v>102</v>
      </c>
      <c r="G1111" s="4" t="n">
        <v>1</v>
      </c>
      <c r="H1111" s="34" t="n">
        <v>140</v>
      </c>
      <c r="I1111" s="18" t="n">
        <v>0</v>
      </c>
      <c r="J1111" s="4" t="s">
        <v>67</v>
      </c>
      <c r="K1111" s="4" t="s">
        <v>77</v>
      </c>
      <c r="L1111" s="35" t="n">
        <f aca="false">G1111*H1111</f>
        <v>140</v>
      </c>
      <c r="M1111" s="35" t="n">
        <f aca="false">L1111*I1111</f>
        <v>0</v>
      </c>
      <c r="N1111" s="35" t="n">
        <f aca="false">L1111-M1111</f>
        <v>140</v>
      </c>
      <c r="O1111" s="4" t="n">
        <f aca="false">MONTH(B1111)</f>
        <v>8</v>
      </c>
      <c r="P1111" s="4" t="str">
        <f aca="false">CHOOSE(WEEKDAY(B1111,2),"Mon","Tue","Wed","Thu","Fri","Sat","Sun")</f>
        <v>Fri</v>
      </c>
      <c r="Q1111" s="4" t="str">
        <f aca="false">IF(WEEKDAY(B1111,2)&gt;5,"Weekend","Weekday")</f>
        <v>Weekday</v>
      </c>
      <c r="R1111" s="4" t="str">
        <f aca="false">IF(C1111&lt;11,"Morning (7-10)",IF(C1111&lt;14,"Lunch (11-13)",IF(C1111&lt;18,"Afternoon (14-17)","Evening (18-20)")))</f>
        <v>Evening (18-20)</v>
      </c>
      <c r="S1111" s="4" t="str">
        <f aca="false">IF(AND(O1111&gt;=3,O1111&lt;=5),"Hot Dry (Mar-May)",IF(AND(O1111&gt;=6,O1111&lt;=11),"Rainy (Jun-Nov)","Cool Dry (Dec-Feb)"))</f>
        <v>Rainy (Jun-Nov)</v>
      </c>
      <c r="T1111" s="4" t="str">
        <f aca="false">CHOOSE(O1111,"Jan","Feb","Mar","Apr","May","Jun","Jul","Aug","Sep","Oct","Nov","Dec")</f>
        <v>Aug</v>
      </c>
    </row>
    <row r="1112" customFormat="false" ht="15" hidden="false" customHeight="false" outlineLevel="0" collapsed="false">
      <c r="A1112" s="4" t="s">
        <v>1433</v>
      </c>
      <c r="B1112" s="17" t="n">
        <v>45885</v>
      </c>
      <c r="C1112" s="4" t="n">
        <v>7</v>
      </c>
      <c r="D1112" s="4" t="s">
        <v>98</v>
      </c>
      <c r="E1112" s="4" t="s">
        <v>65</v>
      </c>
      <c r="F1112" s="4" t="s">
        <v>94</v>
      </c>
      <c r="G1112" s="4" t="n">
        <v>1</v>
      </c>
      <c r="H1112" s="34" t="n">
        <v>150</v>
      </c>
      <c r="I1112" s="18" t="n">
        <v>0.1</v>
      </c>
      <c r="J1112" s="4" t="s">
        <v>67</v>
      </c>
      <c r="K1112" s="4" t="s">
        <v>71</v>
      </c>
      <c r="L1112" s="35" t="n">
        <f aca="false">G1112*H1112</f>
        <v>150</v>
      </c>
      <c r="M1112" s="35" t="n">
        <f aca="false">L1112*I1112</f>
        <v>15</v>
      </c>
      <c r="N1112" s="35" t="n">
        <f aca="false">L1112-M1112</f>
        <v>135</v>
      </c>
      <c r="O1112" s="4" t="n">
        <f aca="false">MONTH(B1112)</f>
        <v>8</v>
      </c>
      <c r="P1112" s="4" t="str">
        <f aca="false">CHOOSE(WEEKDAY(B1112,2),"Mon","Tue","Wed","Thu","Fri","Sat","Sun")</f>
        <v>Sat</v>
      </c>
      <c r="Q1112" s="4" t="str">
        <f aca="false">IF(WEEKDAY(B1112,2)&gt;5,"Weekend","Weekday")</f>
        <v>Weekend</v>
      </c>
      <c r="R1112" s="4" t="str">
        <f aca="false">IF(C1112&lt;11,"Morning (7-10)",IF(C1112&lt;14,"Lunch (11-13)",IF(C1112&lt;18,"Afternoon (14-17)","Evening (18-20)")))</f>
        <v>Morning (7-10)</v>
      </c>
      <c r="S1112" s="4" t="str">
        <f aca="false">IF(AND(O1112&gt;=3,O1112&lt;=5),"Hot Dry (Mar-May)",IF(AND(O1112&gt;=6,O1112&lt;=11),"Rainy (Jun-Nov)","Cool Dry (Dec-Feb)"))</f>
        <v>Rainy (Jun-Nov)</v>
      </c>
      <c r="T1112" s="4" t="str">
        <f aca="false">CHOOSE(O1112,"Jan","Feb","Mar","Apr","May","Jun","Jul","Aug","Sep","Oct","Nov","Dec")</f>
        <v>Aug</v>
      </c>
    </row>
    <row r="1113" customFormat="false" ht="15" hidden="false" customHeight="false" outlineLevel="0" collapsed="false">
      <c r="A1113" s="4" t="s">
        <v>1434</v>
      </c>
      <c r="B1113" s="17" t="n">
        <v>45885</v>
      </c>
      <c r="C1113" s="4" t="n">
        <v>7</v>
      </c>
      <c r="D1113" s="4" t="s">
        <v>64</v>
      </c>
      <c r="E1113" s="4" t="s">
        <v>99</v>
      </c>
      <c r="F1113" s="4" t="s">
        <v>100</v>
      </c>
      <c r="G1113" s="4" t="n">
        <v>2</v>
      </c>
      <c r="H1113" s="34" t="n">
        <v>110</v>
      </c>
      <c r="I1113" s="18" t="n">
        <v>0</v>
      </c>
      <c r="J1113" s="4" t="s">
        <v>112</v>
      </c>
      <c r="K1113" s="4" t="s">
        <v>68</v>
      </c>
      <c r="L1113" s="35" t="n">
        <f aca="false">G1113*H1113</f>
        <v>220</v>
      </c>
      <c r="M1113" s="35" t="n">
        <f aca="false">L1113*I1113</f>
        <v>0</v>
      </c>
      <c r="N1113" s="35" t="n">
        <f aca="false">L1113-M1113</f>
        <v>220</v>
      </c>
      <c r="O1113" s="4" t="n">
        <f aca="false">MONTH(B1113)</f>
        <v>8</v>
      </c>
      <c r="P1113" s="4" t="str">
        <f aca="false">CHOOSE(WEEKDAY(B1113,2),"Mon","Tue","Wed","Thu","Fri","Sat","Sun")</f>
        <v>Sat</v>
      </c>
      <c r="Q1113" s="4" t="str">
        <f aca="false">IF(WEEKDAY(B1113,2)&gt;5,"Weekend","Weekday")</f>
        <v>Weekend</v>
      </c>
      <c r="R1113" s="4" t="str">
        <f aca="false">IF(C1113&lt;11,"Morning (7-10)",IF(C1113&lt;14,"Lunch (11-13)",IF(C1113&lt;18,"Afternoon (14-17)","Evening (18-20)")))</f>
        <v>Morning (7-10)</v>
      </c>
      <c r="S1113" s="4" t="str">
        <f aca="false">IF(AND(O1113&gt;=3,O1113&lt;=5),"Hot Dry (Mar-May)",IF(AND(O1113&gt;=6,O1113&lt;=11),"Rainy (Jun-Nov)","Cool Dry (Dec-Feb)"))</f>
        <v>Rainy (Jun-Nov)</v>
      </c>
      <c r="T1113" s="4" t="str">
        <f aca="false">CHOOSE(O1113,"Jan","Feb","Mar","Apr","May","Jun","Jul","Aug","Sep","Oct","Nov","Dec")</f>
        <v>Aug</v>
      </c>
    </row>
    <row r="1114" customFormat="false" ht="15" hidden="false" customHeight="false" outlineLevel="0" collapsed="false">
      <c r="A1114" s="4" t="s">
        <v>1435</v>
      </c>
      <c r="B1114" s="17" t="n">
        <v>45885</v>
      </c>
      <c r="C1114" s="4" t="n">
        <v>10</v>
      </c>
      <c r="D1114" s="4" t="s">
        <v>98</v>
      </c>
      <c r="E1114" s="4" t="s">
        <v>99</v>
      </c>
      <c r="F1114" s="4" t="s">
        <v>109</v>
      </c>
      <c r="G1114" s="4" t="n">
        <v>1</v>
      </c>
      <c r="H1114" s="34" t="n">
        <v>130</v>
      </c>
      <c r="I1114" s="18" t="n">
        <v>0</v>
      </c>
      <c r="J1114" s="4" t="s">
        <v>76</v>
      </c>
      <c r="K1114" s="4" t="s">
        <v>68</v>
      </c>
      <c r="L1114" s="35" t="n">
        <f aca="false">G1114*H1114</f>
        <v>130</v>
      </c>
      <c r="M1114" s="35" t="n">
        <f aca="false">L1114*I1114</f>
        <v>0</v>
      </c>
      <c r="N1114" s="35" t="n">
        <f aca="false">L1114-M1114</f>
        <v>130</v>
      </c>
      <c r="O1114" s="4" t="n">
        <f aca="false">MONTH(B1114)</f>
        <v>8</v>
      </c>
      <c r="P1114" s="4" t="str">
        <f aca="false">CHOOSE(WEEKDAY(B1114,2),"Mon","Tue","Wed","Thu","Fri","Sat","Sun")</f>
        <v>Sat</v>
      </c>
      <c r="Q1114" s="4" t="str">
        <f aca="false">IF(WEEKDAY(B1114,2)&gt;5,"Weekend","Weekday")</f>
        <v>Weekend</v>
      </c>
      <c r="R1114" s="4" t="str">
        <f aca="false">IF(C1114&lt;11,"Morning (7-10)",IF(C1114&lt;14,"Lunch (11-13)",IF(C1114&lt;18,"Afternoon (14-17)","Evening (18-20)")))</f>
        <v>Morning (7-10)</v>
      </c>
      <c r="S1114" s="4" t="str">
        <f aca="false">IF(AND(O1114&gt;=3,O1114&lt;=5),"Hot Dry (Mar-May)",IF(AND(O1114&gt;=6,O1114&lt;=11),"Rainy (Jun-Nov)","Cool Dry (Dec-Feb)"))</f>
        <v>Rainy (Jun-Nov)</v>
      </c>
      <c r="T1114" s="4" t="str">
        <f aca="false">CHOOSE(O1114,"Jan","Feb","Mar","Apr","May","Jun","Jul","Aug","Sep","Oct","Nov","Dec")</f>
        <v>Aug</v>
      </c>
    </row>
    <row r="1115" customFormat="false" ht="15" hidden="false" customHeight="false" outlineLevel="0" collapsed="false">
      <c r="A1115" s="4" t="s">
        <v>1436</v>
      </c>
      <c r="B1115" s="17" t="n">
        <v>45885</v>
      </c>
      <c r="C1115" s="4" t="n">
        <v>11</v>
      </c>
      <c r="D1115" s="4" t="s">
        <v>70</v>
      </c>
      <c r="E1115" s="4" t="s">
        <v>84</v>
      </c>
      <c r="F1115" s="4" t="s">
        <v>114</v>
      </c>
      <c r="G1115" s="4" t="n">
        <v>2</v>
      </c>
      <c r="H1115" s="34" t="n">
        <v>85</v>
      </c>
      <c r="I1115" s="18" t="n">
        <v>0</v>
      </c>
      <c r="J1115" s="4" t="s">
        <v>81</v>
      </c>
      <c r="K1115" s="4" t="s">
        <v>77</v>
      </c>
      <c r="L1115" s="35" t="n">
        <f aca="false">G1115*H1115</f>
        <v>170</v>
      </c>
      <c r="M1115" s="35" t="n">
        <f aca="false">L1115*I1115</f>
        <v>0</v>
      </c>
      <c r="N1115" s="35" t="n">
        <f aca="false">L1115-M1115</f>
        <v>170</v>
      </c>
      <c r="O1115" s="4" t="n">
        <f aca="false">MONTH(B1115)</f>
        <v>8</v>
      </c>
      <c r="P1115" s="4" t="str">
        <f aca="false">CHOOSE(WEEKDAY(B1115,2),"Mon","Tue","Wed","Thu","Fri","Sat","Sun")</f>
        <v>Sat</v>
      </c>
      <c r="Q1115" s="4" t="str">
        <f aca="false">IF(WEEKDAY(B1115,2)&gt;5,"Weekend","Weekday")</f>
        <v>Weekend</v>
      </c>
      <c r="R1115" s="4" t="str">
        <f aca="false">IF(C1115&lt;11,"Morning (7-10)",IF(C1115&lt;14,"Lunch (11-13)",IF(C1115&lt;18,"Afternoon (14-17)","Evening (18-20)")))</f>
        <v>Lunch (11-13)</v>
      </c>
      <c r="S1115" s="4" t="str">
        <f aca="false">IF(AND(O1115&gt;=3,O1115&lt;=5),"Hot Dry (Mar-May)",IF(AND(O1115&gt;=6,O1115&lt;=11),"Rainy (Jun-Nov)","Cool Dry (Dec-Feb)"))</f>
        <v>Rainy (Jun-Nov)</v>
      </c>
      <c r="T1115" s="4" t="str">
        <f aca="false">CHOOSE(O1115,"Jan","Feb","Mar","Apr","May","Jun","Jul","Aug","Sep","Oct","Nov","Dec")</f>
        <v>Aug</v>
      </c>
    </row>
    <row r="1116" customFormat="false" ht="15" hidden="false" customHeight="false" outlineLevel="0" collapsed="false">
      <c r="A1116" s="4" t="s">
        <v>1437</v>
      </c>
      <c r="B1116" s="17" t="n">
        <v>45885</v>
      </c>
      <c r="C1116" s="4" t="n">
        <v>13</v>
      </c>
      <c r="D1116" s="4" t="s">
        <v>70</v>
      </c>
      <c r="E1116" s="4" t="s">
        <v>74</v>
      </c>
      <c r="F1116" s="4" t="s">
        <v>139</v>
      </c>
      <c r="G1116" s="4" t="n">
        <v>1</v>
      </c>
      <c r="H1116" s="34" t="n">
        <v>260</v>
      </c>
      <c r="I1116" s="18" t="n">
        <v>0.1</v>
      </c>
      <c r="J1116" s="4" t="s">
        <v>67</v>
      </c>
      <c r="K1116" s="4" t="s">
        <v>71</v>
      </c>
      <c r="L1116" s="35" t="n">
        <f aca="false">G1116*H1116</f>
        <v>260</v>
      </c>
      <c r="M1116" s="35" t="n">
        <f aca="false">L1116*I1116</f>
        <v>26</v>
      </c>
      <c r="N1116" s="35" t="n">
        <f aca="false">L1116-M1116</f>
        <v>234</v>
      </c>
      <c r="O1116" s="4" t="n">
        <f aca="false">MONTH(B1116)</f>
        <v>8</v>
      </c>
      <c r="P1116" s="4" t="str">
        <f aca="false">CHOOSE(WEEKDAY(B1116,2),"Mon","Tue","Wed","Thu","Fri","Sat","Sun")</f>
        <v>Sat</v>
      </c>
      <c r="Q1116" s="4" t="str">
        <f aca="false">IF(WEEKDAY(B1116,2)&gt;5,"Weekend","Weekday")</f>
        <v>Weekend</v>
      </c>
      <c r="R1116" s="4" t="str">
        <f aca="false">IF(C1116&lt;11,"Morning (7-10)",IF(C1116&lt;14,"Lunch (11-13)",IF(C1116&lt;18,"Afternoon (14-17)","Evening (18-20)")))</f>
        <v>Lunch (11-13)</v>
      </c>
      <c r="S1116" s="4" t="str">
        <f aca="false">IF(AND(O1116&gt;=3,O1116&lt;=5),"Hot Dry (Mar-May)",IF(AND(O1116&gt;=6,O1116&lt;=11),"Rainy (Jun-Nov)","Cool Dry (Dec-Feb)"))</f>
        <v>Rainy (Jun-Nov)</v>
      </c>
      <c r="T1116" s="4" t="str">
        <f aca="false">CHOOSE(O1116,"Jan","Feb","Mar","Apr","May","Jun","Jul","Aug","Sep","Oct","Nov","Dec")</f>
        <v>Aug</v>
      </c>
    </row>
    <row r="1117" customFormat="false" ht="15" hidden="false" customHeight="false" outlineLevel="0" collapsed="false">
      <c r="A1117" s="4" t="s">
        <v>1438</v>
      </c>
      <c r="B1117" s="17" t="n">
        <v>45885</v>
      </c>
      <c r="C1117" s="4" t="n">
        <v>13</v>
      </c>
      <c r="D1117" s="4" t="s">
        <v>64</v>
      </c>
      <c r="E1117" s="4" t="s">
        <v>99</v>
      </c>
      <c r="F1117" s="4" t="s">
        <v>109</v>
      </c>
      <c r="G1117" s="4" t="n">
        <v>1</v>
      </c>
      <c r="H1117" s="34" t="n">
        <v>130</v>
      </c>
      <c r="I1117" s="18" t="n">
        <v>0.05</v>
      </c>
      <c r="J1117" s="4" t="s">
        <v>76</v>
      </c>
      <c r="K1117" s="4" t="s">
        <v>82</v>
      </c>
      <c r="L1117" s="35" t="n">
        <f aca="false">G1117*H1117</f>
        <v>130</v>
      </c>
      <c r="M1117" s="35" t="n">
        <f aca="false">L1117*I1117</f>
        <v>6.5</v>
      </c>
      <c r="N1117" s="35" t="n">
        <f aca="false">L1117-M1117</f>
        <v>123.5</v>
      </c>
      <c r="O1117" s="4" t="n">
        <f aca="false">MONTH(B1117)</f>
        <v>8</v>
      </c>
      <c r="P1117" s="4" t="str">
        <f aca="false">CHOOSE(WEEKDAY(B1117,2),"Mon","Tue","Wed","Thu","Fri","Sat","Sun")</f>
        <v>Sat</v>
      </c>
      <c r="Q1117" s="4" t="str">
        <f aca="false">IF(WEEKDAY(B1117,2)&gt;5,"Weekend","Weekday")</f>
        <v>Weekend</v>
      </c>
      <c r="R1117" s="4" t="str">
        <f aca="false">IF(C1117&lt;11,"Morning (7-10)",IF(C1117&lt;14,"Lunch (11-13)",IF(C1117&lt;18,"Afternoon (14-17)","Evening (18-20)")))</f>
        <v>Lunch (11-13)</v>
      </c>
      <c r="S1117" s="4" t="str">
        <f aca="false">IF(AND(O1117&gt;=3,O1117&lt;=5),"Hot Dry (Mar-May)",IF(AND(O1117&gt;=6,O1117&lt;=11),"Rainy (Jun-Nov)","Cool Dry (Dec-Feb)"))</f>
        <v>Rainy (Jun-Nov)</v>
      </c>
      <c r="T1117" s="4" t="str">
        <f aca="false">CHOOSE(O1117,"Jan","Feb","Mar","Apr","May","Jun","Jul","Aug","Sep","Oct","Nov","Dec")</f>
        <v>Aug</v>
      </c>
    </row>
    <row r="1118" customFormat="false" ht="15" hidden="false" customHeight="false" outlineLevel="0" collapsed="false">
      <c r="A1118" s="4" t="s">
        <v>1440</v>
      </c>
      <c r="B1118" s="17" t="n">
        <v>45885</v>
      </c>
      <c r="C1118" s="4" t="n">
        <v>16</v>
      </c>
      <c r="D1118" s="4" t="s">
        <v>70</v>
      </c>
      <c r="E1118" s="4" t="s">
        <v>99</v>
      </c>
      <c r="F1118" s="4" t="s">
        <v>100</v>
      </c>
      <c r="G1118" s="4" t="n">
        <v>1</v>
      </c>
      <c r="H1118" s="34" t="n">
        <v>110</v>
      </c>
      <c r="I1118" s="18" t="n">
        <v>0</v>
      </c>
      <c r="J1118" s="4" t="s">
        <v>76</v>
      </c>
      <c r="K1118" s="4" t="s">
        <v>68</v>
      </c>
      <c r="L1118" s="35" t="n">
        <f aca="false">G1118*H1118</f>
        <v>110</v>
      </c>
      <c r="M1118" s="35" t="n">
        <f aca="false">L1118*I1118</f>
        <v>0</v>
      </c>
      <c r="N1118" s="35" t="n">
        <f aca="false">L1118-M1118</f>
        <v>110</v>
      </c>
      <c r="O1118" s="4" t="n">
        <f aca="false">MONTH(B1118)</f>
        <v>8</v>
      </c>
      <c r="P1118" s="4" t="str">
        <f aca="false">CHOOSE(WEEKDAY(B1118,2),"Mon","Tue","Wed","Thu","Fri","Sat","Sun")</f>
        <v>Sat</v>
      </c>
      <c r="Q1118" s="4" t="str">
        <f aca="false">IF(WEEKDAY(B1118,2)&gt;5,"Weekend","Weekday")</f>
        <v>Weekend</v>
      </c>
      <c r="R1118" s="4" t="str">
        <f aca="false">IF(C1118&lt;11,"Morning (7-10)",IF(C1118&lt;14,"Lunch (11-13)",IF(C1118&lt;18,"Afternoon (14-17)","Evening (18-20)")))</f>
        <v>Afternoon (14-17)</v>
      </c>
      <c r="S1118" s="4" t="str">
        <f aca="false">IF(AND(O1118&gt;=3,O1118&lt;=5),"Hot Dry (Mar-May)",IF(AND(O1118&gt;=6,O1118&lt;=11),"Rainy (Jun-Nov)","Cool Dry (Dec-Feb)"))</f>
        <v>Rainy (Jun-Nov)</v>
      </c>
      <c r="T1118" s="4" t="str">
        <f aca="false">CHOOSE(O1118,"Jan","Feb","Mar","Apr","May","Jun","Jul","Aug","Sep","Oct","Nov","Dec")</f>
        <v>Aug</v>
      </c>
    </row>
    <row r="1119" customFormat="false" ht="15" hidden="false" customHeight="false" outlineLevel="0" collapsed="false">
      <c r="A1119" s="4" t="s">
        <v>1441</v>
      </c>
      <c r="B1119" s="17" t="n">
        <v>45886</v>
      </c>
      <c r="C1119" s="4" t="n">
        <v>8</v>
      </c>
      <c r="D1119" s="4" t="s">
        <v>73</v>
      </c>
      <c r="E1119" s="4" t="s">
        <v>65</v>
      </c>
      <c r="F1119" s="4" t="s">
        <v>121</v>
      </c>
      <c r="G1119" s="4" t="n">
        <v>2</v>
      </c>
      <c r="H1119" s="34" t="n">
        <v>170</v>
      </c>
      <c r="I1119" s="18" t="n">
        <v>0</v>
      </c>
      <c r="J1119" s="4" t="s">
        <v>76</v>
      </c>
      <c r="K1119" s="4" t="s">
        <v>68</v>
      </c>
      <c r="L1119" s="35" t="n">
        <f aca="false">G1119*H1119</f>
        <v>340</v>
      </c>
      <c r="M1119" s="35" t="n">
        <f aca="false">L1119*I1119</f>
        <v>0</v>
      </c>
      <c r="N1119" s="35" t="n">
        <f aca="false">L1119-M1119</f>
        <v>340</v>
      </c>
      <c r="O1119" s="4" t="n">
        <f aca="false">MONTH(B1119)</f>
        <v>8</v>
      </c>
      <c r="P1119" s="4" t="str">
        <f aca="false">CHOOSE(WEEKDAY(B1119,2),"Mon","Tue","Wed","Thu","Fri","Sat","Sun")</f>
        <v>Sun</v>
      </c>
      <c r="Q1119" s="4" t="str">
        <f aca="false">IF(WEEKDAY(B1119,2)&gt;5,"Weekend","Weekday")</f>
        <v>Weekend</v>
      </c>
      <c r="R1119" s="4" t="str">
        <f aca="false">IF(C1119&lt;11,"Morning (7-10)",IF(C1119&lt;14,"Lunch (11-13)",IF(C1119&lt;18,"Afternoon (14-17)","Evening (18-20)")))</f>
        <v>Morning (7-10)</v>
      </c>
      <c r="S1119" s="4" t="str">
        <f aca="false">IF(AND(O1119&gt;=3,O1119&lt;=5),"Hot Dry (Mar-May)",IF(AND(O1119&gt;=6,O1119&lt;=11),"Rainy (Jun-Nov)","Cool Dry (Dec-Feb)"))</f>
        <v>Rainy (Jun-Nov)</v>
      </c>
      <c r="T1119" s="4" t="str">
        <f aca="false">CHOOSE(O1119,"Jan","Feb","Mar","Apr","May","Jun","Jul","Aug","Sep","Oct","Nov","Dec")</f>
        <v>Aug</v>
      </c>
    </row>
    <row r="1120" customFormat="false" ht="15" hidden="false" customHeight="false" outlineLevel="0" collapsed="false">
      <c r="A1120" s="4" t="s">
        <v>1442</v>
      </c>
      <c r="B1120" s="17" t="n">
        <v>45886</v>
      </c>
      <c r="C1120" s="4" t="n">
        <v>9</v>
      </c>
      <c r="D1120" s="4" t="s">
        <v>70</v>
      </c>
      <c r="E1120" s="4" t="s">
        <v>65</v>
      </c>
      <c r="F1120" s="4" t="s">
        <v>121</v>
      </c>
      <c r="G1120" s="4" t="n">
        <v>1</v>
      </c>
      <c r="H1120" s="34" t="n">
        <v>170</v>
      </c>
      <c r="I1120" s="18" t="n">
        <v>0.05</v>
      </c>
      <c r="J1120" s="4" t="s">
        <v>81</v>
      </c>
      <c r="K1120" s="4" t="s">
        <v>82</v>
      </c>
      <c r="L1120" s="35" t="n">
        <f aca="false">G1120*H1120</f>
        <v>170</v>
      </c>
      <c r="M1120" s="35" t="n">
        <f aca="false">L1120*I1120</f>
        <v>8.5</v>
      </c>
      <c r="N1120" s="35" t="n">
        <f aca="false">L1120-M1120</f>
        <v>161.5</v>
      </c>
      <c r="O1120" s="4" t="n">
        <f aca="false">MONTH(B1120)</f>
        <v>8</v>
      </c>
      <c r="P1120" s="4" t="str">
        <f aca="false">CHOOSE(WEEKDAY(B1120,2),"Mon","Tue","Wed","Thu","Fri","Sat","Sun")</f>
        <v>Sun</v>
      </c>
      <c r="Q1120" s="4" t="str">
        <f aca="false">IF(WEEKDAY(B1120,2)&gt;5,"Weekend","Weekday")</f>
        <v>Weekend</v>
      </c>
      <c r="R1120" s="4" t="str">
        <f aca="false">IF(C1120&lt;11,"Morning (7-10)",IF(C1120&lt;14,"Lunch (11-13)",IF(C1120&lt;18,"Afternoon (14-17)","Evening (18-20)")))</f>
        <v>Morning (7-10)</v>
      </c>
      <c r="S1120" s="4" t="str">
        <f aca="false">IF(AND(O1120&gt;=3,O1120&lt;=5),"Hot Dry (Mar-May)",IF(AND(O1120&gt;=6,O1120&lt;=11),"Rainy (Jun-Nov)","Cool Dry (Dec-Feb)"))</f>
        <v>Rainy (Jun-Nov)</v>
      </c>
      <c r="T1120" s="4" t="str">
        <f aca="false">CHOOSE(O1120,"Jan","Feb","Mar","Apr","May","Jun","Jul","Aug","Sep","Oct","Nov","Dec")</f>
        <v>Aug</v>
      </c>
    </row>
    <row r="1121" customFormat="false" ht="15" hidden="false" customHeight="false" outlineLevel="0" collapsed="false">
      <c r="A1121" s="4" t="s">
        <v>1443</v>
      </c>
      <c r="B1121" s="17" t="n">
        <v>45887</v>
      </c>
      <c r="C1121" s="4" t="n">
        <v>9</v>
      </c>
      <c r="D1121" s="4" t="s">
        <v>70</v>
      </c>
      <c r="E1121" s="4" t="s">
        <v>84</v>
      </c>
      <c r="F1121" s="4" t="s">
        <v>85</v>
      </c>
      <c r="G1121" s="4" t="n">
        <v>3</v>
      </c>
      <c r="H1121" s="34" t="n">
        <v>150</v>
      </c>
      <c r="I1121" s="18" t="n">
        <v>0</v>
      </c>
      <c r="J1121" s="4" t="s">
        <v>81</v>
      </c>
      <c r="K1121" s="4" t="s">
        <v>68</v>
      </c>
      <c r="L1121" s="35" t="n">
        <f aca="false">G1121*H1121</f>
        <v>450</v>
      </c>
      <c r="M1121" s="35" t="n">
        <f aca="false">L1121*I1121</f>
        <v>0</v>
      </c>
      <c r="N1121" s="35" t="n">
        <f aca="false">L1121-M1121</f>
        <v>450</v>
      </c>
      <c r="O1121" s="4" t="n">
        <f aca="false">MONTH(B1121)</f>
        <v>8</v>
      </c>
      <c r="P1121" s="4" t="str">
        <f aca="false">CHOOSE(WEEKDAY(B1121,2),"Mon","Tue","Wed","Thu","Fri","Sat","Sun")</f>
        <v>Mon</v>
      </c>
      <c r="Q1121" s="4" t="str">
        <f aca="false">IF(WEEKDAY(B1121,2)&gt;5,"Weekend","Weekday")</f>
        <v>Weekday</v>
      </c>
      <c r="R1121" s="4" t="str">
        <f aca="false">IF(C1121&lt;11,"Morning (7-10)",IF(C1121&lt;14,"Lunch (11-13)",IF(C1121&lt;18,"Afternoon (14-17)","Evening (18-20)")))</f>
        <v>Morning (7-10)</v>
      </c>
      <c r="S1121" s="4" t="str">
        <f aca="false">IF(AND(O1121&gt;=3,O1121&lt;=5),"Hot Dry (Mar-May)",IF(AND(O1121&gt;=6,O1121&lt;=11),"Rainy (Jun-Nov)","Cool Dry (Dec-Feb)"))</f>
        <v>Rainy (Jun-Nov)</v>
      </c>
      <c r="T1121" s="4" t="str">
        <f aca="false">CHOOSE(O1121,"Jan","Feb","Mar","Apr","May","Jun","Jul","Aug","Sep","Oct","Nov","Dec")</f>
        <v>Aug</v>
      </c>
    </row>
    <row r="1122" customFormat="false" ht="15" hidden="false" customHeight="false" outlineLevel="0" collapsed="false">
      <c r="A1122" s="4" t="s">
        <v>1444</v>
      </c>
      <c r="B1122" s="17" t="n">
        <v>45887</v>
      </c>
      <c r="C1122" s="4" t="n">
        <v>11</v>
      </c>
      <c r="D1122" s="4" t="s">
        <v>64</v>
      </c>
      <c r="E1122" s="4" t="s">
        <v>99</v>
      </c>
      <c r="F1122" s="4" t="s">
        <v>133</v>
      </c>
      <c r="G1122" s="4" t="n">
        <v>1</v>
      </c>
      <c r="H1122" s="34" t="n">
        <v>90</v>
      </c>
      <c r="I1122" s="18" t="n">
        <v>0</v>
      </c>
      <c r="J1122" s="4" t="s">
        <v>81</v>
      </c>
      <c r="K1122" s="4" t="s">
        <v>68</v>
      </c>
      <c r="L1122" s="35" t="n">
        <f aca="false">G1122*H1122</f>
        <v>90</v>
      </c>
      <c r="M1122" s="35" t="n">
        <f aca="false">L1122*I1122</f>
        <v>0</v>
      </c>
      <c r="N1122" s="35" t="n">
        <f aca="false">L1122-M1122</f>
        <v>90</v>
      </c>
      <c r="O1122" s="4" t="n">
        <f aca="false">MONTH(B1122)</f>
        <v>8</v>
      </c>
      <c r="P1122" s="4" t="str">
        <f aca="false">CHOOSE(WEEKDAY(B1122,2),"Mon","Tue","Wed","Thu","Fri","Sat","Sun")</f>
        <v>Mon</v>
      </c>
      <c r="Q1122" s="4" t="str">
        <f aca="false">IF(WEEKDAY(B1122,2)&gt;5,"Weekend","Weekday")</f>
        <v>Weekday</v>
      </c>
      <c r="R1122" s="4" t="str">
        <f aca="false">IF(C1122&lt;11,"Morning (7-10)",IF(C1122&lt;14,"Lunch (11-13)",IF(C1122&lt;18,"Afternoon (14-17)","Evening (18-20)")))</f>
        <v>Lunch (11-13)</v>
      </c>
      <c r="S1122" s="4" t="str">
        <f aca="false">IF(AND(O1122&gt;=3,O1122&lt;=5),"Hot Dry (Mar-May)",IF(AND(O1122&gt;=6,O1122&lt;=11),"Rainy (Jun-Nov)","Cool Dry (Dec-Feb)"))</f>
        <v>Rainy (Jun-Nov)</v>
      </c>
      <c r="T1122" s="4" t="str">
        <f aca="false">CHOOSE(O1122,"Jan","Feb","Mar","Apr","May","Jun","Jul","Aug","Sep","Oct","Nov","Dec")</f>
        <v>Aug</v>
      </c>
    </row>
    <row r="1123" customFormat="false" ht="15" hidden="false" customHeight="false" outlineLevel="0" collapsed="false">
      <c r="A1123" s="4" t="s">
        <v>1445</v>
      </c>
      <c r="B1123" s="17" t="n">
        <v>45887</v>
      </c>
      <c r="C1123" s="4" t="n">
        <v>16</v>
      </c>
      <c r="D1123" s="4" t="s">
        <v>73</v>
      </c>
      <c r="E1123" s="4" t="s">
        <v>65</v>
      </c>
      <c r="F1123" s="4" t="s">
        <v>66</v>
      </c>
      <c r="G1123" s="4" t="n">
        <v>1</v>
      </c>
      <c r="H1123" s="34" t="n">
        <v>120</v>
      </c>
      <c r="I1123" s="18" t="n">
        <v>0.05</v>
      </c>
      <c r="J1123" s="4" t="s">
        <v>81</v>
      </c>
      <c r="K1123" s="4" t="s">
        <v>82</v>
      </c>
      <c r="L1123" s="35" t="n">
        <f aca="false">G1123*H1123</f>
        <v>120</v>
      </c>
      <c r="M1123" s="35" t="n">
        <f aca="false">L1123*I1123</f>
        <v>6</v>
      </c>
      <c r="N1123" s="35" t="n">
        <f aca="false">L1123-M1123</f>
        <v>114</v>
      </c>
      <c r="O1123" s="4" t="n">
        <f aca="false">MONTH(B1123)</f>
        <v>8</v>
      </c>
      <c r="P1123" s="4" t="str">
        <f aca="false">CHOOSE(WEEKDAY(B1123,2),"Mon","Tue","Wed","Thu","Fri","Sat","Sun")</f>
        <v>Mon</v>
      </c>
      <c r="Q1123" s="4" t="str">
        <f aca="false">IF(WEEKDAY(B1123,2)&gt;5,"Weekend","Weekday")</f>
        <v>Weekday</v>
      </c>
      <c r="R1123" s="4" t="str">
        <f aca="false">IF(C1123&lt;11,"Morning (7-10)",IF(C1123&lt;14,"Lunch (11-13)",IF(C1123&lt;18,"Afternoon (14-17)","Evening (18-20)")))</f>
        <v>Afternoon (14-17)</v>
      </c>
      <c r="S1123" s="4" t="str">
        <f aca="false">IF(AND(O1123&gt;=3,O1123&lt;=5),"Hot Dry (Mar-May)",IF(AND(O1123&gt;=6,O1123&lt;=11),"Rainy (Jun-Nov)","Cool Dry (Dec-Feb)"))</f>
        <v>Rainy (Jun-Nov)</v>
      </c>
      <c r="T1123" s="4" t="str">
        <f aca="false">CHOOSE(O1123,"Jan","Feb","Mar","Apr","May","Jun","Jul","Aug","Sep","Oct","Nov","Dec")</f>
        <v>Aug</v>
      </c>
    </row>
    <row r="1124" customFormat="false" ht="15" hidden="false" customHeight="false" outlineLevel="0" collapsed="false">
      <c r="A1124" s="4" t="s">
        <v>1446</v>
      </c>
      <c r="B1124" s="17" t="n">
        <v>45887</v>
      </c>
      <c r="C1124" s="4" t="n">
        <v>19</v>
      </c>
      <c r="D1124" s="4" t="s">
        <v>64</v>
      </c>
      <c r="E1124" s="4" t="s">
        <v>65</v>
      </c>
      <c r="F1124" s="4" t="s">
        <v>94</v>
      </c>
      <c r="G1124" s="4" t="n">
        <v>3</v>
      </c>
      <c r="H1124" s="34" t="n">
        <v>150</v>
      </c>
      <c r="I1124" s="18" t="n">
        <v>0</v>
      </c>
      <c r="J1124" s="4" t="s">
        <v>112</v>
      </c>
      <c r="K1124" s="4" t="s">
        <v>68</v>
      </c>
      <c r="L1124" s="35" t="n">
        <f aca="false">G1124*H1124</f>
        <v>450</v>
      </c>
      <c r="M1124" s="35" t="n">
        <f aca="false">L1124*I1124</f>
        <v>0</v>
      </c>
      <c r="N1124" s="35" t="n">
        <f aca="false">L1124-M1124</f>
        <v>450</v>
      </c>
      <c r="O1124" s="4" t="n">
        <f aca="false">MONTH(B1124)</f>
        <v>8</v>
      </c>
      <c r="P1124" s="4" t="str">
        <f aca="false">CHOOSE(WEEKDAY(B1124,2),"Mon","Tue","Wed","Thu","Fri","Sat","Sun")</f>
        <v>Mon</v>
      </c>
      <c r="Q1124" s="4" t="str">
        <f aca="false">IF(WEEKDAY(B1124,2)&gt;5,"Weekend","Weekday")</f>
        <v>Weekday</v>
      </c>
      <c r="R1124" s="4" t="str">
        <f aca="false">IF(C1124&lt;11,"Morning (7-10)",IF(C1124&lt;14,"Lunch (11-13)",IF(C1124&lt;18,"Afternoon (14-17)","Evening (18-20)")))</f>
        <v>Evening (18-20)</v>
      </c>
      <c r="S1124" s="4" t="str">
        <f aca="false">IF(AND(O1124&gt;=3,O1124&lt;=5),"Hot Dry (Mar-May)",IF(AND(O1124&gt;=6,O1124&lt;=11),"Rainy (Jun-Nov)","Cool Dry (Dec-Feb)"))</f>
        <v>Rainy (Jun-Nov)</v>
      </c>
      <c r="T1124" s="4" t="str">
        <f aca="false">CHOOSE(O1124,"Jan","Feb","Mar","Apr","May","Jun","Jul","Aug","Sep","Oct","Nov","Dec")</f>
        <v>Aug</v>
      </c>
    </row>
    <row r="1125" customFormat="false" ht="15" hidden="false" customHeight="false" outlineLevel="0" collapsed="false">
      <c r="A1125" s="4" t="s">
        <v>1447</v>
      </c>
      <c r="B1125" s="17" t="n">
        <v>45888</v>
      </c>
      <c r="C1125" s="4" t="n">
        <v>7</v>
      </c>
      <c r="D1125" s="4" t="s">
        <v>98</v>
      </c>
      <c r="E1125" s="4" t="s">
        <v>65</v>
      </c>
      <c r="F1125" s="4" t="s">
        <v>66</v>
      </c>
      <c r="G1125" s="4" t="n">
        <v>2</v>
      </c>
      <c r="H1125" s="34" t="n">
        <v>120</v>
      </c>
      <c r="I1125" s="18" t="n">
        <v>0.1</v>
      </c>
      <c r="J1125" s="4" t="s">
        <v>112</v>
      </c>
      <c r="K1125" s="4" t="s">
        <v>71</v>
      </c>
      <c r="L1125" s="35" t="n">
        <f aca="false">G1125*H1125</f>
        <v>240</v>
      </c>
      <c r="M1125" s="35" t="n">
        <f aca="false">L1125*I1125</f>
        <v>24</v>
      </c>
      <c r="N1125" s="35" t="n">
        <f aca="false">L1125-M1125</f>
        <v>216</v>
      </c>
      <c r="O1125" s="4" t="n">
        <f aca="false">MONTH(B1125)</f>
        <v>8</v>
      </c>
      <c r="P1125" s="4" t="str">
        <f aca="false">CHOOSE(WEEKDAY(B1125,2),"Mon","Tue","Wed","Thu","Fri","Sat","Sun")</f>
        <v>Tue</v>
      </c>
      <c r="Q1125" s="4" t="str">
        <f aca="false">IF(WEEKDAY(B1125,2)&gt;5,"Weekend","Weekday")</f>
        <v>Weekday</v>
      </c>
      <c r="R1125" s="4" t="str">
        <f aca="false">IF(C1125&lt;11,"Morning (7-10)",IF(C1125&lt;14,"Lunch (11-13)",IF(C1125&lt;18,"Afternoon (14-17)","Evening (18-20)")))</f>
        <v>Morning (7-10)</v>
      </c>
      <c r="S1125" s="4" t="str">
        <f aca="false">IF(AND(O1125&gt;=3,O1125&lt;=5),"Hot Dry (Mar-May)",IF(AND(O1125&gt;=6,O1125&lt;=11),"Rainy (Jun-Nov)","Cool Dry (Dec-Feb)"))</f>
        <v>Rainy (Jun-Nov)</v>
      </c>
      <c r="T1125" s="4" t="str">
        <f aca="false">CHOOSE(O1125,"Jan","Feb","Mar","Apr","May","Jun","Jul","Aug","Sep","Oct","Nov","Dec")</f>
        <v>Aug</v>
      </c>
    </row>
    <row r="1126" customFormat="false" ht="15" hidden="false" customHeight="false" outlineLevel="0" collapsed="false">
      <c r="A1126" s="4" t="s">
        <v>1448</v>
      </c>
      <c r="B1126" s="17" t="n">
        <v>45888</v>
      </c>
      <c r="C1126" s="4" t="n">
        <v>7</v>
      </c>
      <c r="D1126" s="4" t="s">
        <v>70</v>
      </c>
      <c r="E1126" s="4" t="s">
        <v>79</v>
      </c>
      <c r="F1126" s="4" t="s">
        <v>80</v>
      </c>
      <c r="G1126" s="4" t="n">
        <v>2</v>
      </c>
      <c r="H1126" s="34" t="n">
        <v>160</v>
      </c>
      <c r="I1126" s="18" t="n">
        <v>0</v>
      </c>
      <c r="J1126" s="4" t="s">
        <v>81</v>
      </c>
      <c r="K1126" s="4" t="s">
        <v>68</v>
      </c>
      <c r="L1126" s="35" t="n">
        <f aca="false">G1126*H1126</f>
        <v>320</v>
      </c>
      <c r="M1126" s="35" t="n">
        <f aca="false">L1126*I1126</f>
        <v>0</v>
      </c>
      <c r="N1126" s="35" t="n">
        <f aca="false">L1126-M1126</f>
        <v>320</v>
      </c>
      <c r="O1126" s="4" t="n">
        <f aca="false">MONTH(B1126)</f>
        <v>8</v>
      </c>
      <c r="P1126" s="4" t="str">
        <f aca="false">CHOOSE(WEEKDAY(B1126,2),"Mon","Tue","Wed","Thu","Fri","Sat","Sun")</f>
        <v>Tue</v>
      </c>
      <c r="Q1126" s="4" t="str">
        <f aca="false">IF(WEEKDAY(B1126,2)&gt;5,"Weekend","Weekday")</f>
        <v>Weekday</v>
      </c>
      <c r="R1126" s="4" t="str">
        <f aca="false">IF(C1126&lt;11,"Morning (7-10)",IF(C1126&lt;14,"Lunch (11-13)",IF(C1126&lt;18,"Afternoon (14-17)","Evening (18-20)")))</f>
        <v>Morning (7-10)</v>
      </c>
      <c r="S1126" s="4" t="str">
        <f aca="false">IF(AND(O1126&gt;=3,O1126&lt;=5),"Hot Dry (Mar-May)",IF(AND(O1126&gt;=6,O1126&lt;=11),"Rainy (Jun-Nov)","Cool Dry (Dec-Feb)"))</f>
        <v>Rainy (Jun-Nov)</v>
      </c>
      <c r="T1126" s="4" t="str">
        <f aca="false">CHOOSE(O1126,"Jan","Feb","Mar","Apr","May","Jun","Jul","Aug","Sep","Oct","Nov","Dec")</f>
        <v>Aug</v>
      </c>
    </row>
    <row r="1127" customFormat="false" ht="15" hidden="false" customHeight="false" outlineLevel="0" collapsed="false">
      <c r="A1127" s="4" t="s">
        <v>1449</v>
      </c>
      <c r="B1127" s="17" t="n">
        <v>45888</v>
      </c>
      <c r="C1127" s="4" t="n">
        <v>8</v>
      </c>
      <c r="D1127" s="4" t="s">
        <v>70</v>
      </c>
      <c r="E1127" s="4" t="s">
        <v>84</v>
      </c>
      <c r="F1127" s="4" t="s">
        <v>106</v>
      </c>
      <c r="G1127" s="4" t="n">
        <v>3</v>
      </c>
      <c r="H1127" s="34" t="n">
        <v>60</v>
      </c>
      <c r="I1127" s="18" t="n">
        <v>0</v>
      </c>
      <c r="J1127" s="4" t="s">
        <v>88</v>
      </c>
      <c r="K1127" s="4" t="s">
        <v>77</v>
      </c>
      <c r="L1127" s="35" t="n">
        <f aca="false">G1127*H1127</f>
        <v>180</v>
      </c>
      <c r="M1127" s="35" t="n">
        <f aca="false">L1127*I1127</f>
        <v>0</v>
      </c>
      <c r="N1127" s="35" t="n">
        <f aca="false">L1127-M1127</f>
        <v>180</v>
      </c>
      <c r="O1127" s="4" t="n">
        <f aca="false">MONTH(B1127)</f>
        <v>8</v>
      </c>
      <c r="P1127" s="4" t="str">
        <f aca="false">CHOOSE(WEEKDAY(B1127,2),"Mon","Tue","Wed","Thu","Fri","Sat","Sun")</f>
        <v>Tue</v>
      </c>
      <c r="Q1127" s="4" t="str">
        <f aca="false">IF(WEEKDAY(B1127,2)&gt;5,"Weekend","Weekday")</f>
        <v>Weekday</v>
      </c>
      <c r="R1127" s="4" t="str">
        <f aca="false">IF(C1127&lt;11,"Morning (7-10)",IF(C1127&lt;14,"Lunch (11-13)",IF(C1127&lt;18,"Afternoon (14-17)","Evening (18-20)")))</f>
        <v>Morning (7-10)</v>
      </c>
      <c r="S1127" s="4" t="str">
        <f aca="false">IF(AND(O1127&gt;=3,O1127&lt;=5),"Hot Dry (Mar-May)",IF(AND(O1127&gt;=6,O1127&lt;=11),"Rainy (Jun-Nov)","Cool Dry (Dec-Feb)"))</f>
        <v>Rainy (Jun-Nov)</v>
      </c>
      <c r="T1127" s="4" t="str">
        <f aca="false">CHOOSE(O1127,"Jan","Feb","Mar","Apr","May","Jun","Jul","Aug","Sep","Oct","Nov","Dec")</f>
        <v>Aug</v>
      </c>
    </row>
    <row r="1128" customFormat="false" ht="15" hidden="false" customHeight="false" outlineLevel="0" collapsed="false">
      <c r="A1128" s="4" t="s">
        <v>1450</v>
      </c>
      <c r="B1128" s="17" t="n">
        <v>45888</v>
      </c>
      <c r="C1128" s="4" t="n">
        <v>9</v>
      </c>
      <c r="D1128" s="4" t="s">
        <v>73</v>
      </c>
      <c r="E1128" s="4" t="s">
        <v>99</v>
      </c>
      <c r="F1128" s="4" t="s">
        <v>109</v>
      </c>
      <c r="G1128" s="4" t="n">
        <v>1</v>
      </c>
      <c r="H1128" s="34" t="n">
        <v>130</v>
      </c>
      <c r="I1128" s="18" t="n">
        <v>0.1</v>
      </c>
      <c r="J1128" s="4" t="s">
        <v>88</v>
      </c>
      <c r="K1128" s="4" t="s">
        <v>71</v>
      </c>
      <c r="L1128" s="35" t="n">
        <f aca="false">G1128*H1128</f>
        <v>130</v>
      </c>
      <c r="M1128" s="35" t="n">
        <f aca="false">L1128*I1128</f>
        <v>13</v>
      </c>
      <c r="N1128" s="35" t="n">
        <f aca="false">L1128-M1128</f>
        <v>117</v>
      </c>
      <c r="O1128" s="4" t="n">
        <f aca="false">MONTH(B1128)</f>
        <v>8</v>
      </c>
      <c r="P1128" s="4" t="str">
        <f aca="false">CHOOSE(WEEKDAY(B1128,2),"Mon","Tue","Wed","Thu","Fri","Sat","Sun")</f>
        <v>Tue</v>
      </c>
      <c r="Q1128" s="4" t="str">
        <f aca="false">IF(WEEKDAY(B1128,2)&gt;5,"Weekend","Weekday")</f>
        <v>Weekday</v>
      </c>
      <c r="R1128" s="4" t="str">
        <f aca="false">IF(C1128&lt;11,"Morning (7-10)",IF(C1128&lt;14,"Lunch (11-13)",IF(C1128&lt;18,"Afternoon (14-17)","Evening (18-20)")))</f>
        <v>Morning (7-10)</v>
      </c>
      <c r="S1128" s="4" t="str">
        <f aca="false">IF(AND(O1128&gt;=3,O1128&lt;=5),"Hot Dry (Mar-May)",IF(AND(O1128&gt;=6,O1128&lt;=11),"Rainy (Jun-Nov)","Cool Dry (Dec-Feb)"))</f>
        <v>Rainy (Jun-Nov)</v>
      </c>
      <c r="T1128" s="4" t="str">
        <f aca="false">CHOOSE(O1128,"Jan","Feb","Mar","Apr","May","Jun","Jul","Aug","Sep","Oct","Nov","Dec")</f>
        <v>Aug</v>
      </c>
    </row>
    <row r="1129" customFormat="false" ht="15" hidden="false" customHeight="false" outlineLevel="0" collapsed="false">
      <c r="A1129" s="4" t="s">
        <v>1451</v>
      </c>
      <c r="B1129" s="17" t="n">
        <v>45888</v>
      </c>
      <c r="C1129" s="4" t="n">
        <v>12</v>
      </c>
      <c r="D1129" s="4" t="s">
        <v>70</v>
      </c>
      <c r="E1129" s="4" t="s">
        <v>74</v>
      </c>
      <c r="F1129" s="4" t="s">
        <v>75</v>
      </c>
      <c r="G1129" s="4" t="n">
        <v>2</v>
      </c>
      <c r="H1129" s="34" t="n">
        <v>220</v>
      </c>
      <c r="I1129" s="18" t="n">
        <v>0</v>
      </c>
      <c r="J1129" s="4" t="s">
        <v>76</v>
      </c>
      <c r="K1129" s="4" t="s">
        <v>68</v>
      </c>
      <c r="L1129" s="35" t="n">
        <f aca="false">G1129*H1129</f>
        <v>440</v>
      </c>
      <c r="M1129" s="35" t="n">
        <f aca="false">L1129*I1129</f>
        <v>0</v>
      </c>
      <c r="N1129" s="35" t="n">
        <f aca="false">L1129-M1129</f>
        <v>440</v>
      </c>
      <c r="O1129" s="4" t="n">
        <f aca="false">MONTH(B1129)</f>
        <v>8</v>
      </c>
      <c r="P1129" s="4" t="str">
        <f aca="false">CHOOSE(WEEKDAY(B1129,2),"Mon","Tue","Wed","Thu","Fri","Sat","Sun")</f>
        <v>Tue</v>
      </c>
      <c r="Q1129" s="4" t="str">
        <f aca="false">IF(WEEKDAY(B1129,2)&gt;5,"Weekend","Weekday")</f>
        <v>Weekday</v>
      </c>
      <c r="R1129" s="4" t="str">
        <f aca="false">IF(C1129&lt;11,"Morning (7-10)",IF(C1129&lt;14,"Lunch (11-13)",IF(C1129&lt;18,"Afternoon (14-17)","Evening (18-20)")))</f>
        <v>Lunch (11-13)</v>
      </c>
      <c r="S1129" s="4" t="str">
        <f aca="false">IF(AND(O1129&gt;=3,O1129&lt;=5),"Hot Dry (Mar-May)",IF(AND(O1129&gt;=6,O1129&lt;=11),"Rainy (Jun-Nov)","Cool Dry (Dec-Feb)"))</f>
        <v>Rainy (Jun-Nov)</v>
      </c>
      <c r="T1129" s="4" t="str">
        <f aca="false">CHOOSE(O1129,"Jan","Feb","Mar","Apr","May","Jun","Jul","Aug","Sep","Oct","Nov","Dec")</f>
        <v>Aug</v>
      </c>
    </row>
    <row r="1130" customFormat="false" ht="15" hidden="false" customHeight="false" outlineLevel="0" collapsed="false">
      <c r="A1130" s="4" t="s">
        <v>1452</v>
      </c>
      <c r="B1130" s="17" t="n">
        <v>45888</v>
      </c>
      <c r="C1130" s="4" t="n">
        <v>13</v>
      </c>
      <c r="D1130" s="4" t="s">
        <v>70</v>
      </c>
      <c r="E1130" s="4" t="s">
        <v>99</v>
      </c>
      <c r="F1130" s="4" t="s">
        <v>133</v>
      </c>
      <c r="G1130" s="4" t="n">
        <v>1</v>
      </c>
      <c r="H1130" s="34" t="n">
        <v>90</v>
      </c>
      <c r="I1130" s="18" t="n">
        <v>0</v>
      </c>
      <c r="J1130" s="4" t="s">
        <v>112</v>
      </c>
      <c r="K1130" s="4" t="s">
        <v>77</v>
      </c>
      <c r="L1130" s="35" t="n">
        <f aca="false">G1130*H1130</f>
        <v>90</v>
      </c>
      <c r="M1130" s="35" t="n">
        <f aca="false">L1130*I1130</f>
        <v>0</v>
      </c>
      <c r="N1130" s="35" t="n">
        <f aca="false">L1130-M1130</f>
        <v>90</v>
      </c>
      <c r="O1130" s="4" t="n">
        <f aca="false">MONTH(B1130)</f>
        <v>8</v>
      </c>
      <c r="P1130" s="4" t="str">
        <f aca="false">CHOOSE(WEEKDAY(B1130,2),"Mon","Tue","Wed","Thu","Fri","Sat","Sun")</f>
        <v>Tue</v>
      </c>
      <c r="Q1130" s="4" t="str">
        <f aca="false">IF(WEEKDAY(B1130,2)&gt;5,"Weekend","Weekday")</f>
        <v>Weekday</v>
      </c>
      <c r="R1130" s="4" t="str">
        <f aca="false">IF(C1130&lt;11,"Morning (7-10)",IF(C1130&lt;14,"Lunch (11-13)",IF(C1130&lt;18,"Afternoon (14-17)","Evening (18-20)")))</f>
        <v>Lunch (11-13)</v>
      </c>
      <c r="S1130" s="4" t="str">
        <f aca="false">IF(AND(O1130&gt;=3,O1130&lt;=5),"Hot Dry (Mar-May)",IF(AND(O1130&gt;=6,O1130&lt;=11),"Rainy (Jun-Nov)","Cool Dry (Dec-Feb)"))</f>
        <v>Rainy (Jun-Nov)</v>
      </c>
      <c r="T1130" s="4" t="str">
        <f aca="false">CHOOSE(O1130,"Jan","Feb","Mar","Apr","May","Jun","Jul","Aug","Sep","Oct","Nov","Dec")</f>
        <v>Aug</v>
      </c>
    </row>
    <row r="1131" customFormat="false" ht="15" hidden="false" customHeight="false" outlineLevel="0" collapsed="false">
      <c r="A1131" s="4" t="s">
        <v>1453</v>
      </c>
      <c r="B1131" s="17" t="n">
        <v>45888</v>
      </c>
      <c r="C1131" s="4" t="n">
        <v>17</v>
      </c>
      <c r="D1131" s="4" t="s">
        <v>70</v>
      </c>
      <c r="E1131" s="4" t="s">
        <v>99</v>
      </c>
      <c r="F1131" s="4" t="s">
        <v>133</v>
      </c>
      <c r="G1131" s="4" t="n">
        <v>4</v>
      </c>
      <c r="H1131" s="34" t="n">
        <v>90</v>
      </c>
      <c r="I1131" s="18" t="n">
        <v>0</v>
      </c>
      <c r="J1131" s="4" t="s">
        <v>76</v>
      </c>
      <c r="K1131" s="4" t="s">
        <v>68</v>
      </c>
      <c r="L1131" s="35" t="n">
        <f aca="false">G1131*H1131</f>
        <v>360</v>
      </c>
      <c r="M1131" s="35" t="n">
        <f aca="false">L1131*I1131</f>
        <v>0</v>
      </c>
      <c r="N1131" s="35" t="n">
        <f aca="false">L1131-M1131</f>
        <v>360</v>
      </c>
      <c r="O1131" s="4" t="n">
        <f aca="false">MONTH(B1131)</f>
        <v>8</v>
      </c>
      <c r="P1131" s="4" t="str">
        <f aca="false">CHOOSE(WEEKDAY(B1131,2),"Mon","Tue","Wed","Thu","Fri","Sat","Sun")</f>
        <v>Tue</v>
      </c>
      <c r="Q1131" s="4" t="str">
        <f aca="false">IF(WEEKDAY(B1131,2)&gt;5,"Weekend","Weekday")</f>
        <v>Weekday</v>
      </c>
      <c r="R1131" s="4" t="str">
        <f aca="false">IF(C1131&lt;11,"Morning (7-10)",IF(C1131&lt;14,"Lunch (11-13)",IF(C1131&lt;18,"Afternoon (14-17)","Evening (18-20)")))</f>
        <v>Afternoon (14-17)</v>
      </c>
      <c r="S1131" s="4" t="str">
        <f aca="false">IF(AND(O1131&gt;=3,O1131&lt;=5),"Hot Dry (Mar-May)",IF(AND(O1131&gt;=6,O1131&lt;=11),"Rainy (Jun-Nov)","Cool Dry (Dec-Feb)"))</f>
        <v>Rainy (Jun-Nov)</v>
      </c>
      <c r="T1131" s="4" t="str">
        <f aca="false">CHOOSE(O1131,"Jan","Feb","Mar","Apr","May","Jun","Jul","Aug","Sep","Oct","Nov","Dec")</f>
        <v>Aug</v>
      </c>
    </row>
    <row r="1132" customFormat="false" ht="15" hidden="false" customHeight="false" outlineLevel="0" collapsed="false">
      <c r="A1132" s="4" t="s">
        <v>1455</v>
      </c>
      <c r="B1132" s="17" t="n">
        <v>45888</v>
      </c>
      <c r="C1132" s="4" t="n">
        <v>19</v>
      </c>
      <c r="D1132" s="4" t="s">
        <v>70</v>
      </c>
      <c r="E1132" s="4" t="s">
        <v>79</v>
      </c>
      <c r="F1132" s="4" t="s">
        <v>148</v>
      </c>
      <c r="G1132" s="4" t="n">
        <v>4</v>
      </c>
      <c r="H1132" s="34" t="n">
        <v>120</v>
      </c>
      <c r="I1132" s="18" t="n">
        <v>0.05</v>
      </c>
      <c r="J1132" s="4" t="s">
        <v>76</v>
      </c>
      <c r="K1132" s="4" t="s">
        <v>82</v>
      </c>
      <c r="L1132" s="35" t="n">
        <f aca="false">G1132*H1132</f>
        <v>480</v>
      </c>
      <c r="M1132" s="35" t="n">
        <f aca="false">L1132*I1132</f>
        <v>24</v>
      </c>
      <c r="N1132" s="35" t="n">
        <f aca="false">L1132-M1132</f>
        <v>456</v>
      </c>
      <c r="O1132" s="4" t="n">
        <f aca="false">MONTH(B1132)</f>
        <v>8</v>
      </c>
      <c r="P1132" s="4" t="str">
        <f aca="false">CHOOSE(WEEKDAY(B1132,2),"Mon","Tue","Wed","Thu","Fri","Sat","Sun")</f>
        <v>Tue</v>
      </c>
      <c r="Q1132" s="4" t="str">
        <f aca="false">IF(WEEKDAY(B1132,2)&gt;5,"Weekend","Weekday")</f>
        <v>Weekday</v>
      </c>
      <c r="R1132" s="4" t="str">
        <f aca="false">IF(C1132&lt;11,"Morning (7-10)",IF(C1132&lt;14,"Lunch (11-13)",IF(C1132&lt;18,"Afternoon (14-17)","Evening (18-20)")))</f>
        <v>Evening (18-20)</v>
      </c>
      <c r="S1132" s="4" t="str">
        <f aca="false">IF(AND(O1132&gt;=3,O1132&lt;=5),"Hot Dry (Mar-May)",IF(AND(O1132&gt;=6,O1132&lt;=11),"Rainy (Jun-Nov)","Cool Dry (Dec-Feb)"))</f>
        <v>Rainy (Jun-Nov)</v>
      </c>
      <c r="T1132" s="4" t="str">
        <f aca="false">CHOOSE(O1132,"Jan","Feb","Mar","Apr","May","Jun","Jul","Aug","Sep","Oct","Nov","Dec")</f>
        <v>Aug</v>
      </c>
    </row>
    <row r="1133" customFormat="false" ht="15" hidden="false" customHeight="false" outlineLevel="0" collapsed="false">
      <c r="A1133" s="4" t="s">
        <v>1456</v>
      </c>
      <c r="B1133" s="17" t="n">
        <v>45889</v>
      </c>
      <c r="C1133" s="4" t="n">
        <v>9</v>
      </c>
      <c r="D1133" s="4" t="s">
        <v>73</v>
      </c>
      <c r="E1133" s="4" t="s">
        <v>79</v>
      </c>
      <c r="F1133" s="4" t="s">
        <v>80</v>
      </c>
      <c r="G1133" s="4" t="n">
        <v>1</v>
      </c>
      <c r="H1133" s="34" t="n">
        <v>160</v>
      </c>
      <c r="I1133" s="18" t="n">
        <v>0</v>
      </c>
      <c r="J1133" s="4" t="s">
        <v>88</v>
      </c>
      <c r="K1133" s="4" t="s">
        <v>68</v>
      </c>
      <c r="L1133" s="35" t="n">
        <f aca="false">G1133*H1133</f>
        <v>160</v>
      </c>
      <c r="M1133" s="35" t="n">
        <f aca="false">L1133*I1133</f>
        <v>0</v>
      </c>
      <c r="N1133" s="35" t="n">
        <f aca="false">L1133-M1133</f>
        <v>160</v>
      </c>
      <c r="O1133" s="4" t="n">
        <f aca="false">MONTH(B1133)</f>
        <v>8</v>
      </c>
      <c r="P1133" s="4" t="str">
        <f aca="false">CHOOSE(WEEKDAY(B1133,2),"Mon","Tue","Wed","Thu","Fri","Sat","Sun")</f>
        <v>Wed</v>
      </c>
      <c r="Q1133" s="4" t="str">
        <f aca="false">IF(WEEKDAY(B1133,2)&gt;5,"Weekend","Weekday")</f>
        <v>Weekday</v>
      </c>
      <c r="R1133" s="4" t="str">
        <f aca="false">IF(C1133&lt;11,"Morning (7-10)",IF(C1133&lt;14,"Lunch (11-13)",IF(C1133&lt;18,"Afternoon (14-17)","Evening (18-20)")))</f>
        <v>Morning (7-10)</v>
      </c>
      <c r="S1133" s="4" t="str">
        <f aca="false">IF(AND(O1133&gt;=3,O1133&lt;=5),"Hot Dry (Mar-May)",IF(AND(O1133&gt;=6,O1133&lt;=11),"Rainy (Jun-Nov)","Cool Dry (Dec-Feb)"))</f>
        <v>Rainy (Jun-Nov)</v>
      </c>
      <c r="T1133" s="4" t="str">
        <f aca="false">CHOOSE(O1133,"Jan","Feb","Mar","Apr","May","Jun","Jul","Aug","Sep","Oct","Nov","Dec")</f>
        <v>Aug</v>
      </c>
    </row>
    <row r="1134" customFormat="false" ht="15" hidden="false" customHeight="false" outlineLevel="0" collapsed="false">
      <c r="A1134" s="4" t="s">
        <v>1458</v>
      </c>
      <c r="B1134" s="17" t="n">
        <v>45889</v>
      </c>
      <c r="C1134" s="4" t="n">
        <v>11</v>
      </c>
      <c r="D1134" s="4" t="s">
        <v>73</v>
      </c>
      <c r="E1134" s="4" t="s">
        <v>74</v>
      </c>
      <c r="F1134" s="4" t="s">
        <v>91</v>
      </c>
      <c r="G1134" s="4" t="n">
        <v>1</v>
      </c>
      <c r="H1134" s="34" t="n">
        <v>200</v>
      </c>
      <c r="I1134" s="18" t="n">
        <v>0.05</v>
      </c>
      <c r="J1134" s="4" t="s">
        <v>112</v>
      </c>
      <c r="K1134" s="4" t="s">
        <v>82</v>
      </c>
      <c r="L1134" s="35" t="n">
        <f aca="false">G1134*H1134</f>
        <v>200</v>
      </c>
      <c r="M1134" s="35" t="n">
        <f aca="false">L1134*I1134</f>
        <v>10</v>
      </c>
      <c r="N1134" s="35" t="n">
        <f aca="false">L1134-M1134</f>
        <v>190</v>
      </c>
      <c r="O1134" s="4" t="n">
        <f aca="false">MONTH(B1134)</f>
        <v>8</v>
      </c>
      <c r="P1134" s="4" t="str">
        <f aca="false">CHOOSE(WEEKDAY(B1134,2),"Mon","Tue","Wed","Thu","Fri","Sat","Sun")</f>
        <v>Wed</v>
      </c>
      <c r="Q1134" s="4" t="str">
        <f aca="false">IF(WEEKDAY(B1134,2)&gt;5,"Weekend","Weekday")</f>
        <v>Weekday</v>
      </c>
      <c r="R1134" s="4" t="str">
        <f aca="false">IF(C1134&lt;11,"Morning (7-10)",IF(C1134&lt;14,"Lunch (11-13)",IF(C1134&lt;18,"Afternoon (14-17)","Evening (18-20)")))</f>
        <v>Lunch (11-13)</v>
      </c>
      <c r="S1134" s="4" t="str">
        <f aca="false">IF(AND(O1134&gt;=3,O1134&lt;=5),"Hot Dry (Mar-May)",IF(AND(O1134&gt;=6,O1134&lt;=11),"Rainy (Jun-Nov)","Cool Dry (Dec-Feb)"))</f>
        <v>Rainy (Jun-Nov)</v>
      </c>
      <c r="T1134" s="4" t="str">
        <f aca="false">CHOOSE(O1134,"Jan","Feb","Mar","Apr","May","Jun","Jul","Aug","Sep","Oct","Nov","Dec")</f>
        <v>Aug</v>
      </c>
    </row>
    <row r="1135" customFormat="false" ht="15" hidden="false" customHeight="false" outlineLevel="0" collapsed="false">
      <c r="A1135" s="4" t="s">
        <v>1459</v>
      </c>
      <c r="B1135" s="17" t="n">
        <v>45889</v>
      </c>
      <c r="C1135" s="4" t="n">
        <v>11</v>
      </c>
      <c r="D1135" s="4" t="s">
        <v>73</v>
      </c>
      <c r="E1135" s="4" t="s">
        <v>74</v>
      </c>
      <c r="F1135" s="4" t="s">
        <v>75</v>
      </c>
      <c r="G1135" s="4" t="n">
        <v>1</v>
      </c>
      <c r="H1135" s="34" t="n">
        <v>220</v>
      </c>
      <c r="I1135" s="18" t="n">
        <v>0</v>
      </c>
      <c r="J1135" s="4" t="s">
        <v>76</v>
      </c>
      <c r="K1135" s="4" t="s">
        <v>68</v>
      </c>
      <c r="L1135" s="35" t="n">
        <f aca="false">G1135*H1135</f>
        <v>220</v>
      </c>
      <c r="M1135" s="35" t="n">
        <f aca="false">L1135*I1135</f>
        <v>0</v>
      </c>
      <c r="N1135" s="35" t="n">
        <f aca="false">L1135-M1135</f>
        <v>220</v>
      </c>
      <c r="O1135" s="4" t="n">
        <f aca="false">MONTH(B1135)</f>
        <v>8</v>
      </c>
      <c r="P1135" s="4" t="str">
        <f aca="false">CHOOSE(WEEKDAY(B1135,2),"Mon","Tue","Wed","Thu","Fri","Sat","Sun")</f>
        <v>Wed</v>
      </c>
      <c r="Q1135" s="4" t="str">
        <f aca="false">IF(WEEKDAY(B1135,2)&gt;5,"Weekend","Weekday")</f>
        <v>Weekday</v>
      </c>
      <c r="R1135" s="4" t="str">
        <f aca="false">IF(C1135&lt;11,"Morning (7-10)",IF(C1135&lt;14,"Lunch (11-13)",IF(C1135&lt;18,"Afternoon (14-17)","Evening (18-20)")))</f>
        <v>Lunch (11-13)</v>
      </c>
      <c r="S1135" s="4" t="str">
        <f aca="false">IF(AND(O1135&gt;=3,O1135&lt;=5),"Hot Dry (Mar-May)",IF(AND(O1135&gt;=6,O1135&lt;=11),"Rainy (Jun-Nov)","Cool Dry (Dec-Feb)"))</f>
        <v>Rainy (Jun-Nov)</v>
      </c>
      <c r="T1135" s="4" t="str">
        <f aca="false">CHOOSE(O1135,"Jan","Feb","Mar","Apr","May","Jun","Jul","Aug","Sep","Oct","Nov","Dec")</f>
        <v>Aug</v>
      </c>
    </row>
    <row r="1136" customFormat="false" ht="15" hidden="false" customHeight="false" outlineLevel="0" collapsed="false">
      <c r="A1136" s="4" t="s">
        <v>1460</v>
      </c>
      <c r="B1136" s="17" t="n">
        <v>45889</v>
      </c>
      <c r="C1136" s="4" t="n">
        <v>16</v>
      </c>
      <c r="D1136" s="4" t="s">
        <v>64</v>
      </c>
      <c r="E1136" s="4" t="s">
        <v>65</v>
      </c>
      <c r="F1136" s="4" t="s">
        <v>121</v>
      </c>
      <c r="G1136" s="4" t="n">
        <v>1</v>
      </c>
      <c r="H1136" s="34" t="n">
        <v>170</v>
      </c>
      <c r="I1136" s="18" t="n">
        <v>0</v>
      </c>
      <c r="J1136" s="4" t="s">
        <v>112</v>
      </c>
      <c r="K1136" s="4" t="s">
        <v>68</v>
      </c>
      <c r="L1136" s="35" t="n">
        <f aca="false">G1136*H1136</f>
        <v>170</v>
      </c>
      <c r="M1136" s="35" t="n">
        <f aca="false">L1136*I1136</f>
        <v>0</v>
      </c>
      <c r="N1136" s="35" t="n">
        <f aca="false">L1136-M1136</f>
        <v>170</v>
      </c>
      <c r="O1136" s="4" t="n">
        <f aca="false">MONTH(B1136)</f>
        <v>8</v>
      </c>
      <c r="P1136" s="4" t="str">
        <f aca="false">CHOOSE(WEEKDAY(B1136,2),"Mon","Tue","Wed","Thu","Fri","Sat","Sun")</f>
        <v>Wed</v>
      </c>
      <c r="Q1136" s="4" t="str">
        <f aca="false">IF(WEEKDAY(B1136,2)&gt;5,"Weekend","Weekday")</f>
        <v>Weekday</v>
      </c>
      <c r="R1136" s="4" t="str">
        <f aca="false">IF(C1136&lt;11,"Morning (7-10)",IF(C1136&lt;14,"Lunch (11-13)",IF(C1136&lt;18,"Afternoon (14-17)","Evening (18-20)")))</f>
        <v>Afternoon (14-17)</v>
      </c>
      <c r="S1136" s="4" t="str">
        <f aca="false">IF(AND(O1136&gt;=3,O1136&lt;=5),"Hot Dry (Mar-May)",IF(AND(O1136&gt;=6,O1136&lt;=11),"Rainy (Jun-Nov)","Cool Dry (Dec-Feb)"))</f>
        <v>Rainy (Jun-Nov)</v>
      </c>
      <c r="T1136" s="4" t="str">
        <f aca="false">CHOOSE(O1136,"Jan","Feb","Mar","Apr","May","Jun","Jul","Aug","Sep","Oct","Nov","Dec")</f>
        <v>Aug</v>
      </c>
    </row>
    <row r="1137" customFormat="false" ht="15" hidden="false" customHeight="false" outlineLevel="0" collapsed="false">
      <c r="A1137" s="4" t="s">
        <v>1461</v>
      </c>
      <c r="B1137" s="17" t="n">
        <v>45889</v>
      </c>
      <c r="C1137" s="4" t="n">
        <v>18</v>
      </c>
      <c r="D1137" s="4" t="s">
        <v>64</v>
      </c>
      <c r="E1137" s="4" t="s">
        <v>99</v>
      </c>
      <c r="F1137" s="4" t="s">
        <v>133</v>
      </c>
      <c r="G1137" s="4" t="n">
        <v>1</v>
      </c>
      <c r="H1137" s="34" t="n">
        <v>90</v>
      </c>
      <c r="I1137" s="18" t="n">
        <v>0</v>
      </c>
      <c r="J1137" s="4" t="s">
        <v>67</v>
      </c>
      <c r="K1137" s="4" t="s">
        <v>68</v>
      </c>
      <c r="L1137" s="35" t="n">
        <f aca="false">G1137*H1137</f>
        <v>90</v>
      </c>
      <c r="M1137" s="35" t="n">
        <f aca="false">L1137*I1137</f>
        <v>0</v>
      </c>
      <c r="N1137" s="35" t="n">
        <f aca="false">L1137-M1137</f>
        <v>90</v>
      </c>
      <c r="O1137" s="4" t="n">
        <f aca="false">MONTH(B1137)</f>
        <v>8</v>
      </c>
      <c r="P1137" s="4" t="str">
        <f aca="false">CHOOSE(WEEKDAY(B1137,2),"Mon","Tue","Wed","Thu","Fri","Sat","Sun")</f>
        <v>Wed</v>
      </c>
      <c r="Q1137" s="4" t="str">
        <f aca="false">IF(WEEKDAY(B1137,2)&gt;5,"Weekend","Weekday")</f>
        <v>Weekday</v>
      </c>
      <c r="R1137" s="4" t="str">
        <f aca="false">IF(C1137&lt;11,"Morning (7-10)",IF(C1137&lt;14,"Lunch (11-13)",IF(C1137&lt;18,"Afternoon (14-17)","Evening (18-20)")))</f>
        <v>Evening (18-20)</v>
      </c>
      <c r="S1137" s="4" t="str">
        <f aca="false">IF(AND(O1137&gt;=3,O1137&lt;=5),"Hot Dry (Mar-May)",IF(AND(O1137&gt;=6,O1137&lt;=11),"Rainy (Jun-Nov)","Cool Dry (Dec-Feb)"))</f>
        <v>Rainy (Jun-Nov)</v>
      </c>
      <c r="T1137" s="4" t="str">
        <f aca="false">CHOOSE(O1137,"Jan","Feb","Mar","Apr","May","Jun","Jul","Aug","Sep","Oct","Nov","Dec")</f>
        <v>Aug</v>
      </c>
    </row>
    <row r="1138" customFormat="false" ht="15" hidden="false" customHeight="false" outlineLevel="0" collapsed="false">
      <c r="A1138" s="4" t="s">
        <v>1462</v>
      </c>
      <c r="B1138" s="17" t="n">
        <v>45889</v>
      </c>
      <c r="C1138" s="4" t="n">
        <v>19</v>
      </c>
      <c r="D1138" s="4" t="s">
        <v>73</v>
      </c>
      <c r="E1138" s="4" t="s">
        <v>84</v>
      </c>
      <c r="F1138" s="4" t="s">
        <v>117</v>
      </c>
      <c r="G1138" s="4" t="n">
        <v>1</v>
      </c>
      <c r="H1138" s="34" t="n">
        <v>95</v>
      </c>
      <c r="I1138" s="18" t="n">
        <v>0.1</v>
      </c>
      <c r="J1138" s="4" t="s">
        <v>76</v>
      </c>
      <c r="K1138" s="4" t="s">
        <v>71</v>
      </c>
      <c r="L1138" s="35" t="n">
        <f aca="false">G1138*H1138</f>
        <v>95</v>
      </c>
      <c r="M1138" s="35" t="n">
        <f aca="false">L1138*I1138</f>
        <v>9.5</v>
      </c>
      <c r="N1138" s="35" t="n">
        <f aca="false">L1138-M1138</f>
        <v>85.5</v>
      </c>
      <c r="O1138" s="4" t="n">
        <f aca="false">MONTH(B1138)</f>
        <v>8</v>
      </c>
      <c r="P1138" s="4" t="str">
        <f aca="false">CHOOSE(WEEKDAY(B1138,2),"Mon","Tue","Wed","Thu","Fri","Sat","Sun")</f>
        <v>Wed</v>
      </c>
      <c r="Q1138" s="4" t="str">
        <f aca="false">IF(WEEKDAY(B1138,2)&gt;5,"Weekend","Weekday")</f>
        <v>Weekday</v>
      </c>
      <c r="R1138" s="4" t="str">
        <f aca="false">IF(C1138&lt;11,"Morning (7-10)",IF(C1138&lt;14,"Lunch (11-13)",IF(C1138&lt;18,"Afternoon (14-17)","Evening (18-20)")))</f>
        <v>Evening (18-20)</v>
      </c>
      <c r="S1138" s="4" t="str">
        <f aca="false">IF(AND(O1138&gt;=3,O1138&lt;=5),"Hot Dry (Mar-May)",IF(AND(O1138&gt;=6,O1138&lt;=11),"Rainy (Jun-Nov)","Cool Dry (Dec-Feb)"))</f>
        <v>Rainy (Jun-Nov)</v>
      </c>
      <c r="T1138" s="4" t="str">
        <f aca="false">CHOOSE(O1138,"Jan","Feb","Mar","Apr","May","Jun","Jul","Aug","Sep","Oct","Nov","Dec")</f>
        <v>Aug</v>
      </c>
    </row>
    <row r="1139" customFormat="false" ht="15" hidden="false" customHeight="false" outlineLevel="0" collapsed="false">
      <c r="A1139" s="4" t="s">
        <v>1463</v>
      </c>
      <c r="B1139" s="17" t="n">
        <v>45890</v>
      </c>
      <c r="C1139" s="4" t="n">
        <v>8</v>
      </c>
      <c r="D1139" s="4" t="s">
        <v>64</v>
      </c>
      <c r="E1139" s="4" t="s">
        <v>99</v>
      </c>
      <c r="F1139" s="4" t="s">
        <v>102</v>
      </c>
      <c r="G1139" s="4" t="n">
        <v>2</v>
      </c>
      <c r="H1139" s="34" t="n">
        <v>140</v>
      </c>
      <c r="I1139" s="18" t="n">
        <v>0</v>
      </c>
      <c r="J1139" s="4" t="s">
        <v>112</v>
      </c>
      <c r="K1139" s="4" t="s">
        <v>71</v>
      </c>
      <c r="L1139" s="35" t="n">
        <f aca="false">G1139*H1139</f>
        <v>280</v>
      </c>
      <c r="M1139" s="35" t="n">
        <f aca="false">L1139*I1139</f>
        <v>0</v>
      </c>
      <c r="N1139" s="35" t="n">
        <f aca="false">L1139-M1139</f>
        <v>280</v>
      </c>
      <c r="O1139" s="4" t="n">
        <f aca="false">MONTH(B1139)</f>
        <v>8</v>
      </c>
      <c r="P1139" s="4" t="str">
        <f aca="false">CHOOSE(WEEKDAY(B1139,2),"Mon","Tue","Wed","Thu","Fri","Sat","Sun")</f>
        <v>Thu</v>
      </c>
      <c r="Q1139" s="4" t="str">
        <f aca="false">IF(WEEKDAY(B1139,2)&gt;5,"Weekend","Weekday")</f>
        <v>Weekday</v>
      </c>
      <c r="R1139" s="4" t="str">
        <f aca="false">IF(C1139&lt;11,"Morning (7-10)",IF(C1139&lt;14,"Lunch (11-13)",IF(C1139&lt;18,"Afternoon (14-17)","Evening (18-20)")))</f>
        <v>Morning (7-10)</v>
      </c>
      <c r="S1139" s="4" t="str">
        <f aca="false">IF(AND(O1139&gt;=3,O1139&lt;=5),"Hot Dry (Mar-May)",IF(AND(O1139&gt;=6,O1139&lt;=11),"Rainy (Jun-Nov)","Cool Dry (Dec-Feb)"))</f>
        <v>Rainy (Jun-Nov)</v>
      </c>
      <c r="T1139" s="4" t="str">
        <f aca="false">CHOOSE(O1139,"Jan","Feb","Mar","Apr","May","Jun","Jul","Aug","Sep","Oct","Nov","Dec")</f>
        <v>Aug</v>
      </c>
    </row>
    <row r="1140" customFormat="false" ht="15" hidden="false" customHeight="false" outlineLevel="0" collapsed="false">
      <c r="A1140" s="4" t="s">
        <v>1464</v>
      </c>
      <c r="B1140" s="17" t="n">
        <v>45890</v>
      </c>
      <c r="C1140" s="4" t="n">
        <v>9</v>
      </c>
      <c r="D1140" s="4" t="s">
        <v>64</v>
      </c>
      <c r="E1140" s="4" t="s">
        <v>65</v>
      </c>
      <c r="F1140" s="4" t="s">
        <v>66</v>
      </c>
      <c r="G1140" s="4" t="n">
        <v>4</v>
      </c>
      <c r="H1140" s="34" t="n">
        <v>120</v>
      </c>
      <c r="I1140" s="18" t="n">
        <v>0.05</v>
      </c>
      <c r="J1140" s="4" t="s">
        <v>67</v>
      </c>
      <c r="K1140" s="4" t="s">
        <v>82</v>
      </c>
      <c r="L1140" s="35" t="n">
        <f aca="false">G1140*H1140</f>
        <v>480</v>
      </c>
      <c r="M1140" s="35" t="n">
        <f aca="false">L1140*I1140</f>
        <v>24</v>
      </c>
      <c r="N1140" s="35" t="n">
        <f aca="false">L1140-M1140</f>
        <v>456</v>
      </c>
      <c r="O1140" s="4" t="n">
        <f aca="false">MONTH(B1140)</f>
        <v>8</v>
      </c>
      <c r="P1140" s="4" t="str">
        <f aca="false">CHOOSE(WEEKDAY(B1140,2),"Mon","Tue","Wed","Thu","Fri","Sat","Sun")</f>
        <v>Thu</v>
      </c>
      <c r="Q1140" s="4" t="str">
        <f aca="false">IF(WEEKDAY(B1140,2)&gt;5,"Weekend","Weekday")</f>
        <v>Weekday</v>
      </c>
      <c r="R1140" s="4" t="str">
        <f aca="false">IF(C1140&lt;11,"Morning (7-10)",IF(C1140&lt;14,"Lunch (11-13)",IF(C1140&lt;18,"Afternoon (14-17)","Evening (18-20)")))</f>
        <v>Morning (7-10)</v>
      </c>
      <c r="S1140" s="4" t="str">
        <f aca="false">IF(AND(O1140&gt;=3,O1140&lt;=5),"Hot Dry (Mar-May)",IF(AND(O1140&gt;=6,O1140&lt;=11),"Rainy (Jun-Nov)","Cool Dry (Dec-Feb)"))</f>
        <v>Rainy (Jun-Nov)</v>
      </c>
      <c r="T1140" s="4" t="str">
        <f aca="false">CHOOSE(O1140,"Jan","Feb","Mar","Apr","May","Jun","Jul","Aug","Sep","Oct","Nov","Dec")</f>
        <v>Aug</v>
      </c>
    </row>
    <row r="1141" customFormat="false" ht="15" hidden="false" customHeight="false" outlineLevel="0" collapsed="false">
      <c r="A1141" s="4" t="s">
        <v>1465</v>
      </c>
      <c r="B1141" s="17" t="n">
        <v>45890</v>
      </c>
      <c r="C1141" s="4" t="n">
        <v>12</v>
      </c>
      <c r="D1141" s="4" t="s">
        <v>98</v>
      </c>
      <c r="E1141" s="4" t="s">
        <v>65</v>
      </c>
      <c r="F1141" s="4" t="s">
        <v>121</v>
      </c>
      <c r="G1141" s="4" t="n">
        <v>1</v>
      </c>
      <c r="H1141" s="34" t="n">
        <v>170</v>
      </c>
      <c r="I1141" s="18" t="n">
        <v>0.1</v>
      </c>
      <c r="J1141" s="4" t="s">
        <v>81</v>
      </c>
      <c r="K1141" s="4" t="s">
        <v>71</v>
      </c>
      <c r="L1141" s="35" t="n">
        <f aca="false">G1141*H1141</f>
        <v>170</v>
      </c>
      <c r="M1141" s="35" t="n">
        <f aca="false">L1141*I1141</f>
        <v>17</v>
      </c>
      <c r="N1141" s="35" t="n">
        <f aca="false">L1141-M1141</f>
        <v>153</v>
      </c>
      <c r="O1141" s="4" t="n">
        <f aca="false">MONTH(B1141)</f>
        <v>8</v>
      </c>
      <c r="P1141" s="4" t="str">
        <f aca="false">CHOOSE(WEEKDAY(B1141,2),"Mon","Tue","Wed","Thu","Fri","Sat","Sun")</f>
        <v>Thu</v>
      </c>
      <c r="Q1141" s="4" t="str">
        <f aca="false">IF(WEEKDAY(B1141,2)&gt;5,"Weekend","Weekday")</f>
        <v>Weekday</v>
      </c>
      <c r="R1141" s="4" t="str">
        <f aca="false">IF(C1141&lt;11,"Morning (7-10)",IF(C1141&lt;14,"Lunch (11-13)",IF(C1141&lt;18,"Afternoon (14-17)","Evening (18-20)")))</f>
        <v>Lunch (11-13)</v>
      </c>
      <c r="S1141" s="4" t="str">
        <f aca="false">IF(AND(O1141&gt;=3,O1141&lt;=5),"Hot Dry (Mar-May)",IF(AND(O1141&gt;=6,O1141&lt;=11),"Rainy (Jun-Nov)","Cool Dry (Dec-Feb)"))</f>
        <v>Rainy (Jun-Nov)</v>
      </c>
      <c r="T1141" s="4" t="str">
        <f aca="false">CHOOSE(O1141,"Jan","Feb","Mar","Apr","May","Jun","Jul","Aug","Sep","Oct","Nov","Dec")</f>
        <v>Aug</v>
      </c>
    </row>
    <row r="1142" customFormat="false" ht="15" hidden="false" customHeight="false" outlineLevel="0" collapsed="false">
      <c r="A1142" s="4" t="s">
        <v>1466</v>
      </c>
      <c r="B1142" s="17" t="n">
        <v>45890</v>
      </c>
      <c r="C1142" s="4" t="n">
        <v>12</v>
      </c>
      <c r="D1142" s="4" t="s">
        <v>64</v>
      </c>
      <c r="E1142" s="4" t="s">
        <v>99</v>
      </c>
      <c r="F1142" s="4" t="s">
        <v>100</v>
      </c>
      <c r="G1142" s="4" t="n">
        <v>1</v>
      </c>
      <c r="H1142" s="34" t="n">
        <v>110</v>
      </c>
      <c r="I1142" s="18" t="n">
        <v>0</v>
      </c>
      <c r="J1142" s="4" t="s">
        <v>88</v>
      </c>
      <c r="K1142" s="4" t="s">
        <v>77</v>
      </c>
      <c r="L1142" s="35" t="n">
        <f aca="false">G1142*H1142</f>
        <v>110</v>
      </c>
      <c r="M1142" s="35" t="n">
        <f aca="false">L1142*I1142</f>
        <v>0</v>
      </c>
      <c r="N1142" s="35" t="n">
        <f aca="false">L1142-M1142</f>
        <v>110</v>
      </c>
      <c r="O1142" s="4" t="n">
        <f aca="false">MONTH(B1142)</f>
        <v>8</v>
      </c>
      <c r="P1142" s="4" t="str">
        <f aca="false">CHOOSE(WEEKDAY(B1142,2),"Mon","Tue","Wed","Thu","Fri","Sat","Sun")</f>
        <v>Thu</v>
      </c>
      <c r="Q1142" s="4" t="str">
        <f aca="false">IF(WEEKDAY(B1142,2)&gt;5,"Weekend","Weekday")</f>
        <v>Weekday</v>
      </c>
      <c r="R1142" s="4" t="str">
        <f aca="false">IF(C1142&lt;11,"Morning (7-10)",IF(C1142&lt;14,"Lunch (11-13)",IF(C1142&lt;18,"Afternoon (14-17)","Evening (18-20)")))</f>
        <v>Lunch (11-13)</v>
      </c>
      <c r="S1142" s="4" t="str">
        <f aca="false">IF(AND(O1142&gt;=3,O1142&lt;=5),"Hot Dry (Mar-May)",IF(AND(O1142&gt;=6,O1142&lt;=11),"Rainy (Jun-Nov)","Cool Dry (Dec-Feb)"))</f>
        <v>Rainy (Jun-Nov)</v>
      </c>
      <c r="T1142" s="4" t="str">
        <f aca="false">CHOOSE(O1142,"Jan","Feb","Mar","Apr","May","Jun","Jul","Aug","Sep","Oct","Nov","Dec")</f>
        <v>Aug</v>
      </c>
    </row>
    <row r="1143" customFormat="false" ht="15" hidden="false" customHeight="false" outlineLevel="0" collapsed="false">
      <c r="A1143" s="4" t="s">
        <v>1467</v>
      </c>
      <c r="B1143" s="17" t="n">
        <v>45891</v>
      </c>
      <c r="C1143" s="4" t="n">
        <v>11</v>
      </c>
      <c r="D1143" s="4" t="s">
        <v>64</v>
      </c>
      <c r="E1143" s="4" t="s">
        <v>99</v>
      </c>
      <c r="F1143" s="4" t="s">
        <v>102</v>
      </c>
      <c r="G1143" s="4" t="n">
        <v>1</v>
      </c>
      <c r="H1143" s="34" t="n">
        <v>140</v>
      </c>
      <c r="I1143" s="18" t="n">
        <v>0</v>
      </c>
      <c r="J1143" s="4" t="s">
        <v>81</v>
      </c>
      <c r="K1143" s="4" t="s">
        <v>77</v>
      </c>
      <c r="L1143" s="35" t="n">
        <f aca="false">G1143*H1143</f>
        <v>140</v>
      </c>
      <c r="M1143" s="35" t="n">
        <f aca="false">L1143*I1143</f>
        <v>0</v>
      </c>
      <c r="N1143" s="35" t="n">
        <f aca="false">L1143-M1143</f>
        <v>140</v>
      </c>
      <c r="O1143" s="4" t="n">
        <f aca="false">MONTH(B1143)</f>
        <v>8</v>
      </c>
      <c r="P1143" s="4" t="str">
        <f aca="false">CHOOSE(WEEKDAY(B1143,2),"Mon","Tue","Wed","Thu","Fri","Sat","Sun")</f>
        <v>Fri</v>
      </c>
      <c r="Q1143" s="4" t="str">
        <f aca="false">IF(WEEKDAY(B1143,2)&gt;5,"Weekend","Weekday")</f>
        <v>Weekday</v>
      </c>
      <c r="R1143" s="4" t="str">
        <f aca="false">IF(C1143&lt;11,"Morning (7-10)",IF(C1143&lt;14,"Lunch (11-13)",IF(C1143&lt;18,"Afternoon (14-17)","Evening (18-20)")))</f>
        <v>Lunch (11-13)</v>
      </c>
      <c r="S1143" s="4" t="str">
        <f aca="false">IF(AND(O1143&gt;=3,O1143&lt;=5),"Hot Dry (Mar-May)",IF(AND(O1143&gt;=6,O1143&lt;=11),"Rainy (Jun-Nov)","Cool Dry (Dec-Feb)"))</f>
        <v>Rainy (Jun-Nov)</v>
      </c>
      <c r="T1143" s="4" t="str">
        <f aca="false">CHOOSE(O1143,"Jan","Feb","Mar","Apr","May","Jun","Jul","Aug","Sep","Oct","Nov","Dec")</f>
        <v>Aug</v>
      </c>
    </row>
    <row r="1144" customFormat="false" ht="15" hidden="false" customHeight="false" outlineLevel="0" collapsed="false">
      <c r="A1144" s="4" t="s">
        <v>1468</v>
      </c>
      <c r="B1144" s="17" t="n">
        <v>45891</v>
      </c>
      <c r="C1144" s="4" t="n">
        <v>12</v>
      </c>
      <c r="D1144" s="4" t="s">
        <v>98</v>
      </c>
      <c r="E1144" s="4" t="s">
        <v>99</v>
      </c>
      <c r="F1144" s="4" t="s">
        <v>102</v>
      </c>
      <c r="G1144" s="4" t="n">
        <v>4</v>
      </c>
      <c r="H1144" s="34" t="n">
        <v>140</v>
      </c>
      <c r="I1144" s="18" t="n">
        <v>0</v>
      </c>
      <c r="J1144" s="4" t="s">
        <v>67</v>
      </c>
      <c r="K1144" s="4" t="s">
        <v>68</v>
      </c>
      <c r="L1144" s="35" t="n">
        <f aca="false">G1144*H1144</f>
        <v>560</v>
      </c>
      <c r="M1144" s="35" t="n">
        <f aca="false">L1144*I1144</f>
        <v>0</v>
      </c>
      <c r="N1144" s="35" t="n">
        <f aca="false">L1144-M1144</f>
        <v>560</v>
      </c>
      <c r="O1144" s="4" t="n">
        <f aca="false">MONTH(B1144)</f>
        <v>8</v>
      </c>
      <c r="P1144" s="4" t="str">
        <f aca="false">CHOOSE(WEEKDAY(B1144,2),"Mon","Tue","Wed","Thu","Fri","Sat","Sun")</f>
        <v>Fri</v>
      </c>
      <c r="Q1144" s="4" t="str">
        <f aca="false">IF(WEEKDAY(B1144,2)&gt;5,"Weekend","Weekday")</f>
        <v>Weekday</v>
      </c>
      <c r="R1144" s="4" t="str">
        <f aca="false">IF(C1144&lt;11,"Morning (7-10)",IF(C1144&lt;14,"Lunch (11-13)",IF(C1144&lt;18,"Afternoon (14-17)","Evening (18-20)")))</f>
        <v>Lunch (11-13)</v>
      </c>
      <c r="S1144" s="4" t="str">
        <f aca="false">IF(AND(O1144&gt;=3,O1144&lt;=5),"Hot Dry (Mar-May)",IF(AND(O1144&gt;=6,O1144&lt;=11),"Rainy (Jun-Nov)","Cool Dry (Dec-Feb)"))</f>
        <v>Rainy (Jun-Nov)</v>
      </c>
      <c r="T1144" s="4" t="str">
        <f aca="false">CHOOSE(O1144,"Jan","Feb","Mar","Apr","May","Jun","Jul","Aug","Sep","Oct","Nov","Dec")</f>
        <v>Aug</v>
      </c>
    </row>
    <row r="1145" customFormat="false" ht="15" hidden="false" customHeight="false" outlineLevel="0" collapsed="false">
      <c r="A1145" s="4" t="s">
        <v>1469</v>
      </c>
      <c r="B1145" s="17" t="n">
        <v>45891</v>
      </c>
      <c r="C1145" s="4" t="n">
        <v>14</v>
      </c>
      <c r="D1145" s="4" t="s">
        <v>98</v>
      </c>
      <c r="E1145" s="4" t="s">
        <v>65</v>
      </c>
      <c r="F1145" s="4" t="s">
        <v>121</v>
      </c>
      <c r="G1145" s="4" t="n">
        <v>1</v>
      </c>
      <c r="H1145" s="34" t="n">
        <v>170</v>
      </c>
      <c r="I1145" s="18" t="n">
        <v>0.1</v>
      </c>
      <c r="J1145" s="4" t="s">
        <v>76</v>
      </c>
      <c r="K1145" s="4" t="s">
        <v>71</v>
      </c>
      <c r="L1145" s="35" t="n">
        <f aca="false">G1145*H1145</f>
        <v>170</v>
      </c>
      <c r="M1145" s="35" t="n">
        <f aca="false">L1145*I1145</f>
        <v>17</v>
      </c>
      <c r="N1145" s="35" t="n">
        <f aca="false">L1145-M1145</f>
        <v>153</v>
      </c>
      <c r="O1145" s="4" t="n">
        <f aca="false">MONTH(B1145)</f>
        <v>8</v>
      </c>
      <c r="P1145" s="4" t="str">
        <f aca="false">CHOOSE(WEEKDAY(B1145,2),"Mon","Tue","Wed","Thu","Fri","Sat","Sun")</f>
        <v>Fri</v>
      </c>
      <c r="Q1145" s="4" t="str">
        <f aca="false">IF(WEEKDAY(B1145,2)&gt;5,"Weekend","Weekday")</f>
        <v>Weekday</v>
      </c>
      <c r="R1145" s="4" t="str">
        <f aca="false">IF(C1145&lt;11,"Morning (7-10)",IF(C1145&lt;14,"Lunch (11-13)",IF(C1145&lt;18,"Afternoon (14-17)","Evening (18-20)")))</f>
        <v>Afternoon (14-17)</v>
      </c>
      <c r="S1145" s="4" t="str">
        <f aca="false">IF(AND(O1145&gt;=3,O1145&lt;=5),"Hot Dry (Mar-May)",IF(AND(O1145&gt;=6,O1145&lt;=11),"Rainy (Jun-Nov)","Cool Dry (Dec-Feb)"))</f>
        <v>Rainy (Jun-Nov)</v>
      </c>
      <c r="T1145" s="4" t="str">
        <f aca="false">CHOOSE(O1145,"Jan","Feb","Mar","Apr","May","Jun","Jul","Aug","Sep","Oct","Nov","Dec")</f>
        <v>Aug</v>
      </c>
    </row>
    <row r="1146" customFormat="false" ht="15" hidden="false" customHeight="false" outlineLevel="0" collapsed="false">
      <c r="A1146" s="4" t="s">
        <v>1471</v>
      </c>
      <c r="B1146" s="17" t="n">
        <v>45891</v>
      </c>
      <c r="C1146" s="4" t="n">
        <v>16</v>
      </c>
      <c r="D1146" s="4" t="s">
        <v>64</v>
      </c>
      <c r="E1146" s="4" t="s">
        <v>65</v>
      </c>
      <c r="F1146" s="4" t="s">
        <v>121</v>
      </c>
      <c r="G1146" s="4" t="n">
        <v>1</v>
      </c>
      <c r="H1146" s="34" t="n">
        <v>170</v>
      </c>
      <c r="I1146" s="18" t="n">
        <v>0</v>
      </c>
      <c r="J1146" s="4" t="s">
        <v>81</v>
      </c>
      <c r="K1146" s="4" t="s">
        <v>68</v>
      </c>
      <c r="L1146" s="35" t="n">
        <f aca="false">G1146*H1146</f>
        <v>170</v>
      </c>
      <c r="M1146" s="35" t="n">
        <f aca="false">L1146*I1146</f>
        <v>0</v>
      </c>
      <c r="N1146" s="35" t="n">
        <f aca="false">L1146-M1146</f>
        <v>170</v>
      </c>
      <c r="O1146" s="4" t="n">
        <f aca="false">MONTH(B1146)</f>
        <v>8</v>
      </c>
      <c r="P1146" s="4" t="str">
        <f aca="false">CHOOSE(WEEKDAY(B1146,2),"Mon","Tue","Wed","Thu","Fri","Sat","Sun")</f>
        <v>Fri</v>
      </c>
      <c r="Q1146" s="4" t="str">
        <f aca="false">IF(WEEKDAY(B1146,2)&gt;5,"Weekend","Weekday")</f>
        <v>Weekday</v>
      </c>
      <c r="R1146" s="4" t="str">
        <f aca="false">IF(C1146&lt;11,"Morning (7-10)",IF(C1146&lt;14,"Lunch (11-13)",IF(C1146&lt;18,"Afternoon (14-17)","Evening (18-20)")))</f>
        <v>Afternoon (14-17)</v>
      </c>
      <c r="S1146" s="4" t="str">
        <f aca="false">IF(AND(O1146&gt;=3,O1146&lt;=5),"Hot Dry (Mar-May)",IF(AND(O1146&gt;=6,O1146&lt;=11),"Rainy (Jun-Nov)","Cool Dry (Dec-Feb)"))</f>
        <v>Rainy (Jun-Nov)</v>
      </c>
      <c r="T1146" s="4" t="str">
        <f aca="false">CHOOSE(O1146,"Jan","Feb","Mar","Apr","May","Jun","Jul","Aug","Sep","Oct","Nov","Dec")</f>
        <v>Aug</v>
      </c>
    </row>
    <row r="1147" customFormat="false" ht="15" hidden="false" customHeight="false" outlineLevel="0" collapsed="false">
      <c r="A1147" s="4" t="s">
        <v>1472</v>
      </c>
      <c r="B1147" s="17" t="n">
        <v>45891</v>
      </c>
      <c r="C1147" s="4" t="n">
        <v>18</v>
      </c>
      <c r="D1147" s="4" t="s">
        <v>70</v>
      </c>
      <c r="E1147" s="4" t="s">
        <v>65</v>
      </c>
      <c r="F1147" s="4" t="s">
        <v>121</v>
      </c>
      <c r="G1147" s="4" t="n">
        <v>1</v>
      </c>
      <c r="H1147" s="34" t="n">
        <v>170</v>
      </c>
      <c r="I1147" s="18" t="n">
        <v>0</v>
      </c>
      <c r="J1147" s="4" t="s">
        <v>81</v>
      </c>
      <c r="K1147" s="4" t="s">
        <v>77</v>
      </c>
      <c r="L1147" s="35" t="n">
        <f aca="false">G1147*H1147</f>
        <v>170</v>
      </c>
      <c r="M1147" s="35" t="n">
        <f aca="false">L1147*I1147</f>
        <v>0</v>
      </c>
      <c r="N1147" s="35" t="n">
        <f aca="false">L1147-M1147</f>
        <v>170</v>
      </c>
      <c r="O1147" s="4" t="n">
        <f aca="false">MONTH(B1147)</f>
        <v>8</v>
      </c>
      <c r="P1147" s="4" t="str">
        <f aca="false">CHOOSE(WEEKDAY(B1147,2),"Mon","Tue","Wed","Thu","Fri","Sat","Sun")</f>
        <v>Fri</v>
      </c>
      <c r="Q1147" s="4" t="str">
        <f aca="false">IF(WEEKDAY(B1147,2)&gt;5,"Weekend","Weekday")</f>
        <v>Weekday</v>
      </c>
      <c r="R1147" s="4" t="str">
        <f aca="false">IF(C1147&lt;11,"Morning (7-10)",IF(C1147&lt;14,"Lunch (11-13)",IF(C1147&lt;18,"Afternoon (14-17)","Evening (18-20)")))</f>
        <v>Evening (18-20)</v>
      </c>
      <c r="S1147" s="4" t="str">
        <f aca="false">IF(AND(O1147&gt;=3,O1147&lt;=5),"Hot Dry (Mar-May)",IF(AND(O1147&gt;=6,O1147&lt;=11),"Rainy (Jun-Nov)","Cool Dry (Dec-Feb)"))</f>
        <v>Rainy (Jun-Nov)</v>
      </c>
      <c r="T1147" s="4" t="str">
        <f aca="false">CHOOSE(O1147,"Jan","Feb","Mar","Apr","May","Jun","Jul","Aug","Sep","Oct","Nov","Dec")</f>
        <v>Aug</v>
      </c>
    </row>
    <row r="1148" customFormat="false" ht="15" hidden="false" customHeight="false" outlineLevel="0" collapsed="false">
      <c r="A1148" s="4" t="s">
        <v>1473</v>
      </c>
      <c r="B1148" s="17" t="n">
        <v>45891</v>
      </c>
      <c r="C1148" s="4" t="n">
        <v>18</v>
      </c>
      <c r="D1148" s="4" t="s">
        <v>70</v>
      </c>
      <c r="E1148" s="4" t="s">
        <v>99</v>
      </c>
      <c r="F1148" s="4" t="s">
        <v>109</v>
      </c>
      <c r="G1148" s="4" t="n">
        <v>2</v>
      </c>
      <c r="H1148" s="34" t="n">
        <v>130</v>
      </c>
      <c r="I1148" s="18" t="n">
        <v>0</v>
      </c>
      <c r="J1148" s="4" t="s">
        <v>67</v>
      </c>
      <c r="K1148" s="4" t="s">
        <v>77</v>
      </c>
      <c r="L1148" s="35" t="n">
        <f aca="false">G1148*H1148</f>
        <v>260</v>
      </c>
      <c r="M1148" s="35" t="n">
        <f aca="false">L1148*I1148</f>
        <v>0</v>
      </c>
      <c r="N1148" s="35" t="n">
        <f aca="false">L1148-M1148</f>
        <v>260</v>
      </c>
      <c r="O1148" s="4" t="n">
        <f aca="false">MONTH(B1148)</f>
        <v>8</v>
      </c>
      <c r="P1148" s="4" t="str">
        <f aca="false">CHOOSE(WEEKDAY(B1148,2),"Mon","Tue","Wed","Thu","Fri","Sat","Sun")</f>
        <v>Fri</v>
      </c>
      <c r="Q1148" s="4" t="str">
        <f aca="false">IF(WEEKDAY(B1148,2)&gt;5,"Weekend","Weekday")</f>
        <v>Weekday</v>
      </c>
      <c r="R1148" s="4" t="str">
        <f aca="false">IF(C1148&lt;11,"Morning (7-10)",IF(C1148&lt;14,"Lunch (11-13)",IF(C1148&lt;18,"Afternoon (14-17)","Evening (18-20)")))</f>
        <v>Evening (18-20)</v>
      </c>
      <c r="S1148" s="4" t="str">
        <f aca="false">IF(AND(O1148&gt;=3,O1148&lt;=5),"Hot Dry (Mar-May)",IF(AND(O1148&gt;=6,O1148&lt;=11),"Rainy (Jun-Nov)","Cool Dry (Dec-Feb)"))</f>
        <v>Rainy (Jun-Nov)</v>
      </c>
      <c r="T1148" s="4" t="str">
        <f aca="false">CHOOSE(O1148,"Jan","Feb","Mar","Apr","May","Jun","Jul","Aug","Sep","Oct","Nov","Dec")</f>
        <v>Aug</v>
      </c>
    </row>
    <row r="1149" customFormat="false" ht="15" hidden="false" customHeight="false" outlineLevel="0" collapsed="false">
      <c r="A1149" s="4" t="s">
        <v>1474</v>
      </c>
      <c r="B1149" s="17" t="n">
        <v>45891</v>
      </c>
      <c r="C1149" s="4" t="n">
        <v>20</v>
      </c>
      <c r="D1149" s="4" t="s">
        <v>64</v>
      </c>
      <c r="E1149" s="4" t="s">
        <v>79</v>
      </c>
      <c r="F1149" s="4" t="s">
        <v>80</v>
      </c>
      <c r="G1149" s="4" t="n">
        <v>1</v>
      </c>
      <c r="H1149" s="34" t="n">
        <v>160</v>
      </c>
      <c r="I1149" s="18" t="n">
        <v>0</v>
      </c>
      <c r="J1149" s="4" t="s">
        <v>67</v>
      </c>
      <c r="K1149" s="4" t="s">
        <v>77</v>
      </c>
      <c r="L1149" s="35" t="n">
        <f aca="false">G1149*H1149</f>
        <v>160</v>
      </c>
      <c r="M1149" s="35" t="n">
        <f aca="false">L1149*I1149</f>
        <v>0</v>
      </c>
      <c r="N1149" s="35" t="n">
        <f aca="false">L1149-M1149</f>
        <v>160</v>
      </c>
      <c r="O1149" s="4" t="n">
        <f aca="false">MONTH(B1149)</f>
        <v>8</v>
      </c>
      <c r="P1149" s="4" t="str">
        <f aca="false">CHOOSE(WEEKDAY(B1149,2),"Mon","Tue","Wed","Thu","Fri","Sat","Sun")</f>
        <v>Fri</v>
      </c>
      <c r="Q1149" s="4" t="str">
        <f aca="false">IF(WEEKDAY(B1149,2)&gt;5,"Weekend","Weekday")</f>
        <v>Weekday</v>
      </c>
      <c r="R1149" s="4" t="str">
        <f aca="false">IF(C1149&lt;11,"Morning (7-10)",IF(C1149&lt;14,"Lunch (11-13)",IF(C1149&lt;18,"Afternoon (14-17)","Evening (18-20)")))</f>
        <v>Evening (18-20)</v>
      </c>
      <c r="S1149" s="4" t="str">
        <f aca="false">IF(AND(O1149&gt;=3,O1149&lt;=5),"Hot Dry (Mar-May)",IF(AND(O1149&gt;=6,O1149&lt;=11),"Rainy (Jun-Nov)","Cool Dry (Dec-Feb)"))</f>
        <v>Rainy (Jun-Nov)</v>
      </c>
      <c r="T1149" s="4" t="str">
        <f aca="false">CHOOSE(O1149,"Jan","Feb","Mar","Apr","May","Jun","Jul","Aug","Sep","Oct","Nov","Dec")</f>
        <v>Aug</v>
      </c>
    </row>
    <row r="1150" customFormat="false" ht="15" hidden="false" customHeight="false" outlineLevel="0" collapsed="false">
      <c r="A1150" s="4" t="s">
        <v>1475</v>
      </c>
      <c r="B1150" s="17" t="n">
        <v>45892</v>
      </c>
      <c r="C1150" s="4" t="n">
        <v>7</v>
      </c>
      <c r="D1150" s="4" t="s">
        <v>73</v>
      </c>
      <c r="E1150" s="4" t="s">
        <v>99</v>
      </c>
      <c r="F1150" s="4" t="s">
        <v>100</v>
      </c>
      <c r="G1150" s="4" t="n">
        <v>1</v>
      </c>
      <c r="H1150" s="34" t="n">
        <v>110</v>
      </c>
      <c r="I1150" s="18" t="n">
        <v>0.15</v>
      </c>
      <c r="J1150" s="4" t="s">
        <v>76</v>
      </c>
      <c r="K1150" s="4" t="s">
        <v>77</v>
      </c>
      <c r="L1150" s="35" t="n">
        <f aca="false">G1150*H1150</f>
        <v>110</v>
      </c>
      <c r="M1150" s="35" t="n">
        <f aca="false">L1150*I1150</f>
        <v>16.5</v>
      </c>
      <c r="N1150" s="35" t="n">
        <f aca="false">L1150-M1150</f>
        <v>93.5</v>
      </c>
      <c r="O1150" s="4" t="n">
        <f aca="false">MONTH(B1150)</f>
        <v>8</v>
      </c>
      <c r="P1150" s="4" t="str">
        <f aca="false">CHOOSE(WEEKDAY(B1150,2),"Mon","Tue","Wed","Thu","Fri","Sat","Sun")</f>
        <v>Sat</v>
      </c>
      <c r="Q1150" s="4" t="str">
        <f aca="false">IF(WEEKDAY(B1150,2)&gt;5,"Weekend","Weekday")</f>
        <v>Weekend</v>
      </c>
      <c r="R1150" s="4" t="str">
        <f aca="false">IF(C1150&lt;11,"Morning (7-10)",IF(C1150&lt;14,"Lunch (11-13)",IF(C1150&lt;18,"Afternoon (14-17)","Evening (18-20)")))</f>
        <v>Morning (7-10)</v>
      </c>
      <c r="S1150" s="4" t="str">
        <f aca="false">IF(AND(O1150&gt;=3,O1150&lt;=5),"Hot Dry (Mar-May)",IF(AND(O1150&gt;=6,O1150&lt;=11),"Rainy (Jun-Nov)","Cool Dry (Dec-Feb)"))</f>
        <v>Rainy (Jun-Nov)</v>
      </c>
      <c r="T1150" s="4" t="str">
        <f aca="false">CHOOSE(O1150,"Jan","Feb","Mar","Apr","May","Jun","Jul","Aug","Sep","Oct","Nov","Dec")</f>
        <v>Aug</v>
      </c>
    </row>
    <row r="1151" customFormat="false" ht="15" hidden="false" customHeight="false" outlineLevel="0" collapsed="false">
      <c r="A1151" s="4" t="s">
        <v>1477</v>
      </c>
      <c r="B1151" s="17" t="n">
        <v>45892</v>
      </c>
      <c r="C1151" s="4" t="n">
        <v>10</v>
      </c>
      <c r="D1151" s="4" t="s">
        <v>70</v>
      </c>
      <c r="E1151" s="4" t="s">
        <v>65</v>
      </c>
      <c r="F1151" s="4" t="s">
        <v>94</v>
      </c>
      <c r="G1151" s="4" t="n">
        <v>1</v>
      </c>
      <c r="H1151" s="34" t="n">
        <v>150</v>
      </c>
      <c r="I1151" s="18" t="n">
        <v>0</v>
      </c>
      <c r="J1151" s="4" t="s">
        <v>88</v>
      </c>
      <c r="K1151" s="4" t="s">
        <v>77</v>
      </c>
      <c r="L1151" s="35" t="n">
        <f aca="false">G1151*H1151</f>
        <v>150</v>
      </c>
      <c r="M1151" s="35" t="n">
        <f aca="false">L1151*I1151</f>
        <v>0</v>
      </c>
      <c r="N1151" s="35" t="n">
        <f aca="false">L1151-M1151</f>
        <v>150</v>
      </c>
      <c r="O1151" s="4" t="n">
        <f aca="false">MONTH(B1151)</f>
        <v>8</v>
      </c>
      <c r="P1151" s="4" t="str">
        <f aca="false">CHOOSE(WEEKDAY(B1151,2),"Mon","Tue","Wed","Thu","Fri","Sat","Sun")</f>
        <v>Sat</v>
      </c>
      <c r="Q1151" s="4" t="str">
        <f aca="false">IF(WEEKDAY(B1151,2)&gt;5,"Weekend","Weekday")</f>
        <v>Weekend</v>
      </c>
      <c r="R1151" s="4" t="str">
        <f aca="false">IF(C1151&lt;11,"Morning (7-10)",IF(C1151&lt;14,"Lunch (11-13)",IF(C1151&lt;18,"Afternoon (14-17)","Evening (18-20)")))</f>
        <v>Morning (7-10)</v>
      </c>
      <c r="S1151" s="4" t="str">
        <f aca="false">IF(AND(O1151&gt;=3,O1151&lt;=5),"Hot Dry (Mar-May)",IF(AND(O1151&gt;=6,O1151&lt;=11),"Rainy (Jun-Nov)","Cool Dry (Dec-Feb)"))</f>
        <v>Rainy (Jun-Nov)</v>
      </c>
      <c r="T1151" s="4" t="str">
        <f aca="false">CHOOSE(O1151,"Jan","Feb","Mar","Apr","May","Jun","Jul","Aug","Sep","Oct","Nov","Dec")</f>
        <v>Aug</v>
      </c>
    </row>
    <row r="1152" customFormat="false" ht="15" hidden="false" customHeight="false" outlineLevel="0" collapsed="false">
      <c r="A1152" s="4" t="s">
        <v>1478</v>
      </c>
      <c r="B1152" s="17" t="n">
        <v>45892</v>
      </c>
      <c r="C1152" s="4" t="n">
        <v>13</v>
      </c>
      <c r="D1152" s="4" t="s">
        <v>98</v>
      </c>
      <c r="E1152" s="4" t="s">
        <v>74</v>
      </c>
      <c r="F1152" s="4" t="s">
        <v>91</v>
      </c>
      <c r="G1152" s="4" t="n">
        <v>3</v>
      </c>
      <c r="H1152" s="34" t="n">
        <v>200</v>
      </c>
      <c r="I1152" s="18" t="n">
        <v>0</v>
      </c>
      <c r="J1152" s="4" t="s">
        <v>67</v>
      </c>
      <c r="K1152" s="4" t="s">
        <v>68</v>
      </c>
      <c r="L1152" s="35" t="n">
        <f aca="false">G1152*H1152</f>
        <v>600</v>
      </c>
      <c r="M1152" s="35" t="n">
        <f aca="false">L1152*I1152</f>
        <v>0</v>
      </c>
      <c r="N1152" s="35" t="n">
        <f aca="false">L1152-M1152</f>
        <v>600</v>
      </c>
      <c r="O1152" s="4" t="n">
        <f aca="false">MONTH(B1152)</f>
        <v>8</v>
      </c>
      <c r="P1152" s="4" t="str">
        <f aca="false">CHOOSE(WEEKDAY(B1152,2),"Mon","Tue","Wed","Thu","Fri","Sat","Sun")</f>
        <v>Sat</v>
      </c>
      <c r="Q1152" s="4" t="str">
        <f aca="false">IF(WEEKDAY(B1152,2)&gt;5,"Weekend","Weekday")</f>
        <v>Weekend</v>
      </c>
      <c r="R1152" s="4" t="str">
        <f aca="false">IF(C1152&lt;11,"Morning (7-10)",IF(C1152&lt;14,"Lunch (11-13)",IF(C1152&lt;18,"Afternoon (14-17)","Evening (18-20)")))</f>
        <v>Lunch (11-13)</v>
      </c>
      <c r="S1152" s="4" t="str">
        <f aca="false">IF(AND(O1152&gt;=3,O1152&lt;=5),"Hot Dry (Mar-May)",IF(AND(O1152&gt;=6,O1152&lt;=11),"Rainy (Jun-Nov)","Cool Dry (Dec-Feb)"))</f>
        <v>Rainy (Jun-Nov)</v>
      </c>
      <c r="T1152" s="4" t="str">
        <f aca="false">CHOOSE(O1152,"Jan","Feb","Mar","Apr","May","Jun","Jul","Aug","Sep","Oct","Nov","Dec")</f>
        <v>Aug</v>
      </c>
    </row>
    <row r="1153" customFormat="false" ht="15" hidden="false" customHeight="false" outlineLevel="0" collapsed="false">
      <c r="A1153" s="4" t="s">
        <v>1479</v>
      </c>
      <c r="B1153" s="17" t="n">
        <v>45892</v>
      </c>
      <c r="C1153" s="4" t="n">
        <v>16</v>
      </c>
      <c r="D1153" s="4" t="s">
        <v>64</v>
      </c>
      <c r="E1153" s="4" t="s">
        <v>99</v>
      </c>
      <c r="F1153" s="4" t="s">
        <v>102</v>
      </c>
      <c r="G1153" s="4" t="n">
        <v>1</v>
      </c>
      <c r="H1153" s="34" t="n">
        <v>140</v>
      </c>
      <c r="I1153" s="18" t="n">
        <v>0</v>
      </c>
      <c r="J1153" s="4" t="s">
        <v>81</v>
      </c>
      <c r="K1153" s="4" t="s">
        <v>68</v>
      </c>
      <c r="L1153" s="35" t="n">
        <f aca="false">G1153*H1153</f>
        <v>140</v>
      </c>
      <c r="M1153" s="35" t="n">
        <f aca="false">L1153*I1153</f>
        <v>0</v>
      </c>
      <c r="N1153" s="35" t="n">
        <f aca="false">L1153-M1153</f>
        <v>140</v>
      </c>
      <c r="O1153" s="4" t="n">
        <f aca="false">MONTH(B1153)</f>
        <v>8</v>
      </c>
      <c r="P1153" s="4" t="str">
        <f aca="false">CHOOSE(WEEKDAY(B1153,2),"Mon","Tue","Wed","Thu","Fri","Sat","Sun")</f>
        <v>Sat</v>
      </c>
      <c r="Q1153" s="4" t="str">
        <f aca="false">IF(WEEKDAY(B1153,2)&gt;5,"Weekend","Weekday")</f>
        <v>Weekend</v>
      </c>
      <c r="R1153" s="4" t="str">
        <f aca="false">IF(C1153&lt;11,"Morning (7-10)",IF(C1153&lt;14,"Lunch (11-13)",IF(C1153&lt;18,"Afternoon (14-17)","Evening (18-20)")))</f>
        <v>Afternoon (14-17)</v>
      </c>
      <c r="S1153" s="4" t="str">
        <f aca="false">IF(AND(O1153&gt;=3,O1153&lt;=5),"Hot Dry (Mar-May)",IF(AND(O1153&gt;=6,O1153&lt;=11),"Rainy (Jun-Nov)","Cool Dry (Dec-Feb)"))</f>
        <v>Rainy (Jun-Nov)</v>
      </c>
      <c r="T1153" s="4" t="str">
        <f aca="false">CHOOSE(O1153,"Jan","Feb","Mar","Apr","May","Jun","Jul","Aug","Sep","Oct","Nov","Dec")</f>
        <v>Aug</v>
      </c>
    </row>
    <row r="1154" customFormat="false" ht="15" hidden="false" customHeight="false" outlineLevel="0" collapsed="false">
      <c r="A1154" s="4" t="s">
        <v>1480</v>
      </c>
      <c r="B1154" s="17" t="n">
        <v>45892</v>
      </c>
      <c r="C1154" s="4" t="n">
        <v>16</v>
      </c>
      <c r="D1154" s="4" t="s">
        <v>98</v>
      </c>
      <c r="E1154" s="4" t="s">
        <v>65</v>
      </c>
      <c r="F1154" s="4" t="s">
        <v>66</v>
      </c>
      <c r="G1154" s="4" t="n">
        <v>1</v>
      </c>
      <c r="H1154" s="34" t="n">
        <v>120</v>
      </c>
      <c r="I1154" s="18" t="n">
        <v>0.1</v>
      </c>
      <c r="J1154" s="4" t="s">
        <v>81</v>
      </c>
      <c r="K1154" s="4" t="s">
        <v>71</v>
      </c>
      <c r="L1154" s="35" t="n">
        <f aca="false">G1154*H1154</f>
        <v>120</v>
      </c>
      <c r="M1154" s="35" t="n">
        <f aca="false">L1154*I1154</f>
        <v>12</v>
      </c>
      <c r="N1154" s="35" t="n">
        <f aca="false">L1154-M1154</f>
        <v>108</v>
      </c>
      <c r="O1154" s="4" t="n">
        <f aca="false">MONTH(B1154)</f>
        <v>8</v>
      </c>
      <c r="P1154" s="4" t="str">
        <f aca="false">CHOOSE(WEEKDAY(B1154,2),"Mon","Tue","Wed","Thu","Fri","Sat","Sun")</f>
        <v>Sat</v>
      </c>
      <c r="Q1154" s="4" t="str">
        <f aca="false">IF(WEEKDAY(B1154,2)&gt;5,"Weekend","Weekday")</f>
        <v>Weekend</v>
      </c>
      <c r="R1154" s="4" t="str">
        <f aca="false">IF(C1154&lt;11,"Morning (7-10)",IF(C1154&lt;14,"Lunch (11-13)",IF(C1154&lt;18,"Afternoon (14-17)","Evening (18-20)")))</f>
        <v>Afternoon (14-17)</v>
      </c>
      <c r="S1154" s="4" t="str">
        <f aca="false">IF(AND(O1154&gt;=3,O1154&lt;=5),"Hot Dry (Mar-May)",IF(AND(O1154&gt;=6,O1154&lt;=11),"Rainy (Jun-Nov)","Cool Dry (Dec-Feb)"))</f>
        <v>Rainy (Jun-Nov)</v>
      </c>
      <c r="T1154" s="4" t="str">
        <f aca="false">CHOOSE(O1154,"Jan","Feb","Mar","Apr","May","Jun","Jul","Aug","Sep","Oct","Nov","Dec")</f>
        <v>Aug</v>
      </c>
    </row>
    <row r="1155" customFormat="false" ht="15" hidden="false" customHeight="false" outlineLevel="0" collapsed="false">
      <c r="A1155" s="4" t="s">
        <v>1482</v>
      </c>
      <c r="B1155" s="17" t="n">
        <v>45892</v>
      </c>
      <c r="C1155" s="4" t="n">
        <v>16</v>
      </c>
      <c r="D1155" s="4" t="s">
        <v>73</v>
      </c>
      <c r="E1155" s="4" t="s">
        <v>99</v>
      </c>
      <c r="F1155" s="4" t="s">
        <v>109</v>
      </c>
      <c r="G1155" s="4" t="n">
        <v>4</v>
      </c>
      <c r="H1155" s="34" t="n">
        <v>130</v>
      </c>
      <c r="I1155" s="18" t="n">
        <v>0.1</v>
      </c>
      <c r="J1155" s="4" t="s">
        <v>76</v>
      </c>
      <c r="K1155" s="4" t="s">
        <v>71</v>
      </c>
      <c r="L1155" s="35" t="n">
        <f aca="false">G1155*H1155</f>
        <v>520</v>
      </c>
      <c r="M1155" s="35" t="n">
        <f aca="false">L1155*I1155</f>
        <v>52</v>
      </c>
      <c r="N1155" s="35" t="n">
        <f aca="false">L1155-M1155</f>
        <v>468</v>
      </c>
      <c r="O1155" s="4" t="n">
        <f aca="false">MONTH(B1155)</f>
        <v>8</v>
      </c>
      <c r="P1155" s="4" t="str">
        <f aca="false">CHOOSE(WEEKDAY(B1155,2),"Mon","Tue","Wed","Thu","Fri","Sat","Sun")</f>
        <v>Sat</v>
      </c>
      <c r="Q1155" s="4" t="str">
        <f aca="false">IF(WEEKDAY(B1155,2)&gt;5,"Weekend","Weekday")</f>
        <v>Weekend</v>
      </c>
      <c r="R1155" s="4" t="str">
        <f aca="false">IF(C1155&lt;11,"Morning (7-10)",IF(C1155&lt;14,"Lunch (11-13)",IF(C1155&lt;18,"Afternoon (14-17)","Evening (18-20)")))</f>
        <v>Afternoon (14-17)</v>
      </c>
      <c r="S1155" s="4" t="str">
        <f aca="false">IF(AND(O1155&gt;=3,O1155&lt;=5),"Hot Dry (Mar-May)",IF(AND(O1155&gt;=6,O1155&lt;=11),"Rainy (Jun-Nov)","Cool Dry (Dec-Feb)"))</f>
        <v>Rainy (Jun-Nov)</v>
      </c>
      <c r="T1155" s="4" t="str">
        <f aca="false">CHOOSE(O1155,"Jan","Feb","Mar","Apr","May","Jun","Jul","Aug","Sep","Oct","Nov","Dec")</f>
        <v>Aug</v>
      </c>
    </row>
    <row r="1156" customFormat="false" ht="15" hidden="false" customHeight="false" outlineLevel="0" collapsed="false">
      <c r="A1156" s="4" t="s">
        <v>1483</v>
      </c>
      <c r="B1156" s="17" t="n">
        <v>45893</v>
      </c>
      <c r="C1156" s="4" t="n">
        <v>7</v>
      </c>
      <c r="D1156" s="4" t="s">
        <v>73</v>
      </c>
      <c r="E1156" s="4" t="s">
        <v>99</v>
      </c>
      <c r="F1156" s="4" t="s">
        <v>102</v>
      </c>
      <c r="G1156" s="4" t="n">
        <v>2</v>
      </c>
      <c r="H1156" s="34" t="n">
        <v>140</v>
      </c>
      <c r="I1156" s="18" t="n">
        <v>0.1</v>
      </c>
      <c r="J1156" s="4" t="s">
        <v>81</v>
      </c>
      <c r="K1156" s="4" t="s">
        <v>71</v>
      </c>
      <c r="L1156" s="35" t="n">
        <f aca="false">G1156*H1156</f>
        <v>280</v>
      </c>
      <c r="M1156" s="35" t="n">
        <f aca="false">L1156*I1156</f>
        <v>28</v>
      </c>
      <c r="N1156" s="35" t="n">
        <f aca="false">L1156-M1156</f>
        <v>252</v>
      </c>
      <c r="O1156" s="4" t="n">
        <f aca="false">MONTH(B1156)</f>
        <v>8</v>
      </c>
      <c r="P1156" s="4" t="str">
        <f aca="false">CHOOSE(WEEKDAY(B1156,2),"Mon","Tue","Wed","Thu","Fri","Sat","Sun")</f>
        <v>Sun</v>
      </c>
      <c r="Q1156" s="4" t="str">
        <f aca="false">IF(WEEKDAY(B1156,2)&gt;5,"Weekend","Weekday")</f>
        <v>Weekend</v>
      </c>
      <c r="R1156" s="4" t="str">
        <f aca="false">IF(C1156&lt;11,"Morning (7-10)",IF(C1156&lt;14,"Lunch (11-13)",IF(C1156&lt;18,"Afternoon (14-17)","Evening (18-20)")))</f>
        <v>Morning (7-10)</v>
      </c>
      <c r="S1156" s="4" t="str">
        <f aca="false">IF(AND(O1156&gt;=3,O1156&lt;=5),"Hot Dry (Mar-May)",IF(AND(O1156&gt;=6,O1156&lt;=11),"Rainy (Jun-Nov)","Cool Dry (Dec-Feb)"))</f>
        <v>Rainy (Jun-Nov)</v>
      </c>
      <c r="T1156" s="4" t="str">
        <f aca="false">CHOOSE(O1156,"Jan","Feb","Mar","Apr","May","Jun","Jul","Aug","Sep","Oct","Nov","Dec")</f>
        <v>Aug</v>
      </c>
    </row>
    <row r="1157" customFormat="false" ht="15" hidden="false" customHeight="false" outlineLevel="0" collapsed="false">
      <c r="A1157" s="4" t="s">
        <v>1485</v>
      </c>
      <c r="B1157" s="17" t="n">
        <v>45893</v>
      </c>
      <c r="C1157" s="4" t="n">
        <v>9</v>
      </c>
      <c r="D1157" s="4" t="s">
        <v>70</v>
      </c>
      <c r="E1157" s="4" t="s">
        <v>65</v>
      </c>
      <c r="F1157" s="4" t="s">
        <v>94</v>
      </c>
      <c r="G1157" s="4" t="n">
        <v>1</v>
      </c>
      <c r="H1157" s="34" t="n">
        <v>150</v>
      </c>
      <c r="I1157" s="18" t="n">
        <v>0.05</v>
      </c>
      <c r="J1157" s="4" t="s">
        <v>81</v>
      </c>
      <c r="K1157" s="4" t="s">
        <v>82</v>
      </c>
      <c r="L1157" s="35" t="n">
        <f aca="false">G1157*H1157</f>
        <v>150</v>
      </c>
      <c r="M1157" s="35" t="n">
        <f aca="false">L1157*I1157</f>
        <v>7.5</v>
      </c>
      <c r="N1157" s="35" t="n">
        <f aca="false">L1157-M1157</f>
        <v>142.5</v>
      </c>
      <c r="O1157" s="4" t="n">
        <f aca="false">MONTH(B1157)</f>
        <v>8</v>
      </c>
      <c r="P1157" s="4" t="str">
        <f aca="false">CHOOSE(WEEKDAY(B1157,2),"Mon","Tue","Wed","Thu","Fri","Sat","Sun")</f>
        <v>Sun</v>
      </c>
      <c r="Q1157" s="4" t="str">
        <f aca="false">IF(WEEKDAY(B1157,2)&gt;5,"Weekend","Weekday")</f>
        <v>Weekend</v>
      </c>
      <c r="R1157" s="4" t="str">
        <f aca="false">IF(C1157&lt;11,"Morning (7-10)",IF(C1157&lt;14,"Lunch (11-13)",IF(C1157&lt;18,"Afternoon (14-17)","Evening (18-20)")))</f>
        <v>Morning (7-10)</v>
      </c>
      <c r="S1157" s="4" t="str">
        <f aca="false">IF(AND(O1157&gt;=3,O1157&lt;=5),"Hot Dry (Mar-May)",IF(AND(O1157&gt;=6,O1157&lt;=11),"Rainy (Jun-Nov)","Cool Dry (Dec-Feb)"))</f>
        <v>Rainy (Jun-Nov)</v>
      </c>
      <c r="T1157" s="4" t="str">
        <f aca="false">CHOOSE(O1157,"Jan","Feb","Mar","Apr","May","Jun","Jul","Aug","Sep","Oct","Nov","Dec")</f>
        <v>Aug</v>
      </c>
    </row>
    <row r="1158" customFormat="false" ht="15" hidden="false" customHeight="false" outlineLevel="0" collapsed="false">
      <c r="A1158" s="4" t="s">
        <v>1486</v>
      </c>
      <c r="B1158" s="17" t="n">
        <v>45893</v>
      </c>
      <c r="C1158" s="4" t="n">
        <v>11</v>
      </c>
      <c r="D1158" s="4" t="s">
        <v>64</v>
      </c>
      <c r="E1158" s="4" t="s">
        <v>99</v>
      </c>
      <c r="F1158" s="4" t="s">
        <v>100</v>
      </c>
      <c r="G1158" s="4" t="n">
        <v>2</v>
      </c>
      <c r="H1158" s="34" t="n">
        <v>110</v>
      </c>
      <c r="I1158" s="18" t="n">
        <v>0.1</v>
      </c>
      <c r="J1158" s="4" t="s">
        <v>81</v>
      </c>
      <c r="K1158" s="4" t="s">
        <v>68</v>
      </c>
      <c r="L1158" s="35" t="n">
        <f aca="false">G1158*H1158</f>
        <v>220</v>
      </c>
      <c r="M1158" s="35" t="n">
        <f aca="false">L1158*I1158</f>
        <v>22</v>
      </c>
      <c r="N1158" s="35" t="n">
        <f aca="false">L1158-M1158</f>
        <v>198</v>
      </c>
      <c r="O1158" s="4" t="n">
        <f aca="false">MONTH(B1158)</f>
        <v>8</v>
      </c>
      <c r="P1158" s="4" t="str">
        <f aca="false">CHOOSE(WEEKDAY(B1158,2),"Mon","Tue","Wed","Thu","Fri","Sat","Sun")</f>
        <v>Sun</v>
      </c>
      <c r="Q1158" s="4" t="str">
        <f aca="false">IF(WEEKDAY(B1158,2)&gt;5,"Weekend","Weekday")</f>
        <v>Weekend</v>
      </c>
      <c r="R1158" s="4" t="str">
        <f aca="false">IF(C1158&lt;11,"Morning (7-10)",IF(C1158&lt;14,"Lunch (11-13)",IF(C1158&lt;18,"Afternoon (14-17)","Evening (18-20)")))</f>
        <v>Lunch (11-13)</v>
      </c>
      <c r="S1158" s="4" t="str">
        <f aca="false">IF(AND(O1158&gt;=3,O1158&lt;=5),"Hot Dry (Mar-May)",IF(AND(O1158&gt;=6,O1158&lt;=11),"Rainy (Jun-Nov)","Cool Dry (Dec-Feb)"))</f>
        <v>Rainy (Jun-Nov)</v>
      </c>
      <c r="T1158" s="4" t="str">
        <f aca="false">CHOOSE(O1158,"Jan","Feb","Mar","Apr","May","Jun","Jul","Aug","Sep","Oct","Nov","Dec")</f>
        <v>Aug</v>
      </c>
    </row>
    <row r="1159" customFormat="false" ht="15" hidden="false" customHeight="false" outlineLevel="0" collapsed="false">
      <c r="A1159" s="4" t="s">
        <v>1487</v>
      </c>
      <c r="B1159" s="17" t="n">
        <v>45894</v>
      </c>
      <c r="C1159" s="4" t="n">
        <v>7</v>
      </c>
      <c r="D1159" s="4" t="s">
        <v>64</v>
      </c>
      <c r="E1159" s="4" t="s">
        <v>99</v>
      </c>
      <c r="F1159" s="4" t="s">
        <v>102</v>
      </c>
      <c r="G1159" s="4" t="n">
        <v>3</v>
      </c>
      <c r="H1159" s="34" t="n">
        <v>140</v>
      </c>
      <c r="I1159" s="18" t="n">
        <v>0</v>
      </c>
      <c r="J1159" s="4" t="s">
        <v>88</v>
      </c>
      <c r="K1159" s="4" t="s">
        <v>77</v>
      </c>
      <c r="L1159" s="35" t="n">
        <f aca="false">G1159*H1159</f>
        <v>420</v>
      </c>
      <c r="M1159" s="35" t="n">
        <f aca="false">L1159*I1159</f>
        <v>0</v>
      </c>
      <c r="N1159" s="35" t="n">
        <f aca="false">L1159-M1159</f>
        <v>420</v>
      </c>
      <c r="O1159" s="4" t="n">
        <f aca="false">MONTH(B1159)</f>
        <v>8</v>
      </c>
      <c r="P1159" s="4" t="str">
        <f aca="false">CHOOSE(WEEKDAY(B1159,2),"Mon","Tue","Wed","Thu","Fri","Sat","Sun")</f>
        <v>Mon</v>
      </c>
      <c r="Q1159" s="4" t="str">
        <f aca="false">IF(WEEKDAY(B1159,2)&gt;5,"Weekend","Weekday")</f>
        <v>Weekday</v>
      </c>
      <c r="R1159" s="4" t="str">
        <f aca="false">IF(C1159&lt;11,"Morning (7-10)",IF(C1159&lt;14,"Lunch (11-13)",IF(C1159&lt;18,"Afternoon (14-17)","Evening (18-20)")))</f>
        <v>Morning (7-10)</v>
      </c>
      <c r="S1159" s="4" t="str">
        <f aca="false">IF(AND(O1159&gt;=3,O1159&lt;=5),"Hot Dry (Mar-May)",IF(AND(O1159&gt;=6,O1159&lt;=11),"Rainy (Jun-Nov)","Cool Dry (Dec-Feb)"))</f>
        <v>Rainy (Jun-Nov)</v>
      </c>
      <c r="T1159" s="4" t="str">
        <f aca="false">CHOOSE(O1159,"Jan","Feb","Mar","Apr","May","Jun","Jul","Aug","Sep","Oct","Nov","Dec")</f>
        <v>Aug</v>
      </c>
    </row>
    <row r="1160" customFormat="false" ht="15" hidden="false" customHeight="false" outlineLevel="0" collapsed="false">
      <c r="A1160" s="4" t="s">
        <v>1489</v>
      </c>
      <c r="B1160" s="17" t="n">
        <v>45894</v>
      </c>
      <c r="C1160" s="4" t="n">
        <v>7</v>
      </c>
      <c r="D1160" s="4" t="s">
        <v>64</v>
      </c>
      <c r="E1160" s="4" t="s">
        <v>79</v>
      </c>
      <c r="F1160" s="4" t="s">
        <v>148</v>
      </c>
      <c r="G1160" s="4" t="n">
        <v>2</v>
      </c>
      <c r="H1160" s="34" t="n">
        <v>120</v>
      </c>
      <c r="I1160" s="18" t="n">
        <v>0</v>
      </c>
      <c r="J1160" s="4" t="s">
        <v>88</v>
      </c>
      <c r="K1160" s="4" t="s">
        <v>77</v>
      </c>
      <c r="L1160" s="35" t="n">
        <f aca="false">G1160*H1160</f>
        <v>240</v>
      </c>
      <c r="M1160" s="35" t="n">
        <f aca="false">L1160*I1160</f>
        <v>0</v>
      </c>
      <c r="N1160" s="35" t="n">
        <f aca="false">L1160-M1160</f>
        <v>240</v>
      </c>
      <c r="O1160" s="4" t="n">
        <f aca="false">MONTH(B1160)</f>
        <v>8</v>
      </c>
      <c r="P1160" s="4" t="str">
        <f aca="false">CHOOSE(WEEKDAY(B1160,2),"Mon","Tue","Wed","Thu","Fri","Sat","Sun")</f>
        <v>Mon</v>
      </c>
      <c r="Q1160" s="4" t="str">
        <f aca="false">IF(WEEKDAY(B1160,2)&gt;5,"Weekend","Weekday")</f>
        <v>Weekday</v>
      </c>
      <c r="R1160" s="4" t="str">
        <f aca="false">IF(C1160&lt;11,"Morning (7-10)",IF(C1160&lt;14,"Lunch (11-13)",IF(C1160&lt;18,"Afternoon (14-17)","Evening (18-20)")))</f>
        <v>Morning (7-10)</v>
      </c>
      <c r="S1160" s="4" t="str">
        <f aca="false">IF(AND(O1160&gt;=3,O1160&lt;=5),"Hot Dry (Mar-May)",IF(AND(O1160&gt;=6,O1160&lt;=11),"Rainy (Jun-Nov)","Cool Dry (Dec-Feb)"))</f>
        <v>Rainy (Jun-Nov)</v>
      </c>
      <c r="T1160" s="4" t="str">
        <f aca="false">CHOOSE(O1160,"Jan","Feb","Mar","Apr","May","Jun","Jul","Aug","Sep","Oct","Nov","Dec")</f>
        <v>Aug</v>
      </c>
    </row>
    <row r="1161" customFormat="false" ht="15" hidden="false" customHeight="false" outlineLevel="0" collapsed="false">
      <c r="A1161" s="4" t="s">
        <v>1490</v>
      </c>
      <c r="B1161" s="17" t="n">
        <v>45894</v>
      </c>
      <c r="C1161" s="4" t="n">
        <v>9</v>
      </c>
      <c r="D1161" s="4" t="s">
        <v>70</v>
      </c>
      <c r="E1161" s="4" t="s">
        <v>99</v>
      </c>
      <c r="F1161" s="4" t="s">
        <v>100</v>
      </c>
      <c r="G1161" s="4" t="n">
        <v>1</v>
      </c>
      <c r="H1161" s="34" t="n">
        <v>110</v>
      </c>
      <c r="I1161" s="18" t="n">
        <v>0.1</v>
      </c>
      <c r="J1161" s="4" t="s">
        <v>81</v>
      </c>
      <c r="K1161" s="4" t="s">
        <v>71</v>
      </c>
      <c r="L1161" s="35" t="n">
        <f aca="false">G1161*H1161</f>
        <v>110</v>
      </c>
      <c r="M1161" s="35" t="n">
        <f aca="false">L1161*I1161</f>
        <v>11</v>
      </c>
      <c r="N1161" s="35" t="n">
        <f aca="false">L1161-M1161</f>
        <v>99</v>
      </c>
      <c r="O1161" s="4" t="n">
        <f aca="false">MONTH(B1161)</f>
        <v>8</v>
      </c>
      <c r="P1161" s="4" t="str">
        <f aca="false">CHOOSE(WEEKDAY(B1161,2),"Mon","Tue","Wed","Thu","Fri","Sat","Sun")</f>
        <v>Mon</v>
      </c>
      <c r="Q1161" s="4" t="str">
        <f aca="false">IF(WEEKDAY(B1161,2)&gt;5,"Weekend","Weekday")</f>
        <v>Weekday</v>
      </c>
      <c r="R1161" s="4" t="str">
        <f aca="false">IF(C1161&lt;11,"Morning (7-10)",IF(C1161&lt;14,"Lunch (11-13)",IF(C1161&lt;18,"Afternoon (14-17)","Evening (18-20)")))</f>
        <v>Morning (7-10)</v>
      </c>
      <c r="S1161" s="4" t="str">
        <f aca="false">IF(AND(O1161&gt;=3,O1161&lt;=5),"Hot Dry (Mar-May)",IF(AND(O1161&gt;=6,O1161&lt;=11),"Rainy (Jun-Nov)","Cool Dry (Dec-Feb)"))</f>
        <v>Rainy (Jun-Nov)</v>
      </c>
      <c r="T1161" s="4" t="str">
        <f aca="false">CHOOSE(O1161,"Jan","Feb","Mar","Apr","May","Jun","Jul","Aug","Sep","Oct","Nov","Dec")</f>
        <v>Aug</v>
      </c>
    </row>
    <row r="1162" customFormat="false" ht="15" hidden="false" customHeight="false" outlineLevel="0" collapsed="false">
      <c r="A1162" s="4" t="s">
        <v>1492</v>
      </c>
      <c r="B1162" s="17" t="n">
        <v>45894</v>
      </c>
      <c r="C1162" s="4" t="n">
        <v>10</v>
      </c>
      <c r="D1162" s="4" t="s">
        <v>70</v>
      </c>
      <c r="E1162" s="4" t="s">
        <v>99</v>
      </c>
      <c r="F1162" s="4" t="s">
        <v>102</v>
      </c>
      <c r="G1162" s="4" t="n">
        <v>1</v>
      </c>
      <c r="H1162" s="34" t="n">
        <v>140</v>
      </c>
      <c r="I1162" s="18" t="n">
        <v>0.05</v>
      </c>
      <c r="J1162" s="4" t="s">
        <v>67</v>
      </c>
      <c r="K1162" s="4" t="s">
        <v>82</v>
      </c>
      <c r="L1162" s="35" t="n">
        <f aca="false">G1162*H1162</f>
        <v>140</v>
      </c>
      <c r="M1162" s="35" t="n">
        <f aca="false">L1162*I1162</f>
        <v>7</v>
      </c>
      <c r="N1162" s="35" t="n">
        <f aca="false">L1162-M1162</f>
        <v>133</v>
      </c>
      <c r="O1162" s="4" t="n">
        <f aca="false">MONTH(B1162)</f>
        <v>8</v>
      </c>
      <c r="P1162" s="4" t="str">
        <f aca="false">CHOOSE(WEEKDAY(B1162,2),"Mon","Tue","Wed","Thu","Fri","Sat","Sun")</f>
        <v>Mon</v>
      </c>
      <c r="Q1162" s="4" t="str">
        <f aca="false">IF(WEEKDAY(B1162,2)&gt;5,"Weekend","Weekday")</f>
        <v>Weekday</v>
      </c>
      <c r="R1162" s="4" t="str">
        <f aca="false">IF(C1162&lt;11,"Morning (7-10)",IF(C1162&lt;14,"Lunch (11-13)",IF(C1162&lt;18,"Afternoon (14-17)","Evening (18-20)")))</f>
        <v>Morning (7-10)</v>
      </c>
      <c r="S1162" s="4" t="str">
        <f aca="false">IF(AND(O1162&gt;=3,O1162&lt;=5),"Hot Dry (Mar-May)",IF(AND(O1162&gt;=6,O1162&lt;=11),"Rainy (Jun-Nov)","Cool Dry (Dec-Feb)"))</f>
        <v>Rainy (Jun-Nov)</v>
      </c>
      <c r="T1162" s="4" t="str">
        <f aca="false">CHOOSE(O1162,"Jan","Feb","Mar","Apr","May","Jun","Jul","Aug","Sep","Oct","Nov","Dec")</f>
        <v>Aug</v>
      </c>
    </row>
    <row r="1163" customFormat="false" ht="15" hidden="false" customHeight="false" outlineLevel="0" collapsed="false">
      <c r="A1163" s="4" t="s">
        <v>1493</v>
      </c>
      <c r="B1163" s="17" t="n">
        <v>45894</v>
      </c>
      <c r="C1163" s="4" t="n">
        <v>11</v>
      </c>
      <c r="D1163" s="4" t="s">
        <v>64</v>
      </c>
      <c r="E1163" s="4" t="s">
        <v>84</v>
      </c>
      <c r="F1163" s="4" t="s">
        <v>85</v>
      </c>
      <c r="G1163" s="4" t="n">
        <v>1</v>
      </c>
      <c r="H1163" s="34" t="n">
        <v>150</v>
      </c>
      <c r="I1163" s="18" t="n">
        <v>0.1</v>
      </c>
      <c r="J1163" s="4" t="s">
        <v>67</v>
      </c>
      <c r="K1163" s="4" t="s">
        <v>71</v>
      </c>
      <c r="L1163" s="35" t="n">
        <f aca="false">G1163*H1163</f>
        <v>150</v>
      </c>
      <c r="M1163" s="35" t="n">
        <f aca="false">L1163*I1163</f>
        <v>15</v>
      </c>
      <c r="N1163" s="35" t="n">
        <f aca="false">L1163-M1163</f>
        <v>135</v>
      </c>
      <c r="O1163" s="4" t="n">
        <f aca="false">MONTH(B1163)</f>
        <v>8</v>
      </c>
      <c r="P1163" s="4" t="str">
        <f aca="false">CHOOSE(WEEKDAY(B1163,2),"Mon","Tue","Wed","Thu","Fri","Sat","Sun")</f>
        <v>Mon</v>
      </c>
      <c r="Q1163" s="4" t="str">
        <f aca="false">IF(WEEKDAY(B1163,2)&gt;5,"Weekend","Weekday")</f>
        <v>Weekday</v>
      </c>
      <c r="R1163" s="4" t="str">
        <f aca="false">IF(C1163&lt;11,"Morning (7-10)",IF(C1163&lt;14,"Lunch (11-13)",IF(C1163&lt;18,"Afternoon (14-17)","Evening (18-20)")))</f>
        <v>Lunch (11-13)</v>
      </c>
      <c r="S1163" s="4" t="str">
        <f aca="false">IF(AND(O1163&gt;=3,O1163&lt;=5),"Hot Dry (Mar-May)",IF(AND(O1163&gt;=6,O1163&lt;=11),"Rainy (Jun-Nov)","Cool Dry (Dec-Feb)"))</f>
        <v>Rainy (Jun-Nov)</v>
      </c>
      <c r="T1163" s="4" t="str">
        <f aca="false">CHOOSE(O1163,"Jan","Feb","Mar","Apr","May","Jun","Jul","Aug","Sep","Oct","Nov","Dec")</f>
        <v>Aug</v>
      </c>
    </row>
    <row r="1164" customFormat="false" ht="15" hidden="false" customHeight="false" outlineLevel="0" collapsed="false">
      <c r="A1164" s="4" t="s">
        <v>1494</v>
      </c>
      <c r="B1164" s="17" t="n">
        <v>45894</v>
      </c>
      <c r="C1164" s="4" t="n">
        <v>12</v>
      </c>
      <c r="D1164" s="4" t="s">
        <v>73</v>
      </c>
      <c r="E1164" s="4" t="s">
        <v>79</v>
      </c>
      <c r="F1164" s="4" t="s">
        <v>148</v>
      </c>
      <c r="G1164" s="4" t="n">
        <v>2</v>
      </c>
      <c r="H1164" s="34" t="n">
        <v>120</v>
      </c>
      <c r="I1164" s="18" t="n">
        <v>0</v>
      </c>
      <c r="J1164" s="4" t="s">
        <v>67</v>
      </c>
      <c r="K1164" s="4" t="s">
        <v>68</v>
      </c>
      <c r="L1164" s="35" t="n">
        <f aca="false">G1164*H1164</f>
        <v>240</v>
      </c>
      <c r="M1164" s="35" t="n">
        <f aca="false">L1164*I1164</f>
        <v>0</v>
      </c>
      <c r="N1164" s="35" t="n">
        <f aca="false">L1164-M1164</f>
        <v>240</v>
      </c>
      <c r="O1164" s="4" t="n">
        <f aca="false">MONTH(B1164)</f>
        <v>8</v>
      </c>
      <c r="P1164" s="4" t="str">
        <f aca="false">CHOOSE(WEEKDAY(B1164,2),"Mon","Tue","Wed","Thu","Fri","Sat","Sun")</f>
        <v>Mon</v>
      </c>
      <c r="Q1164" s="4" t="str">
        <f aca="false">IF(WEEKDAY(B1164,2)&gt;5,"Weekend","Weekday")</f>
        <v>Weekday</v>
      </c>
      <c r="R1164" s="4" t="str">
        <f aca="false">IF(C1164&lt;11,"Morning (7-10)",IF(C1164&lt;14,"Lunch (11-13)",IF(C1164&lt;18,"Afternoon (14-17)","Evening (18-20)")))</f>
        <v>Lunch (11-13)</v>
      </c>
      <c r="S1164" s="4" t="str">
        <f aca="false">IF(AND(O1164&gt;=3,O1164&lt;=5),"Hot Dry (Mar-May)",IF(AND(O1164&gt;=6,O1164&lt;=11),"Rainy (Jun-Nov)","Cool Dry (Dec-Feb)"))</f>
        <v>Rainy (Jun-Nov)</v>
      </c>
      <c r="T1164" s="4" t="str">
        <f aca="false">CHOOSE(O1164,"Jan","Feb","Mar","Apr","May","Jun","Jul","Aug","Sep","Oct","Nov","Dec")</f>
        <v>Aug</v>
      </c>
    </row>
    <row r="1165" customFormat="false" ht="15" hidden="false" customHeight="false" outlineLevel="0" collapsed="false">
      <c r="A1165" s="4" t="s">
        <v>1495</v>
      </c>
      <c r="B1165" s="17" t="n">
        <v>45894</v>
      </c>
      <c r="C1165" s="4" t="n">
        <v>12</v>
      </c>
      <c r="D1165" s="4" t="s">
        <v>70</v>
      </c>
      <c r="E1165" s="4" t="s">
        <v>99</v>
      </c>
      <c r="F1165" s="4" t="s">
        <v>109</v>
      </c>
      <c r="G1165" s="4" t="n">
        <v>1</v>
      </c>
      <c r="H1165" s="34" t="n">
        <v>130</v>
      </c>
      <c r="I1165" s="18" t="n">
        <v>0.05</v>
      </c>
      <c r="J1165" s="4" t="s">
        <v>81</v>
      </c>
      <c r="K1165" s="4" t="s">
        <v>82</v>
      </c>
      <c r="L1165" s="35" t="n">
        <f aca="false">G1165*H1165</f>
        <v>130</v>
      </c>
      <c r="M1165" s="35" t="n">
        <f aca="false">L1165*I1165</f>
        <v>6.5</v>
      </c>
      <c r="N1165" s="35" t="n">
        <f aca="false">L1165-M1165</f>
        <v>123.5</v>
      </c>
      <c r="O1165" s="4" t="n">
        <f aca="false">MONTH(B1165)</f>
        <v>8</v>
      </c>
      <c r="P1165" s="4" t="str">
        <f aca="false">CHOOSE(WEEKDAY(B1165,2),"Mon","Tue","Wed","Thu","Fri","Sat","Sun")</f>
        <v>Mon</v>
      </c>
      <c r="Q1165" s="4" t="str">
        <f aca="false">IF(WEEKDAY(B1165,2)&gt;5,"Weekend","Weekday")</f>
        <v>Weekday</v>
      </c>
      <c r="R1165" s="4" t="str">
        <f aca="false">IF(C1165&lt;11,"Morning (7-10)",IF(C1165&lt;14,"Lunch (11-13)",IF(C1165&lt;18,"Afternoon (14-17)","Evening (18-20)")))</f>
        <v>Lunch (11-13)</v>
      </c>
      <c r="S1165" s="4" t="str">
        <f aca="false">IF(AND(O1165&gt;=3,O1165&lt;=5),"Hot Dry (Mar-May)",IF(AND(O1165&gt;=6,O1165&lt;=11),"Rainy (Jun-Nov)","Cool Dry (Dec-Feb)"))</f>
        <v>Rainy (Jun-Nov)</v>
      </c>
      <c r="T1165" s="4" t="str">
        <f aca="false">CHOOSE(O1165,"Jan","Feb","Mar","Apr","May","Jun","Jul","Aug","Sep","Oct","Nov","Dec")</f>
        <v>Aug</v>
      </c>
    </row>
    <row r="1166" customFormat="false" ht="15" hidden="false" customHeight="false" outlineLevel="0" collapsed="false">
      <c r="A1166" s="4" t="s">
        <v>1496</v>
      </c>
      <c r="B1166" s="17" t="n">
        <v>45894</v>
      </c>
      <c r="C1166" s="4" t="n">
        <v>16</v>
      </c>
      <c r="D1166" s="4" t="s">
        <v>70</v>
      </c>
      <c r="E1166" s="4" t="s">
        <v>79</v>
      </c>
      <c r="F1166" s="4" t="s">
        <v>80</v>
      </c>
      <c r="G1166" s="4" t="n">
        <v>4</v>
      </c>
      <c r="H1166" s="34" t="n">
        <v>160</v>
      </c>
      <c r="I1166" s="18" t="n">
        <v>0.1</v>
      </c>
      <c r="J1166" s="4" t="s">
        <v>81</v>
      </c>
      <c r="K1166" s="4" t="s">
        <v>82</v>
      </c>
      <c r="L1166" s="35" t="n">
        <f aca="false">G1166*H1166</f>
        <v>640</v>
      </c>
      <c r="M1166" s="35" t="n">
        <f aca="false">L1166*I1166</f>
        <v>64</v>
      </c>
      <c r="N1166" s="35" t="n">
        <f aca="false">L1166-M1166</f>
        <v>576</v>
      </c>
      <c r="O1166" s="4" t="n">
        <f aca="false">MONTH(B1166)</f>
        <v>8</v>
      </c>
      <c r="P1166" s="4" t="str">
        <f aca="false">CHOOSE(WEEKDAY(B1166,2),"Mon","Tue","Wed","Thu","Fri","Sat","Sun")</f>
        <v>Mon</v>
      </c>
      <c r="Q1166" s="4" t="str">
        <f aca="false">IF(WEEKDAY(B1166,2)&gt;5,"Weekend","Weekday")</f>
        <v>Weekday</v>
      </c>
      <c r="R1166" s="4" t="str">
        <f aca="false">IF(C1166&lt;11,"Morning (7-10)",IF(C1166&lt;14,"Lunch (11-13)",IF(C1166&lt;18,"Afternoon (14-17)","Evening (18-20)")))</f>
        <v>Afternoon (14-17)</v>
      </c>
      <c r="S1166" s="4" t="str">
        <f aca="false">IF(AND(O1166&gt;=3,O1166&lt;=5),"Hot Dry (Mar-May)",IF(AND(O1166&gt;=6,O1166&lt;=11),"Rainy (Jun-Nov)","Cool Dry (Dec-Feb)"))</f>
        <v>Rainy (Jun-Nov)</v>
      </c>
      <c r="T1166" s="4" t="str">
        <f aca="false">CHOOSE(O1166,"Jan","Feb","Mar","Apr","May","Jun","Jul","Aug","Sep","Oct","Nov","Dec")</f>
        <v>Aug</v>
      </c>
    </row>
    <row r="1167" customFormat="false" ht="15" hidden="false" customHeight="false" outlineLevel="0" collapsed="false">
      <c r="A1167" s="4" t="s">
        <v>1497</v>
      </c>
      <c r="B1167" s="17" t="n">
        <v>45894</v>
      </c>
      <c r="C1167" s="4" t="n">
        <v>16</v>
      </c>
      <c r="D1167" s="4" t="s">
        <v>64</v>
      </c>
      <c r="E1167" s="4" t="s">
        <v>99</v>
      </c>
      <c r="F1167" s="4" t="s">
        <v>100</v>
      </c>
      <c r="G1167" s="4" t="n">
        <v>1</v>
      </c>
      <c r="H1167" s="34" t="n">
        <v>110</v>
      </c>
      <c r="I1167" s="18" t="n">
        <v>0.1</v>
      </c>
      <c r="J1167" s="4" t="s">
        <v>81</v>
      </c>
      <c r="K1167" s="4" t="s">
        <v>71</v>
      </c>
      <c r="L1167" s="35" t="n">
        <f aca="false">G1167*H1167</f>
        <v>110</v>
      </c>
      <c r="M1167" s="35" t="n">
        <f aca="false">L1167*I1167</f>
        <v>11</v>
      </c>
      <c r="N1167" s="35" t="n">
        <f aca="false">L1167-M1167</f>
        <v>99</v>
      </c>
      <c r="O1167" s="4" t="n">
        <f aca="false">MONTH(B1167)</f>
        <v>8</v>
      </c>
      <c r="P1167" s="4" t="str">
        <f aca="false">CHOOSE(WEEKDAY(B1167,2),"Mon","Tue","Wed","Thu","Fri","Sat","Sun")</f>
        <v>Mon</v>
      </c>
      <c r="Q1167" s="4" t="str">
        <f aca="false">IF(WEEKDAY(B1167,2)&gt;5,"Weekend","Weekday")</f>
        <v>Weekday</v>
      </c>
      <c r="R1167" s="4" t="str">
        <f aca="false">IF(C1167&lt;11,"Morning (7-10)",IF(C1167&lt;14,"Lunch (11-13)",IF(C1167&lt;18,"Afternoon (14-17)","Evening (18-20)")))</f>
        <v>Afternoon (14-17)</v>
      </c>
      <c r="S1167" s="4" t="str">
        <f aca="false">IF(AND(O1167&gt;=3,O1167&lt;=5),"Hot Dry (Mar-May)",IF(AND(O1167&gt;=6,O1167&lt;=11),"Rainy (Jun-Nov)","Cool Dry (Dec-Feb)"))</f>
        <v>Rainy (Jun-Nov)</v>
      </c>
      <c r="T1167" s="4" t="str">
        <f aca="false">CHOOSE(O1167,"Jan","Feb","Mar","Apr","May","Jun","Jul","Aug","Sep","Oct","Nov","Dec")</f>
        <v>Aug</v>
      </c>
    </row>
    <row r="1168" customFormat="false" ht="15" hidden="false" customHeight="false" outlineLevel="0" collapsed="false">
      <c r="A1168" s="4" t="s">
        <v>1498</v>
      </c>
      <c r="B1168" s="17" t="n">
        <v>45895</v>
      </c>
      <c r="C1168" s="4" t="n">
        <v>9</v>
      </c>
      <c r="D1168" s="4" t="s">
        <v>73</v>
      </c>
      <c r="E1168" s="4" t="s">
        <v>65</v>
      </c>
      <c r="F1168" s="4" t="s">
        <v>87</v>
      </c>
      <c r="G1168" s="4" t="n">
        <v>3</v>
      </c>
      <c r="H1168" s="34" t="n">
        <v>160</v>
      </c>
      <c r="I1168" s="18" t="n">
        <v>0</v>
      </c>
      <c r="J1168" s="4" t="s">
        <v>112</v>
      </c>
      <c r="K1168" s="4" t="s">
        <v>77</v>
      </c>
      <c r="L1168" s="35" t="n">
        <f aca="false">G1168*H1168</f>
        <v>480</v>
      </c>
      <c r="M1168" s="35" t="n">
        <f aca="false">L1168*I1168</f>
        <v>0</v>
      </c>
      <c r="N1168" s="35" t="n">
        <f aca="false">L1168-M1168</f>
        <v>480</v>
      </c>
      <c r="O1168" s="4" t="n">
        <f aca="false">MONTH(B1168)</f>
        <v>8</v>
      </c>
      <c r="P1168" s="4" t="str">
        <f aca="false">CHOOSE(WEEKDAY(B1168,2),"Mon","Tue","Wed","Thu","Fri","Sat","Sun")</f>
        <v>Tue</v>
      </c>
      <c r="Q1168" s="4" t="str">
        <f aca="false">IF(WEEKDAY(B1168,2)&gt;5,"Weekend","Weekday")</f>
        <v>Weekday</v>
      </c>
      <c r="R1168" s="4" t="str">
        <f aca="false">IF(C1168&lt;11,"Morning (7-10)",IF(C1168&lt;14,"Lunch (11-13)",IF(C1168&lt;18,"Afternoon (14-17)","Evening (18-20)")))</f>
        <v>Morning (7-10)</v>
      </c>
      <c r="S1168" s="4" t="str">
        <f aca="false">IF(AND(O1168&gt;=3,O1168&lt;=5),"Hot Dry (Mar-May)",IF(AND(O1168&gt;=6,O1168&lt;=11),"Rainy (Jun-Nov)","Cool Dry (Dec-Feb)"))</f>
        <v>Rainy (Jun-Nov)</v>
      </c>
      <c r="T1168" s="4" t="str">
        <f aca="false">CHOOSE(O1168,"Jan","Feb","Mar","Apr","May","Jun","Jul","Aug","Sep","Oct","Nov","Dec")</f>
        <v>Aug</v>
      </c>
    </row>
    <row r="1169" customFormat="false" ht="15" hidden="false" customHeight="false" outlineLevel="0" collapsed="false">
      <c r="A1169" s="4" t="s">
        <v>1499</v>
      </c>
      <c r="B1169" s="17" t="n">
        <v>45895</v>
      </c>
      <c r="C1169" s="4" t="n">
        <v>13</v>
      </c>
      <c r="D1169" s="4" t="s">
        <v>98</v>
      </c>
      <c r="E1169" s="4" t="s">
        <v>74</v>
      </c>
      <c r="F1169" s="4" t="s">
        <v>75</v>
      </c>
      <c r="G1169" s="4" t="n">
        <v>4</v>
      </c>
      <c r="H1169" s="34" t="n">
        <v>220</v>
      </c>
      <c r="I1169" s="18" t="n">
        <v>0.05</v>
      </c>
      <c r="J1169" s="4" t="s">
        <v>81</v>
      </c>
      <c r="K1169" s="4" t="s">
        <v>82</v>
      </c>
      <c r="L1169" s="35" t="n">
        <f aca="false">G1169*H1169</f>
        <v>880</v>
      </c>
      <c r="M1169" s="35" t="n">
        <f aca="false">L1169*I1169</f>
        <v>44</v>
      </c>
      <c r="N1169" s="35" t="n">
        <f aca="false">L1169-M1169</f>
        <v>836</v>
      </c>
      <c r="O1169" s="4" t="n">
        <f aca="false">MONTH(B1169)</f>
        <v>8</v>
      </c>
      <c r="P1169" s="4" t="str">
        <f aca="false">CHOOSE(WEEKDAY(B1169,2),"Mon","Tue","Wed","Thu","Fri","Sat","Sun")</f>
        <v>Tue</v>
      </c>
      <c r="Q1169" s="4" t="str">
        <f aca="false">IF(WEEKDAY(B1169,2)&gt;5,"Weekend","Weekday")</f>
        <v>Weekday</v>
      </c>
      <c r="R1169" s="4" t="str">
        <f aca="false">IF(C1169&lt;11,"Morning (7-10)",IF(C1169&lt;14,"Lunch (11-13)",IF(C1169&lt;18,"Afternoon (14-17)","Evening (18-20)")))</f>
        <v>Lunch (11-13)</v>
      </c>
      <c r="S1169" s="4" t="str">
        <f aca="false">IF(AND(O1169&gt;=3,O1169&lt;=5),"Hot Dry (Mar-May)",IF(AND(O1169&gt;=6,O1169&lt;=11),"Rainy (Jun-Nov)","Cool Dry (Dec-Feb)"))</f>
        <v>Rainy (Jun-Nov)</v>
      </c>
      <c r="T1169" s="4" t="str">
        <f aca="false">CHOOSE(O1169,"Jan","Feb","Mar","Apr","May","Jun","Jul","Aug","Sep","Oct","Nov","Dec")</f>
        <v>Aug</v>
      </c>
    </row>
    <row r="1170" customFormat="false" ht="15" hidden="false" customHeight="false" outlineLevel="0" collapsed="false">
      <c r="A1170" s="4" t="s">
        <v>1501</v>
      </c>
      <c r="B1170" s="17" t="n">
        <v>45895</v>
      </c>
      <c r="C1170" s="4" t="n">
        <v>14</v>
      </c>
      <c r="D1170" s="4" t="s">
        <v>70</v>
      </c>
      <c r="E1170" s="4" t="s">
        <v>99</v>
      </c>
      <c r="F1170" s="4" t="s">
        <v>133</v>
      </c>
      <c r="G1170" s="4" t="n">
        <v>4</v>
      </c>
      <c r="H1170" s="34" t="n">
        <v>90</v>
      </c>
      <c r="I1170" s="18" t="n">
        <v>0.05</v>
      </c>
      <c r="J1170" s="4" t="s">
        <v>2289</v>
      </c>
      <c r="K1170" s="4" t="s">
        <v>82</v>
      </c>
      <c r="L1170" s="35" t="n">
        <f aca="false">G1170*H1170</f>
        <v>360</v>
      </c>
      <c r="M1170" s="35" t="n">
        <f aca="false">L1170*I1170</f>
        <v>18</v>
      </c>
      <c r="N1170" s="35" t="n">
        <f aca="false">L1170-M1170</f>
        <v>342</v>
      </c>
      <c r="O1170" s="4" t="n">
        <f aca="false">MONTH(B1170)</f>
        <v>8</v>
      </c>
      <c r="P1170" s="4" t="str">
        <f aca="false">CHOOSE(WEEKDAY(B1170,2),"Mon","Tue","Wed","Thu","Fri","Sat","Sun")</f>
        <v>Tue</v>
      </c>
      <c r="Q1170" s="4" t="str">
        <f aca="false">IF(WEEKDAY(B1170,2)&gt;5,"Weekend","Weekday")</f>
        <v>Weekday</v>
      </c>
      <c r="R1170" s="4" t="str">
        <f aca="false">IF(C1170&lt;11,"Morning (7-10)",IF(C1170&lt;14,"Lunch (11-13)",IF(C1170&lt;18,"Afternoon (14-17)","Evening (18-20)")))</f>
        <v>Afternoon (14-17)</v>
      </c>
      <c r="S1170" s="4" t="str">
        <f aca="false">IF(AND(O1170&gt;=3,O1170&lt;=5),"Hot Dry (Mar-May)",IF(AND(O1170&gt;=6,O1170&lt;=11),"Rainy (Jun-Nov)","Cool Dry (Dec-Feb)"))</f>
        <v>Rainy (Jun-Nov)</v>
      </c>
      <c r="T1170" s="4" t="str">
        <f aca="false">CHOOSE(O1170,"Jan","Feb","Mar","Apr","May","Jun","Jul","Aug","Sep","Oct","Nov","Dec")</f>
        <v>Aug</v>
      </c>
    </row>
    <row r="1171" customFormat="false" ht="15" hidden="false" customHeight="false" outlineLevel="0" collapsed="false">
      <c r="A1171" s="4" t="s">
        <v>1502</v>
      </c>
      <c r="B1171" s="17" t="n">
        <v>45896</v>
      </c>
      <c r="C1171" s="4" t="n">
        <v>8</v>
      </c>
      <c r="D1171" s="4" t="s">
        <v>73</v>
      </c>
      <c r="E1171" s="4" t="s">
        <v>79</v>
      </c>
      <c r="F1171" s="4" t="s">
        <v>80</v>
      </c>
      <c r="G1171" s="4" t="n">
        <v>1</v>
      </c>
      <c r="H1171" s="34" t="n">
        <v>160</v>
      </c>
      <c r="I1171" s="18" t="n">
        <v>0.1</v>
      </c>
      <c r="J1171" s="4" t="s">
        <v>81</v>
      </c>
      <c r="K1171" s="4" t="s">
        <v>71</v>
      </c>
      <c r="L1171" s="35" t="n">
        <f aca="false">G1171*H1171</f>
        <v>160</v>
      </c>
      <c r="M1171" s="35" t="n">
        <f aca="false">L1171*I1171</f>
        <v>16</v>
      </c>
      <c r="N1171" s="35" t="n">
        <f aca="false">L1171-M1171</f>
        <v>144</v>
      </c>
      <c r="O1171" s="4" t="n">
        <f aca="false">MONTH(B1171)</f>
        <v>8</v>
      </c>
      <c r="P1171" s="4" t="str">
        <f aca="false">CHOOSE(WEEKDAY(B1171,2),"Mon","Tue","Wed","Thu","Fri","Sat","Sun")</f>
        <v>Wed</v>
      </c>
      <c r="Q1171" s="4" t="str">
        <f aca="false">IF(WEEKDAY(B1171,2)&gt;5,"Weekend","Weekday")</f>
        <v>Weekday</v>
      </c>
      <c r="R1171" s="4" t="str">
        <f aca="false">IF(C1171&lt;11,"Morning (7-10)",IF(C1171&lt;14,"Lunch (11-13)",IF(C1171&lt;18,"Afternoon (14-17)","Evening (18-20)")))</f>
        <v>Morning (7-10)</v>
      </c>
      <c r="S1171" s="4" t="str">
        <f aca="false">IF(AND(O1171&gt;=3,O1171&lt;=5),"Hot Dry (Mar-May)",IF(AND(O1171&gt;=6,O1171&lt;=11),"Rainy (Jun-Nov)","Cool Dry (Dec-Feb)"))</f>
        <v>Rainy (Jun-Nov)</v>
      </c>
      <c r="T1171" s="4" t="str">
        <f aca="false">CHOOSE(O1171,"Jan","Feb","Mar","Apr","May","Jun","Jul","Aug","Sep","Oct","Nov","Dec")</f>
        <v>Aug</v>
      </c>
    </row>
    <row r="1172" customFormat="false" ht="15" hidden="false" customHeight="false" outlineLevel="0" collapsed="false">
      <c r="A1172" s="4" t="s">
        <v>1503</v>
      </c>
      <c r="B1172" s="17" t="n">
        <v>45896</v>
      </c>
      <c r="C1172" s="4" t="n">
        <v>9</v>
      </c>
      <c r="D1172" s="4" t="s">
        <v>70</v>
      </c>
      <c r="E1172" s="4" t="s">
        <v>65</v>
      </c>
      <c r="F1172" s="4" t="s">
        <v>121</v>
      </c>
      <c r="G1172" s="4" t="n">
        <v>3</v>
      </c>
      <c r="H1172" s="34" t="n">
        <v>170</v>
      </c>
      <c r="I1172" s="18" t="n">
        <v>0.05</v>
      </c>
      <c r="J1172" s="4" t="s">
        <v>76</v>
      </c>
      <c r="K1172" s="4" t="s">
        <v>82</v>
      </c>
      <c r="L1172" s="35" t="n">
        <f aca="false">G1172*H1172</f>
        <v>510</v>
      </c>
      <c r="M1172" s="35" t="n">
        <f aca="false">L1172*I1172</f>
        <v>25.5</v>
      </c>
      <c r="N1172" s="35" t="n">
        <f aca="false">L1172-M1172</f>
        <v>484.5</v>
      </c>
      <c r="O1172" s="4" t="n">
        <f aca="false">MONTH(B1172)</f>
        <v>8</v>
      </c>
      <c r="P1172" s="4" t="str">
        <f aca="false">CHOOSE(WEEKDAY(B1172,2),"Mon","Tue","Wed","Thu","Fri","Sat","Sun")</f>
        <v>Wed</v>
      </c>
      <c r="Q1172" s="4" t="str">
        <f aca="false">IF(WEEKDAY(B1172,2)&gt;5,"Weekend","Weekday")</f>
        <v>Weekday</v>
      </c>
      <c r="R1172" s="4" t="str">
        <f aca="false">IF(C1172&lt;11,"Morning (7-10)",IF(C1172&lt;14,"Lunch (11-13)",IF(C1172&lt;18,"Afternoon (14-17)","Evening (18-20)")))</f>
        <v>Morning (7-10)</v>
      </c>
      <c r="S1172" s="4" t="str">
        <f aca="false">IF(AND(O1172&gt;=3,O1172&lt;=5),"Hot Dry (Mar-May)",IF(AND(O1172&gt;=6,O1172&lt;=11),"Rainy (Jun-Nov)","Cool Dry (Dec-Feb)"))</f>
        <v>Rainy (Jun-Nov)</v>
      </c>
      <c r="T1172" s="4" t="str">
        <f aca="false">CHOOSE(O1172,"Jan","Feb","Mar","Apr","May","Jun","Jul","Aug","Sep","Oct","Nov","Dec")</f>
        <v>Aug</v>
      </c>
    </row>
    <row r="1173" customFormat="false" ht="15" hidden="false" customHeight="false" outlineLevel="0" collapsed="false">
      <c r="A1173" s="4" t="s">
        <v>1504</v>
      </c>
      <c r="B1173" s="17" t="n">
        <v>45896</v>
      </c>
      <c r="C1173" s="4" t="n">
        <v>9</v>
      </c>
      <c r="D1173" s="4" t="s">
        <v>70</v>
      </c>
      <c r="E1173" s="4" t="s">
        <v>79</v>
      </c>
      <c r="F1173" s="4" t="s">
        <v>148</v>
      </c>
      <c r="G1173" s="4" t="n">
        <v>3</v>
      </c>
      <c r="H1173" s="34" t="n">
        <v>120</v>
      </c>
      <c r="I1173" s="18" t="n">
        <v>0</v>
      </c>
      <c r="J1173" s="4" t="s">
        <v>81</v>
      </c>
      <c r="K1173" s="4" t="s">
        <v>68</v>
      </c>
      <c r="L1173" s="35" t="n">
        <f aca="false">G1173*H1173</f>
        <v>360</v>
      </c>
      <c r="M1173" s="35" t="n">
        <f aca="false">L1173*I1173</f>
        <v>0</v>
      </c>
      <c r="N1173" s="35" t="n">
        <f aca="false">L1173-M1173</f>
        <v>360</v>
      </c>
      <c r="O1173" s="4" t="n">
        <f aca="false">MONTH(B1173)</f>
        <v>8</v>
      </c>
      <c r="P1173" s="4" t="str">
        <f aca="false">CHOOSE(WEEKDAY(B1173,2),"Mon","Tue","Wed","Thu","Fri","Sat","Sun")</f>
        <v>Wed</v>
      </c>
      <c r="Q1173" s="4" t="str">
        <f aca="false">IF(WEEKDAY(B1173,2)&gt;5,"Weekend","Weekday")</f>
        <v>Weekday</v>
      </c>
      <c r="R1173" s="4" t="str">
        <f aca="false">IF(C1173&lt;11,"Morning (7-10)",IF(C1173&lt;14,"Lunch (11-13)",IF(C1173&lt;18,"Afternoon (14-17)","Evening (18-20)")))</f>
        <v>Morning (7-10)</v>
      </c>
      <c r="S1173" s="4" t="str">
        <f aca="false">IF(AND(O1173&gt;=3,O1173&lt;=5),"Hot Dry (Mar-May)",IF(AND(O1173&gt;=6,O1173&lt;=11),"Rainy (Jun-Nov)","Cool Dry (Dec-Feb)"))</f>
        <v>Rainy (Jun-Nov)</v>
      </c>
      <c r="T1173" s="4" t="str">
        <f aca="false">CHOOSE(O1173,"Jan","Feb","Mar","Apr","May","Jun","Jul","Aug","Sep","Oct","Nov","Dec")</f>
        <v>Aug</v>
      </c>
    </row>
    <row r="1174" customFormat="false" ht="15" hidden="false" customHeight="false" outlineLevel="0" collapsed="false">
      <c r="A1174" s="4" t="s">
        <v>1505</v>
      </c>
      <c r="B1174" s="17" t="n">
        <v>45896</v>
      </c>
      <c r="C1174" s="4" t="n">
        <v>12</v>
      </c>
      <c r="D1174" s="4" t="s">
        <v>64</v>
      </c>
      <c r="E1174" s="4" t="s">
        <v>65</v>
      </c>
      <c r="F1174" s="4" t="s">
        <v>94</v>
      </c>
      <c r="G1174" s="4" t="n">
        <v>1</v>
      </c>
      <c r="H1174" s="34" t="n">
        <v>150</v>
      </c>
      <c r="I1174" s="18" t="n">
        <v>0.1</v>
      </c>
      <c r="J1174" s="4" t="s">
        <v>81</v>
      </c>
      <c r="K1174" s="4" t="s">
        <v>82</v>
      </c>
      <c r="L1174" s="35" t="n">
        <f aca="false">G1174*H1174</f>
        <v>150</v>
      </c>
      <c r="M1174" s="35" t="n">
        <f aca="false">L1174*I1174</f>
        <v>15</v>
      </c>
      <c r="N1174" s="35" t="n">
        <f aca="false">L1174-M1174</f>
        <v>135</v>
      </c>
      <c r="O1174" s="4" t="n">
        <f aca="false">MONTH(B1174)</f>
        <v>8</v>
      </c>
      <c r="P1174" s="4" t="str">
        <f aca="false">CHOOSE(WEEKDAY(B1174,2),"Mon","Tue","Wed","Thu","Fri","Sat","Sun")</f>
        <v>Wed</v>
      </c>
      <c r="Q1174" s="4" t="str">
        <f aca="false">IF(WEEKDAY(B1174,2)&gt;5,"Weekend","Weekday")</f>
        <v>Weekday</v>
      </c>
      <c r="R1174" s="4" t="str">
        <f aca="false">IF(C1174&lt;11,"Morning (7-10)",IF(C1174&lt;14,"Lunch (11-13)",IF(C1174&lt;18,"Afternoon (14-17)","Evening (18-20)")))</f>
        <v>Lunch (11-13)</v>
      </c>
      <c r="S1174" s="4" t="str">
        <f aca="false">IF(AND(O1174&gt;=3,O1174&lt;=5),"Hot Dry (Mar-May)",IF(AND(O1174&gt;=6,O1174&lt;=11),"Rainy (Jun-Nov)","Cool Dry (Dec-Feb)"))</f>
        <v>Rainy (Jun-Nov)</v>
      </c>
      <c r="T1174" s="4" t="str">
        <f aca="false">CHOOSE(O1174,"Jan","Feb","Mar","Apr","May","Jun","Jul","Aug","Sep","Oct","Nov","Dec")</f>
        <v>Aug</v>
      </c>
    </row>
    <row r="1175" customFormat="false" ht="15" hidden="false" customHeight="false" outlineLevel="0" collapsed="false">
      <c r="A1175" s="4" t="s">
        <v>1506</v>
      </c>
      <c r="B1175" s="17" t="n">
        <v>45896</v>
      </c>
      <c r="C1175" s="4" t="n">
        <v>12</v>
      </c>
      <c r="D1175" s="4" t="s">
        <v>64</v>
      </c>
      <c r="E1175" s="4" t="s">
        <v>99</v>
      </c>
      <c r="F1175" s="4" t="s">
        <v>100</v>
      </c>
      <c r="G1175" s="4" t="n">
        <v>1</v>
      </c>
      <c r="H1175" s="34" t="n">
        <v>110</v>
      </c>
      <c r="I1175" s="18" t="n">
        <v>0</v>
      </c>
      <c r="J1175" s="4" t="s">
        <v>81</v>
      </c>
      <c r="K1175" s="4" t="s">
        <v>68</v>
      </c>
      <c r="L1175" s="35" t="n">
        <f aca="false">G1175*H1175</f>
        <v>110</v>
      </c>
      <c r="M1175" s="35" t="n">
        <f aca="false">L1175*I1175</f>
        <v>0</v>
      </c>
      <c r="N1175" s="35" t="n">
        <f aca="false">L1175-M1175</f>
        <v>110</v>
      </c>
      <c r="O1175" s="4" t="n">
        <f aca="false">MONTH(B1175)</f>
        <v>8</v>
      </c>
      <c r="P1175" s="4" t="str">
        <f aca="false">CHOOSE(WEEKDAY(B1175,2),"Mon","Tue","Wed","Thu","Fri","Sat","Sun")</f>
        <v>Wed</v>
      </c>
      <c r="Q1175" s="4" t="str">
        <f aca="false">IF(WEEKDAY(B1175,2)&gt;5,"Weekend","Weekday")</f>
        <v>Weekday</v>
      </c>
      <c r="R1175" s="4" t="str">
        <f aca="false">IF(C1175&lt;11,"Morning (7-10)",IF(C1175&lt;14,"Lunch (11-13)",IF(C1175&lt;18,"Afternoon (14-17)","Evening (18-20)")))</f>
        <v>Lunch (11-13)</v>
      </c>
      <c r="S1175" s="4" t="str">
        <f aca="false">IF(AND(O1175&gt;=3,O1175&lt;=5),"Hot Dry (Mar-May)",IF(AND(O1175&gt;=6,O1175&lt;=11),"Rainy (Jun-Nov)","Cool Dry (Dec-Feb)"))</f>
        <v>Rainy (Jun-Nov)</v>
      </c>
      <c r="T1175" s="4" t="str">
        <f aca="false">CHOOSE(O1175,"Jan","Feb","Mar","Apr","May","Jun","Jul","Aug","Sep","Oct","Nov","Dec")</f>
        <v>Aug</v>
      </c>
    </row>
    <row r="1176" customFormat="false" ht="15" hidden="false" customHeight="false" outlineLevel="0" collapsed="false">
      <c r="A1176" s="4" t="s">
        <v>1507</v>
      </c>
      <c r="B1176" s="17" t="n">
        <v>45896</v>
      </c>
      <c r="C1176" s="4" t="n">
        <v>15</v>
      </c>
      <c r="D1176" s="4" t="s">
        <v>70</v>
      </c>
      <c r="E1176" s="4" t="s">
        <v>79</v>
      </c>
      <c r="F1176" s="4" t="s">
        <v>80</v>
      </c>
      <c r="G1176" s="4" t="n">
        <v>1</v>
      </c>
      <c r="H1176" s="34" t="n">
        <v>160</v>
      </c>
      <c r="I1176" s="18" t="n">
        <v>0.1</v>
      </c>
      <c r="J1176" s="4" t="s">
        <v>67</v>
      </c>
      <c r="K1176" s="4" t="s">
        <v>71</v>
      </c>
      <c r="L1176" s="35" t="n">
        <f aca="false">G1176*H1176</f>
        <v>160</v>
      </c>
      <c r="M1176" s="35" t="n">
        <f aca="false">L1176*I1176</f>
        <v>16</v>
      </c>
      <c r="N1176" s="35" t="n">
        <f aca="false">L1176-M1176</f>
        <v>144</v>
      </c>
      <c r="O1176" s="4" t="n">
        <f aca="false">MONTH(B1176)</f>
        <v>8</v>
      </c>
      <c r="P1176" s="4" t="str">
        <f aca="false">CHOOSE(WEEKDAY(B1176,2),"Mon","Tue","Wed","Thu","Fri","Sat","Sun")</f>
        <v>Wed</v>
      </c>
      <c r="Q1176" s="4" t="str">
        <f aca="false">IF(WEEKDAY(B1176,2)&gt;5,"Weekend","Weekday")</f>
        <v>Weekday</v>
      </c>
      <c r="R1176" s="4" t="str">
        <f aca="false">IF(C1176&lt;11,"Morning (7-10)",IF(C1176&lt;14,"Lunch (11-13)",IF(C1176&lt;18,"Afternoon (14-17)","Evening (18-20)")))</f>
        <v>Afternoon (14-17)</v>
      </c>
      <c r="S1176" s="4" t="str">
        <f aca="false">IF(AND(O1176&gt;=3,O1176&lt;=5),"Hot Dry (Mar-May)",IF(AND(O1176&gt;=6,O1176&lt;=11),"Rainy (Jun-Nov)","Cool Dry (Dec-Feb)"))</f>
        <v>Rainy (Jun-Nov)</v>
      </c>
      <c r="T1176" s="4" t="str">
        <f aca="false">CHOOSE(O1176,"Jan","Feb","Mar","Apr","May","Jun","Jul","Aug","Sep","Oct","Nov","Dec")</f>
        <v>Aug</v>
      </c>
    </row>
    <row r="1177" customFormat="false" ht="15" hidden="false" customHeight="false" outlineLevel="0" collapsed="false">
      <c r="A1177" s="4" t="s">
        <v>1509</v>
      </c>
      <c r="B1177" s="17" t="n">
        <v>45896</v>
      </c>
      <c r="C1177" s="4" t="n">
        <v>19</v>
      </c>
      <c r="D1177" s="4" t="s">
        <v>73</v>
      </c>
      <c r="E1177" s="4" t="s">
        <v>99</v>
      </c>
      <c r="F1177" s="4" t="s">
        <v>102</v>
      </c>
      <c r="G1177" s="4" t="n">
        <v>1</v>
      </c>
      <c r="H1177" s="34" t="n">
        <v>140</v>
      </c>
      <c r="I1177" s="18" t="n">
        <v>0</v>
      </c>
      <c r="J1177" s="4" t="s">
        <v>76</v>
      </c>
      <c r="K1177" s="4" t="s">
        <v>77</v>
      </c>
      <c r="L1177" s="35" t="n">
        <f aca="false">G1177*H1177</f>
        <v>140</v>
      </c>
      <c r="M1177" s="35" t="n">
        <f aca="false">L1177*I1177</f>
        <v>0</v>
      </c>
      <c r="N1177" s="35" t="n">
        <f aca="false">L1177-M1177</f>
        <v>140</v>
      </c>
      <c r="O1177" s="4" t="n">
        <f aca="false">MONTH(B1177)</f>
        <v>8</v>
      </c>
      <c r="P1177" s="4" t="str">
        <f aca="false">CHOOSE(WEEKDAY(B1177,2),"Mon","Tue","Wed","Thu","Fri","Sat","Sun")</f>
        <v>Wed</v>
      </c>
      <c r="Q1177" s="4" t="str">
        <f aca="false">IF(WEEKDAY(B1177,2)&gt;5,"Weekend","Weekday")</f>
        <v>Weekday</v>
      </c>
      <c r="R1177" s="4" t="str">
        <f aca="false">IF(C1177&lt;11,"Morning (7-10)",IF(C1177&lt;14,"Lunch (11-13)",IF(C1177&lt;18,"Afternoon (14-17)","Evening (18-20)")))</f>
        <v>Evening (18-20)</v>
      </c>
      <c r="S1177" s="4" t="str">
        <f aca="false">IF(AND(O1177&gt;=3,O1177&lt;=5),"Hot Dry (Mar-May)",IF(AND(O1177&gt;=6,O1177&lt;=11),"Rainy (Jun-Nov)","Cool Dry (Dec-Feb)"))</f>
        <v>Rainy (Jun-Nov)</v>
      </c>
      <c r="T1177" s="4" t="str">
        <f aca="false">CHOOSE(O1177,"Jan","Feb","Mar","Apr","May","Jun","Jul","Aug","Sep","Oct","Nov","Dec")</f>
        <v>Aug</v>
      </c>
    </row>
    <row r="1178" customFormat="false" ht="15" hidden="false" customHeight="false" outlineLevel="0" collapsed="false">
      <c r="A1178" s="4" t="s">
        <v>1510</v>
      </c>
      <c r="B1178" s="17" t="n">
        <v>45897</v>
      </c>
      <c r="C1178" s="4" t="n">
        <v>7</v>
      </c>
      <c r="D1178" s="4" t="s">
        <v>98</v>
      </c>
      <c r="E1178" s="4" t="s">
        <v>99</v>
      </c>
      <c r="F1178" s="4" t="s">
        <v>109</v>
      </c>
      <c r="G1178" s="4" t="n">
        <v>2</v>
      </c>
      <c r="H1178" s="34" t="n">
        <v>130</v>
      </c>
      <c r="I1178" s="18" t="n">
        <v>0</v>
      </c>
      <c r="J1178" s="4" t="s">
        <v>88</v>
      </c>
      <c r="K1178" s="4" t="s">
        <v>68</v>
      </c>
      <c r="L1178" s="35" t="n">
        <f aca="false">G1178*H1178</f>
        <v>260</v>
      </c>
      <c r="M1178" s="35" t="n">
        <f aca="false">L1178*I1178</f>
        <v>0</v>
      </c>
      <c r="N1178" s="35" t="n">
        <f aca="false">L1178-M1178</f>
        <v>260</v>
      </c>
      <c r="O1178" s="4" t="n">
        <f aca="false">MONTH(B1178)</f>
        <v>8</v>
      </c>
      <c r="P1178" s="4" t="str">
        <f aca="false">CHOOSE(WEEKDAY(B1178,2),"Mon","Tue","Wed","Thu","Fri","Sat","Sun")</f>
        <v>Thu</v>
      </c>
      <c r="Q1178" s="4" t="str">
        <f aca="false">IF(WEEKDAY(B1178,2)&gt;5,"Weekend","Weekday")</f>
        <v>Weekday</v>
      </c>
      <c r="R1178" s="4" t="str">
        <f aca="false">IF(C1178&lt;11,"Morning (7-10)",IF(C1178&lt;14,"Lunch (11-13)",IF(C1178&lt;18,"Afternoon (14-17)","Evening (18-20)")))</f>
        <v>Morning (7-10)</v>
      </c>
      <c r="S1178" s="4" t="str">
        <f aca="false">IF(AND(O1178&gt;=3,O1178&lt;=5),"Hot Dry (Mar-May)",IF(AND(O1178&gt;=6,O1178&lt;=11),"Rainy (Jun-Nov)","Cool Dry (Dec-Feb)"))</f>
        <v>Rainy (Jun-Nov)</v>
      </c>
      <c r="T1178" s="4" t="str">
        <f aca="false">CHOOSE(O1178,"Jan","Feb","Mar","Apr","May","Jun","Jul","Aug","Sep","Oct","Nov","Dec")</f>
        <v>Aug</v>
      </c>
    </row>
    <row r="1179" customFormat="false" ht="15" hidden="false" customHeight="false" outlineLevel="0" collapsed="false">
      <c r="A1179" s="4" t="s">
        <v>1511</v>
      </c>
      <c r="B1179" s="17" t="n">
        <v>45897</v>
      </c>
      <c r="C1179" s="4" t="n">
        <v>8</v>
      </c>
      <c r="D1179" s="4" t="s">
        <v>98</v>
      </c>
      <c r="E1179" s="4" t="s">
        <v>74</v>
      </c>
      <c r="F1179" s="4" t="s">
        <v>75</v>
      </c>
      <c r="G1179" s="4" t="n">
        <v>1</v>
      </c>
      <c r="H1179" s="34" t="n">
        <v>220</v>
      </c>
      <c r="I1179" s="18" t="n">
        <v>0</v>
      </c>
      <c r="J1179" s="4" t="s">
        <v>76</v>
      </c>
      <c r="K1179" s="4" t="s">
        <v>2289</v>
      </c>
      <c r="L1179" s="35" t="n">
        <f aca="false">G1179*H1179</f>
        <v>220</v>
      </c>
      <c r="M1179" s="35" t="n">
        <f aca="false">L1179*I1179</f>
        <v>0</v>
      </c>
      <c r="N1179" s="35" t="n">
        <f aca="false">L1179-M1179</f>
        <v>220</v>
      </c>
      <c r="O1179" s="4" t="n">
        <f aca="false">MONTH(B1179)</f>
        <v>8</v>
      </c>
      <c r="P1179" s="4" t="str">
        <f aca="false">CHOOSE(WEEKDAY(B1179,2),"Mon","Tue","Wed","Thu","Fri","Sat","Sun")</f>
        <v>Thu</v>
      </c>
      <c r="Q1179" s="4" t="str">
        <f aca="false">IF(WEEKDAY(B1179,2)&gt;5,"Weekend","Weekday")</f>
        <v>Weekday</v>
      </c>
      <c r="R1179" s="4" t="str">
        <f aca="false">IF(C1179&lt;11,"Morning (7-10)",IF(C1179&lt;14,"Lunch (11-13)",IF(C1179&lt;18,"Afternoon (14-17)","Evening (18-20)")))</f>
        <v>Morning (7-10)</v>
      </c>
      <c r="S1179" s="4" t="str">
        <f aca="false">IF(AND(O1179&gt;=3,O1179&lt;=5),"Hot Dry (Mar-May)",IF(AND(O1179&gt;=6,O1179&lt;=11),"Rainy (Jun-Nov)","Cool Dry (Dec-Feb)"))</f>
        <v>Rainy (Jun-Nov)</v>
      </c>
      <c r="T1179" s="4" t="str">
        <f aca="false">CHOOSE(O1179,"Jan","Feb","Mar","Apr","May","Jun","Jul","Aug","Sep","Oct","Nov","Dec")</f>
        <v>Aug</v>
      </c>
    </row>
    <row r="1180" customFormat="false" ht="15" hidden="false" customHeight="false" outlineLevel="0" collapsed="false">
      <c r="A1180" s="4" t="s">
        <v>1512</v>
      </c>
      <c r="B1180" s="17" t="n">
        <v>45897</v>
      </c>
      <c r="C1180" s="4" t="n">
        <v>9</v>
      </c>
      <c r="D1180" s="4" t="s">
        <v>64</v>
      </c>
      <c r="E1180" s="4" t="s">
        <v>99</v>
      </c>
      <c r="F1180" s="4" t="s">
        <v>100</v>
      </c>
      <c r="G1180" s="4" t="n">
        <v>2</v>
      </c>
      <c r="H1180" s="34" t="n">
        <v>110</v>
      </c>
      <c r="I1180" s="18" t="n">
        <v>0.1</v>
      </c>
      <c r="J1180" s="4" t="s">
        <v>88</v>
      </c>
      <c r="K1180" s="4" t="s">
        <v>71</v>
      </c>
      <c r="L1180" s="35" t="n">
        <f aca="false">G1180*H1180</f>
        <v>220</v>
      </c>
      <c r="M1180" s="35" t="n">
        <f aca="false">L1180*I1180</f>
        <v>22</v>
      </c>
      <c r="N1180" s="35" t="n">
        <f aca="false">L1180-M1180</f>
        <v>198</v>
      </c>
      <c r="O1180" s="4" t="n">
        <f aca="false">MONTH(B1180)</f>
        <v>8</v>
      </c>
      <c r="P1180" s="4" t="str">
        <f aca="false">CHOOSE(WEEKDAY(B1180,2),"Mon","Tue","Wed","Thu","Fri","Sat","Sun")</f>
        <v>Thu</v>
      </c>
      <c r="Q1180" s="4" t="str">
        <f aca="false">IF(WEEKDAY(B1180,2)&gt;5,"Weekend","Weekday")</f>
        <v>Weekday</v>
      </c>
      <c r="R1180" s="4" t="str">
        <f aca="false">IF(C1180&lt;11,"Morning (7-10)",IF(C1180&lt;14,"Lunch (11-13)",IF(C1180&lt;18,"Afternoon (14-17)","Evening (18-20)")))</f>
        <v>Morning (7-10)</v>
      </c>
      <c r="S1180" s="4" t="str">
        <f aca="false">IF(AND(O1180&gt;=3,O1180&lt;=5),"Hot Dry (Mar-May)",IF(AND(O1180&gt;=6,O1180&lt;=11),"Rainy (Jun-Nov)","Cool Dry (Dec-Feb)"))</f>
        <v>Rainy (Jun-Nov)</v>
      </c>
      <c r="T1180" s="4" t="str">
        <f aca="false">CHOOSE(O1180,"Jan","Feb","Mar","Apr","May","Jun","Jul","Aug","Sep","Oct","Nov","Dec")</f>
        <v>Aug</v>
      </c>
    </row>
    <row r="1181" customFormat="false" ht="15" hidden="false" customHeight="false" outlineLevel="0" collapsed="false">
      <c r="A1181" s="4" t="s">
        <v>1513</v>
      </c>
      <c r="B1181" s="17" t="n">
        <v>45897</v>
      </c>
      <c r="C1181" s="4" t="n">
        <v>14</v>
      </c>
      <c r="D1181" s="4" t="s">
        <v>70</v>
      </c>
      <c r="E1181" s="4" t="s">
        <v>65</v>
      </c>
      <c r="F1181" s="4" t="s">
        <v>87</v>
      </c>
      <c r="G1181" s="4" t="n">
        <v>2</v>
      </c>
      <c r="H1181" s="34" t="n">
        <v>160</v>
      </c>
      <c r="I1181" s="18" t="n">
        <v>0</v>
      </c>
      <c r="J1181" s="4" t="s">
        <v>81</v>
      </c>
      <c r="K1181" s="4" t="s">
        <v>68</v>
      </c>
      <c r="L1181" s="35" t="n">
        <f aca="false">G1181*H1181</f>
        <v>320</v>
      </c>
      <c r="M1181" s="35" t="n">
        <f aca="false">L1181*I1181</f>
        <v>0</v>
      </c>
      <c r="N1181" s="35" t="n">
        <f aca="false">L1181-M1181</f>
        <v>320</v>
      </c>
      <c r="O1181" s="4" t="n">
        <f aca="false">MONTH(B1181)</f>
        <v>8</v>
      </c>
      <c r="P1181" s="4" t="str">
        <f aca="false">CHOOSE(WEEKDAY(B1181,2),"Mon","Tue","Wed","Thu","Fri","Sat","Sun")</f>
        <v>Thu</v>
      </c>
      <c r="Q1181" s="4" t="str">
        <f aca="false">IF(WEEKDAY(B1181,2)&gt;5,"Weekend","Weekday")</f>
        <v>Weekday</v>
      </c>
      <c r="R1181" s="4" t="str">
        <f aca="false">IF(C1181&lt;11,"Morning (7-10)",IF(C1181&lt;14,"Lunch (11-13)",IF(C1181&lt;18,"Afternoon (14-17)","Evening (18-20)")))</f>
        <v>Afternoon (14-17)</v>
      </c>
      <c r="S1181" s="4" t="str">
        <f aca="false">IF(AND(O1181&gt;=3,O1181&lt;=5),"Hot Dry (Mar-May)",IF(AND(O1181&gt;=6,O1181&lt;=11),"Rainy (Jun-Nov)","Cool Dry (Dec-Feb)"))</f>
        <v>Rainy (Jun-Nov)</v>
      </c>
      <c r="T1181" s="4" t="str">
        <f aca="false">CHOOSE(O1181,"Jan","Feb","Mar","Apr","May","Jun","Jul","Aug","Sep","Oct","Nov","Dec")</f>
        <v>Aug</v>
      </c>
    </row>
    <row r="1182" customFormat="false" ht="15" hidden="false" customHeight="false" outlineLevel="0" collapsed="false">
      <c r="A1182" s="4" t="s">
        <v>1514</v>
      </c>
      <c r="B1182" s="17" t="n">
        <v>45897</v>
      </c>
      <c r="C1182" s="4" t="n">
        <v>16</v>
      </c>
      <c r="D1182" s="4" t="s">
        <v>70</v>
      </c>
      <c r="E1182" s="4" t="s">
        <v>84</v>
      </c>
      <c r="F1182" s="4" t="s">
        <v>117</v>
      </c>
      <c r="G1182" s="4" t="n">
        <v>3</v>
      </c>
      <c r="H1182" s="34" t="n">
        <v>95</v>
      </c>
      <c r="I1182" s="18" t="n">
        <v>0.2</v>
      </c>
      <c r="J1182" s="4" t="s">
        <v>67</v>
      </c>
      <c r="K1182" s="4" t="s">
        <v>82</v>
      </c>
      <c r="L1182" s="35" t="n">
        <f aca="false">G1182*H1182</f>
        <v>285</v>
      </c>
      <c r="M1182" s="35" t="n">
        <f aca="false">L1182*I1182</f>
        <v>57</v>
      </c>
      <c r="N1182" s="35" t="n">
        <f aca="false">L1182-M1182</f>
        <v>228</v>
      </c>
      <c r="O1182" s="4" t="n">
        <f aca="false">MONTH(B1182)</f>
        <v>8</v>
      </c>
      <c r="P1182" s="4" t="str">
        <f aca="false">CHOOSE(WEEKDAY(B1182,2),"Mon","Tue","Wed","Thu","Fri","Sat","Sun")</f>
        <v>Thu</v>
      </c>
      <c r="Q1182" s="4" t="str">
        <f aca="false">IF(WEEKDAY(B1182,2)&gt;5,"Weekend","Weekday")</f>
        <v>Weekday</v>
      </c>
      <c r="R1182" s="4" t="str">
        <f aca="false">IF(C1182&lt;11,"Morning (7-10)",IF(C1182&lt;14,"Lunch (11-13)",IF(C1182&lt;18,"Afternoon (14-17)","Evening (18-20)")))</f>
        <v>Afternoon (14-17)</v>
      </c>
      <c r="S1182" s="4" t="str">
        <f aca="false">IF(AND(O1182&gt;=3,O1182&lt;=5),"Hot Dry (Mar-May)",IF(AND(O1182&gt;=6,O1182&lt;=11),"Rainy (Jun-Nov)","Cool Dry (Dec-Feb)"))</f>
        <v>Rainy (Jun-Nov)</v>
      </c>
      <c r="T1182" s="4" t="str">
        <f aca="false">CHOOSE(O1182,"Jan","Feb","Mar","Apr","May","Jun","Jul","Aug","Sep","Oct","Nov","Dec")</f>
        <v>Aug</v>
      </c>
    </row>
    <row r="1183" customFormat="false" ht="15" hidden="false" customHeight="false" outlineLevel="0" collapsed="false">
      <c r="A1183" s="4" t="s">
        <v>1515</v>
      </c>
      <c r="B1183" s="17" t="n">
        <v>45898</v>
      </c>
      <c r="C1183" s="4" t="n">
        <v>8</v>
      </c>
      <c r="D1183" s="4" t="s">
        <v>70</v>
      </c>
      <c r="E1183" s="4" t="s">
        <v>99</v>
      </c>
      <c r="F1183" s="4" t="s">
        <v>109</v>
      </c>
      <c r="G1183" s="4" t="n">
        <v>1</v>
      </c>
      <c r="H1183" s="34" t="n">
        <v>130</v>
      </c>
      <c r="I1183" s="18" t="n">
        <v>0</v>
      </c>
      <c r="J1183" s="4" t="s">
        <v>76</v>
      </c>
      <c r="K1183" s="4" t="s">
        <v>68</v>
      </c>
      <c r="L1183" s="35" t="n">
        <f aca="false">G1183*H1183</f>
        <v>130</v>
      </c>
      <c r="M1183" s="35" t="n">
        <f aca="false">L1183*I1183</f>
        <v>0</v>
      </c>
      <c r="N1183" s="35" t="n">
        <f aca="false">L1183-M1183</f>
        <v>130</v>
      </c>
      <c r="O1183" s="4" t="n">
        <f aca="false">MONTH(B1183)</f>
        <v>8</v>
      </c>
      <c r="P1183" s="4" t="str">
        <f aca="false">CHOOSE(WEEKDAY(B1183,2),"Mon","Tue","Wed","Thu","Fri","Sat","Sun")</f>
        <v>Fri</v>
      </c>
      <c r="Q1183" s="4" t="str">
        <f aca="false">IF(WEEKDAY(B1183,2)&gt;5,"Weekend","Weekday")</f>
        <v>Weekday</v>
      </c>
      <c r="R1183" s="4" t="str">
        <f aca="false">IF(C1183&lt;11,"Morning (7-10)",IF(C1183&lt;14,"Lunch (11-13)",IF(C1183&lt;18,"Afternoon (14-17)","Evening (18-20)")))</f>
        <v>Morning (7-10)</v>
      </c>
      <c r="S1183" s="4" t="str">
        <f aca="false">IF(AND(O1183&gt;=3,O1183&lt;=5),"Hot Dry (Mar-May)",IF(AND(O1183&gt;=6,O1183&lt;=11),"Rainy (Jun-Nov)","Cool Dry (Dec-Feb)"))</f>
        <v>Rainy (Jun-Nov)</v>
      </c>
      <c r="T1183" s="4" t="str">
        <f aca="false">CHOOSE(O1183,"Jan","Feb","Mar","Apr","May","Jun","Jul","Aug","Sep","Oct","Nov","Dec")</f>
        <v>Aug</v>
      </c>
    </row>
    <row r="1184" customFormat="false" ht="15" hidden="false" customHeight="false" outlineLevel="0" collapsed="false">
      <c r="A1184" s="4" t="s">
        <v>1516</v>
      </c>
      <c r="B1184" s="17" t="n">
        <v>45898</v>
      </c>
      <c r="C1184" s="4" t="n">
        <v>9</v>
      </c>
      <c r="D1184" s="4" t="s">
        <v>70</v>
      </c>
      <c r="E1184" s="4" t="s">
        <v>65</v>
      </c>
      <c r="F1184" s="4" t="s">
        <v>87</v>
      </c>
      <c r="G1184" s="4" t="n">
        <v>1</v>
      </c>
      <c r="H1184" s="34" t="n">
        <v>160</v>
      </c>
      <c r="I1184" s="18" t="n">
        <v>0</v>
      </c>
      <c r="J1184" s="4" t="s">
        <v>81</v>
      </c>
      <c r="K1184" s="4" t="s">
        <v>77</v>
      </c>
      <c r="L1184" s="35" t="n">
        <f aca="false">G1184*H1184</f>
        <v>160</v>
      </c>
      <c r="M1184" s="35" t="n">
        <f aca="false">L1184*I1184</f>
        <v>0</v>
      </c>
      <c r="N1184" s="35" t="n">
        <f aca="false">L1184-M1184</f>
        <v>160</v>
      </c>
      <c r="O1184" s="4" t="n">
        <f aca="false">MONTH(B1184)</f>
        <v>8</v>
      </c>
      <c r="P1184" s="4" t="str">
        <f aca="false">CHOOSE(WEEKDAY(B1184,2),"Mon","Tue","Wed","Thu","Fri","Sat","Sun")</f>
        <v>Fri</v>
      </c>
      <c r="Q1184" s="4" t="str">
        <f aca="false">IF(WEEKDAY(B1184,2)&gt;5,"Weekend","Weekday")</f>
        <v>Weekday</v>
      </c>
      <c r="R1184" s="4" t="str">
        <f aca="false">IF(C1184&lt;11,"Morning (7-10)",IF(C1184&lt;14,"Lunch (11-13)",IF(C1184&lt;18,"Afternoon (14-17)","Evening (18-20)")))</f>
        <v>Morning (7-10)</v>
      </c>
      <c r="S1184" s="4" t="str">
        <f aca="false">IF(AND(O1184&gt;=3,O1184&lt;=5),"Hot Dry (Mar-May)",IF(AND(O1184&gt;=6,O1184&lt;=11),"Rainy (Jun-Nov)","Cool Dry (Dec-Feb)"))</f>
        <v>Rainy (Jun-Nov)</v>
      </c>
      <c r="T1184" s="4" t="str">
        <f aca="false">CHOOSE(O1184,"Jan","Feb","Mar","Apr","May","Jun","Jul","Aug","Sep","Oct","Nov","Dec")</f>
        <v>Aug</v>
      </c>
    </row>
    <row r="1185" customFormat="false" ht="15" hidden="false" customHeight="false" outlineLevel="0" collapsed="false">
      <c r="A1185" s="4" t="s">
        <v>1517</v>
      </c>
      <c r="B1185" s="17" t="n">
        <v>45898</v>
      </c>
      <c r="C1185" s="4" t="n">
        <v>12</v>
      </c>
      <c r="D1185" s="4" t="s">
        <v>64</v>
      </c>
      <c r="E1185" s="4" t="s">
        <v>79</v>
      </c>
      <c r="F1185" s="4" t="s">
        <v>135</v>
      </c>
      <c r="G1185" s="4" t="n">
        <v>4</v>
      </c>
      <c r="H1185" s="34" t="n">
        <v>130</v>
      </c>
      <c r="I1185" s="18" t="n">
        <v>0</v>
      </c>
      <c r="J1185" s="4" t="s">
        <v>81</v>
      </c>
      <c r="K1185" s="4" t="s">
        <v>68</v>
      </c>
      <c r="L1185" s="35" t="n">
        <f aca="false">G1185*H1185</f>
        <v>520</v>
      </c>
      <c r="M1185" s="35" t="n">
        <f aca="false">L1185*I1185</f>
        <v>0</v>
      </c>
      <c r="N1185" s="35" t="n">
        <f aca="false">L1185-M1185</f>
        <v>520</v>
      </c>
      <c r="O1185" s="4" t="n">
        <f aca="false">MONTH(B1185)</f>
        <v>8</v>
      </c>
      <c r="P1185" s="4" t="str">
        <f aca="false">CHOOSE(WEEKDAY(B1185,2),"Mon","Tue","Wed","Thu","Fri","Sat","Sun")</f>
        <v>Fri</v>
      </c>
      <c r="Q1185" s="4" t="str">
        <f aca="false">IF(WEEKDAY(B1185,2)&gt;5,"Weekend","Weekday")</f>
        <v>Weekday</v>
      </c>
      <c r="R1185" s="4" t="str">
        <f aca="false">IF(C1185&lt;11,"Morning (7-10)",IF(C1185&lt;14,"Lunch (11-13)",IF(C1185&lt;18,"Afternoon (14-17)","Evening (18-20)")))</f>
        <v>Lunch (11-13)</v>
      </c>
      <c r="S1185" s="4" t="str">
        <f aca="false">IF(AND(O1185&gt;=3,O1185&lt;=5),"Hot Dry (Mar-May)",IF(AND(O1185&gt;=6,O1185&lt;=11),"Rainy (Jun-Nov)","Cool Dry (Dec-Feb)"))</f>
        <v>Rainy (Jun-Nov)</v>
      </c>
      <c r="T1185" s="4" t="str">
        <f aca="false">CHOOSE(O1185,"Jan","Feb","Mar","Apr","May","Jun","Jul","Aug","Sep","Oct","Nov","Dec")</f>
        <v>Aug</v>
      </c>
    </row>
    <row r="1186" customFormat="false" ht="15" hidden="false" customHeight="false" outlineLevel="0" collapsed="false">
      <c r="A1186" s="4" t="s">
        <v>1518</v>
      </c>
      <c r="B1186" s="17" t="n">
        <v>45898</v>
      </c>
      <c r="C1186" s="4" t="n">
        <v>12</v>
      </c>
      <c r="D1186" s="4" t="s">
        <v>70</v>
      </c>
      <c r="E1186" s="4" t="s">
        <v>74</v>
      </c>
      <c r="F1186" s="4" t="s">
        <v>75</v>
      </c>
      <c r="G1186" s="4" t="n">
        <v>3</v>
      </c>
      <c r="H1186" s="34" t="n">
        <v>220</v>
      </c>
      <c r="I1186" s="18" t="n">
        <v>0</v>
      </c>
      <c r="J1186" s="4" t="s">
        <v>76</v>
      </c>
      <c r="K1186" s="4" t="s">
        <v>77</v>
      </c>
      <c r="L1186" s="35" t="n">
        <f aca="false">G1186*H1186</f>
        <v>660</v>
      </c>
      <c r="M1186" s="35" t="n">
        <f aca="false">L1186*I1186</f>
        <v>0</v>
      </c>
      <c r="N1186" s="35" t="n">
        <f aca="false">L1186-M1186</f>
        <v>660</v>
      </c>
      <c r="O1186" s="4" t="n">
        <f aca="false">MONTH(B1186)</f>
        <v>8</v>
      </c>
      <c r="P1186" s="4" t="str">
        <f aca="false">CHOOSE(WEEKDAY(B1186,2),"Mon","Tue","Wed","Thu","Fri","Sat","Sun")</f>
        <v>Fri</v>
      </c>
      <c r="Q1186" s="4" t="str">
        <f aca="false">IF(WEEKDAY(B1186,2)&gt;5,"Weekend","Weekday")</f>
        <v>Weekday</v>
      </c>
      <c r="R1186" s="4" t="str">
        <f aca="false">IF(C1186&lt;11,"Morning (7-10)",IF(C1186&lt;14,"Lunch (11-13)",IF(C1186&lt;18,"Afternoon (14-17)","Evening (18-20)")))</f>
        <v>Lunch (11-13)</v>
      </c>
      <c r="S1186" s="4" t="str">
        <f aca="false">IF(AND(O1186&gt;=3,O1186&lt;=5),"Hot Dry (Mar-May)",IF(AND(O1186&gt;=6,O1186&lt;=11),"Rainy (Jun-Nov)","Cool Dry (Dec-Feb)"))</f>
        <v>Rainy (Jun-Nov)</v>
      </c>
      <c r="T1186" s="4" t="str">
        <f aca="false">CHOOSE(O1186,"Jan","Feb","Mar","Apr","May","Jun","Jul","Aug","Sep","Oct","Nov","Dec")</f>
        <v>Aug</v>
      </c>
    </row>
    <row r="1187" customFormat="false" ht="15" hidden="false" customHeight="false" outlineLevel="0" collapsed="false">
      <c r="A1187" s="4" t="s">
        <v>1519</v>
      </c>
      <c r="B1187" s="17" t="n">
        <v>45898</v>
      </c>
      <c r="C1187" s="4" t="n">
        <v>12</v>
      </c>
      <c r="D1187" s="4" t="s">
        <v>73</v>
      </c>
      <c r="E1187" s="4" t="s">
        <v>99</v>
      </c>
      <c r="F1187" s="4" t="s">
        <v>102</v>
      </c>
      <c r="G1187" s="4" t="n">
        <v>1</v>
      </c>
      <c r="H1187" s="34" t="n">
        <v>140</v>
      </c>
      <c r="I1187" s="18" t="n">
        <v>0</v>
      </c>
      <c r="J1187" s="4" t="s">
        <v>67</v>
      </c>
      <c r="K1187" s="4" t="s">
        <v>68</v>
      </c>
      <c r="L1187" s="35" t="n">
        <f aca="false">G1187*H1187</f>
        <v>140</v>
      </c>
      <c r="M1187" s="35" t="n">
        <f aca="false">L1187*I1187</f>
        <v>0</v>
      </c>
      <c r="N1187" s="35" t="n">
        <f aca="false">L1187-M1187</f>
        <v>140</v>
      </c>
      <c r="O1187" s="4" t="n">
        <f aca="false">MONTH(B1187)</f>
        <v>8</v>
      </c>
      <c r="P1187" s="4" t="str">
        <f aca="false">CHOOSE(WEEKDAY(B1187,2),"Mon","Tue","Wed","Thu","Fri","Sat","Sun")</f>
        <v>Fri</v>
      </c>
      <c r="Q1187" s="4" t="str">
        <f aca="false">IF(WEEKDAY(B1187,2)&gt;5,"Weekend","Weekday")</f>
        <v>Weekday</v>
      </c>
      <c r="R1187" s="4" t="str">
        <f aca="false">IF(C1187&lt;11,"Morning (7-10)",IF(C1187&lt;14,"Lunch (11-13)",IF(C1187&lt;18,"Afternoon (14-17)","Evening (18-20)")))</f>
        <v>Lunch (11-13)</v>
      </c>
      <c r="S1187" s="4" t="str">
        <f aca="false">IF(AND(O1187&gt;=3,O1187&lt;=5),"Hot Dry (Mar-May)",IF(AND(O1187&gt;=6,O1187&lt;=11),"Rainy (Jun-Nov)","Cool Dry (Dec-Feb)"))</f>
        <v>Rainy (Jun-Nov)</v>
      </c>
      <c r="T1187" s="4" t="str">
        <f aca="false">CHOOSE(O1187,"Jan","Feb","Mar","Apr","May","Jun","Jul","Aug","Sep","Oct","Nov","Dec")</f>
        <v>Aug</v>
      </c>
    </row>
    <row r="1188" customFormat="false" ht="15" hidden="false" customHeight="false" outlineLevel="0" collapsed="false">
      <c r="A1188" s="4" t="s">
        <v>1520</v>
      </c>
      <c r="B1188" s="17" t="n">
        <v>45898</v>
      </c>
      <c r="C1188" s="4" t="n">
        <v>12</v>
      </c>
      <c r="D1188" s="4" t="s">
        <v>70</v>
      </c>
      <c r="E1188" s="4" t="s">
        <v>65</v>
      </c>
      <c r="F1188" s="4" t="s">
        <v>87</v>
      </c>
      <c r="G1188" s="4" t="n">
        <v>3</v>
      </c>
      <c r="H1188" s="34" t="n">
        <v>160</v>
      </c>
      <c r="I1188" s="18" t="n">
        <v>0</v>
      </c>
      <c r="J1188" s="4" t="s">
        <v>81</v>
      </c>
      <c r="K1188" s="4" t="s">
        <v>68</v>
      </c>
      <c r="L1188" s="35" t="n">
        <f aca="false">G1188*H1188</f>
        <v>480</v>
      </c>
      <c r="M1188" s="35" t="n">
        <f aca="false">L1188*I1188</f>
        <v>0</v>
      </c>
      <c r="N1188" s="35" t="n">
        <f aca="false">L1188-M1188</f>
        <v>480</v>
      </c>
      <c r="O1188" s="4" t="n">
        <f aca="false">MONTH(B1188)</f>
        <v>8</v>
      </c>
      <c r="P1188" s="4" t="str">
        <f aca="false">CHOOSE(WEEKDAY(B1188,2),"Mon","Tue","Wed","Thu","Fri","Sat","Sun")</f>
        <v>Fri</v>
      </c>
      <c r="Q1188" s="4" t="str">
        <f aca="false">IF(WEEKDAY(B1188,2)&gt;5,"Weekend","Weekday")</f>
        <v>Weekday</v>
      </c>
      <c r="R1188" s="4" t="str">
        <f aca="false">IF(C1188&lt;11,"Morning (7-10)",IF(C1188&lt;14,"Lunch (11-13)",IF(C1188&lt;18,"Afternoon (14-17)","Evening (18-20)")))</f>
        <v>Lunch (11-13)</v>
      </c>
      <c r="S1188" s="4" t="str">
        <f aca="false">IF(AND(O1188&gt;=3,O1188&lt;=5),"Hot Dry (Mar-May)",IF(AND(O1188&gt;=6,O1188&lt;=11),"Rainy (Jun-Nov)","Cool Dry (Dec-Feb)"))</f>
        <v>Rainy (Jun-Nov)</v>
      </c>
      <c r="T1188" s="4" t="str">
        <f aca="false">CHOOSE(O1188,"Jan","Feb","Mar","Apr","May","Jun","Jul","Aug","Sep","Oct","Nov","Dec")</f>
        <v>Aug</v>
      </c>
    </row>
    <row r="1189" customFormat="false" ht="15" hidden="false" customHeight="false" outlineLevel="0" collapsed="false">
      <c r="A1189" s="4" t="s">
        <v>1521</v>
      </c>
      <c r="B1189" s="17" t="n">
        <v>45898</v>
      </c>
      <c r="C1189" s="4" t="n">
        <v>12</v>
      </c>
      <c r="D1189" s="4" t="s">
        <v>73</v>
      </c>
      <c r="E1189" s="4" t="s">
        <v>99</v>
      </c>
      <c r="F1189" s="4" t="s">
        <v>102</v>
      </c>
      <c r="G1189" s="4" t="n">
        <v>1</v>
      </c>
      <c r="H1189" s="34" t="n">
        <v>140</v>
      </c>
      <c r="I1189" s="18" t="n">
        <v>0</v>
      </c>
      <c r="J1189" s="4" t="s">
        <v>81</v>
      </c>
      <c r="K1189" s="4" t="s">
        <v>68</v>
      </c>
      <c r="L1189" s="35" t="n">
        <f aca="false">G1189*H1189</f>
        <v>140</v>
      </c>
      <c r="M1189" s="35" t="n">
        <f aca="false">L1189*I1189</f>
        <v>0</v>
      </c>
      <c r="N1189" s="35" t="n">
        <f aca="false">L1189-M1189</f>
        <v>140</v>
      </c>
      <c r="O1189" s="4" t="n">
        <f aca="false">MONTH(B1189)</f>
        <v>8</v>
      </c>
      <c r="P1189" s="4" t="str">
        <f aca="false">CHOOSE(WEEKDAY(B1189,2),"Mon","Tue","Wed","Thu","Fri","Sat","Sun")</f>
        <v>Fri</v>
      </c>
      <c r="Q1189" s="4" t="str">
        <f aca="false">IF(WEEKDAY(B1189,2)&gt;5,"Weekend","Weekday")</f>
        <v>Weekday</v>
      </c>
      <c r="R1189" s="4" t="str">
        <f aca="false">IF(C1189&lt;11,"Morning (7-10)",IF(C1189&lt;14,"Lunch (11-13)",IF(C1189&lt;18,"Afternoon (14-17)","Evening (18-20)")))</f>
        <v>Lunch (11-13)</v>
      </c>
      <c r="S1189" s="4" t="str">
        <f aca="false">IF(AND(O1189&gt;=3,O1189&lt;=5),"Hot Dry (Mar-May)",IF(AND(O1189&gt;=6,O1189&lt;=11),"Rainy (Jun-Nov)","Cool Dry (Dec-Feb)"))</f>
        <v>Rainy (Jun-Nov)</v>
      </c>
      <c r="T1189" s="4" t="str">
        <f aca="false">CHOOSE(O1189,"Jan","Feb","Mar","Apr","May","Jun","Jul","Aug","Sep","Oct","Nov","Dec")</f>
        <v>Aug</v>
      </c>
    </row>
    <row r="1190" customFormat="false" ht="15" hidden="false" customHeight="false" outlineLevel="0" collapsed="false">
      <c r="A1190" s="4" t="s">
        <v>1522</v>
      </c>
      <c r="B1190" s="17" t="n">
        <v>45899</v>
      </c>
      <c r="C1190" s="4" t="n">
        <v>7</v>
      </c>
      <c r="D1190" s="4" t="s">
        <v>98</v>
      </c>
      <c r="E1190" s="4" t="s">
        <v>79</v>
      </c>
      <c r="F1190" s="4" t="s">
        <v>80</v>
      </c>
      <c r="G1190" s="4" t="n">
        <v>1</v>
      </c>
      <c r="H1190" s="34" t="n">
        <v>160</v>
      </c>
      <c r="I1190" s="18" t="n">
        <v>0</v>
      </c>
      <c r="J1190" s="4" t="s">
        <v>76</v>
      </c>
      <c r="K1190" s="4" t="s">
        <v>68</v>
      </c>
      <c r="L1190" s="35" t="n">
        <f aca="false">G1190*H1190</f>
        <v>160</v>
      </c>
      <c r="M1190" s="35" t="n">
        <f aca="false">L1190*I1190</f>
        <v>0</v>
      </c>
      <c r="N1190" s="35" t="n">
        <f aca="false">L1190-M1190</f>
        <v>160</v>
      </c>
      <c r="O1190" s="4" t="n">
        <f aca="false">MONTH(B1190)</f>
        <v>8</v>
      </c>
      <c r="P1190" s="4" t="str">
        <f aca="false">CHOOSE(WEEKDAY(B1190,2),"Mon","Tue","Wed","Thu","Fri","Sat","Sun")</f>
        <v>Sat</v>
      </c>
      <c r="Q1190" s="4" t="str">
        <f aca="false">IF(WEEKDAY(B1190,2)&gt;5,"Weekend","Weekday")</f>
        <v>Weekend</v>
      </c>
      <c r="R1190" s="4" t="str">
        <f aca="false">IF(C1190&lt;11,"Morning (7-10)",IF(C1190&lt;14,"Lunch (11-13)",IF(C1190&lt;18,"Afternoon (14-17)","Evening (18-20)")))</f>
        <v>Morning (7-10)</v>
      </c>
      <c r="S1190" s="4" t="str">
        <f aca="false">IF(AND(O1190&gt;=3,O1190&lt;=5),"Hot Dry (Mar-May)",IF(AND(O1190&gt;=6,O1190&lt;=11),"Rainy (Jun-Nov)","Cool Dry (Dec-Feb)"))</f>
        <v>Rainy (Jun-Nov)</v>
      </c>
      <c r="T1190" s="4" t="str">
        <f aca="false">CHOOSE(O1190,"Jan","Feb","Mar","Apr","May","Jun","Jul","Aug","Sep","Oct","Nov","Dec")</f>
        <v>Aug</v>
      </c>
    </row>
    <row r="1191" customFormat="false" ht="15" hidden="false" customHeight="false" outlineLevel="0" collapsed="false">
      <c r="A1191" s="4" t="s">
        <v>1523</v>
      </c>
      <c r="B1191" s="17" t="n">
        <v>45899</v>
      </c>
      <c r="C1191" s="4" t="n">
        <v>8</v>
      </c>
      <c r="D1191" s="4" t="s">
        <v>70</v>
      </c>
      <c r="E1191" s="4" t="s">
        <v>65</v>
      </c>
      <c r="F1191" s="4" t="s">
        <v>87</v>
      </c>
      <c r="G1191" s="4" t="n">
        <v>4</v>
      </c>
      <c r="H1191" s="34" t="n">
        <v>160</v>
      </c>
      <c r="I1191" s="18" t="n">
        <v>0.05</v>
      </c>
      <c r="J1191" s="4" t="s">
        <v>67</v>
      </c>
      <c r="K1191" s="4" t="s">
        <v>82</v>
      </c>
      <c r="L1191" s="35" t="n">
        <f aca="false">G1191*H1191</f>
        <v>640</v>
      </c>
      <c r="M1191" s="35" t="n">
        <f aca="false">L1191*I1191</f>
        <v>32</v>
      </c>
      <c r="N1191" s="35" t="n">
        <f aca="false">L1191-M1191</f>
        <v>608</v>
      </c>
      <c r="O1191" s="4" t="n">
        <f aca="false">MONTH(B1191)</f>
        <v>8</v>
      </c>
      <c r="P1191" s="4" t="str">
        <f aca="false">CHOOSE(WEEKDAY(B1191,2),"Mon","Tue","Wed","Thu","Fri","Sat","Sun")</f>
        <v>Sat</v>
      </c>
      <c r="Q1191" s="4" t="str">
        <f aca="false">IF(WEEKDAY(B1191,2)&gt;5,"Weekend","Weekday")</f>
        <v>Weekend</v>
      </c>
      <c r="R1191" s="4" t="str">
        <f aca="false">IF(C1191&lt;11,"Morning (7-10)",IF(C1191&lt;14,"Lunch (11-13)",IF(C1191&lt;18,"Afternoon (14-17)","Evening (18-20)")))</f>
        <v>Morning (7-10)</v>
      </c>
      <c r="S1191" s="4" t="str">
        <f aca="false">IF(AND(O1191&gt;=3,O1191&lt;=5),"Hot Dry (Mar-May)",IF(AND(O1191&gt;=6,O1191&lt;=11),"Rainy (Jun-Nov)","Cool Dry (Dec-Feb)"))</f>
        <v>Rainy (Jun-Nov)</v>
      </c>
      <c r="T1191" s="4" t="str">
        <f aca="false">CHOOSE(O1191,"Jan","Feb","Mar","Apr","May","Jun","Jul","Aug","Sep","Oct","Nov","Dec")</f>
        <v>Aug</v>
      </c>
    </row>
    <row r="1192" customFormat="false" ht="15" hidden="false" customHeight="false" outlineLevel="0" collapsed="false">
      <c r="A1192" s="4" t="s">
        <v>1524</v>
      </c>
      <c r="B1192" s="17" t="n">
        <v>45899</v>
      </c>
      <c r="C1192" s="4" t="n">
        <v>9</v>
      </c>
      <c r="D1192" s="4" t="s">
        <v>64</v>
      </c>
      <c r="E1192" s="4" t="s">
        <v>99</v>
      </c>
      <c r="F1192" s="4" t="s">
        <v>100</v>
      </c>
      <c r="G1192" s="4" t="n">
        <v>1</v>
      </c>
      <c r="H1192" s="34" t="n">
        <v>110</v>
      </c>
      <c r="I1192" s="18" t="n">
        <v>0</v>
      </c>
      <c r="J1192" s="4" t="s">
        <v>67</v>
      </c>
      <c r="K1192" s="4" t="s">
        <v>68</v>
      </c>
      <c r="L1192" s="35" t="n">
        <f aca="false">G1192*H1192</f>
        <v>110</v>
      </c>
      <c r="M1192" s="35" t="n">
        <f aca="false">L1192*I1192</f>
        <v>0</v>
      </c>
      <c r="N1192" s="35" t="n">
        <f aca="false">L1192-M1192</f>
        <v>110</v>
      </c>
      <c r="O1192" s="4" t="n">
        <f aca="false">MONTH(B1192)</f>
        <v>8</v>
      </c>
      <c r="P1192" s="4" t="str">
        <f aca="false">CHOOSE(WEEKDAY(B1192,2),"Mon","Tue","Wed","Thu","Fri","Sat","Sun")</f>
        <v>Sat</v>
      </c>
      <c r="Q1192" s="4" t="str">
        <f aca="false">IF(WEEKDAY(B1192,2)&gt;5,"Weekend","Weekday")</f>
        <v>Weekend</v>
      </c>
      <c r="R1192" s="4" t="str">
        <f aca="false">IF(C1192&lt;11,"Morning (7-10)",IF(C1192&lt;14,"Lunch (11-13)",IF(C1192&lt;18,"Afternoon (14-17)","Evening (18-20)")))</f>
        <v>Morning (7-10)</v>
      </c>
      <c r="S1192" s="4" t="str">
        <f aca="false">IF(AND(O1192&gt;=3,O1192&lt;=5),"Hot Dry (Mar-May)",IF(AND(O1192&gt;=6,O1192&lt;=11),"Rainy (Jun-Nov)","Cool Dry (Dec-Feb)"))</f>
        <v>Rainy (Jun-Nov)</v>
      </c>
      <c r="T1192" s="4" t="str">
        <f aca="false">CHOOSE(O1192,"Jan","Feb","Mar","Apr","May","Jun","Jul","Aug","Sep","Oct","Nov","Dec")</f>
        <v>Aug</v>
      </c>
    </row>
    <row r="1193" customFormat="false" ht="15" hidden="false" customHeight="false" outlineLevel="0" collapsed="false">
      <c r="A1193" s="4" t="s">
        <v>1526</v>
      </c>
      <c r="B1193" s="17" t="n">
        <v>45899</v>
      </c>
      <c r="C1193" s="4" t="n">
        <v>13</v>
      </c>
      <c r="D1193" s="4" t="s">
        <v>98</v>
      </c>
      <c r="E1193" s="4" t="s">
        <v>84</v>
      </c>
      <c r="F1193" s="4" t="s">
        <v>85</v>
      </c>
      <c r="G1193" s="4" t="n">
        <v>1</v>
      </c>
      <c r="H1193" s="34" t="n">
        <v>150</v>
      </c>
      <c r="I1193" s="18" t="n">
        <v>0</v>
      </c>
      <c r="J1193" s="4" t="s">
        <v>81</v>
      </c>
      <c r="K1193" s="4" t="s">
        <v>68</v>
      </c>
      <c r="L1193" s="35" t="n">
        <f aca="false">G1193*H1193</f>
        <v>150</v>
      </c>
      <c r="M1193" s="35" t="n">
        <f aca="false">L1193*I1193</f>
        <v>0</v>
      </c>
      <c r="N1193" s="35" t="n">
        <f aca="false">L1193-M1193</f>
        <v>150</v>
      </c>
      <c r="O1193" s="4" t="n">
        <f aca="false">MONTH(B1193)</f>
        <v>8</v>
      </c>
      <c r="P1193" s="4" t="str">
        <f aca="false">CHOOSE(WEEKDAY(B1193,2),"Mon","Tue","Wed","Thu","Fri","Sat","Sun")</f>
        <v>Sat</v>
      </c>
      <c r="Q1193" s="4" t="str">
        <f aca="false">IF(WEEKDAY(B1193,2)&gt;5,"Weekend","Weekday")</f>
        <v>Weekend</v>
      </c>
      <c r="R1193" s="4" t="str">
        <f aca="false">IF(C1193&lt;11,"Morning (7-10)",IF(C1193&lt;14,"Lunch (11-13)",IF(C1193&lt;18,"Afternoon (14-17)","Evening (18-20)")))</f>
        <v>Lunch (11-13)</v>
      </c>
      <c r="S1193" s="4" t="str">
        <f aca="false">IF(AND(O1193&gt;=3,O1193&lt;=5),"Hot Dry (Mar-May)",IF(AND(O1193&gt;=6,O1193&lt;=11),"Rainy (Jun-Nov)","Cool Dry (Dec-Feb)"))</f>
        <v>Rainy (Jun-Nov)</v>
      </c>
      <c r="T1193" s="4" t="str">
        <f aca="false">CHOOSE(O1193,"Jan","Feb","Mar","Apr","May","Jun","Jul","Aug","Sep","Oct","Nov","Dec")</f>
        <v>Aug</v>
      </c>
    </row>
    <row r="1194" customFormat="false" ht="15" hidden="false" customHeight="false" outlineLevel="0" collapsed="false">
      <c r="A1194" s="4" t="s">
        <v>1527</v>
      </c>
      <c r="B1194" s="17" t="n">
        <v>45899</v>
      </c>
      <c r="C1194" s="4" t="n">
        <v>16</v>
      </c>
      <c r="D1194" s="4" t="s">
        <v>98</v>
      </c>
      <c r="E1194" s="4" t="s">
        <v>99</v>
      </c>
      <c r="F1194" s="4" t="s">
        <v>100</v>
      </c>
      <c r="G1194" s="4" t="n">
        <v>1</v>
      </c>
      <c r="H1194" s="34" t="n">
        <v>110</v>
      </c>
      <c r="I1194" s="18" t="n">
        <v>0.1</v>
      </c>
      <c r="J1194" s="4" t="s">
        <v>81</v>
      </c>
      <c r="K1194" s="4" t="s">
        <v>71</v>
      </c>
      <c r="L1194" s="35" t="n">
        <f aca="false">G1194*H1194</f>
        <v>110</v>
      </c>
      <c r="M1194" s="35" t="n">
        <f aca="false">L1194*I1194</f>
        <v>11</v>
      </c>
      <c r="N1194" s="35" t="n">
        <f aca="false">L1194-M1194</f>
        <v>99</v>
      </c>
      <c r="O1194" s="4" t="n">
        <f aca="false">MONTH(B1194)</f>
        <v>8</v>
      </c>
      <c r="P1194" s="4" t="str">
        <f aca="false">CHOOSE(WEEKDAY(B1194,2),"Mon","Tue","Wed","Thu","Fri","Sat","Sun")</f>
        <v>Sat</v>
      </c>
      <c r="Q1194" s="4" t="str">
        <f aca="false">IF(WEEKDAY(B1194,2)&gt;5,"Weekend","Weekday")</f>
        <v>Weekend</v>
      </c>
      <c r="R1194" s="4" t="str">
        <f aca="false">IF(C1194&lt;11,"Morning (7-10)",IF(C1194&lt;14,"Lunch (11-13)",IF(C1194&lt;18,"Afternoon (14-17)","Evening (18-20)")))</f>
        <v>Afternoon (14-17)</v>
      </c>
      <c r="S1194" s="4" t="str">
        <f aca="false">IF(AND(O1194&gt;=3,O1194&lt;=5),"Hot Dry (Mar-May)",IF(AND(O1194&gt;=6,O1194&lt;=11),"Rainy (Jun-Nov)","Cool Dry (Dec-Feb)"))</f>
        <v>Rainy (Jun-Nov)</v>
      </c>
      <c r="T1194" s="4" t="str">
        <f aca="false">CHOOSE(O1194,"Jan","Feb","Mar","Apr","May","Jun","Jul","Aug","Sep","Oct","Nov","Dec")</f>
        <v>Aug</v>
      </c>
    </row>
    <row r="1195" customFormat="false" ht="15" hidden="false" customHeight="false" outlineLevel="0" collapsed="false">
      <c r="A1195" s="4" t="s">
        <v>1528</v>
      </c>
      <c r="B1195" s="17" t="n">
        <v>45899</v>
      </c>
      <c r="C1195" s="4" t="n">
        <v>17</v>
      </c>
      <c r="D1195" s="4" t="s">
        <v>70</v>
      </c>
      <c r="E1195" s="4" t="s">
        <v>65</v>
      </c>
      <c r="F1195" s="4" t="s">
        <v>66</v>
      </c>
      <c r="G1195" s="4" t="n">
        <v>2</v>
      </c>
      <c r="H1195" s="34" t="n">
        <v>120</v>
      </c>
      <c r="I1195" s="18" t="n">
        <v>0</v>
      </c>
      <c r="J1195" s="4" t="s">
        <v>67</v>
      </c>
      <c r="K1195" s="4" t="s">
        <v>68</v>
      </c>
      <c r="L1195" s="35" t="n">
        <f aca="false">G1195*H1195</f>
        <v>240</v>
      </c>
      <c r="M1195" s="35" t="n">
        <f aca="false">L1195*I1195</f>
        <v>0</v>
      </c>
      <c r="N1195" s="35" t="n">
        <f aca="false">L1195-M1195</f>
        <v>240</v>
      </c>
      <c r="O1195" s="4" t="n">
        <f aca="false">MONTH(B1195)</f>
        <v>8</v>
      </c>
      <c r="P1195" s="4" t="str">
        <f aca="false">CHOOSE(WEEKDAY(B1195,2),"Mon","Tue","Wed","Thu","Fri","Sat","Sun")</f>
        <v>Sat</v>
      </c>
      <c r="Q1195" s="4" t="str">
        <f aca="false">IF(WEEKDAY(B1195,2)&gt;5,"Weekend","Weekday")</f>
        <v>Weekend</v>
      </c>
      <c r="R1195" s="4" t="str">
        <f aca="false">IF(C1195&lt;11,"Morning (7-10)",IF(C1195&lt;14,"Lunch (11-13)",IF(C1195&lt;18,"Afternoon (14-17)","Evening (18-20)")))</f>
        <v>Afternoon (14-17)</v>
      </c>
      <c r="S1195" s="4" t="str">
        <f aca="false">IF(AND(O1195&gt;=3,O1195&lt;=5),"Hot Dry (Mar-May)",IF(AND(O1195&gt;=6,O1195&lt;=11),"Rainy (Jun-Nov)","Cool Dry (Dec-Feb)"))</f>
        <v>Rainy (Jun-Nov)</v>
      </c>
      <c r="T1195" s="4" t="str">
        <f aca="false">CHOOSE(O1195,"Jan","Feb","Mar","Apr","May","Jun","Jul","Aug","Sep","Oct","Nov","Dec")</f>
        <v>Aug</v>
      </c>
    </row>
    <row r="1196" customFormat="false" ht="15" hidden="false" customHeight="false" outlineLevel="0" collapsed="false">
      <c r="A1196" s="4" t="s">
        <v>1529</v>
      </c>
      <c r="B1196" s="17" t="n">
        <v>45899</v>
      </c>
      <c r="C1196" s="4" t="n">
        <v>20</v>
      </c>
      <c r="D1196" s="4" t="s">
        <v>64</v>
      </c>
      <c r="E1196" s="4" t="s">
        <v>99</v>
      </c>
      <c r="F1196" s="4" t="s">
        <v>109</v>
      </c>
      <c r="G1196" s="4" t="n">
        <v>1</v>
      </c>
      <c r="H1196" s="34" t="n">
        <v>130</v>
      </c>
      <c r="I1196" s="18" t="n">
        <v>0</v>
      </c>
      <c r="J1196" s="4" t="s">
        <v>67</v>
      </c>
      <c r="K1196" s="4" t="s">
        <v>77</v>
      </c>
      <c r="L1196" s="35" t="n">
        <f aca="false">G1196*H1196</f>
        <v>130</v>
      </c>
      <c r="M1196" s="35" t="n">
        <f aca="false">L1196*I1196</f>
        <v>0</v>
      </c>
      <c r="N1196" s="35" t="n">
        <f aca="false">L1196-M1196</f>
        <v>130</v>
      </c>
      <c r="O1196" s="4" t="n">
        <f aca="false">MONTH(B1196)</f>
        <v>8</v>
      </c>
      <c r="P1196" s="4" t="str">
        <f aca="false">CHOOSE(WEEKDAY(B1196,2),"Mon","Tue","Wed","Thu","Fri","Sat","Sun")</f>
        <v>Sat</v>
      </c>
      <c r="Q1196" s="4" t="str">
        <f aca="false">IF(WEEKDAY(B1196,2)&gt;5,"Weekend","Weekday")</f>
        <v>Weekend</v>
      </c>
      <c r="R1196" s="4" t="str">
        <f aca="false">IF(C1196&lt;11,"Morning (7-10)",IF(C1196&lt;14,"Lunch (11-13)",IF(C1196&lt;18,"Afternoon (14-17)","Evening (18-20)")))</f>
        <v>Evening (18-20)</v>
      </c>
      <c r="S1196" s="4" t="str">
        <f aca="false">IF(AND(O1196&gt;=3,O1196&lt;=5),"Hot Dry (Mar-May)",IF(AND(O1196&gt;=6,O1196&lt;=11),"Rainy (Jun-Nov)","Cool Dry (Dec-Feb)"))</f>
        <v>Rainy (Jun-Nov)</v>
      </c>
      <c r="T1196" s="4" t="str">
        <f aca="false">CHOOSE(O1196,"Jan","Feb","Mar","Apr","May","Jun","Jul","Aug","Sep","Oct","Nov","Dec")</f>
        <v>Aug</v>
      </c>
    </row>
    <row r="1197" customFormat="false" ht="15" hidden="false" customHeight="false" outlineLevel="0" collapsed="false">
      <c r="A1197" s="4" t="s">
        <v>1530</v>
      </c>
      <c r="B1197" s="17" t="n">
        <v>45900</v>
      </c>
      <c r="C1197" s="4" t="n">
        <v>9</v>
      </c>
      <c r="D1197" s="4" t="s">
        <v>73</v>
      </c>
      <c r="E1197" s="4" t="s">
        <v>84</v>
      </c>
      <c r="F1197" s="4" t="s">
        <v>85</v>
      </c>
      <c r="G1197" s="4" t="n">
        <v>1</v>
      </c>
      <c r="H1197" s="34" t="n">
        <v>150</v>
      </c>
      <c r="I1197" s="18" t="n">
        <v>0</v>
      </c>
      <c r="J1197" s="4" t="s">
        <v>76</v>
      </c>
      <c r="K1197" s="4" t="s">
        <v>77</v>
      </c>
      <c r="L1197" s="35" t="n">
        <f aca="false">G1197*H1197</f>
        <v>150</v>
      </c>
      <c r="M1197" s="35" t="n">
        <f aca="false">L1197*I1197</f>
        <v>0</v>
      </c>
      <c r="N1197" s="35" t="n">
        <f aca="false">L1197-M1197</f>
        <v>150</v>
      </c>
      <c r="O1197" s="4" t="n">
        <f aca="false">MONTH(B1197)</f>
        <v>8</v>
      </c>
      <c r="P1197" s="4" t="str">
        <f aca="false">CHOOSE(WEEKDAY(B1197,2),"Mon","Tue","Wed","Thu","Fri","Sat","Sun")</f>
        <v>Sun</v>
      </c>
      <c r="Q1197" s="4" t="str">
        <f aca="false">IF(WEEKDAY(B1197,2)&gt;5,"Weekend","Weekday")</f>
        <v>Weekend</v>
      </c>
      <c r="R1197" s="4" t="str">
        <f aca="false">IF(C1197&lt;11,"Morning (7-10)",IF(C1197&lt;14,"Lunch (11-13)",IF(C1197&lt;18,"Afternoon (14-17)","Evening (18-20)")))</f>
        <v>Morning (7-10)</v>
      </c>
      <c r="S1197" s="4" t="str">
        <f aca="false">IF(AND(O1197&gt;=3,O1197&lt;=5),"Hot Dry (Mar-May)",IF(AND(O1197&gt;=6,O1197&lt;=11),"Rainy (Jun-Nov)","Cool Dry (Dec-Feb)"))</f>
        <v>Rainy (Jun-Nov)</v>
      </c>
      <c r="T1197" s="4" t="str">
        <f aca="false">CHOOSE(O1197,"Jan","Feb","Mar","Apr","May","Jun","Jul","Aug","Sep","Oct","Nov","Dec")</f>
        <v>Aug</v>
      </c>
    </row>
    <row r="1198" customFormat="false" ht="15" hidden="false" customHeight="false" outlineLevel="0" collapsed="false">
      <c r="A1198" s="4" t="s">
        <v>1531</v>
      </c>
      <c r="B1198" s="17" t="n">
        <v>45900</v>
      </c>
      <c r="C1198" s="4" t="n">
        <v>10</v>
      </c>
      <c r="D1198" s="4" t="s">
        <v>64</v>
      </c>
      <c r="E1198" s="4" t="s">
        <v>99</v>
      </c>
      <c r="F1198" s="4" t="s">
        <v>133</v>
      </c>
      <c r="G1198" s="4" t="n">
        <v>2</v>
      </c>
      <c r="H1198" s="34" t="n">
        <v>90</v>
      </c>
      <c r="I1198" s="18" t="n">
        <v>0.1</v>
      </c>
      <c r="J1198" s="4" t="s">
        <v>67</v>
      </c>
      <c r="K1198" s="4" t="s">
        <v>71</v>
      </c>
      <c r="L1198" s="35" t="n">
        <f aca="false">G1198*H1198</f>
        <v>180</v>
      </c>
      <c r="M1198" s="35" t="n">
        <f aca="false">L1198*I1198</f>
        <v>18</v>
      </c>
      <c r="N1198" s="35" t="n">
        <f aca="false">L1198-M1198</f>
        <v>162</v>
      </c>
      <c r="O1198" s="4" t="n">
        <f aca="false">MONTH(B1198)</f>
        <v>8</v>
      </c>
      <c r="P1198" s="4" t="str">
        <f aca="false">CHOOSE(WEEKDAY(B1198,2),"Mon","Tue","Wed","Thu","Fri","Sat","Sun")</f>
        <v>Sun</v>
      </c>
      <c r="Q1198" s="4" t="str">
        <f aca="false">IF(WEEKDAY(B1198,2)&gt;5,"Weekend","Weekday")</f>
        <v>Weekend</v>
      </c>
      <c r="R1198" s="4" t="str">
        <f aca="false">IF(C1198&lt;11,"Morning (7-10)",IF(C1198&lt;14,"Lunch (11-13)",IF(C1198&lt;18,"Afternoon (14-17)","Evening (18-20)")))</f>
        <v>Morning (7-10)</v>
      </c>
      <c r="S1198" s="4" t="str">
        <f aca="false">IF(AND(O1198&gt;=3,O1198&lt;=5),"Hot Dry (Mar-May)",IF(AND(O1198&gt;=6,O1198&lt;=11),"Rainy (Jun-Nov)","Cool Dry (Dec-Feb)"))</f>
        <v>Rainy (Jun-Nov)</v>
      </c>
      <c r="T1198" s="4" t="str">
        <f aca="false">CHOOSE(O1198,"Jan","Feb","Mar","Apr","May","Jun","Jul","Aug","Sep","Oct","Nov","Dec")</f>
        <v>Aug</v>
      </c>
    </row>
    <row r="1199" customFormat="false" ht="15" hidden="false" customHeight="false" outlineLevel="0" collapsed="false">
      <c r="A1199" s="4" t="s">
        <v>1532</v>
      </c>
      <c r="B1199" s="17" t="n">
        <v>45900</v>
      </c>
      <c r="C1199" s="4" t="n">
        <v>13</v>
      </c>
      <c r="D1199" s="4" t="s">
        <v>64</v>
      </c>
      <c r="E1199" s="4" t="s">
        <v>84</v>
      </c>
      <c r="F1199" s="4" t="s">
        <v>114</v>
      </c>
      <c r="G1199" s="4" t="n">
        <v>1</v>
      </c>
      <c r="H1199" s="34" t="n">
        <v>85</v>
      </c>
      <c r="I1199" s="18" t="n">
        <v>0.2</v>
      </c>
      <c r="J1199" s="4" t="s">
        <v>67</v>
      </c>
      <c r="K1199" s="4" t="s">
        <v>77</v>
      </c>
      <c r="L1199" s="35" t="n">
        <f aca="false">G1199*H1199</f>
        <v>85</v>
      </c>
      <c r="M1199" s="35" t="n">
        <f aca="false">L1199*I1199</f>
        <v>17</v>
      </c>
      <c r="N1199" s="35" t="n">
        <f aca="false">L1199-M1199</f>
        <v>68</v>
      </c>
      <c r="O1199" s="4" t="n">
        <f aca="false">MONTH(B1199)</f>
        <v>8</v>
      </c>
      <c r="P1199" s="4" t="str">
        <f aca="false">CHOOSE(WEEKDAY(B1199,2),"Mon","Tue","Wed","Thu","Fri","Sat","Sun")</f>
        <v>Sun</v>
      </c>
      <c r="Q1199" s="4" t="str">
        <f aca="false">IF(WEEKDAY(B1199,2)&gt;5,"Weekend","Weekday")</f>
        <v>Weekend</v>
      </c>
      <c r="R1199" s="4" t="str">
        <f aca="false">IF(C1199&lt;11,"Morning (7-10)",IF(C1199&lt;14,"Lunch (11-13)",IF(C1199&lt;18,"Afternoon (14-17)","Evening (18-20)")))</f>
        <v>Lunch (11-13)</v>
      </c>
      <c r="S1199" s="4" t="str">
        <f aca="false">IF(AND(O1199&gt;=3,O1199&lt;=5),"Hot Dry (Mar-May)",IF(AND(O1199&gt;=6,O1199&lt;=11),"Rainy (Jun-Nov)","Cool Dry (Dec-Feb)"))</f>
        <v>Rainy (Jun-Nov)</v>
      </c>
      <c r="T1199" s="4" t="str">
        <f aca="false">CHOOSE(O1199,"Jan","Feb","Mar","Apr","May","Jun","Jul","Aug","Sep","Oct","Nov","Dec")</f>
        <v>Aug</v>
      </c>
    </row>
    <row r="1200" customFormat="false" ht="15" hidden="false" customHeight="false" outlineLevel="0" collapsed="false">
      <c r="A1200" s="4" t="s">
        <v>1534</v>
      </c>
      <c r="B1200" s="17" t="n">
        <v>45900</v>
      </c>
      <c r="C1200" s="4" t="n">
        <v>16</v>
      </c>
      <c r="D1200" s="4" t="s">
        <v>98</v>
      </c>
      <c r="E1200" s="4" t="s">
        <v>99</v>
      </c>
      <c r="F1200" s="4" t="s">
        <v>100</v>
      </c>
      <c r="G1200" s="4" t="n">
        <v>1</v>
      </c>
      <c r="H1200" s="34" t="n">
        <v>110</v>
      </c>
      <c r="I1200" s="18" t="n">
        <v>0.1</v>
      </c>
      <c r="J1200" s="4" t="s">
        <v>81</v>
      </c>
      <c r="K1200" s="4" t="s">
        <v>71</v>
      </c>
      <c r="L1200" s="35" t="n">
        <f aca="false">G1200*H1200</f>
        <v>110</v>
      </c>
      <c r="M1200" s="35" t="n">
        <f aca="false">L1200*I1200</f>
        <v>11</v>
      </c>
      <c r="N1200" s="35" t="n">
        <f aca="false">L1200-M1200</f>
        <v>99</v>
      </c>
      <c r="O1200" s="4" t="n">
        <f aca="false">MONTH(B1200)</f>
        <v>8</v>
      </c>
      <c r="P1200" s="4" t="str">
        <f aca="false">CHOOSE(WEEKDAY(B1200,2),"Mon","Tue","Wed","Thu","Fri","Sat","Sun")</f>
        <v>Sun</v>
      </c>
      <c r="Q1200" s="4" t="str">
        <f aca="false">IF(WEEKDAY(B1200,2)&gt;5,"Weekend","Weekday")</f>
        <v>Weekend</v>
      </c>
      <c r="R1200" s="4" t="str">
        <f aca="false">IF(C1200&lt;11,"Morning (7-10)",IF(C1200&lt;14,"Lunch (11-13)",IF(C1200&lt;18,"Afternoon (14-17)","Evening (18-20)")))</f>
        <v>Afternoon (14-17)</v>
      </c>
      <c r="S1200" s="4" t="str">
        <f aca="false">IF(AND(O1200&gt;=3,O1200&lt;=5),"Hot Dry (Mar-May)",IF(AND(O1200&gt;=6,O1200&lt;=11),"Rainy (Jun-Nov)","Cool Dry (Dec-Feb)"))</f>
        <v>Rainy (Jun-Nov)</v>
      </c>
      <c r="T1200" s="4" t="str">
        <f aca="false">CHOOSE(O1200,"Jan","Feb","Mar","Apr","May","Jun","Jul","Aug","Sep","Oct","Nov","Dec")</f>
        <v>Aug</v>
      </c>
    </row>
    <row r="1201" customFormat="false" ht="15" hidden="false" customHeight="false" outlineLevel="0" collapsed="false">
      <c r="A1201" s="4" t="s">
        <v>1535</v>
      </c>
      <c r="B1201" s="17" t="n">
        <v>45900</v>
      </c>
      <c r="C1201" s="4" t="n">
        <v>19</v>
      </c>
      <c r="D1201" s="4" t="s">
        <v>70</v>
      </c>
      <c r="E1201" s="4" t="s">
        <v>84</v>
      </c>
      <c r="F1201" s="4" t="s">
        <v>85</v>
      </c>
      <c r="G1201" s="4" t="n">
        <v>1</v>
      </c>
      <c r="H1201" s="34" t="n">
        <v>150</v>
      </c>
      <c r="I1201" s="18" t="n">
        <v>0.15</v>
      </c>
      <c r="J1201" s="4" t="s">
        <v>112</v>
      </c>
      <c r="K1201" s="4" t="s">
        <v>71</v>
      </c>
      <c r="L1201" s="35" t="n">
        <f aca="false">G1201*H1201</f>
        <v>150</v>
      </c>
      <c r="M1201" s="35" t="n">
        <f aca="false">L1201*I1201</f>
        <v>22.5</v>
      </c>
      <c r="N1201" s="35" t="n">
        <f aca="false">L1201-M1201</f>
        <v>127.5</v>
      </c>
      <c r="O1201" s="4" t="n">
        <f aca="false">MONTH(B1201)</f>
        <v>8</v>
      </c>
      <c r="P1201" s="4" t="str">
        <f aca="false">CHOOSE(WEEKDAY(B1201,2),"Mon","Tue","Wed","Thu","Fri","Sat","Sun")</f>
        <v>Sun</v>
      </c>
      <c r="Q1201" s="4" t="str">
        <f aca="false">IF(WEEKDAY(B1201,2)&gt;5,"Weekend","Weekday")</f>
        <v>Weekend</v>
      </c>
      <c r="R1201" s="4" t="str">
        <f aca="false">IF(C1201&lt;11,"Morning (7-10)",IF(C1201&lt;14,"Lunch (11-13)",IF(C1201&lt;18,"Afternoon (14-17)","Evening (18-20)")))</f>
        <v>Evening (18-20)</v>
      </c>
      <c r="S1201" s="4" t="str">
        <f aca="false">IF(AND(O1201&gt;=3,O1201&lt;=5),"Hot Dry (Mar-May)",IF(AND(O1201&gt;=6,O1201&lt;=11),"Rainy (Jun-Nov)","Cool Dry (Dec-Feb)"))</f>
        <v>Rainy (Jun-Nov)</v>
      </c>
      <c r="T1201" s="4" t="str">
        <f aca="false">CHOOSE(O1201,"Jan","Feb","Mar","Apr","May","Jun","Jul","Aug","Sep","Oct","Nov","Dec")</f>
        <v>Aug</v>
      </c>
    </row>
    <row r="1202" customFormat="false" ht="15" hidden="false" customHeight="false" outlineLevel="0" collapsed="false">
      <c r="A1202" s="4" t="s">
        <v>1536</v>
      </c>
      <c r="B1202" s="17" t="n">
        <v>45901</v>
      </c>
      <c r="C1202" s="4" t="n">
        <v>7</v>
      </c>
      <c r="D1202" s="4" t="s">
        <v>70</v>
      </c>
      <c r="E1202" s="4" t="s">
        <v>84</v>
      </c>
      <c r="F1202" s="4" t="s">
        <v>117</v>
      </c>
      <c r="G1202" s="4" t="n">
        <v>1</v>
      </c>
      <c r="H1202" s="34" t="n">
        <v>95</v>
      </c>
      <c r="I1202" s="18" t="n">
        <v>0</v>
      </c>
      <c r="J1202" s="4" t="s">
        <v>88</v>
      </c>
      <c r="K1202" s="4" t="s">
        <v>68</v>
      </c>
      <c r="L1202" s="35" t="n">
        <f aca="false">G1202*H1202</f>
        <v>95</v>
      </c>
      <c r="M1202" s="35" t="n">
        <f aca="false">L1202*I1202</f>
        <v>0</v>
      </c>
      <c r="N1202" s="35" t="n">
        <f aca="false">L1202-M1202</f>
        <v>95</v>
      </c>
      <c r="O1202" s="4" t="n">
        <f aca="false">MONTH(B1202)</f>
        <v>9</v>
      </c>
      <c r="P1202" s="4" t="str">
        <f aca="false">CHOOSE(WEEKDAY(B1202,2),"Mon","Tue","Wed","Thu","Fri","Sat","Sun")</f>
        <v>Mon</v>
      </c>
      <c r="Q1202" s="4" t="str">
        <f aca="false">IF(WEEKDAY(B1202,2)&gt;5,"Weekend","Weekday")</f>
        <v>Weekday</v>
      </c>
      <c r="R1202" s="4" t="str">
        <f aca="false">IF(C1202&lt;11,"Morning (7-10)",IF(C1202&lt;14,"Lunch (11-13)",IF(C1202&lt;18,"Afternoon (14-17)","Evening (18-20)")))</f>
        <v>Morning (7-10)</v>
      </c>
      <c r="S1202" s="4" t="str">
        <f aca="false">IF(AND(O1202&gt;=3,O1202&lt;=5),"Hot Dry (Mar-May)",IF(AND(O1202&gt;=6,O1202&lt;=11),"Rainy (Jun-Nov)","Cool Dry (Dec-Feb)"))</f>
        <v>Rainy (Jun-Nov)</v>
      </c>
      <c r="T1202" s="4" t="str">
        <f aca="false">CHOOSE(O1202,"Jan","Feb","Mar","Apr","May","Jun","Jul","Aug","Sep","Oct","Nov","Dec")</f>
        <v>Sep</v>
      </c>
    </row>
    <row r="1203" customFormat="false" ht="15" hidden="false" customHeight="false" outlineLevel="0" collapsed="false">
      <c r="A1203" s="4" t="s">
        <v>1537</v>
      </c>
      <c r="B1203" s="17" t="n">
        <v>45901</v>
      </c>
      <c r="C1203" s="4" t="n">
        <v>8</v>
      </c>
      <c r="D1203" s="4" t="s">
        <v>70</v>
      </c>
      <c r="E1203" s="4" t="s">
        <v>99</v>
      </c>
      <c r="F1203" s="4" t="s">
        <v>102</v>
      </c>
      <c r="G1203" s="4" t="n">
        <v>2</v>
      </c>
      <c r="H1203" s="34" t="n">
        <v>140</v>
      </c>
      <c r="I1203" s="18" t="n">
        <v>0.1</v>
      </c>
      <c r="J1203" s="4" t="s">
        <v>81</v>
      </c>
      <c r="K1203" s="4" t="s">
        <v>71</v>
      </c>
      <c r="L1203" s="35" t="n">
        <f aca="false">G1203*H1203</f>
        <v>280</v>
      </c>
      <c r="M1203" s="35" t="n">
        <f aca="false">L1203*I1203</f>
        <v>28</v>
      </c>
      <c r="N1203" s="35" t="n">
        <f aca="false">L1203-M1203</f>
        <v>252</v>
      </c>
      <c r="O1203" s="4" t="n">
        <f aca="false">MONTH(B1203)</f>
        <v>9</v>
      </c>
      <c r="P1203" s="4" t="str">
        <f aca="false">CHOOSE(WEEKDAY(B1203,2),"Mon","Tue","Wed","Thu","Fri","Sat","Sun")</f>
        <v>Mon</v>
      </c>
      <c r="Q1203" s="4" t="str">
        <f aca="false">IF(WEEKDAY(B1203,2)&gt;5,"Weekend","Weekday")</f>
        <v>Weekday</v>
      </c>
      <c r="R1203" s="4" t="str">
        <f aca="false">IF(C1203&lt;11,"Morning (7-10)",IF(C1203&lt;14,"Lunch (11-13)",IF(C1203&lt;18,"Afternoon (14-17)","Evening (18-20)")))</f>
        <v>Morning (7-10)</v>
      </c>
      <c r="S1203" s="4" t="str">
        <f aca="false">IF(AND(O1203&gt;=3,O1203&lt;=5),"Hot Dry (Mar-May)",IF(AND(O1203&gt;=6,O1203&lt;=11),"Rainy (Jun-Nov)","Cool Dry (Dec-Feb)"))</f>
        <v>Rainy (Jun-Nov)</v>
      </c>
      <c r="T1203" s="4" t="str">
        <f aca="false">CHOOSE(O1203,"Jan","Feb","Mar","Apr","May","Jun","Jul","Aug","Sep","Oct","Nov","Dec")</f>
        <v>Sep</v>
      </c>
    </row>
    <row r="1204" customFormat="false" ht="15" hidden="false" customHeight="false" outlineLevel="0" collapsed="false">
      <c r="A1204" s="4" t="s">
        <v>1538</v>
      </c>
      <c r="B1204" s="17" t="n">
        <v>45901</v>
      </c>
      <c r="C1204" s="4" t="n">
        <v>9</v>
      </c>
      <c r="D1204" s="4" t="s">
        <v>70</v>
      </c>
      <c r="E1204" s="4" t="s">
        <v>65</v>
      </c>
      <c r="F1204" s="4" t="s">
        <v>66</v>
      </c>
      <c r="G1204" s="4" t="n">
        <v>2</v>
      </c>
      <c r="H1204" s="34" t="n">
        <v>120</v>
      </c>
      <c r="I1204" s="18" t="n">
        <v>0</v>
      </c>
      <c r="J1204" s="4" t="s">
        <v>76</v>
      </c>
      <c r="K1204" s="4" t="s">
        <v>68</v>
      </c>
      <c r="L1204" s="35" t="n">
        <f aca="false">G1204*H1204</f>
        <v>240</v>
      </c>
      <c r="M1204" s="35" t="n">
        <f aca="false">L1204*I1204</f>
        <v>0</v>
      </c>
      <c r="N1204" s="35" t="n">
        <f aca="false">L1204-M1204</f>
        <v>240</v>
      </c>
      <c r="O1204" s="4" t="n">
        <f aca="false">MONTH(B1204)</f>
        <v>9</v>
      </c>
      <c r="P1204" s="4" t="str">
        <f aca="false">CHOOSE(WEEKDAY(B1204,2),"Mon","Tue","Wed","Thu","Fri","Sat","Sun")</f>
        <v>Mon</v>
      </c>
      <c r="Q1204" s="4" t="str">
        <f aca="false">IF(WEEKDAY(B1204,2)&gt;5,"Weekend","Weekday")</f>
        <v>Weekday</v>
      </c>
      <c r="R1204" s="4" t="str">
        <f aca="false">IF(C1204&lt;11,"Morning (7-10)",IF(C1204&lt;14,"Lunch (11-13)",IF(C1204&lt;18,"Afternoon (14-17)","Evening (18-20)")))</f>
        <v>Morning (7-10)</v>
      </c>
      <c r="S1204" s="4" t="str">
        <f aca="false">IF(AND(O1204&gt;=3,O1204&lt;=5),"Hot Dry (Mar-May)",IF(AND(O1204&gt;=6,O1204&lt;=11),"Rainy (Jun-Nov)","Cool Dry (Dec-Feb)"))</f>
        <v>Rainy (Jun-Nov)</v>
      </c>
      <c r="T1204" s="4" t="str">
        <f aca="false">CHOOSE(O1204,"Jan","Feb","Mar","Apr","May","Jun","Jul","Aug","Sep","Oct","Nov","Dec")</f>
        <v>Sep</v>
      </c>
    </row>
    <row r="1205" customFormat="false" ht="15" hidden="false" customHeight="false" outlineLevel="0" collapsed="false">
      <c r="A1205" s="4" t="s">
        <v>1539</v>
      </c>
      <c r="B1205" s="17" t="n">
        <v>45901</v>
      </c>
      <c r="C1205" s="4" t="n">
        <v>9</v>
      </c>
      <c r="D1205" s="4" t="s">
        <v>70</v>
      </c>
      <c r="E1205" s="4" t="s">
        <v>65</v>
      </c>
      <c r="F1205" s="4" t="s">
        <v>87</v>
      </c>
      <c r="G1205" s="4" t="n">
        <v>1</v>
      </c>
      <c r="H1205" s="34" t="n">
        <v>160</v>
      </c>
      <c r="I1205" s="18" t="n">
        <v>0</v>
      </c>
      <c r="J1205" s="4" t="s">
        <v>81</v>
      </c>
      <c r="K1205" s="4" t="s">
        <v>68</v>
      </c>
      <c r="L1205" s="35" t="n">
        <f aca="false">G1205*H1205</f>
        <v>160</v>
      </c>
      <c r="M1205" s="35" t="n">
        <f aca="false">L1205*I1205</f>
        <v>0</v>
      </c>
      <c r="N1205" s="35" t="n">
        <f aca="false">L1205-M1205</f>
        <v>160</v>
      </c>
      <c r="O1205" s="4" t="n">
        <f aca="false">MONTH(B1205)</f>
        <v>9</v>
      </c>
      <c r="P1205" s="4" t="str">
        <f aca="false">CHOOSE(WEEKDAY(B1205,2),"Mon","Tue","Wed","Thu","Fri","Sat","Sun")</f>
        <v>Mon</v>
      </c>
      <c r="Q1205" s="4" t="str">
        <f aca="false">IF(WEEKDAY(B1205,2)&gt;5,"Weekend","Weekday")</f>
        <v>Weekday</v>
      </c>
      <c r="R1205" s="4" t="str">
        <f aca="false">IF(C1205&lt;11,"Morning (7-10)",IF(C1205&lt;14,"Lunch (11-13)",IF(C1205&lt;18,"Afternoon (14-17)","Evening (18-20)")))</f>
        <v>Morning (7-10)</v>
      </c>
      <c r="S1205" s="4" t="str">
        <f aca="false">IF(AND(O1205&gt;=3,O1205&lt;=5),"Hot Dry (Mar-May)",IF(AND(O1205&gt;=6,O1205&lt;=11),"Rainy (Jun-Nov)","Cool Dry (Dec-Feb)"))</f>
        <v>Rainy (Jun-Nov)</v>
      </c>
      <c r="T1205" s="4" t="str">
        <f aca="false">CHOOSE(O1205,"Jan","Feb","Mar","Apr","May","Jun","Jul","Aug","Sep","Oct","Nov","Dec")</f>
        <v>Sep</v>
      </c>
    </row>
    <row r="1206" customFormat="false" ht="15" hidden="false" customHeight="false" outlineLevel="0" collapsed="false">
      <c r="A1206" s="4" t="s">
        <v>1540</v>
      </c>
      <c r="B1206" s="17" t="n">
        <v>45901</v>
      </c>
      <c r="C1206" s="4" t="n">
        <v>10</v>
      </c>
      <c r="D1206" s="4" t="s">
        <v>70</v>
      </c>
      <c r="E1206" s="4" t="s">
        <v>65</v>
      </c>
      <c r="F1206" s="4" t="s">
        <v>94</v>
      </c>
      <c r="G1206" s="4" t="n">
        <v>1</v>
      </c>
      <c r="H1206" s="34" t="n">
        <v>150</v>
      </c>
      <c r="I1206" s="18" t="n">
        <v>0</v>
      </c>
      <c r="J1206" s="4" t="s">
        <v>67</v>
      </c>
      <c r="K1206" s="4" t="s">
        <v>68</v>
      </c>
      <c r="L1206" s="35" t="n">
        <f aca="false">G1206*H1206</f>
        <v>150</v>
      </c>
      <c r="M1206" s="35" t="n">
        <f aca="false">L1206*I1206</f>
        <v>0</v>
      </c>
      <c r="N1206" s="35" t="n">
        <f aca="false">L1206-M1206</f>
        <v>150</v>
      </c>
      <c r="O1206" s="4" t="n">
        <f aca="false">MONTH(B1206)</f>
        <v>9</v>
      </c>
      <c r="P1206" s="4" t="str">
        <f aca="false">CHOOSE(WEEKDAY(B1206,2),"Mon","Tue","Wed","Thu","Fri","Sat","Sun")</f>
        <v>Mon</v>
      </c>
      <c r="Q1206" s="4" t="str">
        <f aca="false">IF(WEEKDAY(B1206,2)&gt;5,"Weekend","Weekday")</f>
        <v>Weekday</v>
      </c>
      <c r="R1206" s="4" t="str">
        <f aca="false">IF(C1206&lt;11,"Morning (7-10)",IF(C1206&lt;14,"Lunch (11-13)",IF(C1206&lt;18,"Afternoon (14-17)","Evening (18-20)")))</f>
        <v>Morning (7-10)</v>
      </c>
      <c r="S1206" s="4" t="str">
        <f aca="false">IF(AND(O1206&gt;=3,O1206&lt;=5),"Hot Dry (Mar-May)",IF(AND(O1206&gt;=6,O1206&lt;=11),"Rainy (Jun-Nov)","Cool Dry (Dec-Feb)"))</f>
        <v>Rainy (Jun-Nov)</v>
      </c>
      <c r="T1206" s="4" t="str">
        <f aca="false">CHOOSE(O1206,"Jan","Feb","Mar","Apr","May","Jun","Jul","Aug","Sep","Oct","Nov","Dec")</f>
        <v>Sep</v>
      </c>
    </row>
    <row r="1207" customFormat="false" ht="15" hidden="false" customHeight="false" outlineLevel="0" collapsed="false">
      <c r="A1207" s="4" t="s">
        <v>1542</v>
      </c>
      <c r="B1207" s="17" t="n">
        <v>45901</v>
      </c>
      <c r="C1207" s="4" t="n">
        <v>16</v>
      </c>
      <c r="D1207" s="4" t="s">
        <v>70</v>
      </c>
      <c r="E1207" s="4" t="s">
        <v>99</v>
      </c>
      <c r="F1207" s="4" t="s">
        <v>102</v>
      </c>
      <c r="G1207" s="4" t="n">
        <v>1</v>
      </c>
      <c r="H1207" s="34" t="n">
        <v>140</v>
      </c>
      <c r="I1207" s="18" t="n">
        <v>0</v>
      </c>
      <c r="J1207" s="4" t="s">
        <v>67</v>
      </c>
      <c r="K1207" s="4" t="s">
        <v>68</v>
      </c>
      <c r="L1207" s="35" t="n">
        <f aca="false">G1207*H1207</f>
        <v>140</v>
      </c>
      <c r="M1207" s="35" t="n">
        <f aca="false">L1207*I1207</f>
        <v>0</v>
      </c>
      <c r="N1207" s="35" t="n">
        <f aca="false">L1207-M1207</f>
        <v>140</v>
      </c>
      <c r="O1207" s="4" t="n">
        <f aca="false">MONTH(B1207)</f>
        <v>9</v>
      </c>
      <c r="P1207" s="4" t="str">
        <f aca="false">CHOOSE(WEEKDAY(B1207,2),"Mon","Tue","Wed","Thu","Fri","Sat","Sun")</f>
        <v>Mon</v>
      </c>
      <c r="Q1207" s="4" t="str">
        <f aca="false">IF(WEEKDAY(B1207,2)&gt;5,"Weekend","Weekday")</f>
        <v>Weekday</v>
      </c>
      <c r="R1207" s="4" t="str">
        <f aca="false">IF(C1207&lt;11,"Morning (7-10)",IF(C1207&lt;14,"Lunch (11-13)",IF(C1207&lt;18,"Afternoon (14-17)","Evening (18-20)")))</f>
        <v>Afternoon (14-17)</v>
      </c>
      <c r="S1207" s="4" t="str">
        <f aca="false">IF(AND(O1207&gt;=3,O1207&lt;=5),"Hot Dry (Mar-May)",IF(AND(O1207&gt;=6,O1207&lt;=11),"Rainy (Jun-Nov)","Cool Dry (Dec-Feb)"))</f>
        <v>Rainy (Jun-Nov)</v>
      </c>
      <c r="T1207" s="4" t="str">
        <f aca="false">CHOOSE(O1207,"Jan","Feb","Mar","Apr","May","Jun","Jul","Aug","Sep","Oct","Nov","Dec")</f>
        <v>Sep</v>
      </c>
    </row>
    <row r="1208" customFormat="false" ht="15" hidden="false" customHeight="false" outlineLevel="0" collapsed="false">
      <c r="A1208" s="4" t="s">
        <v>1543</v>
      </c>
      <c r="B1208" s="17" t="n">
        <v>45901</v>
      </c>
      <c r="C1208" s="4" t="n">
        <v>18</v>
      </c>
      <c r="D1208" s="4" t="s">
        <v>64</v>
      </c>
      <c r="E1208" s="4" t="s">
        <v>99</v>
      </c>
      <c r="F1208" s="4" t="s">
        <v>102</v>
      </c>
      <c r="G1208" s="4" t="n">
        <v>1</v>
      </c>
      <c r="H1208" s="34" t="n">
        <v>140</v>
      </c>
      <c r="I1208" s="18" t="n">
        <v>0</v>
      </c>
      <c r="J1208" s="4" t="s">
        <v>76</v>
      </c>
      <c r="K1208" s="4" t="s">
        <v>77</v>
      </c>
      <c r="L1208" s="35" t="n">
        <f aca="false">G1208*H1208</f>
        <v>140</v>
      </c>
      <c r="M1208" s="35" t="n">
        <f aca="false">L1208*I1208</f>
        <v>0</v>
      </c>
      <c r="N1208" s="35" t="n">
        <f aca="false">L1208-M1208</f>
        <v>140</v>
      </c>
      <c r="O1208" s="4" t="n">
        <f aca="false">MONTH(B1208)</f>
        <v>9</v>
      </c>
      <c r="P1208" s="4" t="str">
        <f aca="false">CHOOSE(WEEKDAY(B1208,2),"Mon","Tue","Wed","Thu","Fri","Sat","Sun")</f>
        <v>Mon</v>
      </c>
      <c r="Q1208" s="4" t="str">
        <f aca="false">IF(WEEKDAY(B1208,2)&gt;5,"Weekend","Weekday")</f>
        <v>Weekday</v>
      </c>
      <c r="R1208" s="4" t="str">
        <f aca="false">IF(C1208&lt;11,"Morning (7-10)",IF(C1208&lt;14,"Lunch (11-13)",IF(C1208&lt;18,"Afternoon (14-17)","Evening (18-20)")))</f>
        <v>Evening (18-20)</v>
      </c>
      <c r="S1208" s="4" t="str">
        <f aca="false">IF(AND(O1208&gt;=3,O1208&lt;=5),"Hot Dry (Mar-May)",IF(AND(O1208&gt;=6,O1208&lt;=11),"Rainy (Jun-Nov)","Cool Dry (Dec-Feb)"))</f>
        <v>Rainy (Jun-Nov)</v>
      </c>
      <c r="T1208" s="4" t="str">
        <f aca="false">CHOOSE(O1208,"Jan","Feb","Mar","Apr","May","Jun","Jul","Aug","Sep","Oct","Nov","Dec")</f>
        <v>Sep</v>
      </c>
    </row>
    <row r="1209" customFormat="false" ht="15" hidden="false" customHeight="false" outlineLevel="0" collapsed="false">
      <c r="A1209" s="4" t="s">
        <v>1544</v>
      </c>
      <c r="B1209" s="17" t="n">
        <v>45902</v>
      </c>
      <c r="C1209" s="4" t="n">
        <v>7</v>
      </c>
      <c r="D1209" s="4" t="s">
        <v>64</v>
      </c>
      <c r="E1209" s="4" t="s">
        <v>99</v>
      </c>
      <c r="F1209" s="4" t="s">
        <v>102</v>
      </c>
      <c r="G1209" s="4" t="n">
        <v>1</v>
      </c>
      <c r="H1209" s="34" t="n">
        <v>140</v>
      </c>
      <c r="I1209" s="18" t="n">
        <v>0.05</v>
      </c>
      <c r="J1209" s="4" t="s">
        <v>67</v>
      </c>
      <c r="K1209" s="4" t="s">
        <v>82</v>
      </c>
      <c r="L1209" s="35" t="n">
        <f aca="false">G1209*H1209</f>
        <v>140</v>
      </c>
      <c r="M1209" s="35" t="n">
        <f aca="false">L1209*I1209</f>
        <v>7</v>
      </c>
      <c r="N1209" s="35" t="n">
        <f aca="false">L1209-M1209</f>
        <v>133</v>
      </c>
      <c r="O1209" s="4" t="n">
        <f aca="false">MONTH(B1209)</f>
        <v>9</v>
      </c>
      <c r="P1209" s="4" t="str">
        <f aca="false">CHOOSE(WEEKDAY(B1209,2),"Mon","Tue","Wed","Thu","Fri","Sat","Sun")</f>
        <v>Tue</v>
      </c>
      <c r="Q1209" s="4" t="str">
        <f aca="false">IF(WEEKDAY(B1209,2)&gt;5,"Weekend","Weekday")</f>
        <v>Weekday</v>
      </c>
      <c r="R1209" s="4" t="str">
        <f aca="false">IF(C1209&lt;11,"Morning (7-10)",IF(C1209&lt;14,"Lunch (11-13)",IF(C1209&lt;18,"Afternoon (14-17)","Evening (18-20)")))</f>
        <v>Morning (7-10)</v>
      </c>
      <c r="S1209" s="4" t="str">
        <f aca="false">IF(AND(O1209&gt;=3,O1209&lt;=5),"Hot Dry (Mar-May)",IF(AND(O1209&gt;=6,O1209&lt;=11),"Rainy (Jun-Nov)","Cool Dry (Dec-Feb)"))</f>
        <v>Rainy (Jun-Nov)</v>
      </c>
      <c r="T1209" s="4" t="str">
        <f aca="false">CHOOSE(O1209,"Jan","Feb","Mar","Apr","May","Jun","Jul","Aug","Sep","Oct","Nov","Dec")</f>
        <v>Sep</v>
      </c>
    </row>
    <row r="1210" customFormat="false" ht="15" hidden="false" customHeight="false" outlineLevel="0" collapsed="false">
      <c r="A1210" s="4" t="s">
        <v>1545</v>
      </c>
      <c r="B1210" s="17" t="n">
        <v>45902</v>
      </c>
      <c r="C1210" s="4" t="n">
        <v>9</v>
      </c>
      <c r="D1210" s="4" t="s">
        <v>64</v>
      </c>
      <c r="E1210" s="4" t="s">
        <v>84</v>
      </c>
      <c r="F1210" s="4" t="s">
        <v>114</v>
      </c>
      <c r="G1210" s="4" t="n">
        <v>1</v>
      </c>
      <c r="H1210" s="34" t="n">
        <v>85</v>
      </c>
      <c r="I1210" s="18" t="n">
        <v>0</v>
      </c>
      <c r="J1210" s="4" t="s">
        <v>67</v>
      </c>
      <c r="K1210" s="4" t="s">
        <v>77</v>
      </c>
      <c r="L1210" s="35" t="n">
        <f aca="false">G1210*H1210</f>
        <v>85</v>
      </c>
      <c r="M1210" s="35" t="n">
        <f aca="false">L1210*I1210</f>
        <v>0</v>
      </c>
      <c r="N1210" s="35" t="n">
        <f aca="false">L1210-M1210</f>
        <v>85</v>
      </c>
      <c r="O1210" s="4" t="n">
        <f aca="false">MONTH(B1210)</f>
        <v>9</v>
      </c>
      <c r="P1210" s="4" t="str">
        <f aca="false">CHOOSE(WEEKDAY(B1210,2),"Mon","Tue","Wed","Thu","Fri","Sat","Sun")</f>
        <v>Tue</v>
      </c>
      <c r="Q1210" s="4" t="str">
        <f aca="false">IF(WEEKDAY(B1210,2)&gt;5,"Weekend","Weekday")</f>
        <v>Weekday</v>
      </c>
      <c r="R1210" s="4" t="str">
        <f aca="false">IF(C1210&lt;11,"Morning (7-10)",IF(C1210&lt;14,"Lunch (11-13)",IF(C1210&lt;18,"Afternoon (14-17)","Evening (18-20)")))</f>
        <v>Morning (7-10)</v>
      </c>
      <c r="S1210" s="4" t="str">
        <f aca="false">IF(AND(O1210&gt;=3,O1210&lt;=5),"Hot Dry (Mar-May)",IF(AND(O1210&gt;=6,O1210&lt;=11),"Rainy (Jun-Nov)","Cool Dry (Dec-Feb)"))</f>
        <v>Rainy (Jun-Nov)</v>
      </c>
      <c r="T1210" s="4" t="str">
        <f aca="false">CHOOSE(O1210,"Jan","Feb","Mar","Apr","May","Jun","Jul","Aug","Sep","Oct","Nov","Dec")</f>
        <v>Sep</v>
      </c>
    </row>
    <row r="1211" customFormat="false" ht="15" hidden="false" customHeight="false" outlineLevel="0" collapsed="false">
      <c r="A1211" s="4" t="s">
        <v>1546</v>
      </c>
      <c r="B1211" s="17" t="n">
        <v>45902</v>
      </c>
      <c r="C1211" s="4" t="n">
        <v>10</v>
      </c>
      <c r="D1211" s="4" t="s">
        <v>70</v>
      </c>
      <c r="E1211" s="4" t="s">
        <v>99</v>
      </c>
      <c r="F1211" s="4" t="s">
        <v>100</v>
      </c>
      <c r="G1211" s="4" t="n">
        <v>1</v>
      </c>
      <c r="H1211" s="34" t="n">
        <v>110</v>
      </c>
      <c r="I1211" s="18" t="n">
        <v>0.1</v>
      </c>
      <c r="J1211" s="4" t="s">
        <v>81</v>
      </c>
      <c r="K1211" s="4" t="s">
        <v>71</v>
      </c>
      <c r="L1211" s="35" t="n">
        <f aca="false">G1211*H1211</f>
        <v>110</v>
      </c>
      <c r="M1211" s="35" t="n">
        <f aca="false">L1211*I1211</f>
        <v>11</v>
      </c>
      <c r="N1211" s="35" t="n">
        <f aca="false">L1211-M1211</f>
        <v>99</v>
      </c>
      <c r="O1211" s="4" t="n">
        <f aca="false">MONTH(B1211)</f>
        <v>9</v>
      </c>
      <c r="P1211" s="4" t="str">
        <f aca="false">CHOOSE(WEEKDAY(B1211,2),"Mon","Tue","Wed","Thu","Fri","Sat","Sun")</f>
        <v>Tue</v>
      </c>
      <c r="Q1211" s="4" t="str">
        <f aca="false">IF(WEEKDAY(B1211,2)&gt;5,"Weekend","Weekday")</f>
        <v>Weekday</v>
      </c>
      <c r="R1211" s="4" t="str">
        <f aca="false">IF(C1211&lt;11,"Morning (7-10)",IF(C1211&lt;14,"Lunch (11-13)",IF(C1211&lt;18,"Afternoon (14-17)","Evening (18-20)")))</f>
        <v>Morning (7-10)</v>
      </c>
      <c r="S1211" s="4" t="str">
        <f aca="false">IF(AND(O1211&gt;=3,O1211&lt;=5),"Hot Dry (Mar-May)",IF(AND(O1211&gt;=6,O1211&lt;=11),"Rainy (Jun-Nov)","Cool Dry (Dec-Feb)"))</f>
        <v>Rainy (Jun-Nov)</v>
      </c>
      <c r="T1211" s="4" t="str">
        <f aca="false">CHOOSE(O1211,"Jan","Feb","Mar","Apr","May","Jun","Jul","Aug","Sep","Oct","Nov","Dec")</f>
        <v>Sep</v>
      </c>
    </row>
    <row r="1212" customFormat="false" ht="15" hidden="false" customHeight="false" outlineLevel="0" collapsed="false">
      <c r="A1212" s="4" t="s">
        <v>1547</v>
      </c>
      <c r="B1212" s="17" t="n">
        <v>45902</v>
      </c>
      <c r="C1212" s="4" t="n">
        <v>16</v>
      </c>
      <c r="D1212" s="4" t="s">
        <v>70</v>
      </c>
      <c r="E1212" s="4" t="s">
        <v>84</v>
      </c>
      <c r="F1212" s="4" t="s">
        <v>117</v>
      </c>
      <c r="G1212" s="4" t="n">
        <v>1</v>
      </c>
      <c r="H1212" s="34" t="n">
        <v>95</v>
      </c>
      <c r="I1212" s="18" t="n">
        <v>0.05</v>
      </c>
      <c r="J1212" s="4" t="s">
        <v>67</v>
      </c>
      <c r="K1212" s="4" t="s">
        <v>82</v>
      </c>
      <c r="L1212" s="35" t="n">
        <f aca="false">G1212*H1212</f>
        <v>95</v>
      </c>
      <c r="M1212" s="35" t="n">
        <f aca="false">L1212*I1212</f>
        <v>4.75</v>
      </c>
      <c r="N1212" s="35" t="n">
        <f aca="false">L1212-M1212</f>
        <v>90.25</v>
      </c>
      <c r="O1212" s="4" t="n">
        <f aca="false">MONTH(B1212)</f>
        <v>9</v>
      </c>
      <c r="P1212" s="4" t="str">
        <f aca="false">CHOOSE(WEEKDAY(B1212,2),"Mon","Tue","Wed","Thu","Fri","Sat","Sun")</f>
        <v>Tue</v>
      </c>
      <c r="Q1212" s="4" t="str">
        <f aca="false">IF(WEEKDAY(B1212,2)&gt;5,"Weekend","Weekday")</f>
        <v>Weekday</v>
      </c>
      <c r="R1212" s="4" t="str">
        <f aca="false">IF(C1212&lt;11,"Morning (7-10)",IF(C1212&lt;14,"Lunch (11-13)",IF(C1212&lt;18,"Afternoon (14-17)","Evening (18-20)")))</f>
        <v>Afternoon (14-17)</v>
      </c>
      <c r="S1212" s="4" t="str">
        <f aca="false">IF(AND(O1212&gt;=3,O1212&lt;=5),"Hot Dry (Mar-May)",IF(AND(O1212&gt;=6,O1212&lt;=11),"Rainy (Jun-Nov)","Cool Dry (Dec-Feb)"))</f>
        <v>Rainy (Jun-Nov)</v>
      </c>
      <c r="T1212" s="4" t="str">
        <f aca="false">CHOOSE(O1212,"Jan","Feb","Mar","Apr","May","Jun","Jul","Aug","Sep","Oct","Nov","Dec")</f>
        <v>Sep</v>
      </c>
    </row>
    <row r="1213" customFormat="false" ht="15" hidden="false" customHeight="false" outlineLevel="0" collapsed="false">
      <c r="A1213" s="4" t="s">
        <v>1548</v>
      </c>
      <c r="B1213" s="17" t="n">
        <v>45902</v>
      </c>
      <c r="C1213" s="4" t="n">
        <v>16</v>
      </c>
      <c r="D1213" s="4" t="s">
        <v>73</v>
      </c>
      <c r="E1213" s="4" t="s">
        <v>74</v>
      </c>
      <c r="F1213" s="4" t="s">
        <v>91</v>
      </c>
      <c r="G1213" s="4" t="n">
        <v>1</v>
      </c>
      <c r="H1213" s="34" t="n">
        <v>200</v>
      </c>
      <c r="I1213" s="18" t="n">
        <v>0</v>
      </c>
      <c r="J1213" s="4" t="s">
        <v>67</v>
      </c>
      <c r="K1213" s="4" t="s">
        <v>68</v>
      </c>
      <c r="L1213" s="35" t="n">
        <f aca="false">G1213*H1213</f>
        <v>200</v>
      </c>
      <c r="M1213" s="35" t="n">
        <f aca="false">L1213*I1213</f>
        <v>0</v>
      </c>
      <c r="N1213" s="35" t="n">
        <f aca="false">L1213-M1213</f>
        <v>200</v>
      </c>
      <c r="O1213" s="4" t="n">
        <f aca="false">MONTH(B1213)</f>
        <v>9</v>
      </c>
      <c r="P1213" s="4" t="str">
        <f aca="false">CHOOSE(WEEKDAY(B1213,2),"Mon","Tue","Wed","Thu","Fri","Sat","Sun")</f>
        <v>Tue</v>
      </c>
      <c r="Q1213" s="4" t="str">
        <f aca="false">IF(WEEKDAY(B1213,2)&gt;5,"Weekend","Weekday")</f>
        <v>Weekday</v>
      </c>
      <c r="R1213" s="4" t="str">
        <f aca="false">IF(C1213&lt;11,"Morning (7-10)",IF(C1213&lt;14,"Lunch (11-13)",IF(C1213&lt;18,"Afternoon (14-17)","Evening (18-20)")))</f>
        <v>Afternoon (14-17)</v>
      </c>
      <c r="S1213" s="4" t="str">
        <f aca="false">IF(AND(O1213&gt;=3,O1213&lt;=5),"Hot Dry (Mar-May)",IF(AND(O1213&gt;=6,O1213&lt;=11),"Rainy (Jun-Nov)","Cool Dry (Dec-Feb)"))</f>
        <v>Rainy (Jun-Nov)</v>
      </c>
      <c r="T1213" s="4" t="str">
        <f aca="false">CHOOSE(O1213,"Jan","Feb","Mar","Apr","May","Jun","Jul","Aug","Sep","Oct","Nov","Dec")</f>
        <v>Sep</v>
      </c>
    </row>
    <row r="1214" customFormat="false" ht="15" hidden="false" customHeight="false" outlineLevel="0" collapsed="false">
      <c r="A1214" s="4" t="s">
        <v>1549</v>
      </c>
      <c r="B1214" s="17" t="n">
        <v>45902</v>
      </c>
      <c r="C1214" s="4" t="n">
        <v>16</v>
      </c>
      <c r="D1214" s="4" t="s">
        <v>73</v>
      </c>
      <c r="E1214" s="4" t="s">
        <v>99</v>
      </c>
      <c r="F1214" s="4" t="s">
        <v>109</v>
      </c>
      <c r="G1214" s="4" t="n">
        <v>2</v>
      </c>
      <c r="H1214" s="34" t="n">
        <v>130</v>
      </c>
      <c r="I1214" s="18" t="n">
        <v>0.05</v>
      </c>
      <c r="J1214" s="4" t="s">
        <v>112</v>
      </c>
      <c r="K1214" s="4" t="s">
        <v>82</v>
      </c>
      <c r="L1214" s="35" t="n">
        <f aca="false">G1214*H1214</f>
        <v>260</v>
      </c>
      <c r="M1214" s="35" t="n">
        <f aca="false">L1214*I1214</f>
        <v>13</v>
      </c>
      <c r="N1214" s="35" t="n">
        <f aca="false">L1214-M1214</f>
        <v>247</v>
      </c>
      <c r="O1214" s="4" t="n">
        <f aca="false">MONTH(B1214)</f>
        <v>9</v>
      </c>
      <c r="P1214" s="4" t="str">
        <f aca="false">CHOOSE(WEEKDAY(B1214,2),"Mon","Tue","Wed","Thu","Fri","Sat","Sun")</f>
        <v>Tue</v>
      </c>
      <c r="Q1214" s="4" t="str">
        <f aca="false">IF(WEEKDAY(B1214,2)&gt;5,"Weekend","Weekday")</f>
        <v>Weekday</v>
      </c>
      <c r="R1214" s="4" t="str">
        <f aca="false">IF(C1214&lt;11,"Morning (7-10)",IF(C1214&lt;14,"Lunch (11-13)",IF(C1214&lt;18,"Afternoon (14-17)","Evening (18-20)")))</f>
        <v>Afternoon (14-17)</v>
      </c>
      <c r="S1214" s="4" t="str">
        <f aca="false">IF(AND(O1214&gt;=3,O1214&lt;=5),"Hot Dry (Mar-May)",IF(AND(O1214&gt;=6,O1214&lt;=11),"Rainy (Jun-Nov)","Cool Dry (Dec-Feb)"))</f>
        <v>Rainy (Jun-Nov)</v>
      </c>
      <c r="T1214" s="4" t="str">
        <f aca="false">CHOOSE(O1214,"Jan","Feb","Mar","Apr","May","Jun","Jul","Aug","Sep","Oct","Nov","Dec")</f>
        <v>Sep</v>
      </c>
    </row>
    <row r="1215" customFormat="false" ht="15" hidden="false" customHeight="false" outlineLevel="0" collapsed="false">
      <c r="A1215" s="4" t="s">
        <v>1550</v>
      </c>
      <c r="B1215" s="17" t="n">
        <v>45903</v>
      </c>
      <c r="C1215" s="4" t="n">
        <v>7</v>
      </c>
      <c r="D1215" s="4" t="s">
        <v>70</v>
      </c>
      <c r="E1215" s="4" t="s">
        <v>84</v>
      </c>
      <c r="F1215" s="4" t="s">
        <v>117</v>
      </c>
      <c r="G1215" s="4" t="n">
        <v>3</v>
      </c>
      <c r="H1215" s="34" t="n">
        <v>95</v>
      </c>
      <c r="I1215" s="18" t="n">
        <v>0</v>
      </c>
      <c r="J1215" s="4" t="s">
        <v>112</v>
      </c>
      <c r="K1215" s="4" t="s">
        <v>77</v>
      </c>
      <c r="L1215" s="35" t="n">
        <f aca="false">G1215*H1215</f>
        <v>285</v>
      </c>
      <c r="M1215" s="35" t="n">
        <f aca="false">L1215*I1215</f>
        <v>0</v>
      </c>
      <c r="N1215" s="35" t="n">
        <f aca="false">L1215-M1215</f>
        <v>285</v>
      </c>
      <c r="O1215" s="4" t="n">
        <f aca="false">MONTH(B1215)</f>
        <v>9</v>
      </c>
      <c r="P1215" s="4" t="str">
        <f aca="false">CHOOSE(WEEKDAY(B1215,2),"Mon","Tue","Wed","Thu","Fri","Sat","Sun")</f>
        <v>Wed</v>
      </c>
      <c r="Q1215" s="4" t="str">
        <f aca="false">IF(WEEKDAY(B1215,2)&gt;5,"Weekend","Weekday")</f>
        <v>Weekday</v>
      </c>
      <c r="R1215" s="4" t="str">
        <f aca="false">IF(C1215&lt;11,"Morning (7-10)",IF(C1215&lt;14,"Lunch (11-13)",IF(C1215&lt;18,"Afternoon (14-17)","Evening (18-20)")))</f>
        <v>Morning (7-10)</v>
      </c>
      <c r="S1215" s="4" t="str">
        <f aca="false">IF(AND(O1215&gt;=3,O1215&lt;=5),"Hot Dry (Mar-May)",IF(AND(O1215&gt;=6,O1215&lt;=11),"Rainy (Jun-Nov)","Cool Dry (Dec-Feb)"))</f>
        <v>Rainy (Jun-Nov)</v>
      </c>
      <c r="T1215" s="4" t="str">
        <f aca="false">CHOOSE(O1215,"Jan","Feb","Mar","Apr","May","Jun","Jul","Aug","Sep","Oct","Nov","Dec")</f>
        <v>Sep</v>
      </c>
    </row>
    <row r="1216" customFormat="false" ht="15" hidden="false" customHeight="false" outlineLevel="0" collapsed="false">
      <c r="A1216" s="4" t="s">
        <v>1551</v>
      </c>
      <c r="B1216" s="17" t="n">
        <v>45903</v>
      </c>
      <c r="C1216" s="4" t="n">
        <v>7</v>
      </c>
      <c r="D1216" s="4" t="s">
        <v>73</v>
      </c>
      <c r="E1216" s="4" t="s">
        <v>79</v>
      </c>
      <c r="F1216" s="4" t="s">
        <v>148</v>
      </c>
      <c r="G1216" s="4" t="n">
        <v>1</v>
      </c>
      <c r="H1216" s="34" t="n">
        <v>120</v>
      </c>
      <c r="I1216" s="18" t="n">
        <v>0</v>
      </c>
      <c r="J1216" s="4" t="s">
        <v>81</v>
      </c>
      <c r="K1216" s="4" t="s">
        <v>77</v>
      </c>
      <c r="L1216" s="35" t="n">
        <f aca="false">G1216*H1216</f>
        <v>120</v>
      </c>
      <c r="M1216" s="35" t="n">
        <f aca="false">L1216*I1216</f>
        <v>0</v>
      </c>
      <c r="N1216" s="35" t="n">
        <f aca="false">L1216-M1216</f>
        <v>120</v>
      </c>
      <c r="O1216" s="4" t="n">
        <f aca="false">MONTH(B1216)</f>
        <v>9</v>
      </c>
      <c r="P1216" s="4" t="str">
        <f aca="false">CHOOSE(WEEKDAY(B1216,2),"Mon","Tue","Wed","Thu","Fri","Sat","Sun")</f>
        <v>Wed</v>
      </c>
      <c r="Q1216" s="4" t="str">
        <f aca="false">IF(WEEKDAY(B1216,2)&gt;5,"Weekend","Weekday")</f>
        <v>Weekday</v>
      </c>
      <c r="R1216" s="4" t="str">
        <f aca="false">IF(C1216&lt;11,"Morning (7-10)",IF(C1216&lt;14,"Lunch (11-13)",IF(C1216&lt;18,"Afternoon (14-17)","Evening (18-20)")))</f>
        <v>Morning (7-10)</v>
      </c>
      <c r="S1216" s="4" t="str">
        <f aca="false">IF(AND(O1216&gt;=3,O1216&lt;=5),"Hot Dry (Mar-May)",IF(AND(O1216&gt;=6,O1216&lt;=11),"Rainy (Jun-Nov)","Cool Dry (Dec-Feb)"))</f>
        <v>Rainy (Jun-Nov)</v>
      </c>
      <c r="T1216" s="4" t="str">
        <f aca="false">CHOOSE(O1216,"Jan","Feb","Mar","Apr","May","Jun","Jul","Aug","Sep","Oct","Nov","Dec")</f>
        <v>Sep</v>
      </c>
    </row>
    <row r="1217" customFormat="false" ht="15" hidden="false" customHeight="false" outlineLevel="0" collapsed="false">
      <c r="A1217" s="4" t="s">
        <v>1552</v>
      </c>
      <c r="B1217" s="17" t="n">
        <v>45903</v>
      </c>
      <c r="C1217" s="4" t="n">
        <v>8</v>
      </c>
      <c r="D1217" s="4" t="s">
        <v>70</v>
      </c>
      <c r="E1217" s="4" t="s">
        <v>79</v>
      </c>
      <c r="F1217" s="4" t="s">
        <v>80</v>
      </c>
      <c r="G1217" s="4" t="n">
        <v>2</v>
      </c>
      <c r="H1217" s="34" t="n">
        <v>160</v>
      </c>
      <c r="I1217" s="18" t="n">
        <v>0</v>
      </c>
      <c r="J1217" s="4" t="s">
        <v>76</v>
      </c>
      <c r="K1217" s="4" t="s">
        <v>68</v>
      </c>
      <c r="L1217" s="35" t="n">
        <f aca="false">G1217*H1217</f>
        <v>320</v>
      </c>
      <c r="M1217" s="35" t="n">
        <f aca="false">L1217*I1217</f>
        <v>0</v>
      </c>
      <c r="N1217" s="35" t="n">
        <f aca="false">L1217-M1217</f>
        <v>320</v>
      </c>
      <c r="O1217" s="4" t="n">
        <f aca="false">MONTH(B1217)</f>
        <v>9</v>
      </c>
      <c r="P1217" s="4" t="str">
        <f aca="false">CHOOSE(WEEKDAY(B1217,2),"Mon","Tue","Wed","Thu","Fri","Sat","Sun")</f>
        <v>Wed</v>
      </c>
      <c r="Q1217" s="4" t="str">
        <f aca="false">IF(WEEKDAY(B1217,2)&gt;5,"Weekend","Weekday")</f>
        <v>Weekday</v>
      </c>
      <c r="R1217" s="4" t="str">
        <f aca="false">IF(C1217&lt;11,"Morning (7-10)",IF(C1217&lt;14,"Lunch (11-13)",IF(C1217&lt;18,"Afternoon (14-17)","Evening (18-20)")))</f>
        <v>Morning (7-10)</v>
      </c>
      <c r="S1217" s="4" t="str">
        <f aca="false">IF(AND(O1217&gt;=3,O1217&lt;=5),"Hot Dry (Mar-May)",IF(AND(O1217&gt;=6,O1217&lt;=11),"Rainy (Jun-Nov)","Cool Dry (Dec-Feb)"))</f>
        <v>Rainy (Jun-Nov)</v>
      </c>
      <c r="T1217" s="4" t="str">
        <f aca="false">CHOOSE(O1217,"Jan","Feb","Mar","Apr","May","Jun","Jul","Aug","Sep","Oct","Nov","Dec")</f>
        <v>Sep</v>
      </c>
    </row>
    <row r="1218" customFormat="false" ht="15" hidden="false" customHeight="false" outlineLevel="0" collapsed="false">
      <c r="A1218" s="4" t="s">
        <v>1553</v>
      </c>
      <c r="B1218" s="17" t="n">
        <v>45903</v>
      </c>
      <c r="C1218" s="4" t="n">
        <v>12</v>
      </c>
      <c r="D1218" s="4" t="s">
        <v>70</v>
      </c>
      <c r="E1218" s="4" t="s">
        <v>99</v>
      </c>
      <c r="F1218" s="4" t="s">
        <v>109</v>
      </c>
      <c r="G1218" s="4" t="n">
        <v>1</v>
      </c>
      <c r="H1218" s="34" t="n">
        <v>130</v>
      </c>
      <c r="I1218" s="18" t="n">
        <v>0.1</v>
      </c>
      <c r="J1218" s="4" t="s">
        <v>2289</v>
      </c>
      <c r="K1218" s="4" t="s">
        <v>71</v>
      </c>
      <c r="L1218" s="35" t="n">
        <f aca="false">G1218*H1218</f>
        <v>130</v>
      </c>
      <c r="M1218" s="35" t="n">
        <f aca="false">L1218*I1218</f>
        <v>13</v>
      </c>
      <c r="N1218" s="35" t="n">
        <f aca="false">L1218-M1218</f>
        <v>117</v>
      </c>
      <c r="O1218" s="4" t="n">
        <f aca="false">MONTH(B1218)</f>
        <v>9</v>
      </c>
      <c r="P1218" s="4" t="str">
        <f aca="false">CHOOSE(WEEKDAY(B1218,2),"Mon","Tue","Wed","Thu","Fri","Sat","Sun")</f>
        <v>Wed</v>
      </c>
      <c r="Q1218" s="4" t="str">
        <f aca="false">IF(WEEKDAY(B1218,2)&gt;5,"Weekend","Weekday")</f>
        <v>Weekday</v>
      </c>
      <c r="R1218" s="4" t="str">
        <f aca="false">IF(C1218&lt;11,"Morning (7-10)",IF(C1218&lt;14,"Lunch (11-13)",IF(C1218&lt;18,"Afternoon (14-17)","Evening (18-20)")))</f>
        <v>Lunch (11-13)</v>
      </c>
      <c r="S1218" s="4" t="str">
        <f aca="false">IF(AND(O1218&gt;=3,O1218&lt;=5),"Hot Dry (Mar-May)",IF(AND(O1218&gt;=6,O1218&lt;=11),"Rainy (Jun-Nov)","Cool Dry (Dec-Feb)"))</f>
        <v>Rainy (Jun-Nov)</v>
      </c>
      <c r="T1218" s="4" t="str">
        <f aca="false">CHOOSE(O1218,"Jan","Feb","Mar","Apr","May","Jun","Jul","Aug","Sep","Oct","Nov","Dec")</f>
        <v>Sep</v>
      </c>
    </row>
    <row r="1219" customFormat="false" ht="15" hidden="false" customHeight="false" outlineLevel="0" collapsed="false">
      <c r="A1219" s="4" t="s">
        <v>1555</v>
      </c>
      <c r="B1219" s="17" t="n">
        <v>45903</v>
      </c>
      <c r="C1219" s="4" t="n">
        <v>16</v>
      </c>
      <c r="D1219" s="4" t="s">
        <v>70</v>
      </c>
      <c r="E1219" s="4" t="s">
        <v>99</v>
      </c>
      <c r="F1219" s="4" t="s">
        <v>109</v>
      </c>
      <c r="G1219" s="4" t="n">
        <v>1</v>
      </c>
      <c r="H1219" s="34" t="n">
        <v>130</v>
      </c>
      <c r="I1219" s="18" t="n">
        <v>0.1</v>
      </c>
      <c r="J1219" s="4" t="s">
        <v>67</v>
      </c>
      <c r="K1219" s="4" t="s">
        <v>71</v>
      </c>
      <c r="L1219" s="35" t="n">
        <f aca="false">G1219*H1219</f>
        <v>130</v>
      </c>
      <c r="M1219" s="35" t="n">
        <f aca="false">L1219*I1219</f>
        <v>13</v>
      </c>
      <c r="N1219" s="35" t="n">
        <f aca="false">L1219-M1219</f>
        <v>117</v>
      </c>
      <c r="O1219" s="4" t="n">
        <f aca="false">MONTH(B1219)</f>
        <v>9</v>
      </c>
      <c r="P1219" s="4" t="str">
        <f aca="false">CHOOSE(WEEKDAY(B1219,2),"Mon","Tue","Wed","Thu","Fri","Sat","Sun")</f>
        <v>Wed</v>
      </c>
      <c r="Q1219" s="4" t="str">
        <f aca="false">IF(WEEKDAY(B1219,2)&gt;5,"Weekend","Weekday")</f>
        <v>Weekday</v>
      </c>
      <c r="R1219" s="4" t="str">
        <f aca="false">IF(C1219&lt;11,"Morning (7-10)",IF(C1219&lt;14,"Lunch (11-13)",IF(C1219&lt;18,"Afternoon (14-17)","Evening (18-20)")))</f>
        <v>Afternoon (14-17)</v>
      </c>
      <c r="S1219" s="4" t="str">
        <f aca="false">IF(AND(O1219&gt;=3,O1219&lt;=5),"Hot Dry (Mar-May)",IF(AND(O1219&gt;=6,O1219&lt;=11),"Rainy (Jun-Nov)","Cool Dry (Dec-Feb)"))</f>
        <v>Rainy (Jun-Nov)</v>
      </c>
      <c r="T1219" s="4" t="str">
        <f aca="false">CHOOSE(O1219,"Jan","Feb","Mar","Apr","May","Jun","Jul","Aug","Sep","Oct","Nov","Dec")</f>
        <v>Sep</v>
      </c>
    </row>
    <row r="1220" customFormat="false" ht="15" hidden="false" customHeight="false" outlineLevel="0" collapsed="false">
      <c r="A1220" s="4" t="s">
        <v>1556</v>
      </c>
      <c r="B1220" s="17" t="n">
        <v>45903</v>
      </c>
      <c r="C1220" s="4" t="n">
        <v>16</v>
      </c>
      <c r="D1220" s="4" t="s">
        <v>64</v>
      </c>
      <c r="E1220" s="4" t="s">
        <v>65</v>
      </c>
      <c r="F1220" s="4" t="s">
        <v>121</v>
      </c>
      <c r="G1220" s="4" t="n">
        <v>1</v>
      </c>
      <c r="H1220" s="34" t="n">
        <v>170</v>
      </c>
      <c r="I1220" s="18" t="n">
        <v>0</v>
      </c>
      <c r="J1220" s="4" t="s">
        <v>81</v>
      </c>
      <c r="K1220" s="4" t="s">
        <v>77</v>
      </c>
      <c r="L1220" s="35" t="n">
        <f aca="false">G1220*H1220</f>
        <v>170</v>
      </c>
      <c r="M1220" s="35" t="n">
        <f aca="false">L1220*I1220</f>
        <v>0</v>
      </c>
      <c r="N1220" s="35" t="n">
        <f aca="false">L1220-M1220</f>
        <v>170</v>
      </c>
      <c r="O1220" s="4" t="n">
        <f aca="false">MONTH(B1220)</f>
        <v>9</v>
      </c>
      <c r="P1220" s="4" t="str">
        <f aca="false">CHOOSE(WEEKDAY(B1220,2),"Mon","Tue","Wed","Thu","Fri","Sat","Sun")</f>
        <v>Wed</v>
      </c>
      <c r="Q1220" s="4" t="str">
        <f aca="false">IF(WEEKDAY(B1220,2)&gt;5,"Weekend","Weekday")</f>
        <v>Weekday</v>
      </c>
      <c r="R1220" s="4" t="str">
        <f aca="false">IF(C1220&lt;11,"Morning (7-10)",IF(C1220&lt;14,"Lunch (11-13)",IF(C1220&lt;18,"Afternoon (14-17)","Evening (18-20)")))</f>
        <v>Afternoon (14-17)</v>
      </c>
      <c r="S1220" s="4" t="str">
        <f aca="false">IF(AND(O1220&gt;=3,O1220&lt;=5),"Hot Dry (Mar-May)",IF(AND(O1220&gt;=6,O1220&lt;=11),"Rainy (Jun-Nov)","Cool Dry (Dec-Feb)"))</f>
        <v>Rainy (Jun-Nov)</v>
      </c>
      <c r="T1220" s="4" t="str">
        <f aca="false">CHOOSE(O1220,"Jan","Feb","Mar","Apr","May","Jun","Jul","Aug","Sep","Oct","Nov","Dec")</f>
        <v>Sep</v>
      </c>
    </row>
    <row r="1221" customFormat="false" ht="15" hidden="false" customHeight="false" outlineLevel="0" collapsed="false">
      <c r="A1221" s="4" t="s">
        <v>1557</v>
      </c>
      <c r="B1221" s="17" t="n">
        <v>45904</v>
      </c>
      <c r="C1221" s="4" t="n">
        <v>7</v>
      </c>
      <c r="D1221" s="4" t="s">
        <v>73</v>
      </c>
      <c r="E1221" s="4" t="s">
        <v>99</v>
      </c>
      <c r="F1221" s="4" t="s">
        <v>102</v>
      </c>
      <c r="G1221" s="4" t="n">
        <v>1</v>
      </c>
      <c r="H1221" s="34" t="n">
        <v>140</v>
      </c>
      <c r="I1221" s="18" t="n">
        <v>0</v>
      </c>
      <c r="J1221" s="4" t="s">
        <v>76</v>
      </c>
      <c r="K1221" s="4" t="s">
        <v>68</v>
      </c>
      <c r="L1221" s="35" t="n">
        <f aca="false">G1221*H1221</f>
        <v>140</v>
      </c>
      <c r="M1221" s="35" t="n">
        <f aca="false">L1221*I1221</f>
        <v>0</v>
      </c>
      <c r="N1221" s="35" t="n">
        <f aca="false">L1221-M1221</f>
        <v>140</v>
      </c>
      <c r="O1221" s="4" t="n">
        <f aca="false">MONTH(B1221)</f>
        <v>9</v>
      </c>
      <c r="P1221" s="4" t="str">
        <f aca="false">CHOOSE(WEEKDAY(B1221,2),"Mon","Tue","Wed","Thu","Fri","Sat","Sun")</f>
        <v>Thu</v>
      </c>
      <c r="Q1221" s="4" t="str">
        <f aca="false">IF(WEEKDAY(B1221,2)&gt;5,"Weekend","Weekday")</f>
        <v>Weekday</v>
      </c>
      <c r="R1221" s="4" t="str">
        <f aca="false">IF(C1221&lt;11,"Morning (7-10)",IF(C1221&lt;14,"Lunch (11-13)",IF(C1221&lt;18,"Afternoon (14-17)","Evening (18-20)")))</f>
        <v>Morning (7-10)</v>
      </c>
      <c r="S1221" s="4" t="str">
        <f aca="false">IF(AND(O1221&gt;=3,O1221&lt;=5),"Hot Dry (Mar-May)",IF(AND(O1221&gt;=6,O1221&lt;=11),"Rainy (Jun-Nov)","Cool Dry (Dec-Feb)"))</f>
        <v>Rainy (Jun-Nov)</v>
      </c>
      <c r="T1221" s="4" t="str">
        <f aca="false">CHOOSE(O1221,"Jan","Feb","Mar","Apr","May","Jun","Jul","Aug","Sep","Oct","Nov","Dec")</f>
        <v>Sep</v>
      </c>
    </row>
    <row r="1222" customFormat="false" ht="15" hidden="false" customHeight="false" outlineLevel="0" collapsed="false">
      <c r="A1222" s="4" t="s">
        <v>1558</v>
      </c>
      <c r="B1222" s="17" t="n">
        <v>45904</v>
      </c>
      <c r="C1222" s="4" t="n">
        <v>15</v>
      </c>
      <c r="D1222" s="4" t="s">
        <v>98</v>
      </c>
      <c r="E1222" s="4" t="s">
        <v>84</v>
      </c>
      <c r="F1222" s="4" t="s">
        <v>114</v>
      </c>
      <c r="G1222" s="4" t="n">
        <v>1</v>
      </c>
      <c r="H1222" s="34" t="n">
        <v>85</v>
      </c>
      <c r="I1222" s="18" t="n">
        <v>0.05</v>
      </c>
      <c r="J1222" s="4" t="s">
        <v>76</v>
      </c>
      <c r="K1222" s="4" t="s">
        <v>82</v>
      </c>
      <c r="L1222" s="35" t="n">
        <f aca="false">G1222*H1222</f>
        <v>85</v>
      </c>
      <c r="M1222" s="35" t="n">
        <f aca="false">L1222*I1222</f>
        <v>4.25</v>
      </c>
      <c r="N1222" s="35" t="n">
        <f aca="false">L1222-M1222</f>
        <v>80.75</v>
      </c>
      <c r="O1222" s="4" t="n">
        <f aca="false">MONTH(B1222)</f>
        <v>9</v>
      </c>
      <c r="P1222" s="4" t="str">
        <f aca="false">CHOOSE(WEEKDAY(B1222,2),"Mon","Tue","Wed","Thu","Fri","Sat","Sun")</f>
        <v>Thu</v>
      </c>
      <c r="Q1222" s="4" t="str">
        <f aca="false">IF(WEEKDAY(B1222,2)&gt;5,"Weekend","Weekday")</f>
        <v>Weekday</v>
      </c>
      <c r="R1222" s="4" t="str">
        <f aca="false">IF(C1222&lt;11,"Morning (7-10)",IF(C1222&lt;14,"Lunch (11-13)",IF(C1222&lt;18,"Afternoon (14-17)","Evening (18-20)")))</f>
        <v>Afternoon (14-17)</v>
      </c>
      <c r="S1222" s="4" t="str">
        <f aca="false">IF(AND(O1222&gt;=3,O1222&lt;=5),"Hot Dry (Mar-May)",IF(AND(O1222&gt;=6,O1222&lt;=11),"Rainy (Jun-Nov)","Cool Dry (Dec-Feb)"))</f>
        <v>Rainy (Jun-Nov)</v>
      </c>
      <c r="T1222" s="4" t="str">
        <f aca="false">CHOOSE(O1222,"Jan","Feb","Mar","Apr","May","Jun","Jul","Aug","Sep","Oct","Nov","Dec")</f>
        <v>Sep</v>
      </c>
    </row>
    <row r="1223" customFormat="false" ht="15" hidden="false" customHeight="false" outlineLevel="0" collapsed="false">
      <c r="A1223" s="4" t="s">
        <v>1559</v>
      </c>
      <c r="B1223" s="17" t="n">
        <v>45904</v>
      </c>
      <c r="C1223" s="4" t="n">
        <v>15</v>
      </c>
      <c r="D1223" s="4" t="s">
        <v>64</v>
      </c>
      <c r="E1223" s="4" t="s">
        <v>84</v>
      </c>
      <c r="F1223" s="4" t="s">
        <v>114</v>
      </c>
      <c r="G1223" s="4" t="n">
        <v>1</v>
      </c>
      <c r="H1223" s="34" t="n">
        <v>85</v>
      </c>
      <c r="I1223" s="18" t="n">
        <v>0</v>
      </c>
      <c r="J1223" s="4" t="s">
        <v>81</v>
      </c>
      <c r="K1223" s="4" t="s">
        <v>68</v>
      </c>
      <c r="L1223" s="35" t="n">
        <f aca="false">G1223*H1223</f>
        <v>85</v>
      </c>
      <c r="M1223" s="35" t="n">
        <f aca="false">L1223*I1223</f>
        <v>0</v>
      </c>
      <c r="N1223" s="35" t="n">
        <f aca="false">L1223-M1223</f>
        <v>85</v>
      </c>
      <c r="O1223" s="4" t="n">
        <f aca="false">MONTH(B1223)</f>
        <v>9</v>
      </c>
      <c r="P1223" s="4" t="str">
        <f aca="false">CHOOSE(WEEKDAY(B1223,2),"Mon","Tue","Wed","Thu","Fri","Sat","Sun")</f>
        <v>Thu</v>
      </c>
      <c r="Q1223" s="4" t="str">
        <f aca="false">IF(WEEKDAY(B1223,2)&gt;5,"Weekend","Weekday")</f>
        <v>Weekday</v>
      </c>
      <c r="R1223" s="4" t="str">
        <f aca="false">IF(C1223&lt;11,"Morning (7-10)",IF(C1223&lt;14,"Lunch (11-13)",IF(C1223&lt;18,"Afternoon (14-17)","Evening (18-20)")))</f>
        <v>Afternoon (14-17)</v>
      </c>
      <c r="S1223" s="4" t="str">
        <f aca="false">IF(AND(O1223&gt;=3,O1223&lt;=5),"Hot Dry (Mar-May)",IF(AND(O1223&gt;=6,O1223&lt;=11),"Rainy (Jun-Nov)","Cool Dry (Dec-Feb)"))</f>
        <v>Rainy (Jun-Nov)</v>
      </c>
      <c r="T1223" s="4" t="str">
        <f aca="false">CHOOSE(O1223,"Jan","Feb","Mar","Apr","May","Jun","Jul","Aug","Sep","Oct","Nov","Dec")</f>
        <v>Sep</v>
      </c>
    </row>
    <row r="1224" customFormat="false" ht="15" hidden="false" customHeight="false" outlineLevel="0" collapsed="false">
      <c r="A1224" s="4" t="s">
        <v>1560</v>
      </c>
      <c r="B1224" s="17" t="n">
        <v>45904</v>
      </c>
      <c r="C1224" s="4" t="n">
        <v>15</v>
      </c>
      <c r="D1224" s="4" t="s">
        <v>70</v>
      </c>
      <c r="E1224" s="4" t="s">
        <v>65</v>
      </c>
      <c r="F1224" s="4" t="s">
        <v>87</v>
      </c>
      <c r="G1224" s="4" t="n">
        <v>1</v>
      </c>
      <c r="H1224" s="34" t="n">
        <v>160</v>
      </c>
      <c r="I1224" s="18" t="n">
        <v>0.1</v>
      </c>
      <c r="J1224" s="4" t="s">
        <v>76</v>
      </c>
      <c r="K1224" s="4" t="s">
        <v>71</v>
      </c>
      <c r="L1224" s="35" t="n">
        <f aca="false">G1224*H1224</f>
        <v>160</v>
      </c>
      <c r="M1224" s="35" t="n">
        <f aca="false">L1224*I1224</f>
        <v>16</v>
      </c>
      <c r="N1224" s="35" t="n">
        <f aca="false">L1224-M1224</f>
        <v>144</v>
      </c>
      <c r="O1224" s="4" t="n">
        <f aca="false">MONTH(B1224)</f>
        <v>9</v>
      </c>
      <c r="P1224" s="4" t="str">
        <f aca="false">CHOOSE(WEEKDAY(B1224,2),"Mon","Tue","Wed","Thu","Fri","Sat","Sun")</f>
        <v>Thu</v>
      </c>
      <c r="Q1224" s="4" t="str">
        <f aca="false">IF(WEEKDAY(B1224,2)&gt;5,"Weekend","Weekday")</f>
        <v>Weekday</v>
      </c>
      <c r="R1224" s="4" t="str">
        <f aca="false">IF(C1224&lt;11,"Morning (7-10)",IF(C1224&lt;14,"Lunch (11-13)",IF(C1224&lt;18,"Afternoon (14-17)","Evening (18-20)")))</f>
        <v>Afternoon (14-17)</v>
      </c>
      <c r="S1224" s="4" t="str">
        <f aca="false">IF(AND(O1224&gt;=3,O1224&lt;=5),"Hot Dry (Mar-May)",IF(AND(O1224&gt;=6,O1224&lt;=11),"Rainy (Jun-Nov)","Cool Dry (Dec-Feb)"))</f>
        <v>Rainy (Jun-Nov)</v>
      </c>
      <c r="T1224" s="4" t="str">
        <f aca="false">CHOOSE(O1224,"Jan","Feb","Mar","Apr","May","Jun","Jul","Aug","Sep","Oct","Nov","Dec")</f>
        <v>Sep</v>
      </c>
    </row>
    <row r="1225" customFormat="false" ht="15" hidden="false" customHeight="false" outlineLevel="0" collapsed="false">
      <c r="A1225" s="4" t="s">
        <v>1562</v>
      </c>
      <c r="B1225" s="17" t="n">
        <v>45904</v>
      </c>
      <c r="C1225" s="4" t="n">
        <v>17</v>
      </c>
      <c r="D1225" s="4" t="s">
        <v>73</v>
      </c>
      <c r="E1225" s="4" t="s">
        <v>99</v>
      </c>
      <c r="F1225" s="4" t="s">
        <v>100</v>
      </c>
      <c r="G1225" s="4" t="n">
        <v>2</v>
      </c>
      <c r="H1225" s="34" t="n">
        <v>110</v>
      </c>
      <c r="I1225" s="18" t="n">
        <v>0.05</v>
      </c>
      <c r="J1225" s="4" t="s">
        <v>81</v>
      </c>
      <c r="K1225" s="4" t="s">
        <v>82</v>
      </c>
      <c r="L1225" s="35" t="n">
        <f aca="false">G1225*H1225</f>
        <v>220</v>
      </c>
      <c r="M1225" s="35" t="n">
        <f aca="false">L1225*I1225</f>
        <v>11</v>
      </c>
      <c r="N1225" s="35" t="n">
        <f aca="false">L1225-M1225</f>
        <v>209</v>
      </c>
      <c r="O1225" s="4" t="n">
        <f aca="false">MONTH(B1225)</f>
        <v>9</v>
      </c>
      <c r="P1225" s="4" t="str">
        <f aca="false">CHOOSE(WEEKDAY(B1225,2),"Mon","Tue","Wed","Thu","Fri","Sat","Sun")</f>
        <v>Thu</v>
      </c>
      <c r="Q1225" s="4" t="str">
        <f aca="false">IF(WEEKDAY(B1225,2)&gt;5,"Weekend","Weekday")</f>
        <v>Weekday</v>
      </c>
      <c r="R1225" s="4" t="str">
        <f aca="false">IF(C1225&lt;11,"Morning (7-10)",IF(C1225&lt;14,"Lunch (11-13)",IF(C1225&lt;18,"Afternoon (14-17)","Evening (18-20)")))</f>
        <v>Afternoon (14-17)</v>
      </c>
      <c r="S1225" s="4" t="str">
        <f aca="false">IF(AND(O1225&gt;=3,O1225&lt;=5),"Hot Dry (Mar-May)",IF(AND(O1225&gt;=6,O1225&lt;=11),"Rainy (Jun-Nov)","Cool Dry (Dec-Feb)"))</f>
        <v>Rainy (Jun-Nov)</v>
      </c>
      <c r="T1225" s="4" t="str">
        <f aca="false">CHOOSE(O1225,"Jan","Feb","Mar","Apr","May","Jun","Jul","Aug","Sep","Oct","Nov","Dec")</f>
        <v>Sep</v>
      </c>
    </row>
    <row r="1226" customFormat="false" ht="15" hidden="false" customHeight="false" outlineLevel="0" collapsed="false">
      <c r="A1226" s="4" t="s">
        <v>1563</v>
      </c>
      <c r="B1226" s="17" t="n">
        <v>45904</v>
      </c>
      <c r="C1226" s="4" t="n">
        <v>18</v>
      </c>
      <c r="D1226" s="4" t="s">
        <v>70</v>
      </c>
      <c r="E1226" s="4" t="s">
        <v>74</v>
      </c>
      <c r="F1226" s="4" t="s">
        <v>139</v>
      </c>
      <c r="G1226" s="4" t="n">
        <v>1</v>
      </c>
      <c r="H1226" s="34" t="n">
        <v>260</v>
      </c>
      <c r="I1226" s="18" t="n">
        <v>0</v>
      </c>
      <c r="J1226" s="4" t="s">
        <v>81</v>
      </c>
      <c r="K1226" s="4" t="s">
        <v>68</v>
      </c>
      <c r="L1226" s="35" t="n">
        <f aca="false">G1226*H1226</f>
        <v>260</v>
      </c>
      <c r="M1226" s="35" t="n">
        <f aca="false">L1226*I1226</f>
        <v>0</v>
      </c>
      <c r="N1226" s="35" t="n">
        <f aca="false">L1226-M1226</f>
        <v>260</v>
      </c>
      <c r="O1226" s="4" t="n">
        <f aca="false">MONTH(B1226)</f>
        <v>9</v>
      </c>
      <c r="P1226" s="4" t="str">
        <f aca="false">CHOOSE(WEEKDAY(B1226,2),"Mon","Tue","Wed","Thu","Fri","Sat","Sun")</f>
        <v>Thu</v>
      </c>
      <c r="Q1226" s="4" t="str">
        <f aca="false">IF(WEEKDAY(B1226,2)&gt;5,"Weekend","Weekday")</f>
        <v>Weekday</v>
      </c>
      <c r="R1226" s="4" t="str">
        <f aca="false">IF(C1226&lt;11,"Morning (7-10)",IF(C1226&lt;14,"Lunch (11-13)",IF(C1226&lt;18,"Afternoon (14-17)","Evening (18-20)")))</f>
        <v>Evening (18-20)</v>
      </c>
      <c r="S1226" s="4" t="str">
        <f aca="false">IF(AND(O1226&gt;=3,O1226&lt;=5),"Hot Dry (Mar-May)",IF(AND(O1226&gt;=6,O1226&lt;=11),"Rainy (Jun-Nov)","Cool Dry (Dec-Feb)"))</f>
        <v>Rainy (Jun-Nov)</v>
      </c>
      <c r="T1226" s="4" t="str">
        <f aca="false">CHOOSE(O1226,"Jan","Feb","Mar","Apr","May","Jun","Jul","Aug","Sep","Oct","Nov","Dec")</f>
        <v>Sep</v>
      </c>
    </row>
    <row r="1227" customFormat="false" ht="15" hidden="false" customHeight="false" outlineLevel="0" collapsed="false">
      <c r="A1227" s="4" t="s">
        <v>1564</v>
      </c>
      <c r="B1227" s="17" t="n">
        <v>45904</v>
      </c>
      <c r="C1227" s="4" t="n">
        <v>19</v>
      </c>
      <c r="D1227" s="4" t="s">
        <v>64</v>
      </c>
      <c r="E1227" s="4" t="s">
        <v>84</v>
      </c>
      <c r="F1227" s="4" t="s">
        <v>85</v>
      </c>
      <c r="G1227" s="4" t="n">
        <v>1</v>
      </c>
      <c r="H1227" s="34" t="n">
        <v>150</v>
      </c>
      <c r="I1227" s="18" t="n">
        <v>0</v>
      </c>
      <c r="J1227" s="4" t="s">
        <v>67</v>
      </c>
      <c r="K1227" s="4" t="s">
        <v>68</v>
      </c>
      <c r="L1227" s="35" t="n">
        <f aca="false">G1227*H1227</f>
        <v>150</v>
      </c>
      <c r="M1227" s="35" t="n">
        <f aca="false">L1227*I1227</f>
        <v>0</v>
      </c>
      <c r="N1227" s="35" t="n">
        <f aca="false">L1227-M1227</f>
        <v>150</v>
      </c>
      <c r="O1227" s="4" t="n">
        <f aca="false">MONTH(B1227)</f>
        <v>9</v>
      </c>
      <c r="P1227" s="4" t="str">
        <f aca="false">CHOOSE(WEEKDAY(B1227,2),"Mon","Tue","Wed","Thu","Fri","Sat","Sun")</f>
        <v>Thu</v>
      </c>
      <c r="Q1227" s="4" t="str">
        <f aca="false">IF(WEEKDAY(B1227,2)&gt;5,"Weekend","Weekday")</f>
        <v>Weekday</v>
      </c>
      <c r="R1227" s="4" t="str">
        <f aca="false">IF(C1227&lt;11,"Morning (7-10)",IF(C1227&lt;14,"Lunch (11-13)",IF(C1227&lt;18,"Afternoon (14-17)","Evening (18-20)")))</f>
        <v>Evening (18-20)</v>
      </c>
      <c r="S1227" s="4" t="str">
        <f aca="false">IF(AND(O1227&gt;=3,O1227&lt;=5),"Hot Dry (Mar-May)",IF(AND(O1227&gt;=6,O1227&lt;=11),"Rainy (Jun-Nov)","Cool Dry (Dec-Feb)"))</f>
        <v>Rainy (Jun-Nov)</v>
      </c>
      <c r="T1227" s="4" t="str">
        <f aca="false">CHOOSE(O1227,"Jan","Feb","Mar","Apr","May","Jun","Jul","Aug","Sep","Oct","Nov","Dec")</f>
        <v>Sep</v>
      </c>
    </row>
    <row r="1228" customFormat="false" ht="15" hidden="false" customHeight="false" outlineLevel="0" collapsed="false">
      <c r="A1228" s="4" t="s">
        <v>1565</v>
      </c>
      <c r="B1228" s="17" t="n">
        <v>45905</v>
      </c>
      <c r="C1228" s="4" t="n">
        <v>16</v>
      </c>
      <c r="D1228" s="4" t="s">
        <v>64</v>
      </c>
      <c r="E1228" s="4" t="s">
        <v>65</v>
      </c>
      <c r="F1228" s="4" t="s">
        <v>94</v>
      </c>
      <c r="G1228" s="4" t="n">
        <v>1</v>
      </c>
      <c r="H1228" s="34" t="n">
        <v>150</v>
      </c>
      <c r="I1228" s="18" t="n">
        <v>0</v>
      </c>
      <c r="J1228" s="4" t="s">
        <v>67</v>
      </c>
      <c r="K1228" s="4" t="s">
        <v>68</v>
      </c>
      <c r="L1228" s="35" t="n">
        <f aca="false">G1228*H1228</f>
        <v>150</v>
      </c>
      <c r="M1228" s="35" t="n">
        <f aca="false">L1228*I1228</f>
        <v>0</v>
      </c>
      <c r="N1228" s="35" t="n">
        <f aca="false">L1228-M1228</f>
        <v>150</v>
      </c>
      <c r="O1228" s="4" t="n">
        <f aca="false">MONTH(B1228)</f>
        <v>9</v>
      </c>
      <c r="P1228" s="4" t="str">
        <f aca="false">CHOOSE(WEEKDAY(B1228,2),"Mon","Tue","Wed","Thu","Fri","Sat","Sun")</f>
        <v>Fri</v>
      </c>
      <c r="Q1228" s="4" t="str">
        <f aca="false">IF(WEEKDAY(B1228,2)&gt;5,"Weekend","Weekday")</f>
        <v>Weekday</v>
      </c>
      <c r="R1228" s="4" t="str">
        <f aca="false">IF(C1228&lt;11,"Morning (7-10)",IF(C1228&lt;14,"Lunch (11-13)",IF(C1228&lt;18,"Afternoon (14-17)","Evening (18-20)")))</f>
        <v>Afternoon (14-17)</v>
      </c>
      <c r="S1228" s="4" t="str">
        <f aca="false">IF(AND(O1228&gt;=3,O1228&lt;=5),"Hot Dry (Mar-May)",IF(AND(O1228&gt;=6,O1228&lt;=11),"Rainy (Jun-Nov)","Cool Dry (Dec-Feb)"))</f>
        <v>Rainy (Jun-Nov)</v>
      </c>
      <c r="T1228" s="4" t="str">
        <f aca="false">CHOOSE(O1228,"Jan","Feb","Mar","Apr","May","Jun","Jul","Aug","Sep","Oct","Nov","Dec")</f>
        <v>Sep</v>
      </c>
    </row>
    <row r="1229" customFormat="false" ht="15" hidden="false" customHeight="false" outlineLevel="0" collapsed="false">
      <c r="A1229" s="4" t="s">
        <v>1566</v>
      </c>
      <c r="B1229" s="17" t="n">
        <v>45905</v>
      </c>
      <c r="C1229" s="4" t="n">
        <v>16</v>
      </c>
      <c r="D1229" s="4" t="s">
        <v>70</v>
      </c>
      <c r="E1229" s="4" t="s">
        <v>84</v>
      </c>
      <c r="F1229" s="4" t="s">
        <v>106</v>
      </c>
      <c r="G1229" s="4" t="n">
        <v>1</v>
      </c>
      <c r="H1229" s="34" t="n">
        <v>60</v>
      </c>
      <c r="I1229" s="18" t="n">
        <v>0.05</v>
      </c>
      <c r="J1229" s="4" t="s">
        <v>67</v>
      </c>
      <c r="K1229" s="4" t="s">
        <v>82</v>
      </c>
      <c r="L1229" s="35" t="n">
        <f aca="false">G1229*H1229</f>
        <v>60</v>
      </c>
      <c r="M1229" s="35" t="n">
        <f aca="false">L1229*I1229</f>
        <v>3</v>
      </c>
      <c r="N1229" s="35" t="n">
        <f aca="false">L1229-M1229</f>
        <v>57</v>
      </c>
      <c r="O1229" s="4" t="n">
        <f aca="false">MONTH(B1229)</f>
        <v>9</v>
      </c>
      <c r="P1229" s="4" t="str">
        <f aca="false">CHOOSE(WEEKDAY(B1229,2),"Mon","Tue","Wed","Thu","Fri","Sat","Sun")</f>
        <v>Fri</v>
      </c>
      <c r="Q1229" s="4" t="str">
        <f aca="false">IF(WEEKDAY(B1229,2)&gt;5,"Weekend","Weekday")</f>
        <v>Weekday</v>
      </c>
      <c r="R1229" s="4" t="str">
        <f aca="false">IF(C1229&lt;11,"Morning (7-10)",IF(C1229&lt;14,"Lunch (11-13)",IF(C1229&lt;18,"Afternoon (14-17)","Evening (18-20)")))</f>
        <v>Afternoon (14-17)</v>
      </c>
      <c r="S1229" s="4" t="str">
        <f aca="false">IF(AND(O1229&gt;=3,O1229&lt;=5),"Hot Dry (Mar-May)",IF(AND(O1229&gt;=6,O1229&lt;=11),"Rainy (Jun-Nov)","Cool Dry (Dec-Feb)"))</f>
        <v>Rainy (Jun-Nov)</v>
      </c>
      <c r="T1229" s="4" t="str">
        <f aca="false">CHOOSE(O1229,"Jan","Feb","Mar","Apr","May","Jun","Jul","Aug","Sep","Oct","Nov","Dec")</f>
        <v>Sep</v>
      </c>
    </row>
    <row r="1230" customFormat="false" ht="15" hidden="false" customHeight="false" outlineLevel="0" collapsed="false">
      <c r="A1230" s="4" t="s">
        <v>1567</v>
      </c>
      <c r="B1230" s="17" t="n">
        <v>45905</v>
      </c>
      <c r="C1230" s="4" t="n">
        <v>16</v>
      </c>
      <c r="D1230" s="4" t="s">
        <v>70</v>
      </c>
      <c r="E1230" s="4" t="s">
        <v>65</v>
      </c>
      <c r="F1230" s="4" t="s">
        <v>121</v>
      </c>
      <c r="G1230" s="4" t="n">
        <v>2</v>
      </c>
      <c r="H1230" s="34" t="n">
        <v>170</v>
      </c>
      <c r="I1230" s="18" t="n">
        <v>0</v>
      </c>
      <c r="J1230" s="4" t="s">
        <v>81</v>
      </c>
      <c r="K1230" s="4" t="s">
        <v>68</v>
      </c>
      <c r="L1230" s="35" t="n">
        <f aca="false">G1230*H1230</f>
        <v>340</v>
      </c>
      <c r="M1230" s="35" t="n">
        <f aca="false">L1230*I1230</f>
        <v>0</v>
      </c>
      <c r="N1230" s="35" t="n">
        <f aca="false">L1230-M1230</f>
        <v>340</v>
      </c>
      <c r="O1230" s="4" t="n">
        <f aca="false">MONTH(B1230)</f>
        <v>9</v>
      </c>
      <c r="P1230" s="4" t="str">
        <f aca="false">CHOOSE(WEEKDAY(B1230,2),"Mon","Tue","Wed","Thu","Fri","Sat","Sun")</f>
        <v>Fri</v>
      </c>
      <c r="Q1230" s="4" t="str">
        <f aca="false">IF(WEEKDAY(B1230,2)&gt;5,"Weekend","Weekday")</f>
        <v>Weekday</v>
      </c>
      <c r="R1230" s="4" t="str">
        <f aca="false">IF(C1230&lt;11,"Morning (7-10)",IF(C1230&lt;14,"Lunch (11-13)",IF(C1230&lt;18,"Afternoon (14-17)","Evening (18-20)")))</f>
        <v>Afternoon (14-17)</v>
      </c>
      <c r="S1230" s="4" t="str">
        <f aca="false">IF(AND(O1230&gt;=3,O1230&lt;=5),"Hot Dry (Mar-May)",IF(AND(O1230&gt;=6,O1230&lt;=11),"Rainy (Jun-Nov)","Cool Dry (Dec-Feb)"))</f>
        <v>Rainy (Jun-Nov)</v>
      </c>
      <c r="T1230" s="4" t="str">
        <f aca="false">CHOOSE(O1230,"Jan","Feb","Mar","Apr","May","Jun","Jul","Aug","Sep","Oct","Nov","Dec")</f>
        <v>Sep</v>
      </c>
    </row>
    <row r="1231" customFormat="false" ht="15" hidden="false" customHeight="false" outlineLevel="0" collapsed="false">
      <c r="A1231" s="4" t="s">
        <v>1568</v>
      </c>
      <c r="B1231" s="17" t="n">
        <v>45905</v>
      </c>
      <c r="C1231" s="4" t="n">
        <v>17</v>
      </c>
      <c r="D1231" s="4" t="s">
        <v>70</v>
      </c>
      <c r="E1231" s="4" t="s">
        <v>65</v>
      </c>
      <c r="F1231" s="4" t="s">
        <v>94</v>
      </c>
      <c r="G1231" s="4" t="n">
        <v>2</v>
      </c>
      <c r="H1231" s="34" t="n">
        <v>150</v>
      </c>
      <c r="I1231" s="18" t="n">
        <v>0</v>
      </c>
      <c r="J1231" s="4" t="s">
        <v>76</v>
      </c>
      <c r="K1231" s="4" t="s">
        <v>68</v>
      </c>
      <c r="L1231" s="35" t="n">
        <f aca="false">G1231*H1231</f>
        <v>300</v>
      </c>
      <c r="M1231" s="35" t="n">
        <f aca="false">L1231*I1231</f>
        <v>0</v>
      </c>
      <c r="N1231" s="35" t="n">
        <f aca="false">L1231-M1231</f>
        <v>300</v>
      </c>
      <c r="O1231" s="4" t="n">
        <f aca="false">MONTH(B1231)</f>
        <v>9</v>
      </c>
      <c r="P1231" s="4" t="str">
        <f aca="false">CHOOSE(WEEKDAY(B1231,2),"Mon","Tue","Wed","Thu","Fri","Sat","Sun")</f>
        <v>Fri</v>
      </c>
      <c r="Q1231" s="4" t="str">
        <f aca="false">IF(WEEKDAY(B1231,2)&gt;5,"Weekend","Weekday")</f>
        <v>Weekday</v>
      </c>
      <c r="R1231" s="4" t="str">
        <f aca="false">IF(C1231&lt;11,"Morning (7-10)",IF(C1231&lt;14,"Lunch (11-13)",IF(C1231&lt;18,"Afternoon (14-17)","Evening (18-20)")))</f>
        <v>Afternoon (14-17)</v>
      </c>
      <c r="S1231" s="4" t="str">
        <f aca="false">IF(AND(O1231&gt;=3,O1231&lt;=5),"Hot Dry (Mar-May)",IF(AND(O1231&gt;=6,O1231&lt;=11),"Rainy (Jun-Nov)","Cool Dry (Dec-Feb)"))</f>
        <v>Rainy (Jun-Nov)</v>
      </c>
      <c r="T1231" s="4" t="str">
        <f aca="false">CHOOSE(O1231,"Jan","Feb","Mar","Apr","May","Jun","Jul","Aug","Sep","Oct","Nov","Dec")</f>
        <v>Sep</v>
      </c>
    </row>
    <row r="1232" customFormat="false" ht="15" hidden="false" customHeight="false" outlineLevel="0" collapsed="false">
      <c r="A1232" s="4" t="s">
        <v>1569</v>
      </c>
      <c r="B1232" s="17" t="n">
        <v>45906</v>
      </c>
      <c r="C1232" s="4" t="n">
        <v>7</v>
      </c>
      <c r="D1232" s="4" t="s">
        <v>73</v>
      </c>
      <c r="E1232" s="4" t="s">
        <v>99</v>
      </c>
      <c r="F1232" s="4" t="s">
        <v>102</v>
      </c>
      <c r="G1232" s="4" t="n">
        <v>1</v>
      </c>
      <c r="H1232" s="34" t="n">
        <v>140</v>
      </c>
      <c r="I1232" s="18" t="n">
        <v>0</v>
      </c>
      <c r="J1232" s="4" t="s">
        <v>76</v>
      </c>
      <c r="K1232" s="4" t="s">
        <v>77</v>
      </c>
      <c r="L1232" s="35" t="n">
        <f aca="false">G1232*H1232</f>
        <v>140</v>
      </c>
      <c r="M1232" s="35" t="n">
        <f aca="false">L1232*I1232</f>
        <v>0</v>
      </c>
      <c r="N1232" s="35" t="n">
        <f aca="false">L1232-M1232</f>
        <v>140</v>
      </c>
      <c r="O1232" s="4" t="n">
        <f aca="false">MONTH(B1232)</f>
        <v>9</v>
      </c>
      <c r="P1232" s="4" t="str">
        <f aca="false">CHOOSE(WEEKDAY(B1232,2),"Mon","Tue","Wed","Thu","Fri","Sat","Sun")</f>
        <v>Sat</v>
      </c>
      <c r="Q1232" s="4" t="str">
        <f aca="false">IF(WEEKDAY(B1232,2)&gt;5,"Weekend","Weekday")</f>
        <v>Weekend</v>
      </c>
      <c r="R1232" s="4" t="str">
        <f aca="false">IF(C1232&lt;11,"Morning (7-10)",IF(C1232&lt;14,"Lunch (11-13)",IF(C1232&lt;18,"Afternoon (14-17)","Evening (18-20)")))</f>
        <v>Morning (7-10)</v>
      </c>
      <c r="S1232" s="4" t="str">
        <f aca="false">IF(AND(O1232&gt;=3,O1232&lt;=5),"Hot Dry (Mar-May)",IF(AND(O1232&gt;=6,O1232&lt;=11),"Rainy (Jun-Nov)","Cool Dry (Dec-Feb)"))</f>
        <v>Rainy (Jun-Nov)</v>
      </c>
      <c r="T1232" s="4" t="str">
        <f aca="false">CHOOSE(O1232,"Jan","Feb","Mar","Apr","May","Jun","Jul","Aug","Sep","Oct","Nov","Dec")</f>
        <v>Sep</v>
      </c>
    </row>
    <row r="1233" customFormat="false" ht="15" hidden="false" customHeight="false" outlineLevel="0" collapsed="false">
      <c r="A1233" s="4" t="s">
        <v>1570</v>
      </c>
      <c r="B1233" s="17" t="n">
        <v>45906</v>
      </c>
      <c r="C1233" s="4" t="n">
        <v>10</v>
      </c>
      <c r="D1233" s="4" t="s">
        <v>70</v>
      </c>
      <c r="E1233" s="4" t="s">
        <v>65</v>
      </c>
      <c r="F1233" s="4" t="s">
        <v>94</v>
      </c>
      <c r="G1233" s="4" t="n">
        <v>1</v>
      </c>
      <c r="H1233" s="34" t="n">
        <v>150</v>
      </c>
      <c r="I1233" s="18" t="n">
        <v>0</v>
      </c>
      <c r="J1233" s="4" t="s">
        <v>67</v>
      </c>
      <c r="K1233" s="4" t="s">
        <v>68</v>
      </c>
      <c r="L1233" s="35" t="n">
        <f aca="false">G1233*H1233</f>
        <v>150</v>
      </c>
      <c r="M1233" s="35" t="n">
        <f aca="false">L1233*I1233</f>
        <v>0</v>
      </c>
      <c r="N1233" s="35" t="n">
        <f aca="false">L1233-M1233</f>
        <v>150</v>
      </c>
      <c r="O1233" s="4" t="n">
        <f aca="false">MONTH(B1233)</f>
        <v>9</v>
      </c>
      <c r="P1233" s="4" t="str">
        <f aca="false">CHOOSE(WEEKDAY(B1233,2),"Mon","Tue","Wed","Thu","Fri","Sat","Sun")</f>
        <v>Sat</v>
      </c>
      <c r="Q1233" s="4" t="str">
        <f aca="false">IF(WEEKDAY(B1233,2)&gt;5,"Weekend","Weekday")</f>
        <v>Weekend</v>
      </c>
      <c r="R1233" s="4" t="str">
        <f aca="false">IF(C1233&lt;11,"Morning (7-10)",IF(C1233&lt;14,"Lunch (11-13)",IF(C1233&lt;18,"Afternoon (14-17)","Evening (18-20)")))</f>
        <v>Morning (7-10)</v>
      </c>
      <c r="S1233" s="4" t="str">
        <f aca="false">IF(AND(O1233&gt;=3,O1233&lt;=5),"Hot Dry (Mar-May)",IF(AND(O1233&gt;=6,O1233&lt;=11),"Rainy (Jun-Nov)","Cool Dry (Dec-Feb)"))</f>
        <v>Rainy (Jun-Nov)</v>
      </c>
      <c r="T1233" s="4" t="str">
        <f aca="false">CHOOSE(O1233,"Jan","Feb","Mar","Apr","May","Jun","Jul","Aug","Sep","Oct","Nov","Dec")</f>
        <v>Sep</v>
      </c>
    </row>
    <row r="1234" customFormat="false" ht="15" hidden="false" customHeight="false" outlineLevel="0" collapsed="false">
      <c r="A1234" s="4" t="s">
        <v>1571</v>
      </c>
      <c r="B1234" s="17" t="n">
        <v>45906</v>
      </c>
      <c r="C1234" s="4" t="n">
        <v>11</v>
      </c>
      <c r="D1234" s="4" t="s">
        <v>73</v>
      </c>
      <c r="E1234" s="4" t="s">
        <v>74</v>
      </c>
      <c r="F1234" s="4" t="s">
        <v>91</v>
      </c>
      <c r="G1234" s="4" t="n">
        <v>1</v>
      </c>
      <c r="H1234" s="34" t="n">
        <v>200</v>
      </c>
      <c r="I1234" s="18" t="n">
        <v>0.05</v>
      </c>
      <c r="J1234" s="4" t="s">
        <v>76</v>
      </c>
      <c r="K1234" s="4" t="s">
        <v>82</v>
      </c>
      <c r="L1234" s="35" t="n">
        <f aca="false">G1234*H1234</f>
        <v>200</v>
      </c>
      <c r="M1234" s="35" t="n">
        <f aca="false">L1234*I1234</f>
        <v>10</v>
      </c>
      <c r="N1234" s="35" t="n">
        <f aca="false">L1234-M1234</f>
        <v>190</v>
      </c>
      <c r="O1234" s="4" t="n">
        <f aca="false">MONTH(B1234)</f>
        <v>9</v>
      </c>
      <c r="P1234" s="4" t="str">
        <f aca="false">CHOOSE(WEEKDAY(B1234,2),"Mon","Tue","Wed","Thu","Fri","Sat","Sun")</f>
        <v>Sat</v>
      </c>
      <c r="Q1234" s="4" t="str">
        <f aca="false">IF(WEEKDAY(B1234,2)&gt;5,"Weekend","Weekday")</f>
        <v>Weekend</v>
      </c>
      <c r="R1234" s="4" t="str">
        <f aca="false">IF(C1234&lt;11,"Morning (7-10)",IF(C1234&lt;14,"Lunch (11-13)",IF(C1234&lt;18,"Afternoon (14-17)","Evening (18-20)")))</f>
        <v>Lunch (11-13)</v>
      </c>
      <c r="S1234" s="4" t="str">
        <f aca="false">IF(AND(O1234&gt;=3,O1234&lt;=5),"Hot Dry (Mar-May)",IF(AND(O1234&gt;=6,O1234&lt;=11),"Rainy (Jun-Nov)","Cool Dry (Dec-Feb)"))</f>
        <v>Rainy (Jun-Nov)</v>
      </c>
      <c r="T1234" s="4" t="str">
        <f aca="false">CHOOSE(O1234,"Jan","Feb","Mar","Apr","May","Jun","Jul","Aug","Sep","Oct","Nov","Dec")</f>
        <v>Sep</v>
      </c>
    </row>
    <row r="1235" customFormat="false" ht="15" hidden="false" customHeight="false" outlineLevel="0" collapsed="false">
      <c r="A1235" s="4" t="s">
        <v>1572</v>
      </c>
      <c r="B1235" s="17" t="n">
        <v>45906</v>
      </c>
      <c r="C1235" s="4" t="n">
        <v>12</v>
      </c>
      <c r="D1235" s="4" t="s">
        <v>98</v>
      </c>
      <c r="E1235" s="4" t="s">
        <v>65</v>
      </c>
      <c r="F1235" s="4" t="s">
        <v>87</v>
      </c>
      <c r="G1235" s="4" t="n">
        <v>2</v>
      </c>
      <c r="H1235" s="34" t="n">
        <v>160</v>
      </c>
      <c r="I1235" s="18" t="n">
        <v>0</v>
      </c>
      <c r="J1235" s="4" t="s">
        <v>81</v>
      </c>
      <c r="K1235" s="4" t="s">
        <v>68</v>
      </c>
      <c r="L1235" s="35" t="n">
        <f aca="false">G1235*H1235</f>
        <v>320</v>
      </c>
      <c r="M1235" s="35" t="n">
        <f aca="false">L1235*I1235</f>
        <v>0</v>
      </c>
      <c r="N1235" s="35" t="n">
        <f aca="false">L1235-M1235</f>
        <v>320</v>
      </c>
      <c r="O1235" s="4" t="n">
        <f aca="false">MONTH(B1235)</f>
        <v>9</v>
      </c>
      <c r="P1235" s="4" t="str">
        <f aca="false">CHOOSE(WEEKDAY(B1235,2),"Mon","Tue","Wed","Thu","Fri","Sat","Sun")</f>
        <v>Sat</v>
      </c>
      <c r="Q1235" s="4" t="str">
        <f aca="false">IF(WEEKDAY(B1235,2)&gt;5,"Weekend","Weekday")</f>
        <v>Weekend</v>
      </c>
      <c r="R1235" s="4" t="str">
        <f aca="false">IF(C1235&lt;11,"Morning (7-10)",IF(C1235&lt;14,"Lunch (11-13)",IF(C1235&lt;18,"Afternoon (14-17)","Evening (18-20)")))</f>
        <v>Lunch (11-13)</v>
      </c>
      <c r="S1235" s="4" t="str">
        <f aca="false">IF(AND(O1235&gt;=3,O1235&lt;=5),"Hot Dry (Mar-May)",IF(AND(O1235&gt;=6,O1235&lt;=11),"Rainy (Jun-Nov)","Cool Dry (Dec-Feb)"))</f>
        <v>Rainy (Jun-Nov)</v>
      </c>
      <c r="T1235" s="4" t="str">
        <f aca="false">CHOOSE(O1235,"Jan","Feb","Mar","Apr","May","Jun","Jul","Aug","Sep","Oct","Nov","Dec")</f>
        <v>Sep</v>
      </c>
    </row>
    <row r="1236" customFormat="false" ht="15" hidden="false" customHeight="false" outlineLevel="0" collapsed="false">
      <c r="A1236" s="4" t="s">
        <v>1574</v>
      </c>
      <c r="B1236" s="17" t="n">
        <v>45906</v>
      </c>
      <c r="C1236" s="4" t="n">
        <v>16</v>
      </c>
      <c r="D1236" s="4" t="s">
        <v>64</v>
      </c>
      <c r="E1236" s="4" t="s">
        <v>84</v>
      </c>
      <c r="F1236" s="4" t="s">
        <v>117</v>
      </c>
      <c r="G1236" s="4" t="n">
        <v>1</v>
      </c>
      <c r="H1236" s="34" t="n">
        <v>95</v>
      </c>
      <c r="I1236" s="18" t="n">
        <v>0</v>
      </c>
      <c r="J1236" s="4" t="s">
        <v>76</v>
      </c>
      <c r="K1236" s="4" t="s">
        <v>77</v>
      </c>
      <c r="L1236" s="35" t="n">
        <f aca="false">G1236*H1236</f>
        <v>95</v>
      </c>
      <c r="M1236" s="35" t="n">
        <f aca="false">L1236*I1236</f>
        <v>0</v>
      </c>
      <c r="N1236" s="35" t="n">
        <f aca="false">L1236-M1236</f>
        <v>95</v>
      </c>
      <c r="O1236" s="4" t="n">
        <f aca="false">MONTH(B1236)</f>
        <v>9</v>
      </c>
      <c r="P1236" s="4" t="str">
        <f aca="false">CHOOSE(WEEKDAY(B1236,2),"Mon","Tue","Wed","Thu","Fri","Sat","Sun")</f>
        <v>Sat</v>
      </c>
      <c r="Q1236" s="4" t="str">
        <f aca="false">IF(WEEKDAY(B1236,2)&gt;5,"Weekend","Weekday")</f>
        <v>Weekend</v>
      </c>
      <c r="R1236" s="4" t="str">
        <f aca="false">IF(C1236&lt;11,"Morning (7-10)",IF(C1236&lt;14,"Lunch (11-13)",IF(C1236&lt;18,"Afternoon (14-17)","Evening (18-20)")))</f>
        <v>Afternoon (14-17)</v>
      </c>
      <c r="S1236" s="4" t="str">
        <f aca="false">IF(AND(O1236&gt;=3,O1236&lt;=5),"Hot Dry (Mar-May)",IF(AND(O1236&gt;=6,O1236&lt;=11),"Rainy (Jun-Nov)","Cool Dry (Dec-Feb)"))</f>
        <v>Rainy (Jun-Nov)</v>
      </c>
      <c r="T1236" s="4" t="str">
        <f aca="false">CHOOSE(O1236,"Jan","Feb","Mar","Apr","May","Jun","Jul","Aug","Sep","Oct","Nov","Dec")</f>
        <v>Sep</v>
      </c>
    </row>
    <row r="1237" customFormat="false" ht="15" hidden="false" customHeight="false" outlineLevel="0" collapsed="false">
      <c r="A1237" s="4" t="s">
        <v>1575</v>
      </c>
      <c r="B1237" s="17" t="n">
        <v>45906</v>
      </c>
      <c r="C1237" s="4" t="n">
        <v>18</v>
      </c>
      <c r="D1237" s="4" t="s">
        <v>98</v>
      </c>
      <c r="E1237" s="4" t="s">
        <v>79</v>
      </c>
      <c r="F1237" s="4" t="s">
        <v>148</v>
      </c>
      <c r="G1237" s="4" t="n">
        <v>1</v>
      </c>
      <c r="H1237" s="34" t="n">
        <v>120</v>
      </c>
      <c r="I1237" s="18" t="n">
        <v>0</v>
      </c>
      <c r="J1237" s="4" t="s">
        <v>112</v>
      </c>
      <c r="K1237" s="4" t="s">
        <v>68</v>
      </c>
      <c r="L1237" s="35" t="n">
        <f aca="false">G1237*H1237</f>
        <v>120</v>
      </c>
      <c r="M1237" s="35" t="n">
        <f aca="false">L1237*I1237</f>
        <v>0</v>
      </c>
      <c r="N1237" s="35" t="n">
        <f aca="false">L1237-M1237</f>
        <v>120</v>
      </c>
      <c r="O1237" s="4" t="n">
        <f aca="false">MONTH(B1237)</f>
        <v>9</v>
      </c>
      <c r="P1237" s="4" t="str">
        <f aca="false">CHOOSE(WEEKDAY(B1237,2),"Mon","Tue","Wed","Thu","Fri","Sat","Sun")</f>
        <v>Sat</v>
      </c>
      <c r="Q1237" s="4" t="str">
        <f aca="false">IF(WEEKDAY(B1237,2)&gt;5,"Weekend","Weekday")</f>
        <v>Weekend</v>
      </c>
      <c r="R1237" s="4" t="str">
        <f aca="false">IF(C1237&lt;11,"Morning (7-10)",IF(C1237&lt;14,"Lunch (11-13)",IF(C1237&lt;18,"Afternoon (14-17)","Evening (18-20)")))</f>
        <v>Evening (18-20)</v>
      </c>
      <c r="S1237" s="4" t="str">
        <f aca="false">IF(AND(O1237&gt;=3,O1237&lt;=5),"Hot Dry (Mar-May)",IF(AND(O1237&gt;=6,O1237&lt;=11),"Rainy (Jun-Nov)","Cool Dry (Dec-Feb)"))</f>
        <v>Rainy (Jun-Nov)</v>
      </c>
      <c r="T1237" s="4" t="str">
        <f aca="false">CHOOSE(O1237,"Jan","Feb","Mar","Apr","May","Jun","Jul","Aug","Sep","Oct","Nov","Dec")</f>
        <v>Sep</v>
      </c>
    </row>
    <row r="1238" customFormat="false" ht="15" hidden="false" customHeight="false" outlineLevel="0" collapsed="false">
      <c r="A1238" s="4" t="s">
        <v>1576</v>
      </c>
      <c r="B1238" s="17" t="n">
        <v>45907</v>
      </c>
      <c r="C1238" s="4" t="n">
        <v>12</v>
      </c>
      <c r="D1238" s="4" t="s">
        <v>73</v>
      </c>
      <c r="E1238" s="4" t="s">
        <v>79</v>
      </c>
      <c r="F1238" s="4" t="s">
        <v>148</v>
      </c>
      <c r="G1238" s="4" t="n">
        <v>1</v>
      </c>
      <c r="H1238" s="34" t="n">
        <v>120</v>
      </c>
      <c r="I1238" s="18" t="n">
        <v>0.15</v>
      </c>
      <c r="J1238" s="4" t="s">
        <v>2289</v>
      </c>
      <c r="K1238" s="4" t="s">
        <v>82</v>
      </c>
      <c r="L1238" s="35" t="n">
        <f aca="false">G1238*H1238</f>
        <v>120</v>
      </c>
      <c r="M1238" s="35" t="n">
        <f aca="false">L1238*I1238</f>
        <v>18</v>
      </c>
      <c r="N1238" s="35" t="n">
        <f aca="false">L1238-M1238</f>
        <v>102</v>
      </c>
      <c r="O1238" s="4" t="n">
        <f aca="false">MONTH(B1238)</f>
        <v>9</v>
      </c>
      <c r="P1238" s="4" t="str">
        <f aca="false">CHOOSE(WEEKDAY(B1238,2),"Mon","Tue","Wed","Thu","Fri","Sat","Sun")</f>
        <v>Sun</v>
      </c>
      <c r="Q1238" s="4" t="str">
        <f aca="false">IF(WEEKDAY(B1238,2)&gt;5,"Weekend","Weekday")</f>
        <v>Weekend</v>
      </c>
      <c r="R1238" s="4" t="str">
        <f aca="false">IF(C1238&lt;11,"Morning (7-10)",IF(C1238&lt;14,"Lunch (11-13)",IF(C1238&lt;18,"Afternoon (14-17)","Evening (18-20)")))</f>
        <v>Lunch (11-13)</v>
      </c>
      <c r="S1238" s="4" t="str">
        <f aca="false">IF(AND(O1238&gt;=3,O1238&lt;=5),"Hot Dry (Mar-May)",IF(AND(O1238&gt;=6,O1238&lt;=11),"Rainy (Jun-Nov)","Cool Dry (Dec-Feb)"))</f>
        <v>Rainy (Jun-Nov)</v>
      </c>
      <c r="T1238" s="4" t="str">
        <f aca="false">CHOOSE(O1238,"Jan","Feb","Mar","Apr","May","Jun","Jul","Aug","Sep","Oct","Nov","Dec")</f>
        <v>Sep</v>
      </c>
    </row>
    <row r="1239" customFormat="false" ht="15" hidden="false" customHeight="false" outlineLevel="0" collapsed="false">
      <c r="A1239" s="4" t="s">
        <v>1577</v>
      </c>
      <c r="B1239" s="17" t="n">
        <v>45907</v>
      </c>
      <c r="C1239" s="4" t="n">
        <v>16</v>
      </c>
      <c r="D1239" s="4" t="s">
        <v>64</v>
      </c>
      <c r="E1239" s="4" t="s">
        <v>65</v>
      </c>
      <c r="F1239" s="4" t="s">
        <v>66</v>
      </c>
      <c r="G1239" s="4" t="n">
        <v>1</v>
      </c>
      <c r="H1239" s="34" t="n">
        <v>120</v>
      </c>
      <c r="I1239" s="18" t="n">
        <v>0.15</v>
      </c>
      <c r="J1239" s="4" t="s">
        <v>67</v>
      </c>
      <c r="K1239" s="4" t="s">
        <v>77</v>
      </c>
      <c r="L1239" s="35" t="n">
        <f aca="false">G1239*H1239</f>
        <v>120</v>
      </c>
      <c r="M1239" s="35" t="n">
        <f aca="false">L1239*I1239</f>
        <v>18</v>
      </c>
      <c r="N1239" s="35" t="n">
        <f aca="false">L1239-M1239</f>
        <v>102</v>
      </c>
      <c r="O1239" s="4" t="n">
        <f aca="false">MONTH(B1239)</f>
        <v>9</v>
      </c>
      <c r="P1239" s="4" t="str">
        <f aca="false">CHOOSE(WEEKDAY(B1239,2),"Mon","Tue","Wed","Thu","Fri","Sat","Sun")</f>
        <v>Sun</v>
      </c>
      <c r="Q1239" s="4" t="str">
        <f aca="false">IF(WEEKDAY(B1239,2)&gt;5,"Weekend","Weekday")</f>
        <v>Weekend</v>
      </c>
      <c r="R1239" s="4" t="str">
        <f aca="false">IF(C1239&lt;11,"Morning (7-10)",IF(C1239&lt;14,"Lunch (11-13)",IF(C1239&lt;18,"Afternoon (14-17)","Evening (18-20)")))</f>
        <v>Afternoon (14-17)</v>
      </c>
      <c r="S1239" s="4" t="str">
        <f aca="false">IF(AND(O1239&gt;=3,O1239&lt;=5),"Hot Dry (Mar-May)",IF(AND(O1239&gt;=6,O1239&lt;=11),"Rainy (Jun-Nov)","Cool Dry (Dec-Feb)"))</f>
        <v>Rainy (Jun-Nov)</v>
      </c>
      <c r="T1239" s="4" t="str">
        <f aca="false">CHOOSE(O1239,"Jan","Feb","Mar","Apr","May","Jun","Jul","Aug","Sep","Oct","Nov","Dec")</f>
        <v>Sep</v>
      </c>
    </row>
    <row r="1240" customFormat="false" ht="15" hidden="false" customHeight="false" outlineLevel="0" collapsed="false">
      <c r="A1240" s="4" t="s">
        <v>1578</v>
      </c>
      <c r="B1240" s="17" t="n">
        <v>45907</v>
      </c>
      <c r="C1240" s="4" t="n">
        <v>19</v>
      </c>
      <c r="D1240" s="4" t="s">
        <v>64</v>
      </c>
      <c r="E1240" s="4" t="s">
        <v>84</v>
      </c>
      <c r="F1240" s="4" t="s">
        <v>117</v>
      </c>
      <c r="G1240" s="4" t="n">
        <v>2</v>
      </c>
      <c r="H1240" s="34" t="n">
        <v>95</v>
      </c>
      <c r="I1240" s="18" t="n">
        <v>0</v>
      </c>
      <c r="J1240" s="4" t="s">
        <v>67</v>
      </c>
      <c r="K1240" s="4" t="s">
        <v>68</v>
      </c>
      <c r="L1240" s="35" t="n">
        <f aca="false">G1240*H1240</f>
        <v>190</v>
      </c>
      <c r="M1240" s="35" t="n">
        <f aca="false">L1240*I1240</f>
        <v>0</v>
      </c>
      <c r="N1240" s="35" t="n">
        <f aca="false">L1240-M1240</f>
        <v>190</v>
      </c>
      <c r="O1240" s="4" t="n">
        <f aca="false">MONTH(B1240)</f>
        <v>9</v>
      </c>
      <c r="P1240" s="4" t="str">
        <f aca="false">CHOOSE(WEEKDAY(B1240,2),"Mon","Tue","Wed","Thu","Fri","Sat","Sun")</f>
        <v>Sun</v>
      </c>
      <c r="Q1240" s="4" t="str">
        <f aca="false">IF(WEEKDAY(B1240,2)&gt;5,"Weekend","Weekday")</f>
        <v>Weekend</v>
      </c>
      <c r="R1240" s="4" t="str">
        <f aca="false">IF(C1240&lt;11,"Morning (7-10)",IF(C1240&lt;14,"Lunch (11-13)",IF(C1240&lt;18,"Afternoon (14-17)","Evening (18-20)")))</f>
        <v>Evening (18-20)</v>
      </c>
      <c r="S1240" s="4" t="str">
        <f aca="false">IF(AND(O1240&gt;=3,O1240&lt;=5),"Hot Dry (Mar-May)",IF(AND(O1240&gt;=6,O1240&lt;=11),"Rainy (Jun-Nov)","Cool Dry (Dec-Feb)"))</f>
        <v>Rainy (Jun-Nov)</v>
      </c>
      <c r="T1240" s="4" t="str">
        <f aca="false">CHOOSE(O1240,"Jan","Feb","Mar","Apr","May","Jun","Jul","Aug","Sep","Oct","Nov","Dec")</f>
        <v>Sep</v>
      </c>
    </row>
    <row r="1241" customFormat="false" ht="15" hidden="false" customHeight="false" outlineLevel="0" collapsed="false">
      <c r="A1241" s="4" t="s">
        <v>1579</v>
      </c>
      <c r="B1241" s="17" t="n">
        <v>45908</v>
      </c>
      <c r="C1241" s="4" t="n">
        <v>8</v>
      </c>
      <c r="D1241" s="4" t="s">
        <v>73</v>
      </c>
      <c r="E1241" s="4" t="s">
        <v>65</v>
      </c>
      <c r="F1241" s="4" t="s">
        <v>94</v>
      </c>
      <c r="G1241" s="4" t="n">
        <v>2</v>
      </c>
      <c r="H1241" s="34" t="n">
        <v>150</v>
      </c>
      <c r="I1241" s="18" t="n">
        <v>0</v>
      </c>
      <c r="J1241" s="4" t="s">
        <v>81</v>
      </c>
      <c r="K1241" s="4" t="s">
        <v>77</v>
      </c>
      <c r="L1241" s="35" t="n">
        <f aca="false">G1241*H1241</f>
        <v>300</v>
      </c>
      <c r="M1241" s="35" t="n">
        <f aca="false">L1241*I1241</f>
        <v>0</v>
      </c>
      <c r="N1241" s="35" t="n">
        <f aca="false">L1241-M1241</f>
        <v>300</v>
      </c>
      <c r="O1241" s="4" t="n">
        <f aca="false">MONTH(B1241)</f>
        <v>9</v>
      </c>
      <c r="P1241" s="4" t="str">
        <f aca="false">CHOOSE(WEEKDAY(B1241,2),"Mon","Tue","Wed","Thu","Fri","Sat","Sun")</f>
        <v>Mon</v>
      </c>
      <c r="Q1241" s="4" t="str">
        <f aca="false">IF(WEEKDAY(B1241,2)&gt;5,"Weekend","Weekday")</f>
        <v>Weekday</v>
      </c>
      <c r="R1241" s="4" t="str">
        <f aca="false">IF(C1241&lt;11,"Morning (7-10)",IF(C1241&lt;14,"Lunch (11-13)",IF(C1241&lt;18,"Afternoon (14-17)","Evening (18-20)")))</f>
        <v>Morning (7-10)</v>
      </c>
      <c r="S1241" s="4" t="str">
        <f aca="false">IF(AND(O1241&gt;=3,O1241&lt;=5),"Hot Dry (Mar-May)",IF(AND(O1241&gt;=6,O1241&lt;=11),"Rainy (Jun-Nov)","Cool Dry (Dec-Feb)"))</f>
        <v>Rainy (Jun-Nov)</v>
      </c>
      <c r="T1241" s="4" t="str">
        <f aca="false">CHOOSE(O1241,"Jan","Feb","Mar","Apr","May","Jun","Jul","Aug","Sep","Oct","Nov","Dec")</f>
        <v>Sep</v>
      </c>
    </row>
    <row r="1242" customFormat="false" ht="15" hidden="false" customHeight="false" outlineLevel="0" collapsed="false">
      <c r="A1242" s="4" t="s">
        <v>1580</v>
      </c>
      <c r="B1242" s="17" t="n">
        <v>45908</v>
      </c>
      <c r="C1242" s="4" t="n">
        <v>11</v>
      </c>
      <c r="D1242" s="4" t="s">
        <v>98</v>
      </c>
      <c r="E1242" s="4" t="s">
        <v>65</v>
      </c>
      <c r="F1242" s="4" t="s">
        <v>94</v>
      </c>
      <c r="G1242" s="4" t="n">
        <v>1</v>
      </c>
      <c r="H1242" s="34" t="n">
        <v>150</v>
      </c>
      <c r="I1242" s="18" t="n">
        <v>0.1</v>
      </c>
      <c r="J1242" s="4" t="s">
        <v>76</v>
      </c>
      <c r="K1242" s="4" t="s">
        <v>71</v>
      </c>
      <c r="L1242" s="35" t="n">
        <f aca="false">G1242*H1242</f>
        <v>150</v>
      </c>
      <c r="M1242" s="35" t="n">
        <f aca="false">L1242*I1242</f>
        <v>15</v>
      </c>
      <c r="N1242" s="35" t="n">
        <f aca="false">L1242-M1242</f>
        <v>135</v>
      </c>
      <c r="O1242" s="4" t="n">
        <f aca="false">MONTH(B1242)</f>
        <v>9</v>
      </c>
      <c r="P1242" s="4" t="str">
        <f aca="false">CHOOSE(WEEKDAY(B1242,2),"Mon","Tue","Wed","Thu","Fri","Sat","Sun")</f>
        <v>Mon</v>
      </c>
      <c r="Q1242" s="4" t="str">
        <f aca="false">IF(WEEKDAY(B1242,2)&gt;5,"Weekend","Weekday")</f>
        <v>Weekday</v>
      </c>
      <c r="R1242" s="4" t="str">
        <f aca="false">IF(C1242&lt;11,"Morning (7-10)",IF(C1242&lt;14,"Lunch (11-13)",IF(C1242&lt;18,"Afternoon (14-17)","Evening (18-20)")))</f>
        <v>Lunch (11-13)</v>
      </c>
      <c r="S1242" s="4" t="str">
        <f aca="false">IF(AND(O1242&gt;=3,O1242&lt;=5),"Hot Dry (Mar-May)",IF(AND(O1242&gt;=6,O1242&lt;=11),"Rainy (Jun-Nov)","Cool Dry (Dec-Feb)"))</f>
        <v>Rainy (Jun-Nov)</v>
      </c>
      <c r="T1242" s="4" t="str">
        <f aca="false">CHOOSE(O1242,"Jan","Feb","Mar","Apr","May","Jun","Jul","Aug","Sep","Oct","Nov","Dec")</f>
        <v>Sep</v>
      </c>
    </row>
    <row r="1243" customFormat="false" ht="15" hidden="false" customHeight="false" outlineLevel="0" collapsed="false">
      <c r="A1243" s="4" t="s">
        <v>1581</v>
      </c>
      <c r="B1243" s="17" t="n">
        <v>45908</v>
      </c>
      <c r="C1243" s="4" t="n">
        <v>12</v>
      </c>
      <c r="D1243" s="4" t="s">
        <v>70</v>
      </c>
      <c r="E1243" s="4" t="s">
        <v>99</v>
      </c>
      <c r="F1243" s="4" t="s">
        <v>100</v>
      </c>
      <c r="G1243" s="4" t="n">
        <v>1</v>
      </c>
      <c r="H1243" s="34" t="n">
        <v>110</v>
      </c>
      <c r="I1243" s="18" t="n">
        <v>0.15</v>
      </c>
      <c r="J1243" s="4" t="s">
        <v>76</v>
      </c>
      <c r="K1243" s="4" t="s">
        <v>71</v>
      </c>
      <c r="L1243" s="35" t="n">
        <f aca="false">G1243*H1243</f>
        <v>110</v>
      </c>
      <c r="M1243" s="35" t="n">
        <f aca="false">L1243*I1243</f>
        <v>16.5</v>
      </c>
      <c r="N1243" s="35" t="n">
        <f aca="false">L1243-M1243</f>
        <v>93.5</v>
      </c>
      <c r="O1243" s="4" t="n">
        <f aca="false">MONTH(B1243)</f>
        <v>9</v>
      </c>
      <c r="P1243" s="4" t="str">
        <f aca="false">CHOOSE(WEEKDAY(B1243,2),"Mon","Tue","Wed","Thu","Fri","Sat","Sun")</f>
        <v>Mon</v>
      </c>
      <c r="Q1243" s="4" t="str">
        <f aca="false">IF(WEEKDAY(B1243,2)&gt;5,"Weekend","Weekday")</f>
        <v>Weekday</v>
      </c>
      <c r="R1243" s="4" t="str">
        <f aca="false">IF(C1243&lt;11,"Morning (7-10)",IF(C1243&lt;14,"Lunch (11-13)",IF(C1243&lt;18,"Afternoon (14-17)","Evening (18-20)")))</f>
        <v>Lunch (11-13)</v>
      </c>
      <c r="S1243" s="4" t="str">
        <f aca="false">IF(AND(O1243&gt;=3,O1243&lt;=5),"Hot Dry (Mar-May)",IF(AND(O1243&gt;=6,O1243&lt;=11),"Rainy (Jun-Nov)","Cool Dry (Dec-Feb)"))</f>
        <v>Rainy (Jun-Nov)</v>
      </c>
      <c r="T1243" s="4" t="str">
        <f aca="false">CHOOSE(O1243,"Jan","Feb","Mar","Apr","May","Jun","Jul","Aug","Sep","Oct","Nov","Dec")</f>
        <v>Sep</v>
      </c>
    </row>
    <row r="1244" customFormat="false" ht="15" hidden="false" customHeight="false" outlineLevel="0" collapsed="false">
      <c r="A1244" s="4" t="s">
        <v>1582</v>
      </c>
      <c r="B1244" s="17" t="n">
        <v>45908</v>
      </c>
      <c r="C1244" s="4" t="n">
        <v>18</v>
      </c>
      <c r="D1244" s="4" t="s">
        <v>70</v>
      </c>
      <c r="E1244" s="4" t="s">
        <v>84</v>
      </c>
      <c r="F1244" s="4" t="s">
        <v>106</v>
      </c>
      <c r="G1244" s="4" t="n">
        <v>1</v>
      </c>
      <c r="H1244" s="34" t="n">
        <v>60</v>
      </c>
      <c r="I1244" s="18" t="n">
        <v>0</v>
      </c>
      <c r="J1244" s="4" t="s">
        <v>81</v>
      </c>
      <c r="K1244" s="4" t="s">
        <v>68</v>
      </c>
      <c r="L1244" s="35" t="n">
        <f aca="false">G1244*H1244</f>
        <v>60</v>
      </c>
      <c r="M1244" s="35" t="n">
        <f aca="false">L1244*I1244</f>
        <v>0</v>
      </c>
      <c r="N1244" s="35" t="n">
        <f aca="false">L1244-M1244</f>
        <v>60</v>
      </c>
      <c r="O1244" s="4" t="n">
        <f aca="false">MONTH(B1244)</f>
        <v>9</v>
      </c>
      <c r="P1244" s="4" t="str">
        <f aca="false">CHOOSE(WEEKDAY(B1244,2),"Mon","Tue","Wed","Thu","Fri","Sat","Sun")</f>
        <v>Mon</v>
      </c>
      <c r="Q1244" s="4" t="str">
        <f aca="false">IF(WEEKDAY(B1244,2)&gt;5,"Weekend","Weekday")</f>
        <v>Weekday</v>
      </c>
      <c r="R1244" s="4" t="str">
        <f aca="false">IF(C1244&lt;11,"Morning (7-10)",IF(C1244&lt;14,"Lunch (11-13)",IF(C1244&lt;18,"Afternoon (14-17)","Evening (18-20)")))</f>
        <v>Evening (18-20)</v>
      </c>
      <c r="S1244" s="4" t="str">
        <f aca="false">IF(AND(O1244&gt;=3,O1244&lt;=5),"Hot Dry (Mar-May)",IF(AND(O1244&gt;=6,O1244&lt;=11),"Rainy (Jun-Nov)","Cool Dry (Dec-Feb)"))</f>
        <v>Rainy (Jun-Nov)</v>
      </c>
      <c r="T1244" s="4" t="str">
        <f aca="false">CHOOSE(O1244,"Jan","Feb","Mar","Apr","May","Jun","Jul","Aug","Sep","Oct","Nov","Dec")</f>
        <v>Sep</v>
      </c>
    </row>
    <row r="1245" customFormat="false" ht="15" hidden="false" customHeight="false" outlineLevel="0" collapsed="false">
      <c r="A1245" s="4" t="s">
        <v>1583</v>
      </c>
      <c r="B1245" s="17" t="n">
        <v>45909</v>
      </c>
      <c r="C1245" s="4" t="n">
        <v>8</v>
      </c>
      <c r="D1245" s="4" t="s">
        <v>64</v>
      </c>
      <c r="E1245" s="4" t="s">
        <v>99</v>
      </c>
      <c r="F1245" s="4" t="s">
        <v>109</v>
      </c>
      <c r="G1245" s="4" t="n">
        <v>2</v>
      </c>
      <c r="H1245" s="34" t="n">
        <v>130</v>
      </c>
      <c r="I1245" s="18" t="n">
        <v>0.05</v>
      </c>
      <c r="J1245" s="4" t="s">
        <v>81</v>
      </c>
      <c r="K1245" s="4" t="s">
        <v>82</v>
      </c>
      <c r="L1245" s="35" t="n">
        <f aca="false">G1245*H1245</f>
        <v>260</v>
      </c>
      <c r="M1245" s="35" t="n">
        <f aca="false">L1245*I1245</f>
        <v>13</v>
      </c>
      <c r="N1245" s="35" t="n">
        <f aca="false">L1245-M1245</f>
        <v>247</v>
      </c>
      <c r="O1245" s="4" t="n">
        <f aca="false">MONTH(B1245)</f>
        <v>9</v>
      </c>
      <c r="P1245" s="4" t="str">
        <f aca="false">CHOOSE(WEEKDAY(B1245,2),"Mon","Tue","Wed","Thu","Fri","Sat","Sun")</f>
        <v>Tue</v>
      </c>
      <c r="Q1245" s="4" t="str">
        <f aca="false">IF(WEEKDAY(B1245,2)&gt;5,"Weekend","Weekday")</f>
        <v>Weekday</v>
      </c>
      <c r="R1245" s="4" t="str">
        <f aca="false">IF(C1245&lt;11,"Morning (7-10)",IF(C1245&lt;14,"Lunch (11-13)",IF(C1245&lt;18,"Afternoon (14-17)","Evening (18-20)")))</f>
        <v>Morning (7-10)</v>
      </c>
      <c r="S1245" s="4" t="str">
        <f aca="false">IF(AND(O1245&gt;=3,O1245&lt;=5),"Hot Dry (Mar-May)",IF(AND(O1245&gt;=6,O1245&lt;=11),"Rainy (Jun-Nov)","Cool Dry (Dec-Feb)"))</f>
        <v>Rainy (Jun-Nov)</v>
      </c>
      <c r="T1245" s="4" t="str">
        <f aca="false">CHOOSE(O1245,"Jan","Feb","Mar","Apr","May","Jun","Jul","Aug","Sep","Oct","Nov","Dec")</f>
        <v>Sep</v>
      </c>
    </row>
    <row r="1246" customFormat="false" ht="15" hidden="false" customHeight="false" outlineLevel="0" collapsed="false">
      <c r="A1246" s="4" t="s">
        <v>1584</v>
      </c>
      <c r="B1246" s="17" t="n">
        <v>45909</v>
      </c>
      <c r="C1246" s="4" t="n">
        <v>9</v>
      </c>
      <c r="D1246" s="4" t="s">
        <v>70</v>
      </c>
      <c r="E1246" s="4" t="s">
        <v>84</v>
      </c>
      <c r="F1246" s="4" t="s">
        <v>114</v>
      </c>
      <c r="G1246" s="4" t="n">
        <v>2</v>
      </c>
      <c r="H1246" s="34" t="n">
        <v>85</v>
      </c>
      <c r="I1246" s="18" t="n">
        <v>0.15</v>
      </c>
      <c r="J1246" s="4" t="s">
        <v>81</v>
      </c>
      <c r="K1246" s="4" t="s">
        <v>68</v>
      </c>
      <c r="L1246" s="35" t="n">
        <f aca="false">G1246*H1246</f>
        <v>170</v>
      </c>
      <c r="M1246" s="35" t="n">
        <f aca="false">L1246*I1246</f>
        <v>25.5</v>
      </c>
      <c r="N1246" s="35" t="n">
        <f aca="false">L1246-M1246</f>
        <v>144.5</v>
      </c>
      <c r="O1246" s="4" t="n">
        <f aca="false">MONTH(B1246)</f>
        <v>9</v>
      </c>
      <c r="P1246" s="4" t="str">
        <f aca="false">CHOOSE(WEEKDAY(B1246,2),"Mon","Tue","Wed","Thu","Fri","Sat","Sun")</f>
        <v>Tue</v>
      </c>
      <c r="Q1246" s="4" t="str">
        <f aca="false">IF(WEEKDAY(B1246,2)&gt;5,"Weekend","Weekday")</f>
        <v>Weekday</v>
      </c>
      <c r="R1246" s="4" t="str">
        <f aca="false">IF(C1246&lt;11,"Morning (7-10)",IF(C1246&lt;14,"Lunch (11-13)",IF(C1246&lt;18,"Afternoon (14-17)","Evening (18-20)")))</f>
        <v>Morning (7-10)</v>
      </c>
      <c r="S1246" s="4" t="str">
        <f aca="false">IF(AND(O1246&gt;=3,O1246&lt;=5),"Hot Dry (Mar-May)",IF(AND(O1246&gt;=6,O1246&lt;=11),"Rainy (Jun-Nov)","Cool Dry (Dec-Feb)"))</f>
        <v>Rainy (Jun-Nov)</v>
      </c>
      <c r="T1246" s="4" t="str">
        <f aca="false">CHOOSE(O1246,"Jan","Feb","Mar","Apr","May","Jun","Jul","Aug","Sep","Oct","Nov","Dec")</f>
        <v>Sep</v>
      </c>
    </row>
    <row r="1247" customFormat="false" ht="15" hidden="false" customHeight="false" outlineLevel="0" collapsed="false">
      <c r="A1247" s="4" t="s">
        <v>1585</v>
      </c>
      <c r="B1247" s="17" t="n">
        <v>45909</v>
      </c>
      <c r="C1247" s="4" t="n">
        <v>10</v>
      </c>
      <c r="D1247" s="4" t="s">
        <v>70</v>
      </c>
      <c r="E1247" s="4" t="s">
        <v>65</v>
      </c>
      <c r="F1247" s="4" t="s">
        <v>121</v>
      </c>
      <c r="G1247" s="4" t="n">
        <v>1</v>
      </c>
      <c r="H1247" s="34" t="n">
        <v>170</v>
      </c>
      <c r="I1247" s="18" t="n">
        <v>0.1</v>
      </c>
      <c r="J1247" s="4" t="s">
        <v>81</v>
      </c>
      <c r="K1247" s="4" t="s">
        <v>71</v>
      </c>
      <c r="L1247" s="35" t="n">
        <f aca="false">G1247*H1247</f>
        <v>170</v>
      </c>
      <c r="M1247" s="35" t="n">
        <f aca="false">L1247*I1247</f>
        <v>17</v>
      </c>
      <c r="N1247" s="35" t="n">
        <f aca="false">L1247-M1247</f>
        <v>153</v>
      </c>
      <c r="O1247" s="4" t="n">
        <f aca="false">MONTH(B1247)</f>
        <v>9</v>
      </c>
      <c r="P1247" s="4" t="str">
        <f aca="false">CHOOSE(WEEKDAY(B1247,2),"Mon","Tue","Wed","Thu","Fri","Sat","Sun")</f>
        <v>Tue</v>
      </c>
      <c r="Q1247" s="4" t="str">
        <f aca="false">IF(WEEKDAY(B1247,2)&gt;5,"Weekend","Weekday")</f>
        <v>Weekday</v>
      </c>
      <c r="R1247" s="4" t="str">
        <f aca="false">IF(C1247&lt;11,"Morning (7-10)",IF(C1247&lt;14,"Lunch (11-13)",IF(C1247&lt;18,"Afternoon (14-17)","Evening (18-20)")))</f>
        <v>Morning (7-10)</v>
      </c>
      <c r="S1247" s="4" t="str">
        <f aca="false">IF(AND(O1247&gt;=3,O1247&lt;=5),"Hot Dry (Mar-May)",IF(AND(O1247&gt;=6,O1247&lt;=11),"Rainy (Jun-Nov)","Cool Dry (Dec-Feb)"))</f>
        <v>Rainy (Jun-Nov)</v>
      </c>
      <c r="T1247" s="4" t="str">
        <f aca="false">CHOOSE(O1247,"Jan","Feb","Mar","Apr","May","Jun","Jul","Aug","Sep","Oct","Nov","Dec")</f>
        <v>Sep</v>
      </c>
    </row>
    <row r="1248" customFormat="false" ht="15" hidden="false" customHeight="false" outlineLevel="0" collapsed="false">
      <c r="A1248" s="4" t="s">
        <v>1588</v>
      </c>
      <c r="B1248" s="17" t="n">
        <v>45909</v>
      </c>
      <c r="C1248" s="4" t="n">
        <v>19</v>
      </c>
      <c r="D1248" s="4" t="s">
        <v>64</v>
      </c>
      <c r="E1248" s="4" t="s">
        <v>84</v>
      </c>
      <c r="F1248" s="4" t="s">
        <v>85</v>
      </c>
      <c r="G1248" s="4" t="n">
        <v>1</v>
      </c>
      <c r="H1248" s="34" t="n">
        <v>150</v>
      </c>
      <c r="I1248" s="18" t="n">
        <v>0.1</v>
      </c>
      <c r="J1248" s="4" t="s">
        <v>67</v>
      </c>
      <c r="K1248" s="4" t="s">
        <v>77</v>
      </c>
      <c r="L1248" s="35" t="n">
        <f aca="false">G1248*H1248</f>
        <v>150</v>
      </c>
      <c r="M1248" s="35" t="n">
        <f aca="false">L1248*I1248</f>
        <v>15</v>
      </c>
      <c r="N1248" s="35" t="n">
        <f aca="false">L1248-M1248</f>
        <v>135</v>
      </c>
      <c r="O1248" s="4" t="n">
        <f aca="false">MONTH(B1248)</f>
        <v>9</v>
      </c>
      <c r="P1248" s="4" t="str">
        <f aca="false">CHOOSE(WEEKDAY(B1248,2),"Mon","Tue","Wed","Thu","Fri","Sat","Sun")</f>
        <v>Tue</v>
      </c>
      <c r="Q1248" s="4" t="str">
        <f aca="false">IF(WEEKDAY(B1248,2)&gt;5,"Weekend","Weekday")</f>
        <v>Weekday</v>
      </c>
      <c r="R1248" s="4" t="str">
        <f aca="false">IF(C1248&lt;11,"Morning (7-10)",IF(C1248&lt;14,"Lunch (11-13)",IF(C1248&lt;18,"Afternoon (14-17)","Evening (18-20)")))</f>
        <v>Evening (18-20)</v>
      </c>
      <c r="S1248" s="4" t="str">
        <f aca="false">IF(AND(O1248&gt;=3,O1248&lt;=5),"Hot Dry (Mar-May)",IF(AND(O1248&gt;=6,O1248&lt;=11),"Rainy (Jun-Nov)","Cool Dry (Dec-Feb)"))</f>
        <v>Rainy (Jun-Nov)</v>
      </c>
      <c r="T1248" s="4" t="str">
        <f aca="false">CHOOSE(O1248,"Jan","Feb","Mar","Apr","May","Jun","Jul","Aug","Sep","Oct","Nov","Dec")</f>
        <v>Sep</v>
      </c>
    </row>
    <row r="1249" customFormat="false" ht="15" hidden="false" customHeight="false" outlineLevel="0" collapsed="false">
      <c r="A1249" s="4" t="s">
        <v>1589</v>
      </c>
      <c r="B1249" s="17" t="n">
        <v>45910</v>
      </c>
      <c r="C1249" s="4" t="n">
        <v>12</v>
      </c>
      <c r="D1249" s="4" t="s">
        <v>70</v>
      </c>
      <c r="E1249" s="4" t="s">
        <v>99</v>
      </c>
      <c r="F1249" s="4" t="s">
        <v>102</v>
      </c>
      <c r="G1249" s="4" t="n">
        <v>1</v>
      </c>
      <c r="H1249" s="34" t="n">
        <v>140</v>
      </c>
      <c r="I1249" s="18" t="n">
        <v>0</v>
      </c>
      <c r="J1249" s="4" t="s">
        <v>67</v>
      </c>
      <c r="K1249" s="4" t="s">
        <v>68</v>
      </c>
      <c r="L1249" s="35" t="n">
        <f aca="false">G1249*H1249</f>
        <v>140</v>
      </c>
      <c r="M1249" s="35" t="n">
        <f aca="false">L1249*I1249</f>
        <v>0</v>
      </c>
      <c r="N1249" s="35" t="n">
        <f aca="false">L1249-M1249</f>
        <v>140</v>
      </c>
      <c r="O1249" s="4" t="n">
        <f aca="false">MONTH(B1249)</f>
        <v>9</v>
      </c>
      <c r="P1249" s="4" t="str">
        <f aca="false">CHOOSE(WEEKDAY(B1249,2),"Mon","Tue","Wed","Thu","Fri","Sat","Sun")</f>
        <v>Wed</v>
      </c>
      <c r="Q1249" s="4" t="str">
        <f aca="false">IF(WEEKDAY(B1249,2)&gt;5,"Weekend","Weekday")</f>
        <v>Weekday</v>
      </c>
      <c r="R1249" s="4" t="str">
        <f aca="false">IF(C1249&lt;11,"Morning (7-10)",IF(C1249&lt;14,"Lunch (11-13)",IF(C1249&lt;18,"Afternoon (14-17)","Evening (18-20)")))</f>
        <v>Lunch (11-13)</v>
      </c>
      <c r="S1249" s="4" t="str">
        <f aca="false">IF(AND(O1249&gt;=3,O1249&lt;=5),"Hot Dry (Mar-May)",IF(AND(O1249&gt;=6,O1249&lt;=11),"Rainy (Jun-Nov)","Cool Dry (Dec-Feb)"))</f>
        <v>Rainy (Jun-Nov)</v>
      </c>
      <c r="T1249" s="4" t="str">
        <f aca="false">CHOOSE(O1249,"Jan","Feb","Mar","Apr","May","Jun","Jul","Aug","Sep","Oct","Nov","Dec")</f>
        <v>Sep</v>
      </c>
    </row>
    <row r="1250" customFormat="false" ht="15" hidden="false" customHeight="false" outlineLevel="0" collapsed="false">
      <c r="A1250" s="4" t="s">
        <v>1590</v>
      </c>
      <c r="B1250" s="17" t="n">
        <v>45910</v>
      </c>
      <c r="C1250" s="4" t="n">
        <v>16</v>
      </c>
      <c r="D1250" s="4" t="s">
        <v>98</v>
      </c>
      <c r="E1250" s="4" t="s">
        <v>84</v>
      </c>
      <c r="F1250" s="4" t="s">
        <v>117</v>
      </c>
      <c r="G1250" s="4" t="n">
        <v>2</v>
      </c>
      <c r="H1250" s="34" t="n">
        <v>95</v>
      </c>
      <c r="I1250" s="18" t="n">
        <v>0.1</v>
      </c>
      <c r="J1250" s="4" t="s">
        <v>81</v>
      </c>
      <c r="K1250" s="4" t="s">
        <v>71</v>
      </c>
      <c r="L1250" s="35" t="n">
        <f aca="false">G1250*H1250</f>
        <v>190</v>
      </c>
      <c r="M1250" s="35" t="n">
        <f aca="false">L1250*I1250</f>
        <v>19</v>
      </c>
      <c r="N1250" s="35" t="n">
        <f aca="false">L1250-M1250</f>
        <v>171</v>
      </c>
      <c r="O1250" s="4" t="n">
        <f aca="false">MONTH(B1250)</f>
        <v>9</v>
      </c>
      <c r="P1250" s="4" t="str">
        <f aca="false">CHOOSE(WEEKDAY(B1250,2),"Mon","Tue","Wed","Thu","Fri","Sat","Sun")</f>
        <v>Wed</v>
      </c>
      <c r="Q1250" s="4" t="str">
        <f aca="false">IF(WEEKDAY(B1250,2)&gt;5,"Weekend","Weekday")</f>
        <v>Weekday</v>
      </c>
      <c r="R1250" s="4" t="str">
        <f aca="false">IF(C1250&lt;11,"Morning (7-10)",IF(C1250&lt;14,"Lunch (11-13)",IF(C1250&lt;18,"Afternoon (14-17)","Evening (18-20)")))</f>
        <v>Afternoon (14-17)</v>
      </c>
      <c r="S1250" s="4" t="str">
        <f aca="false">IF(AND(O1250&gt;=3,O1250&lt;=5),"Hot Dry (Mar-May)",IF(AND(O1250&gt;=6,O1250&lt;=11),"Rainy (Jun-Nov)","Cool Dry (Dec-Feb)"))</f>
        <v>Rainy (Jun-Nov)</v>
      </c>
      <c r="T1250" s="4" t="str">
        <f aca="false">CHOOSE(O1250,"Jan","Feb","Mar","Apr","May","Jun","Jul","Aug","Sep","Oct","Nov","Dec")</f>
        <v>Sep</v>
      </c>
    </row>
    <row r="1251" customFormat="false" ht="15" hidden="false" customHeight="false" outlineLevel="0" collapsed="false">
      <c r="A1251" s="4" t="s">
        <v>1591</v>
      </c>
      <c r="B1251" s="17" t="n">
        <v>45910</v>
      </c>
      <c r="C1251" s="4" t="n">
        <v>16</v>
      </c>
      <c r="D1251" s="4" t="s">
        <v>70</v>
      </c>
      <c r="E1251" s="4" t="s">
        <v>65</v>
      </c>
      <c r="F1251" s="4" t="s">
        <v>121</v>
      </c>
      <c r="G1251" s="4" t="n">
        <v>2</v>
      </c>
      <c r="H1251" s="34" t="n">
        <v>170</v>
      </c>
      <c r="I1251" s="18" t="n">
        <v>0</v>
      </c>
      <c r="J1251" s="4" t="s">
        <v>76</v>
      </c>
      <c r="K1251" s="4" t="s">
        <v>77</v>
      </c>
      <c r="L1251" s="35" t="n">
        <f aca="false">G1251*H1251</f>
        <v>340</v>
      </c>
      <c r="M1251" s="35" t="n">
        <f aca="false">L1251*I1251</f>
        <v>0</v>
      </c>
      <c r="N1251" s="35" t="n">
        <f aca="false">L1251-M1251</f>
        <v>340</v>
      </c>
      <c r="O1251" s="4" t="n">
        <f aca="false">MONTH(B1251)</f>
        <v>9</v>
      </c>
      <c r="P1251" s="4" t="str">
        <f aca="false">CHOOSE(WEEKDAY(B1251,2),"Mon","Tue","Wed","Thu","Fri","Sat","Sun")</f>
        <v>Wed</v>
      </c>
      <c r="Q1251" s="4" t="str">
        <f aca="false">IF(WEEKDAY(B1251,2)&gt;5,"Weekend","Weekday")</f>
        <v>Weekday</v>
      </c>
      <c r="R1251" s="4" t="str">
        <f aca="false">IF(C1251&lt;11,"Morning (7-10)",IF(C1251&lt;14,"Lunch (11-13)",IF(C1251&lt;18,"Afternoon (14-17)","Evening (18-20)")))</f>
        <v>Afternoon (14-17)</v>
      </c>
      <c r="S1251" s="4" t="str">
        <f aca="false">IF(AND(O1251&gt;=3,O1251&lt;=5),"Hot Dry (Mar-May)",IF(AND(O1251&gt;=6,O1251&lt;=11),"Rainy (Jun-Nov)","Cool Dry (Dec-Feb)"))</f>
        <v>Rainy (Jun-Nov)</v>
      </c>
      <c r="T1251" s="4" t="str">
        <f aca="false">CHOOSE(O1251,"Jan","Feb","Mar","Apr","May","Jun","Jul","Aug","Sep","Oct","Nov","Dec")</f>
        <v>Sep</v>
      </c>
    </row>
    <row r="1252" customFormat="false" ht="15" hidden="false" customHeight="false" outlineLevel="0" collapsed="false">
      <c r="A1252" s="4" t="s">
        <v>1592</v>
      </c>
      <c r="B1252" s="17" t="n">
        <v>45910</v>
      </c>
      <c r="C1252" s="4" t="n">
        <v>18</v>
      </c>
      <c r="D1252" s="4" t="s">
        <v>73</v>
      </c>
      <c r="E1252" s="4" t="s">
        <v>99</v>
      </c>
      <c r="F1252" s="4" t="s">
        <v>100</v>
      </c>
      <c r="G1252" s="4" t="n">
        <v>2</v>
      </c>
      <c r="H1252" s="34" t="n">
        <v>110</v>
      </c>
      <c r="I1252" s="18" t="n">
        <v>0</v>
      </c>
      <c r="J1252" s="4" t="s">
        <v>81</v>
      </c>
      <c r="K1252" s="4" t="s">
        <v>77</v>
      </c>
      <c r="L1252" s="35" t="n">
        <f aca="false">G1252*H1252</f>
        <v>220</v>
      </c>
      <c r="M1252" s="35" t="n">
        <f aca="false">L1252*I1252</f>
        <v>0</v>
      </c>
      <c r="N1252" s="35" t="n">
        <f aca="false">L1252-M1252</f>
        <v>220</v>
      </c>
      <c r="O1252" s="4" t="n">
        <f aca="false">MONTH(B1252)</f>
        <v>9</v>
      </c>
      <c r="P1252" s="4" t="str">
        <f aca="false">CHOOSE(WEEKDAY(B1252,2),"Mon","Tue","Wed","Thu","Fri","Sat","Sun")</f>
        <v>Wed</v>
      </c>
      <c r="Q1252" s="4" t="str">
        <f aca="false">IF(WEEKDAY(B1252,2)&gt;5,"Weekend","Weekday")</f>
        <v>Weekday</v>
      </c>
      <c r="R1252" s="4" t="str">
        <f aca="false">IF(C1252&lt;11,"Morning (7-10)",IF(C1252&lt;14,"Lunch (11-13)",IF(C1252&lt;18,"Afternoon (14-17)","Evening (18-20)")))</f>
        <v>Evening (18-20)</v>
      </c>
      <c r="S1252" s="4" t="str">
        <f aca="false">IF(AND(O1252&gt;=3,O1252&lt;=5),"Hot Dry (Mar-May)",IF(AND(O1252&gt;=6,O1252&lt;=11),"Rainy (Jun-Nov)","Cool Dry (Dec-Feb)"))</f>
        <v>Rainy (Jun-Nov)</v>
      </c>
      <c r="T1252" s="4" t="str">
        <f aca="false">CHOOSE(O1252,"Jan","Feb","Mar","Apr","May","Jun","Jul","Aug","Sep","Oct","Nov","Dec")</f>
        <v>Sep</v>
      </c>
    </row>
    <row r="1253" customFormat="false" ht="15" hidden="false" customHeight="false" outlineLevel="0" collapsed="false">
      <c r="A1253" s="4" t="s">
        <v>1594</v>
      </c>
      <c r="B1253" s="17" t="n">
        <v>45910</v>
      </c>
      <c r="C1253" s="4" t="n">
        <v>18</v>
      </c>
      <c r="D1253" s="4" t="s">
        <v>73</v>
      </c>
      <c r="E1253" s="4" t="s">
        <v>99</v>
      </c>
      <c r="F1253" s="4" t="s">
        <v>100</v>
      </c>
      <c r="G1253" s="4" t="n">
        <v>4</v>
      </c>
      <c r="H1253" s="34" t="n">
        <v>110</v>
      </c>
      <c r="I1253" s="18" t="n">
        <v>0.1</v>
      </c>
      <c r="J1253" s="4" t="s">
        <v>76</v>
      </c>
      <c r="K1253" s="4" t="s">
        <v>71</v>
      </c>
      <c r="L1253" s="35" t="n">
        <f aca="false">G1253*H1253</f>
        <v>440</v>
      </c>
      <c r="M1253" s="35" t="n">
        <f aca="false">L1253*I1253</f>
        <v>44</v>
      </c>
      <c r="N1253" s="35" t="n">
        <f aca="false">L1253-M1253</f>
        <v>396</v>
      </c>
      <c r="O1253" s="4" t="n">
        <f aca="false">MONTH(B1253)</f>
        <v>9</v>
      </c>
      <c r="P1253" s="4" t="str">
        <f aca="false">CHOOSE(WEEKDAY(B1253,2),"Mon","Tue","Wed","Thu","Fri","Sat","Sun")</f>
        <v>Wed</v>
      </c>
      <c r="Q1253" s="4" t="str">
        <f aca="false">IF(WEEKDAY(B1253,2)&gt;5,"Weekend","Weekday")</f>
        <v>Weekday</v>
      </c>
      <c r="R1253" s="4" t="str">
        <f aca="false">IF(C1253&lt;11,"Morning (7-10)",IF(C1253&lt;14,"Lunch (11-13)",IF(C1253&lt;18,"Afternoon (14-17)","Evening (18-20)")))</f>
        <v>Evening (18-20)</v>
      </c>
      <c r="S1253" s="4" t="str">
        <f aca="false">IF(AND(O1253&gt;=3,O1253&lt;=5),"Hot Dry (Mar-May)",IF(AND(O1253&gt;=6,O1253&lt;=11),"Rainy (Jun-Nov)","Cool Dry (Dec-Feb)"))</f>
        <v>Rainy (Jun-Nov)</v>
      </c>
      <c r="T1253" s="4" t="str">
        <f aca="false">CHOOSE(O1253,"Jan","Feb","Mar","Apr","May","Jun","Jul","Aug","Sep","Oct","Nov","Dec")</f>
        <v>Sep</v>
      </c>
    </row>
    <row r="1254" customFormat="false" ht="15" hidden="false" customHeight="false" outlineLevel="0" collapsed="false">
      <c r="A1254" s="4" t="s">
        <v>1595</v>
      </c>
      <c r="B1254" s="17" t="n">
        <v>45910</v>
      </c>
      <c r="C1254" s="4" t="n">
        <v>20</v>
      </c>
      <c r="D1254" s="4" t="s">
        <v>70</v>
      </c>
      <c r="E1254" s="4" t="s">
        <v>65</v>
      </c>
      <c r="F1254" s="4" t="s">
        <v>87</v>
      </c>
      <c r="G1254" s="4" t="n">
        <v>2</v>
      </c>
      <c r="H1254" s="34" t="n">
        <v>160</v>
      </c>
      <c r="I1254" s="18" t="n">
        <v>0.1</v>
      </c>
      <c r="J1254" s="4" t="s">
        <v>81</v>
      </c>
      <c r="K1254" s="4" t="s">
        <v>77</v>
      </c>
      <c r="L1254" s="35" t="n">
        <f aca="false">G1254*H1254</f>
        <v>320</v>
      </c>
      <c r="M1254" s="35" t="n">
        <f aca="false">L1254*I1254</f>
        <v>32</v>
      </c>
      <c r="N1254" s="35" t="n">
        <f aca="false">L1254-M1254</f>
        <v>288</v>
      </c>
      <c r="O1254" s="4" t="n">
        <f aca="false">MONTH(B1254)</f>
        <v>9</v>
      </c>
      <c r="P1254" s="4" t="str">
        <f aca="false">CHOOSE(WEEKDAY(B1254,2),"Mon","Tue","Wed","Thu","Fri","Sat","Sun")</f>
        <v>Wed</v>
      </c>
      <c r="Q1254" s="4" t="str">
        <f aca="false">IF(WEEKDAY(B1254,2)&gt;5,"Weekend","Weekday")</f>
        <v>Weekday</v>
      </c>
      <c r="R1254" s="4" t="str">
        <f aca="false">IF(C1254&lt;11,"Morning (7-10)",IF(C1254&lt;14,"Lunch (11-13)",IF(C1254&lt;18,"Afternoon (14-17)","Evening (18-20)")))</f>
        <v>Evening (18-20)</v>
      </c>
      <c r="S1254" s="4" t="str">
        <f aca="false">IF(AND(O1254&gt;=3,O1254&lt;=5),"Hot Dry (Mar-May)",IF(AND(O1254&gt;=6,O1254&lt;=11),"Rainy (Jun-Nov)","Cool Dry (Dec-Feb)"))</f>
        <v>Rainy (Jun-Nov)</v>
      </c>
      <c r="T1254" s="4" t="str">
        <f aca="false">CHOOSE(O1254,"Jan","Feb","Mar","Apr","May","Jun","Jul","Aug","Sep","Oct","Nov","Dec")</f>
        <v>Sep</v>
      </c>
    </row>
    <row r="1255" customFormat="false" ht="15" hidden="false" customHeight="false" outlineLevel="0" collapsed="false">
      <c r="A1255" s="4" t="s">
        <v>1596</v>
      </c>
      <c r="B1255" s="17" t="n">
        <v>45910</v>
      </c>
      <c r="C1255" s="4" t="n">
        <v>20</v>
      </c>
      <c r="D1255" s="4" t="s">
        <v>64</v>
      </c>
      <c r="E1255" s="4" t="s">
        <v>74</v>
      </c>
      <c r="F1255" s="4" t="s">
        <v>139</v>
      </c>
      <c r="G1255" s="4" t="n">
        <v>3</v>
      </c>
      <c r="H1255" s="34" t="n">
        <v>260</v>
      </c>
      <c r="I1255" s="18" t="n">
        <v>0</v>
      </c>
      <c r="J1255" s="4" t="s">
        <v>76</v>
      </c>
      <c r="K1255" s="4" t="s">
        <v>68</v>
      </c>
      <c r="L1255" s="35" t="n">
        <f aca="false">G1255*H1255</f>
        <v>780</v>
      </c>
      <c r="M1255" s="35" t="n">
        <f aca="false">L1255*I1255</f>
        <v>0</v>
      </c>
      <c r="N1255" s="35" t="n">
        <f aca="false">L1255-M1255</f>
        <v>780</v>
      </c>
      <c r="O1255" s="4" t="n">
        <f aca="false">MONTH(B1255)</f>
        <v>9</v>
      </c>
      <c r="P1255" s="4" t="str">
        <f aca="false">CHOOSE(WEEKDAY(B1255,2),"Mon","Tue","Wed","Thu","Fri","Sat","Sun")</f>
        <v>Wed</v>
      </c>
      <c r="Q1255" s="4" t="str">
        <f aca="false">IF(WEEKDAY(B1255,2)&gt;5,"Weekend","Weekday")</f>
        <v>Weekday</v>
      </c>
      <c r="R1255" s="4" t="str">
        <f aca="false">IF(C1255&lt;11,"Morning (7-10)",IF(C1255&lt;14,"Lunch (11-13)",IF(C1255&lt;18,"Afternoon (14-17)","Evening (18-20)")))</f>
        <v>Evening (18-20)</v>
      </c>
      <c r="S1255" s="4" t="str">
        <f aca="false">IF(AND(O1255&gt;=3,O1255&lt;=5),"Hot Dry (Mar-May)",IF(AND(O1255&gt;=6,O1255&lt;=11),"Rainy (Jun-Nov)","Cool Dry (Dec-Feb)"))</f>
        <v>Rainy (Jun-Nov)</v>
      </c>
      <c r="T1255" s="4" t="str">
        <f aca="false">CHOOSE(O1255,"Jan","Feb","Mar","Apr","May","Jun","Jul","Aug","Sep","Oct","Nov","Dec")</f>
        <v>Sep</v>
      </c>
    </row>
    <row r="1256" customFormat="false" ht="15" hidden="false" customHeight="false" outlineLevel="0" collapsed="false">
      <c r="A1256" s="4" t="s">
        <v>1597</v>
      </c>
      <c r="B1256" s="17" t="n">
        <v>45911</v>
      </c>
      <c r="C1256" s="4" t="n">
        <v>8</v>
      </c>
      <c r="D1256" s="4" t="s">
        <v>98</v>
      </c>
      <c r="E1256" s="4" t="s">
        <v>99</v>
      </c>
      <c r="F1256" s="4" t="s">
        <v>102</v>
      </c>
      <c r="G1256" s="4" t="n">
        <v>4</v>
      </c>
      <c r="H1256" s="34" t="n">
        <v>140</v>
      </c>
      <c r="I1256" s="18" t="n">
        <v>0.1</v>
      </c>
      <c r="J1256" s="4" t="s">
        <v>67</v>
      </c>
      <c r="K1256" s="4" t="s">
        <v>71</v>
      </c>
      <c r="L1256" s="35" t="n">
        <f aca="false">G1256*H1256</f>
        <v>560</v>
      </c>
      <c r="M1256" s="35" t="n">
        <f aca="false">L1256*I1256</f>
        <v>56</v>
      </c>
      <c r="N1256" s="35" t="n">
        <f aca="false">L1256-M1256</f>
        <v>504</v>
      </c>
      <c r="O1256" s="4" t="n">
        <f aca="false">MONTH(B1256)</f>
        <v>9</v>
      </c>
      <c r="P1256" s="4" t="str">
        <f aca="false">CHOOSE(WEEKDAY(B1256,2),"Mon","Tue","Wed","Thu","Fri","Sat","Sun")</f>
        <v>Thu</v>
      </c>
      <c r="Q1256" s="4" t="str">
        <f aca="false">IF(WEEKDAY(B1256,2)&gt;5,"Weekend","Weekday")</f>
        <v>Weekday</v>
      </c>
      <c r="R1256" s="4" t="str">
        <f aca="false">IF(C1256&lt;11,"Morning (7-10)",IF(C1256&lt;14,"Lunch (11-13)",IF(C1256&lt;18,"Afternoon (14-17)","Evening (18-20)")))</f>
        <v>Morning (7-10)</v>
      </c>
      <c r="S1256" s="4" t="str">
        <f aca="false">IF(AND(O1256&gt;=3,O1256&lt;=5),"Hot Dry (Mar-May)",IF(AND(O1256&gt;=6,O1256&lt;=11),"Rainy (Jun-Nov)","Cool Dry (Dec-Feb)"))</f>
        <v>Rainy (Jun-Nov)</v>
      </c>
      <c r="T1256" s="4" t="str">
        <f aca="false">CHOOSE(O1256,"Jan","Feb","Mar","Apr","May","Jun","Jul","Aug","Sep","Oct","Nov","Dec")</f>
        <v>Sep</v>
      </c>
    </row>
    <row r="1257" customFormat="false" ht="15" hidden="false" customHeight="false" outlineLevel="0" collapsed="false">
      <c r="A1257" s="4" t="s">
        <v>1598</v>
      </c>
      <c r="B1257" s="17" t="n">
        <v>45911</v>
      </c>
      <c r="C1257" s="4" t="n">
        <v>10</v>
      </c>
      <c r="D1257" s="4" t="s">
        <v>70</v>
      </c>
      <c r="E1257" s="4" t="s">
        <v>99</v>
      </c>
      <c r="F1257" s="4" t="s">
        <v>100</v>
      </c>
      <c r="G1257" s="4" t="n">
        <v>4</v>
      </c>
      <c r="H1257" s="34" t="n">
        <v>110</v>
      </c>
      <c r="I1257" s="18" t="n">
        <v>0</v>
      </c>
      <c r="J1257" s="4" t="s">
        <v>81</v>
      </c>
      <c r="K1257" s="4" t="s">
        <v>77</v>
      </c>
      <c r="L1257" s="35" t="n">
        <f aca="false">G1257*H1257</f>
        <v>440</v>
      </c>
      <c r="M1257" s="35" t="n">
        <f aca="false">L1257*I1257</f>
        <v>0</v>
      </c>
      <c r="N1257" s="35" t="n">
        <f aca="false">L1257-M1257</f>
        <v>440</v>
      </c>
      <c r="O1257" s="4" t="n">
        <f aca="false">MONTH(B1257)</f>
        <v>9</v>
      </c>
      <c r="P1257" s="4" t="str">
        <f aca="false">CHOOSE(WEEKDAY(B1257,2),"Mon","Tue","Wed","Thu","Fri","Sat","Sun")</f>
        <v>Thu</v>
      </c>
      <c r="Q1257" s="4" t="str">
        <f aca="false">IF(WEEKDAY(B1257,2)&gt;5,"Weekend","Weekday")</f>
        <v>Weekday</v>
      </c>
      <c r="R1257" s="4" t="str">
        <f aca="false">IF(C1257&lt;11,"Morning (7-10)",IF(C1257&lt;14,"Lunch (11-13)",IF(C1257&lt;18,"Afternoon (14-17)","Evening (18-20)")))</f>
        <v>Morning (7-10)</v>
      </c>
      <c r="S1257" s="4" t="str">
        <f aca="false">IF(AND(O1257&gt;=3,O1257&lt;=5),"Hot Dry (Mar-May)",IF(AND(O1257&gt;=6,O1257&lt;=11),"Rainy (Jun-Nov)","Cool Dry (Dec-Feb)"))</f>
        <v>Rainy (Jun-Nov)</v>
      </c>
      <c r="T1257" s="4" t="str">
        <f aca="false">CHOOSE(O1257,"Jan","Feb","Mar","Apr","May","Jun","Jul","Aug","Sep","Oct","Nov","Dec")</f>
        <v>Sep</v>
      </c>
    </row>
    <row r="1258" customFormat="false" ht="15" hidden="false" customHeight="false" outlineLevel="0" collapsed="false">
      <c r="A1258" s="4" t="s">
        <v>1599</v>
      </c>
      <c r="B1258" s="17" t="n">
        <v>45911</v>
      </c>
      <c r="C1258" s="4" t="n">
        <v>13</v>
      </c>
      <c r="D1258" s="4" t="s">
        <v>70</v>
      </c>
      <c r="E1258" s="4" t="s">
        <v>84</v>
      </c>
      <c r="F1258" s="4" t="s">
        <v>114</v>
      </c>
      <c r="G1258" s="4" t="n">
        <v>2</v>
      </c>
      <c r="H1258" s="34" t="n">
        <v>85</v>
      </c>
      <c r="I1258" s="18" t="n">
        <v>0</v>
      </c>
      <c r="J1258" s="4" t="s">
        <v>67</v>
      </c>
      <c r="K1258" s="4" t="s">
        <v>77</v>
      </c>
      <c r="L1258" s="35" t="n">
        <f aca="false">G1258*H1258</f>
        <v>170</v>
      </c>
      <c r="M1258" s="35" t="n">
        <f aca="false">L1258*I1258</f>
        <v>0</v>
      </c>
      <c r="N1258" s="35" t="n">
        <f aca="false">L1258-M1258</f>
        <v>170</v>
      </c>
      <c r="O1258" s="4" t="n">
        <f aca="false">MONTH(B1258)</f>
        <v>9</v>
      </c>
      <c r="P1258" s="4" t="str">
        <f aca="false">CHOOSE(WEEKDAY(B1258,2),"Mon","Tue","Wed","Thu","Fri","Sat","Sun")</f>
        <v>Thu</v>
      </c>
      <c r="Q1258" s="4" t="str">
        <f aca="false">IF(WEEKDAY(B1258,2)&gt;5,"Weekend","Weekday")</f>
        <v>Weekday</v>
      </c>
      <c r="R1258" s="4" t="str">
        <f aca="false">IF(C1258&lt;11,"Morning (7-10)",IF(C1258&lt;14,"Lunch (11-13)",IF(C1258&lt;18,"Afternoon (14-17)","Evening (18-20)")))</f>
        <v>Lunch (11-13)</v>
      </c>
      <c r="S1258" s="4" t="str">
        <f aca="false">IF(AND(O1258&gt;=3,O1258&lt;=5),"Hot Dry (Mar-May)",IF(AND(O1258&gt;=6,O1258&lt;=11),"Rainy (Jun-Nov)","Cool Dry (Dec-Feb)"))</f>
        <v>Rainy (Jun-Nov)</v>
      </c>
      <c r="T1258" s="4" t="str">
        <f aca="false">CHOOSE(O1258,"Jan","Feb","Mar","Apr","May","Jun","Jul","Aug","Sep","Oct","Nov","Dec")</f>
        <v>Sep</v>
      </c>
    </row>
    <row r="1259" customFormat="false" ht="15" hidden="false" customHeight="false" outlineLevel="0" collapsed="false">
      <c r="A1259" s="4" t="s">
        <v>1600</v>
      </c>
      <c r="B1259" s="17" t="n">
        <v>45912</v>
      </c>
      <c r="C1259" s="4" t="n">
        <v>13</v>
      </c>
      <c r="D1259" s="4" t="s">
        <v>70</v>
      </c>
      <c r="E1259" s="4" t="s">
        <v>65</v>
      </c>
      <c r="F1259" s="4" t="s">
        <v>121</v>
      </c>
      <c r="G1259" s="4" t="n">
        <v>1</v>
      </c>
      <c r="H1259" s="34" t="n">
        <v>170</v>
      </c>
      <c r="I1259" s="18" t="n">
        <v>0.05</v>
      </c>
      <c r="J1259" s="4" t="s">
        <v>67</v>
      </c>
      <c r="K1259" s="4" t="s">
        <v>82</v>
      </c>
      <c r="L1259" s="35" t="n">
        <f aca="false">G1259*H1259</f>
        <v>170</v>
      </c>
      <c r="M1259" s="35" t="n">
        <f aca="false">L1259*I1259</f>
        <v>8.5</v>
      </c>
      <c r="N1259" s="35" t="n">
        <f aca="false">L1259-M1259</f>
        <v>161.5</v>
      </c>
      <c r="O1259" s="4" t="n">
        <f aca="false">MONTH(B1259)</f>
        <v>9</v>
      </c>
      <c r="P1259" s="4" t="str">
        <f aca="false">CHOOSE(WEEKDAY(B1259,2),"Mon","Tue","Wed","Thu","Fri","Sat","Sun")</f>
        <v>Fri</v>
      </c>
      <c r="Q1259" s="4" t="str">
        <f aca="false">IF(WEEKDAY(B1259,2)&gt;5,"Weekend","Weekday")</f>
        <v>Weekday</v>
      </c>
      <c r="R1259" s="4" t="str">
        <f aca="false">IF(C1259&lt;11,"Morning (7-10)",IF(C1259&lt;14,"Lunch (11-13)",IF(C1259&lt;18,"Afternoon (14-17)","Evening (18-20)")))</f>
        <v>Lunch (11-13)</v>
      </c>
      <c r="S1259" s="4" t="str">
        <f aca="false">IF(AND(O1259&gt;=3,O1259&lt;=5),"Hot Dry (Mar-May)",IF(AND(O1259&gt;=6,O1259&lt;=11),"Rainy (Jun-Nov)","Cool Dry (Dec-Feb)"))</f>
        <v>Rainy (Jun-Nov)</v>
      </c>
      <c r="T1259" s="4" t="str">
        <f aca="false">CHOOSE(O1259,"Jan","Feb","Mar","Apr","May","Jun","Jul","Aug","Sep","Oct","Nov","Dec")</f>
        <v>Sep</v>
      </c>
    </row>
    <row r="1260" customFormat="false" ht="15" hidden="false" customHeight="false" outlineLevel="0" collapsed="false">
      <c r="A1260" s="4" t="s">
        <v>1601</v>
      </c>
      <c r="B1260" s="17" t="n">
        <v>45912</v>
      </c>
      <c r="C1260" s="4" t="n">
        <v>16</v>
      </c>
      <c r="D1260" s="4" t="s">
        <v>64</v>
      </c>
      <c r="E1260" s="4" t="s">
        <v>99</v>
      </c>
      <c r="F1260" s="4" t="s">
        <v>109</v>
      </c>
      <c r="G1260" s="4" t="n">
        <v>1</v>
      </c>
      <c r="H1260" s="34" t="n">
        <v>130</v>
      </c>
      <c r="I1260" s="18" t="n">
        <v>0.1</v>
      </c>
      <c r="J1260" s="4" t="s">
        <v>67</v>
      </c>
      <c r="K1260" s="4" t="s">
        <v>71</v>
      </c>
      <c r="L1260" s="35" t="n">
        <f aca="false">G1260*H1260</f>
        <v>130</v>
      </c>
      <c r="M1260" s="35" t="n">
        <f aca="false">L1260*I1260</f>
        <v>13</v>
      </c>
      <c r="N1260" s="35" t="n">
        <f aca="false">L1260-M1260</f>
        <v>117</v>
      </c>
      <c r="O1260" s="4" t="n">
        <f aca="false">MONTH(B1260)</f>
        <v>9</v>
      </c>
      <c r="P1260" s="4" t="str">
        <f aca="false">CHOOSE(WEEKDAY(B1260,2),"Mon","Tue","Wed","Thu","Fri","Sat","Sun")</f>
        <v>Fri</v>
      </c>
      <c r="Q1260" s="4" t="str">
        <f aca="false">IF(WEEKDAY(B1260,2)&gt;5,"Weekend","Weekday")</f>
        <v>Weekday</v>
      </c>
      <c r="R1260" s="4" t="str">
        <f aca="false">IF(C1260&lt;11,"Morning (7-10)",IF(C1260&lt;14,"Lunch (11-13)",IF(C1260&lt;18,"Afternoon (14-17)","Evening (18-20)")))</f>
        <v>Afternoon (14-17)</v>
      </c>
      <c r="S1260" s="4" t="str">
        <f aca="false">IF(AND(O1260&gt;=3,O1260&lt;=5),"Hot Dry (Mar-May)",IF(AND(O1260&gt;=6,O1260&lt;=11),"Rainy (Jun-Nov)","Cool Dry (Dec-Feb)"))</f>
        <v>Rainy (Jun-Nov)</v>
      </c>
      <c r="T1260" s="4" t="str">
        <f aca="false">CHOOSE(O1260,"Jan","Feb","Mar","Apr","May","Jun","Jul","Aug","Sep","Oct","Nov","Dec")</f>
        <v>Sep</v>
      </c>
    </row>
    <row r="1261" customFormat="false" ht="15" hidden="false" customHeight="false" outlineLevel="0" collapsed="false">
      <c r="A1261" s="4" t="s">
        <v>1602</v>
      </c>
      <c r="B1261" s="17" t="n">
        <v>45912</v>
      </c>
      <c r="C1261" s="4" t="n">
        <v>17</v>
      </c>
      <c r="D1261" s="4" t="s">
        <v>70</v>
      </c>
      <c r="E1261" s="4" t="s">
        <v>84</v>
      </c>
      <c r="F1261" s="4" t="s">
        <v>117</v>
      </c>
      <c r="G1261" s="4" t="n">
        <v>1</v>
      </c>
      <c r="H1261" s="34" t="n">
        <v>95</v>
      </c>
      <c r="I1261" s="18" t="n">
        <v>0</v>
      </c>
      <c r="J1261" s="4" t="s">
        <v>81</v>
      </c>
      <c r="K1261" s="4" t="s">
        <v>77</v>
      </c>
      <c r="L1261" s="35" t="n">
        <f aca="false">G1261*H1261</f>
        <v>95</v>
      </c>
      <c r="M1261" s="35" t="n">
        <f aca="false">L1261*I1261</f>
        <v>0</v>
      </c>
      <c r="N1261" s="35" t="n">
        <f aca="false">L1261-M1261</f>
        <v>95</v>
      </c>
      <c r="O1261" s="4" t="n">
        <f aca="false">MONTH(B1261)</f>
        <v>9</v>
      </c>
      <c r="P1261" s="4" t="str">
        <f aca="false">CHOOSE(WEEKDAY(B1261,2),"Mon","Tue","Wed","Thu","Fri","Sat","Sun")</f>
        <v>Fri</v>
      </c>
      <c r="Q1261" s="4" t="str">
        <f aca="false">IF(WEEKDAY(B1261,2)&gt;5,"Weekend","Weekday")</f>
        <v>Weekday</v>
      </c>
      <c r="R1261" s="4" t="str">
        <f aca="false">IF(C1261&lt;11,"Morning (7-10)",IF(C1261&lt;14,"Lunch (11-13)",IF(C1261&lt;18,"Afternoon (14-17)","Evening (18-20)")))</f>
        <v>Afternoon (14-17)</v>
      </c>
      <c r="S1261" s="4" t="str">
        <f aca="false">IF(AND(O1261&gt;=3,O1261&lt;=5),"Hot Dry (Mar-May)",IF(AND(O1261&gt;=6,O1261&lt;=11),"Rainy (Jun-Nov)","Cool Dry (Dec-Feb)"))</f>
        <v>Rainy (Jun-Nov)</v>
      </c>
      <c r="T1261" s="4" t="str">
        <f aca="false">CHOOSE(O1261,"Jan","Feb","Mar","Apr","May","Jun","Jul","Aug","Sep","Oct","Nov","Dec")</f>
        <v>Sep</v>
      </c>
    </row>
    <row r="1262" customFormat="false" ht="15" hidden="false" customHeight="false" outlineLevel="0" collapsed="false">
      <c r="A1262" s="4" t="s">
        <v>1603</v>
      </c>
      <c r="B1262" s="17" t="n">
        <v>45912</v>
      </c>
      <c r="C1262" s="4" t="n">
        <v>19</v>
      </c>
      <c r="D1262" s="4" t="s">
        <v>64</v>
      </c>
      <c r="E1262" s="4" t="s">
        <v>65</v>
      </c>
      <c r="F1262" s="4" t="s">
        <v>87</v>
      </c>
      <c r="G1262" s="4" t="n">
        <v>2</v>
      </c>
      <c r="H1262" s="34" t="n">
        <v>160</v>
      </c>
      <c r="I1262" s="18" t="n">
        <v>0</v>
      </c>
      <c r="J1262" s="4" t="s">
        <v>67</v>
      </c>
      <c r="K1262" s="4" t="s">
        <v>68</v>
      </c>
      <c r="L1262" s="35" t="n">
        <f aca="false">G1262*H1262</f>
        <v>320</v>
      </c>
      <c r="M1262" s="35" t="n">
        <f aca="false">L1262*I1262</f>
        <v>0</v>
      </c>
      <c r="N1262" s="35" t="n">
        <f aca="false">L1262-M1262</f>
        <v>320</v>
      </c>
      <c r="O1262" s="4" t="n">
        <f aca="false">MONTH(B1262)</f>
        <v>9</v>
      </c>
      <c r="P1262" s="4" t="str">
        <f aca="false">CHOOSE(WEEKDAY(B1262,2),"Mon","Tue","Wed","Thu","Fri","Sat","Sun")</f>
        <v>Fri</v>
      </c>
      <c r="Q1262" s="4" t="str">
        <f aca="false">IF(WEEKDAY(B1262,2)&gt;5,"Weekend","Weekday")</f>
        <v>Weekday</v>
      </c>
      <c r="R1262" s="4" t="str">
        <f aca="false">IF(C1262&lt;11,"Morning (7-10)",IF(C1262&lt;14,"Lunch (11-13)",IF(C1262&lt;18,"Afternoon (14-17)","Evening (18-20)")))</f>
        <v>Evening (18-20)</v>
      </c>
      <c r="S1262" s="4" t="str">
        <f aca="false">IF(AND(O1262&gt;=3,O1262&lt;=5),"Hot Dry (Mar-May)",IF(AND(O1262&gt;=6,O1262&lt;=11),"Rainy (Jun-Nov)","Cool Dry (Dec-Feb)"))</f>
        <v>Rainy (Jun-Nov)</v>
      </c>
      <c r="T1262" s="4" t="str">
        <f aca="false">CHOOSE(O1262,"Jan","Feb","Mar","Apr","May","Jun","Jul","Aug","Sep","Oct","Nov","Dec")</f>
        <v>Sep</v>
      </c>
    </row>
    <row r="1263" customFormat="false" ht="15" hidden="false" customHeight="false" outlineLevel="0" collapsed="false">
      <c r="A1263" s="4" t="s">
        <v>1605</v>
      </c>
      <c r="B1263" s="17" t="n">
        <v>45913</v>
      </c>
      <c r="C1263" s="4" t="n">
        <v>8</v>
      </c>
      <c r="D1263" s="4" t="s">
        <v>64</v>
      </c>
      <c r="E1263" s="4" t="s">
        <v>99</v>
      </c>
      <c r="F1263" s="4" t="s">
        <v>102</v>
      </c>
      <c r="G1263" s="4" t="n">
        <v>1</v>
      </c>
      <c r="H1263" s="34" t="n">
        <v>140</v>
      </c>
      <c r="I1263" s="18" t="n">
        <v>0.15</v>
      </c>
      <c r="J1263" s="4" t="s">
        <v>81</v>
      </c>
      <c r="K1263" s="4" t="s">
        <v>82</v>
      </c>
      <c r="L1263" s="35" t="n">
        <f aca="false">G1263*H1263</f>
        <v>140</v>
      </c>
      <c r="M1263" s="35" t="n">
        <f aca="false">L1263*I1263</f>
        <v>21</v>
      </c>
      <c r="N1263" s="35" t="n">
        <f aca="false">L1263-M1263</f>
        <v>119</v>
      </c>
      <c r="O1263" s="4" t="n">
        <f aca="false">MONTH(B1263)</f>
        <v>9</v>
      </c>
      <c r="P1263" s="4" t="str">
        <f aca="false">CHOOSE(WEEKDAY(B1263,2),"Mon","Tue","Wed","Thu","Fri","Sat","Sun")</f>
        <v>Sat</v>
      </c>
      <c r="Q1263" s="4" t="str">
        <f aca="false">IF(WEEKDAY(B1263,2)&gt;5,"Weekend","Weekday")</f>
        <v>Weekend</v>
      </c>
      <c r="R1263" s="4" t="str">
        <f aca="false">IF(C1263&lt;11,"Morning (7-10)",IF(C1263&lt;14,"Lunch (11-13)",IF(C1263&lt;18,"Afternoon (14-17)","Evening (18-20)")))</f>
        <v>Morning (7-10)</v>
      </c>
      <c r="S1263" s="4" t="str">
        <f aca="false">IF(AND(O1263&gt;=3,O1263&lt;=5),"Hot Dry (Mar-May)",IF(AND(O1263&gt;=6,O1263&lt;=11),"Rainy (Jun-Nov)","Cool Dry (Dec-Feb)"))</f>
        <v>Rainy (Jun-Nov)</v>
      </c>
      <c r="T1263" s="4" t="str">
        <f aca="false">CHOOSE(O1263,"Jan","Feb","Mar","Apr","May","Jun","Jul","Aug","Sep","Oct","Nov","Dec")</f>
        <v>Sep</v>
      </c>
    </row>
    <row r="1264" customFormat="false" ht="15" hidden="false" customHeight="false" outlineLevel="0" collapsed="false">
      <c r="A1264" s="4" t="s">
        <v>1606</v>
      </c>
      <c r="B1264" s="17" t="n">
        <v>45913</v>
      </c>
      <c r="C1264" s="4" t="n">
        <v>11</v>
      </c>
      <c r="D1264" s="4" t="s">
        <v>98</v>
      </c>
      <c r="E1264" s="4" t="s">
        <v>99</v>
      </c>
      <c r="F1264" s="4" t="s">
        <v>102</v>
      </c>
      <c r="G1264" s="4" t="n">
        <v>1</v>
      </c>
      <c r="H1264" s="34" t="n">
        <v>140</v>
      </c>
      <c r="I1264" s="18" t="n">
        <v>0</v>
      </c>
      <c r="J1264" s="4" t="s">
        <v>67</v>
      </c>
      <c r="K1264" s="4" t="s">
        <v>68</v>
      </c>
      <c r="L1264" s="35" t="n">
        <f aca="false">G1264*H1264</f>
        <v>140</v>
      </c>
      <c r="M1264" s="35" t="n">
        <f aca="false">L1264*I1264</f>
        <v>0</v>
      </c>
      <c r="N1264" s="35" t="n">
        <f aca="false">L1264-M1264</f>
        <v>140</v>
      </c>
      <c r="O1264" s="4" t="n">
        <f aca="false">MONTH(B1264)</f>
        <v>9</v>
      </c>
      <c r="P1264" s="4" t="str">
        <f aca="false">CHOOSE(WEEKDAY(B1264,2),"Mon","Tue","Wed","Thu","Fri","Sat","Sun")</f>
        <v>Sat</v>
      </c>
      <c r="Q1264" s="4" t="str">
        <f aca="false">IF(WEEKDAY(B1264,2)&gt;5,"Weekend","Weekday")</f>
        <v>Weekend</v>
      </c>
      <c r="R1264" s="4" t="str">
        <f aca="false">IF(C1264&lt;11,"Morning (7-10)",IF(C1264&lt;14,"Lunch (11-13)",IF(C1264&lt;18,"Afternoon (14-17)","Evening (18-20)")))</f>
        <v>Lunch (11-13)</v>
      </c>
      <c r="S1264" s="4" t="str">
        <f aca="false">IF(AND(O1264&gt;=3,O1264&lt;=5),"Hot Dry (Mar-May)",IF(AND(O1264&gt;=6,O1264&lt;=11),"Rainy (Jun-Nov)","Cool Dry (Dec-Feb)"))</f>
        <v>Rainy (Jun-Nov)</v>
      </c>
      <c r="T1264" s="4" t="str">
        <f aca="false">CHOOSE(O1264,"Jan","Feb","Mar","Apr","May","Jun","Jul","Aug","Sep","Oct","Nov","Dec")</f>
        <v>Sep</v>
      </c>
    </row>
    <row r="1265" customFormat="false" ht="15" hidden="false" customHeight="false" outlineLevel="0" collapsed="false">
      <c r="A1265" s="4" t="s">
        <v>1607</v>
      </c>
      <c r="B1265" s="17" t="n">
        <v>45913</v>
      </c>
      <c r="C1265" s="4" t="n">
        <v>13</v>
      </c>
      <c r="D1265" s="4" t="s">
        <v>64</v>
      </c>
      <c r="E1265" s="4" t="s">
        <v>99</v>
      </c>
      <c r="F1265" s="4" t="s">
        <v>102</v>
      </c>
      <c r="G1265" s="4" t="n">
        <v>2</v>
      </c>
      <c r="H1265" s="34" t="n">
        <v>140</v>
      </c>
      <c r="I1265" s="18" t="n">
        <v>0.1</v>
      </c>
      <c r="J1265" s="4" t="s">
        <v>76</v>
      </c>
      <c r="K1265" s="4" t="s">
        <v>82</v>
      </c>
      <c r="L1265" s="35" t="n">
        <f aca="false">G1265*H1265</f>
        <v>280</v>
      </c>
      <c r="M1265" s="35" t="n">
        <f aca="false">L1265*I1265</f>
        <v>28</v>
      </c>
      <c r="N1265" s="35" t="n">
        <f aca="false">L1265-M1265</f>
        <v>252</v>
      </c>
      <c r="O1265" s="4" t="n">
        <f aca="false">MONTH(B1265)</f>
        <v>9</v>
      </c>
      <c r="P1265" s="4" t="str">
        <f aca="false">CHOOSE(WEEKDAY(B1265,2),"Mon","Tue","Wed","Thu","Fri","Sat","Sun")</f>
        <v>Sat</v>
      </c>
      <c r="Q1265" s="4" t="str">
        <f aca="false">IF(WEEKDAY(B1265,2)&gt;5,"Weekend","Weekday")</f>
        <v>Weekend</v>
      </c>
      <c r="R1265" s="4" t="str">
        <f aca="false">IF(C1265&lt;11,"Morning (7-10)",IF(C1265&lt;14,"Lunch (11-13)",IF(C1265&lt;18,"Afternoon (14-17)","Evening (18-20)")))</f>
        <v>Lunch (11-13)</v>
      </c>
      <c r="S1265" s="4" t="str">
        <f aca="false">IF(AND(O1265&gt;=3,O1265&lt;=5),"Hot Dry (Mar-May)",IF(AND(O1265&gt;=6,O1265&lt;=11),"Rainy (Jun-Nov)","Cool Dry (Dec-Feb)"))</f>
        <v>Rainy (Jun-Nov)</v>
      </c>
      <c r="T1265" s="4" t="str">
        <f aca="false">CHOOSE(O1265,"Jan","Feb","Mar","Apr","May","Jun","Jul","Aug","Sep","Oct","Nov","Dec")</f>
        <v>Sep</v>
      </c>
    </row>
    <row r="1266" customFormat="false" ht="15" hidden="false" customHeight="false" outlineLevel="0" collapsed="false">
      <c r="A1266" s="4" t="s">
        <v>1608</v>
      </c>
      <c r="B1266" s="17" t="n">
        <v>45913</v>
      </c>
      <c r="C1266" s="4" t="n">
        <v>15</v>
      </c>
      <c r="D1266" s="4" t="s">
        <v>70</v>
      </c>
      <c r="E1266" s="4" t="s">
        <v>84</v>
      </c>
      <c r="F1266" s="4" t="s">
        <v>117</v>
      </c>
      <c r="G1266" s="4" t="n">
        <v>2</v>
      </c>
      <c r="H1266" s="34" t="n">
        <v>95</v>
      </c>
      <c r="I1266" s="18" t="n">
        <v>0.05</v>
      </c>
      <c r="J1266" s="4" t="s">
        <v>76</v>
      </c>
      <c r="K1266" s="4" t="s">
        <v>82</v>
      </c>
      <c r="L1266" s="35" t="n">
        <f aca="false">G1266*H1266</f>
        <v>190</v>
      </c>
      <c r="M1266" s="35" t="n">
        <f aca="false">L1266*I1266</f>
        <v>9.5</v>
      </c>
      <c r="N1266" s="35" t="n">
        <f aca="false">L1266-M1266</f>
        <v>180.5</v>
      </c>
      <c r="O1266" s="4" t="n">
        <f aca="false">MONTH(B1266)</f>
        <v>9</v>
      </c>
      <c r="P1266" s="4" t="str">
        <f aca="false">CHOOSE(WEEKDAY(B1266,2),"Mon","Tue","Wed","Thu","Fri","Sat","Sun")</f>
        <v>Sat</v>
      </c>
      <c r="Q1266" s="4" t="str">
        <f aca="false">IF(WEEKDAY(B1266,2)&gt;5,"Weekend","Weekday")</f>
        <v>Weekend</v>
      </c>
      <c r="R1266" s="4" t="str">
        <f aca="false">IF(C1266&lt;11,"Morning (7-10)",IF(C1266&lt;14,"Lunch (11-13)",IF(C1266&lt;18,"Afternoon (14-17)","Evening (18-20)")))</f>
        <v>Afternoon (14-17)</v>
      </c>
      <c r="S1266" s="4" t="str">
        <f aca="false">IF(AND(O1266&gt;=3,O1266&lt;=5),"Hot Dry (Mar-May)",IF(AND(O1266&gt;=6,O1266&lt;=11),"Rainy (Jun-Nov)","Cool Dry (Dec-Feb)"))</f>
        <v>Rainy (Jun-Nov)</v>
      </c>
      <c r="T1266" s="4" t="str">
        <f aca="false">CHOOSE(O1266,"Jan","Feb","Mar","Apr","May","Jun","Jul","Aug","Sep","Oct","Nov","Dec")</f>
        <v>Sep</v>
      </c>
    </row>
    <row r="1267" customFormat="false" ht="15" hidden="false" customHeight="false" outlineLevel="0" collapsed="false">
      <c r="A1267" s="4" t="s">
        <v>1609</v>
      </c>
      <c r="B1267" s="17" t="n">
        <v>45913</v>
      </c>
      <c r="C1267" s="4" t="n">
        <v>17</v>
      </c>
      <c r="D1267" s="4" t="s">
        <v>70</v>
      </c>
      <c r="E1267" s="4" t="s">
        <v>65</v>
      </c>
      <c r="F1267" s="4" t="s">
        <v>66</v>
      </c>
      <c r="G1267" s="4" t="n">
        <v>2</v>
      </c>
      <c r="H1267" s="34" t="n">
        <v>120</v>
      </c>
      <c r="I1267" s="18" t="n">
        <v>0</v>
      </c>
      <c r="J1267" s="4" t="s">
        <v>88</v>
      </c>
      <c r="K1267" s="4" t="s">
        <v>68</v>
      </c>
      <c r="L1267" s="35" t="n">
        <f aca="false">G1267*H1267</f>
        <v>240</v>
      </c>
      <c r="M1267" s="35" t="n">
        <f aca="false">L1267*I1267</f>
        <v>0</v>
      </c>
      <c r="N1267" s="35" t="n">
        <f aca="false">L1267-M1267</f>
        <v>240</v>
      </c>
      <c r="O1267" s="4" t="n">
        <f aca="false">MONTH(B1267)</f>
        <v>9</v>
      </c>
      <c r="P1267" s="4" t="str">
        <f aca="false">CHOOSE(WEEKDAY(B1267,2),"Mon","Tue","Wed","Thu","Fri","Sat","Sun")</f>
        <v>Sat</v>
      </c>
      <c r="Q1267" s="4" t="str">
        <f aca="false">IF(WEEKDAY(B1267,2)&gt;5,"Weekend","Weekday")</f>
        <v>Weekend</v>
      </c>
      <c r="R1267" s="4" t="str">
        <f aca="false">IF(C1267&lt;11,"Morning (7-10)",IF(C1267&lt;14,"Lunch (11-13)",IF(C1267&lt;18,"Afternoon (14-17)","Evening (18-20)")))</f>
        <v>Afternoon (14-17)</v>
      </c>
      <c r="S1267" s="4" t="str">
        <f aca="false">IF(AND(O1267&gt;=3,O1267&lt;=5),"Hot Dry (Mar-May)",IF(AND(O1267&gt;=6,O1267&lt;=11),"Rainy (Jun-Nov)","Cool Dry (Dec-Feb)"))</f>
        <v>Rainy (Jun-Nov)</v>
      </c>
      <c r="T1267" s="4" t="str">
        <f aca="false">CHOOSE(O1267,"Jan","Feb","Mar","Apr","May","Jun","Jul","Aug","Sep","Oct","Nov","Dec")</f>
        <v>Sep</v>
      </c>
    </row>
    <row r="1268" customFormat="false" ht="15" hidden="false" customHeight="false" outlineLevel="0" collapsed="false">
      <c r="A1268" s="4" t="s">
        <v>1610</v>
      </c>
      <c r="B1268" s="17" t="n">
        <v>45914</v>
      </c>
      <c r="C1268" s="4" t="n">
        <v>12</v>
      </c>
      <c r="D1268" s="4" t="s">
        <v>64</v>
      </c>
      <c r="E1268" s="4" t="s">
        <v>99</v>
      </c>
      <c r="F1268" s="4" t="s">
        <v>100</v>
      </c>
      <c r="G1268" s="4" t="n">
        <v>3</v>
      </c>
      <c r="H1268" s="34" t="n">
        <v>110</v>
      </c>
      <c r="I1268" s="18" t="n">
        <v>0.05</v>
      </c>
      <c r="J1268" s="4" t="s">
        <v>67</v>
      </c>
      <c r="K1268" s="4" t="s">
        <v>82</v>
      </c>
      <c r="L1268" s="35" t="n">
        <f aca="false">G1268*H1268</f>
        <v>330</v>
      </c>
      <c r="M1268" s="35" t="n">
        <f aca="false">L1268*I1268</f>
        <v>16.5</v>
      </c>
      <c r="N1268" s="35" t="n">
        <f aca="false">L1268-M1268</f>
        <v>313.5</v>
      </c>
      <c r="O1268" s="4" t="n">
        <f aca="false">MONTH(B1268)</f>
        <v>9</v>
      </c>
      <c r="P1268" s="4" t="str">
        <f aca="false">CHOOSE(WEEKDAY(B1268,2),"Mon","Tue","Wed","Thu","Fri","Sat","Sun")</f>
        <v>Sun</v>
      </c>
      <c r="Q1268" s="4" t="str">
        <f aca="false">IF(WEEKDAY(B1268,2)&gt;5,"Weekend","Weekday")</f>
        <v>Weekend</v>
      </c>
      <c r="R1268" s="4" t="str">
        <f aca="false">IF(C1268&lt;11,"Morning (7-10)",IF(C1268&lt;14,"Lunch (11-13)",IF(C1268&lt;18,"Afternoon (14-17)","Evening (18-20)")))</f>
        <v>Lunch (11-13)</v>
      </c>
      <c r="S1268" s="4" t="str">
        <f aca="false">IF(AND(O1268&gt;=3,O1268&lt;=5),"Hot Dry (Mar-May)",IF(AND(O1268&gt;=6,O1268&lt;=11),"Rainy (Jun-Nov)","Cool Dry (Dec-Feb)"))</f>
        <v>Rainy (Jun-Nov)</v>
      </c>
      <c r="T1268" s="4" t="str">
        <f aca="false">CHOOSE(O1268,"Jan","Feb","Mar","Apr","May","Jun","Jul","Aug","Sep","Oct","Nov","Dec")</f>
        <v>Sep</v>
      </c>
    </row>
    <row r="1269" customFormat="false" ht="15" hidden="false" customHeight="false" outlineLevel="0" collapsed="false">
      <c r="A1269" s="4" t="s">
        <v>1612</v>
      </c>
      <c r="B1269" s="17" t="n">
        <v>45914</v>
      </c>
      <c r="C1269" s="4" t="n">
        <v>16</v>
      </c>
      <c r="D1269" s="4" t="s">
        <v>73</v>
      </c>
      <c r="E1269" s="4" t="s">
        <v>99</v>
      </c>
      <c r="F1269" s="4" t="s">
        <v>100</v>
      </c>
      <c r="G1269" s="4" t="n">
        <v>1</v>
      </c>
      <c r="H1269" s="34" t="n">
        <v>110</v>
      </c>
      <c r="I1269" s="18" t="n">
        <v>0</v>
      </c>
      <c r="J1269" s="4" t="s">
        <v>76</v>
      </c>
      <c r="K1269" s="4" t="s">
        <v>77</v>
      </c>
      <c r="L1269" s="35" t="n">
        <f aca="false">G1269*H1269</f>
        <v>110</v>
      </c>
      <c r="M1269" s="35" t="n">
        <f aca="false">L1269*I1269</f>
        <v>0</v>
      </c>
      <c r="N1269" s="35" t="n">
        <f aca="false">L1269-M1269</f>
        <v>110</v>
      </c>
      <c r="O1269" s="4" t="n">
        <f aca="false">MONTH(B1269)</f>
        <v>9</v>
      </c>
      <c r="P1269" s="4" t="str">
        <f aca="false">CHOOSE(WEEKDAY(B1269,2),"Mon","Tue","Wed","Thu","Fri","Sat","Sun")</f>
        <v>Sun</v>
      </c>
      <c r="Q1269" s="4" t="str">
        <f aca="false">IF(WEEKDAY(B1269,2)&gt;5,"Weekend","Weekday")</f>
        <v>Weekend</v>
      </c>
      <c r="R1269" s="4" t="str">
        <f aca="false">IF(C1269&lt;11,"Morning (7-10)",IF(C1269&lt;14,"Lunch (11-13)",IF(C1269&lt;18,"Afternoon (14-17)","Evening (18-20)")))</f>
        <v>Afternoon (14-17)</v>
      </c>
      <c r="S1269" s="4" t="str">
        <f aca="false">IF(AND(O1269&gt;=3,O1269&lt;=5),"Hot Dry (Mar-May)",IF(AND(O1269&gt;=6,O1269&lt;=11),"Rainy (Jun-Nov)","Cool Dry (Dec-Feb)"))</f>
        <v>Rainy (Jun-Nov)</v>
      </c>
      <c r="T1269" s="4" t="str">
        <f aca="false">CHOOSE(O1269,"Jan","Feb","Mar","Apr","May","Jun","Jul","Aug","Sep","Oct","Nov","Dec")</f>
        <v>Sep</v>
      </c>
    </row>
    <row r="1270" customFormat="false" ht="15" hidden="false" customHeight="false" outlineLevel="0" collapsed="false">
      <c r="A1270" s="4" t="s">
        <v>1614</v>
      </c>
      <c r="B1270" s="17" t="n">
        <v>45914</v>
      </c>
      <c r="C1270" s="4" t="n">
        <v>17</v>
      </c>
      <c r="D1270" s="4" t="s">
        <v>64</v>
      </c>
      <c r="E1270" s="4" t="s">
        <v>84</v>
      </c>
      <c r="F1270" s="4" t="s">
        <v>114</v>
      </c>
      <c r="G1270" s="4" t="n">
        <v>1</v>
      </c>
      <c r="H1270" s="34" t="n">
        <v>85</v>
      </c>
      <c r="I1270" s="18" t="n">
        <v>0.1</v>
      </c>
      <c r="J1270" s="4" t="s">
        <v>67</v>
      </c>
      <c r="K1270" s="4" t="s">
        <v>71</v>
      </c>
      <c r="L1270" s="35" t="n">
        <f aca="false">G1270*H1270</f>
        <v>85</v>
      </c>
      <c r="M1270" s="35" t="n">
        <f aca="false">L1270*I1270</f>
        <v>8.5</v>
      </c>
      <c r="N1270" s="35" t="n">
        <f aca="false">L1270-M1270</f>
        <v>76.5</v>
      </c>
      <c r="O1270" s="4" t="n">
        <f aca="false">MONTH(B1270)</f>
        <v>9</v>
      </c>
      <c r="P1270" s="4" t="str">
        <f aca="false">CHOOSE(WEEKDAY(B1270,2),"Mon","Tue","Wed","Thu","Fri","Sat","Sun")</f>
        <v>Sun</v>
      </c>
      <c r="Q1270" s="4" t="str">
        <f aca="false">IF(WEEKDAY(B1270,2)&gt;5,"Weekend","Weekday")</f>
        <v>Weekend</v>
      </c>
      <c r="R1270" s="4" t="str">
        <f aca="false">IF(C1270&lt;11,"Morning (7-10)",IF(C1270&lt;14,"Lunch (11-13)",IF(C1270&lt;18,"Afternoon (14-17)","Evening (18-20)")))</f>
        <v>Afternoon (14-17)</v>
      </c>
      <c r="S1270" s="4" t="str">
        <f aca="false">IF(AND(O1270&gt;=3,O1270&lt;=5),"Hot Dry (Mar-May)",IF(AND(O1270&gt;=6,O1270&lt;=11),"Rainy (Jun-Nov)","Cool Dry (Dec-Feb)"))</f>
        <v>Rainy (Jun-Nov)</v>
      </c>
      <c r="T1270" s="4" t="str">
        <f aca="false">CHOOSE(O1270,"Jan","Feb","Mar","Apr","May","Jun","Jul","Aug","Sep","Oct","Nov","Dec")</f>
        <v>Sep</v>
      </c>
    </row>
    <row r="1271" customFormat="false" ht="15" hidden="false" customHeight="false" outlineLevel="0" collapsed="false">
      <c r="A1271" s="4" t="s">
        <v>1615</v>
      </c>
      <c r="B1271" s="17" t="n">
        <v>45915</v>
      </c>
      <c r="C1271" s="4" t="n">
        <v>8</v>
      </c>
      <c r="D1271" s="4" t="s">
        <v>64</v>
      </c>
      <c r="E1271" s="4" t="s">
        <v>84</v>
      </c>
      <c r="F1271" s="4" t="s">
        <v>114</v>
      </c>
      <c r="G1271" s="4" t="n">
        <v>2</v>
      </c>
      <c r="H1271" s="34" t="n">
        <v>85</v>
      </c>
      <c r="I1271" s="18" t="n">
        <v>0.05</v>
      </c>
      <c r="J1271" s="4" t="s">
        <v>81</v>
      </c>
      <c r="K1271" s="4" t="s">
        <v>82</v>
      </c>
      <c r="L1271" s="35" t="n">
        <f aca="false">G1271*H1271</f>
        <v>170</v>
      </c>
      <c r="M1271" s="35" t="n">
        <f aca="false">L1271*I1271</f>
        <v>8.5</v>
      </c>
      <c r="N1271" s="35" t="n">
        <f aca="false">L1271-M1271</f>
        <v>161.5</v>
      </c>
      <c r="O1271" s="4" t="n">
        <f aca="false">MONTH(B1271)</f>
        <v>9</v>
      </c>
      <c r="P1271" s="4" t="str">
        <f aca="false">CHOOSE(WEEKDAY(B1271,2),"Mon","Tue","Wed","Thu","Fri","Sat","Sun")</f>
        <v>Mon</v>
      </c>
      <c r="Q1271" s="4" t="str">
        <f aca="false">IF(WEEKDAY(B1271,2)&gt;5,"Weekend","Weekday")</f>
        <v>Weekday</v>
      </c>
      <c r="R1271" s="4" t="str">
        <f aca="false">IF(C1271&lt;11,"Morning (7-10)",IF(C1271&lt;14,"Lunch (11-13)",IF(C1271&lt;18,"Afternoon (14-17)","Evening (18-20)")))</f>
        <v>Morning (7-10)</v>
      </c>
      <c r="S1271" s="4" t="str">
        <f aca="false">IF(AND(O1271&gt;=3,O1271&lt;=5),"Hot Dry (Mar-May)",IF(AND(O1271&gt;=6,O1271&lt;=11),"Rainy (Jun-Nov)","Cool Dry (Dec-Feb)"))</f>
        <v>Rainy (Jun-Nov)</v>
      </c>
      <c r="T1271" s="4" t="str">
        <f aca="false">CHOOSE(O1271,"Jan","Feb","Mar","Apr","May","Jun","Jul","Aug","Sep","Oct","Nov","Dec")</f>
        <v>Sep</v>
      </c>
    </row>
    <row r="1272" customFormat="false" ht="15" hidden="false" customHeight="false" outlineLevel="0" collapsed="false">
      <c r="A1272" s="4" t="s">
        <v>1616</v>
      </c>
      <c r="B1272" s="17" t="n">
        <v>45915</v>
      </c>
      <c r="C1272" s="4" t="n">
        <v>9</v>
      </c>
      <c r="D1272" s="4" t="s">
        <v>70</v>
      </c>
      <c r="E1272" s="4" t="s">
        <v>99</v>
      </c>
      <c r="F1272" s="4" t="s">
        <v>102</v>
      </c>
      <c r="G1272" s="4" t="n">
        <v>2</v>
      </c>
      <c r="H1272" s="34" t="n">
        <v>140</v>
      </c>
      <c r="I1272" s="18" t="n">
        <v>0.05</v>
      </c>
      <c r="J1272" s="4" t="s">
        <v>81</v>
      </c>
      <c r="K1272" s="4" t="s">
        <v>82</v>
      </c>
      <c r="L1272" s="35" t="n">
        <f aca="false">G1272*H1272</f>
        <v>280</v>
      </c>
      <c r="M1272" s="35" t="n">
        <f aca="false">L1272*I1272</f>
        <v>14</v>
      </c>
      <c r="N1272" s="35" t="n">
        <f aca="false">L1272-M1272</f>
        <v>266</v>
      </c>
      <c r="O1272" s="4" t="n">
        <f aca="false">MONTH(B1272)</f>
        <v>9</v>
      </c>
      <c r="P1272" s="4" t="str">
        <f aca="false">CHOOSE(WEEKDAY(B1272,2),"Mon","Tue","Wed","Thu","Fri","Sat","Sun")</f>
        <v>Mon</v>
      </c>
      <c r="Q1272" s="4" t="str">
        <f aca="false">IF(WEEKDAY(B1272,2)&gt;5,"Weekend","Weekday")</f>
        <v>Weekday</v>
      </c>
      <c r="R1272" s="4" t="str">
        <f aca="false">IF(C1272&lt;11,"Morning (7-10)",IF(C1272&lt;14,"Lunch (11-13)",IF(C1272&lt;18,"Afternoon (14-17)","Evening (18-20)")))</f>
        <v>Morning (7-10)</v>
      </c>
      <c r="S1272" s="4" t="str">
        <f aca="false">IF(AND(O1272&gt;=3,O1272&lt;=5),"Hot Dry (Mar-May)",IF(AND(O1272&gt;=6,O1272&lt;=11),"Rainy (Jun-Nov)","Cool Dry (Dec-Feb)"))</f>
        <v>Rainy (Jun-Nov)</v>
      </c>
      <c r="T1272" s="4" t="str">
        <f aca="false">CHOOSE(O1272,"Jan","Feb","Mar","Apr","May","Jun","Jul","Aug","Sep","Oct","Nov","Dec")</f>
        <v>Sep</v>
      </c>
    </row>
    <row r="1273" customFormat="false" ht="15" hidden="false" customHeight="false" outlineLevel="0" collapsed="false">
      <c r="A1273" s="4" t="s">
        <v>1617</v>
      </c>
      <c r="B1273" s="17" t="n">
        <v>45915</v>
      </c>
      <c r="C1273" s="4" t="n">
        <v>14</v>
      </c>
      <c r="D1273" s="4" t="s">
        <v>73</v>
      </c>
      <c r="E1273" s="4" t="s">
        <v>65</v>
      </c>
      <c r="F1273" s="4" t="s">
        <v>121</v>
      </c>
      <c r="G1273" s="4" t="n">
        <v>1</v>
      </c>
      <c r="H1273" s="34" t="n">
        <v>170</v>
      </c>
      <c r="I1273" s="18" t="n">
        <v>0</v>
      </c>
      <c r="J1273" s="4" t="s">
        <v>67</v>
      </c>
      <c r="K1273" s="4" t="s">
        <v>68</v>
      </c>
      <c r="L1273" s="35" t="n">
        <f aca="false">G1273*H1273</f>
        <v>170</v>
      </c>
      <c r="M1273" s="35" t="n">
        <f aca="false">L1273*I1273</f>
        <v>0</v>
      </c>
      <c r="N1273" s="35" t="n">
        <f aca="false">L1273-M1273</f>
        <v>170</v>
      </c>
      <c r="O1273" s="4" t="n">
        <f aca="false">MONTH(B1273)</f>
        <v>9</v>
      </c>
      <c r="P1273" s="4" t="str">
        <f aca="false">CHOOSE(WEEKDAY(B1273,2),"Mon","Tue","Wed","Thu","Fri","Sat","Sun")</f>
        <v>Mon</v>
      </c>
      <c r="Q1273" s="4" t="str">
        <f aca="false">IF(WEEKDAY(B1273,2)&gt;5,"Weekend","Weekday")</f>
        <v>Weekday</v>
      </c>
      <c r="R1273" s="4" t="str">
        <f aca="false">IF(C1273&lt;11,"Morning (7-10)",IF(C1273&lt;14,"Lunch (11-13)",IF(C1273&lt;18,"Afternoon (14-17)","Evening (18-20)")))</f>
        <v>Afternoon (14-17)</v>
      </c>
      <c r="S1273" s="4" t="str">
        <f aca="false">IF(AND(O1273&gt;=3,O1273&lt;=5),"Hot Dry (Mar-May)",IF(AND(O1273&gt;=6,O1273&lt;=11),"Rainy (Jun-Nov)","Cool Dry (Dec-Feb)"))</f>
        <v>Rainy (Jun-Nov)</v>
      </c>
      <c r="T1273" s="4" t="str">
        <f aca="false">CHOOSE(O1273,"Jan","Feb","Mar","Apr","May","Jun","Jul","Aug","Sep","Oct","Nov","Dec")</f>
        <v>Sep</v>
      </c>
    </row>
    <row r="1274" customFormat="false" ht="15" hidden="false" customHeight="false" outlineLevel="0" collapsed="false">
      <c r="A1274" s="4" t="s">
        <v>1619</v>
      </c>
      <c r="B1274" s="17" t="n">
        <v>45915</v>
      </c>
      <c r="C1274" s="4" t="n">
        <v>16</v>
      </c>
      <c r="D1274" s="4" t="s">
        <v>64</v>
      </c>
      <c r="E1274" s="4" t="s">
        <v>84</v>
      </c>
      <c r="F1274" s="4" t="s">
        <v>85</v>
      </c>
      <c r="G1274" s="4" t="n">
        <v>1</v>
      </c>
      <c r="H1274" s="34" t="n">
        <v>150</v>
      </c>
      <c r="I1274" s="18" t="n">
        <v>0.05</v>
      </c>
      <c r="J1274" s="4" t="s">
        <v>67</v>
      </c>
      <c r="K1274" s="4" t="s">
        <v>82</v>
      </c>
      <c r="L1274" s="35" t="n">
        <f aca="false">G1274*H1274</f>
        <v>150</v>
      </c>
      <c r="M1274" s="35" t="n">
        <f aca="false">L1274*I1274</f>
        <v>7.5</v>
      </c>
      <c r="N1274" s="35" t="n">
        <f aca="false">L1274-M1274</f>
        <v>142.5</v>
      </c>
      <c r="O1274" s="4" t="n">
        <f aca="false">MONTH(B1274)</f>
        <v>9</v>
      </c>
      <c r="P1274" s="4" t="str">
        <f aca="false">CHOOSE(WEEKDAY(B1274,2),"Mon","Tue","Wed","Thu","Fri","Sat","Sun")</f>
        <v>Mon</v>
      </c>
      <c r="Q1274" s="4" t="str">
        <f aca="false">IF(WEEKDAY(B1274,2)&gt;5,"Weekend","Weekday")</f>
        <v>Weekday</v>
      </c>
      <c r="R1274" s="4" t="str">
        <f aca="false">IF(C1274&lt;11,"Morning (7-10)",IF(C1274&lt;14,"Lunch (11-13)",IF(C1274&lt;18,"Afternoon (14-17)","Evening (18-20)")))</f>
        <v>Afternoon (14-17)</v>
      </c>
      <c r="S1274" s="4" t="str">
        <f aca="false">IF(AND(O1274&gt;=3,O1274&lt;=5),"Hot Dry (Mar-May)",IF(AND(O1274&gt;=6,O1274&lt;=11),"Rainy (Jun-Nov)","Cool Dry (Dec-Feb)"))</f>
        <v>Rainy (Jun-Nov)</v>
      </c>
      <c r="T1274" s="4" t="str">
        <f aca="false">CHOOSE(O1274,"Jan","Feb","Mar","Apr","May","Jun","Jul","Aug","Sep","Oct","Nov","Dec")</f>
        <v>Sep</v>
      </c>
    </row>
    <row r="1275" customFormat="false" ht="15" hidden="false" customHeight="false" outlineLevel="0" collapsed="false">
      <c r="A1275" s="4" t="s">
        <v>1620</v>
      </c>
      <c r="B1275" s="17" t="n">
        <v>45915</v>
      </c>
      <c r="C1275" s="4" t="n">
        <v>17</v>
      </c>
      <c r="D1275" s="4" t="s">
        <v>64</v>
      </c>
      <c r="E1275" s="4" t="s">
        <v>65</v>
      </c>
      <c r="F1275" s="4" t="s">
        <v>66</v>
      </c>
      <c r="G1275" s="4" t="n">
        <v>2</v>
      </c>
      <c r="H1275" s="34" t="n">
        <v>120</v>
      </c>
      <c r="I1275" s="18" t="n">
        <v>0.1</v>
      </c>
      <c r="J1275" s="4" t="s">
        <v>67</v>
      </c>
      <c r="K1275" s="4" t="s">
        <v>71</v>
      </c>
      <c r="L1275" s="35" t="n">
        <f aca="false">G1275*H1275</f>
        <v>240</v>
      </c>
      <c r="M1275" s="35" t="n">
        <f aca="false">L1275*I1275</f>
        <v>24</v>
      </c>
      <c r="N1275" s="35" t="n">
        <f aca="false">L1275-M1275</f>
        <v>216</v>
      </c>
      <c r="O1275" s="4" t="n">
        <f aca="false">MONTH(B1275)</f>
        <v>9</v>
      </c>
      <c r="P1275" s="4" t="str">
        <f aca="false">CHOOSE(WEEKDAY(B1275,2),"Mon","Tue","Wed","Thu","Fri","Sat","Sun")</f>
        <v>Mon</v>
      </c>
      <c r="Q1275" s="4" t="str">
        <f aca="false">IF(WEEKDAY(B1275,2)&gt;5,"Weekend","Weekday")</f>
        <v>Weekday</v>
      </c>
      <c r="R1275" s="4" t="str">
        <f aca="false">IF(C1275&lt;11,"Morning (7-10)",IF(C1275&lt;14,"Lunch (11-13)",IF(C1275&lt;18,"Afternoon (14-17)","Evening (18-20)")))</f>
        <v>Afternoon (14-17)</v>
      </c>
      <c r="S1275" s="4" t="str">
        <f aca="false">IF(AND(O1275&gt;=3,O1275&lt;=5),"Hot Dry (Mar-May)",IF(AND(O1275&gt;=6,O1275&lt;=11),"Rainy (Jun-Nov)","Cool Dry (Dec-Feb)"))</f>
        <v>Rainy (Jun-Nov)</v>
      </c>
      <c r="T1275" s="4" t="str">
        <f aca="false">CHOOSE(O1275,"Jan","Feb","Mar","Apr","May","Jun","Jul","Aug","Sep","Oct","Nov","Dec")</f>
        <v>Sep</v>
      </c>
    </row>
    <row r="1276" customFormat="false" ht="15" hidden="false" customHeight="false" outlineLevel="0" collapsed="false">
      <c r="A1276" s="4" t="s">
        <v>1621</v>
      </c>
      <c r="B1276" s="17" t="n">
        <v>45916</v>
      </c>
      <c r="C1276" s="4" t="n">
        <v>9</v>
      </c>
      <c r="D1276" s="4" t="s">
        <v>70</v>
      </c>
      <c r="E1276" s="4" t="s">
        <v>65</v>
      </c>
      <c r="F1276" s="4" t="s">
        <v>121</v>
      </c>
      <c r="G1276" s="4" t="n">
        <v>1</v>
      </c>
      <c r="H1276" s="34" t="n">
        <v>170</v>
      </c>
      <c r="I1276" s="18" t="n">
        <v>0</v>
      </c>
      <c r="J1276" s="4" t="s">
        <v>67</v>
      </c>
      <c r="K1276" s="4" t="s">
        <v>68</v>
      </c>
      <c r="L1276" s="35" t="n">
        <f aca="false">G1276*H1276</f>
        <v>170</v>
      </c>
      <c r="M1276" s="35" t="n">
        <f aca="false">L1276*I1276</f>
        <v>0</v>
      </c>
      <c r="N1276" s="35" t="n">
        <f aca="false">L1276-M1276</f>
        <v>170</v>
      </c>
      <c r="O1276" s="4" t="n">
        <f aca="false">MONTH(B1276)</f>
        <v>9</v>
      </c>
      <c r="P1276" s="4" t="str">
        <f aca="false">CHOOSE(WEEKDAY(B1276,2),"Mon","Tue","Wed","Thu","Fri","Sat","Sun")</f>
        <v>Tue</v>
      </c>
      <c r="Q1276" s="4" t="str">
        <f aca="false">IF(WEEKDAY(B1276,2)&gt;5,"Weekend","Weekday")</f>
        <v>Weekday</v>
      </c>
      <c r="R1276" s="4" t="str">
        <f aca="false">IF(C1276&lt;11,"Morning (7-10)",IF(C1276&lt;14,"Lunch (11-13)",IF(C1276&lt;18,"Afternoon (14-17)","Evening (18-20)")))</f>
        <v>Morning (7-10)</v>
      </c>
      <c r="S1276" s="4" t="str">
        <f aca="false">IF(AND(O1276&gt;=3,O1276&lt;=5),"Hot Dry (Mar-May)",IF(AND(O1276&gt;=6,O1276&lt;=11),"Rainy (Jun-Nov)","Cool Dry (Dec-Feb)"))</f>
        <v>Rainy (Jun-Nov)</v>
      </c>
      <c r="T1276" s="4" t="str">
        <f aca="false">CHOOSE(O1276,"Jan","Feb","Mar","Apr","May","Jun","Jul","Aug","Sep","Oct","Nov","Dec")</f>
        <v>Sep</v>
      </c>
    </row>
    <row r="1277" customFormat="false" ht="15" hidden="false" customHeight="false" outlineLevel="0" collapsed="false">
      <c r="A1277" s="4" t="s">
        <v>1622</v>
      </c>
      <c r="B1277" s="17" t="n">
        <v>45916</v>
      </c>
      <c r="C1277" s="4" t="n">
        <v>11</v>
      </c>
      <c r="D1277" s="4" t="s">
        <v>64</v>
      </c>
      <c r="E1277" s="4" t="s">
        <v>84</v>
      </c>
      <c r="F1277" s="4" t="s">
        <v>85</v>
      </c>
      <c r="G1277" s="4" t="n">
        <v>1</v>
      </c>
      <c r="H1277" s="34" t="n">
        <v>150</v>
      </c>
      <c r="I1277" s="18" t="n">
        <v>0.1</v>
      </c>
      <c r="J1277" s="4" t="s">
        <v>76</v>
      </c>
      <c r="K1277" s="4" t="s">
        <v>71</v>
      </c>
      <c r="L1277" s="35" t="n">
        <f aca="false">G1277*H1277</f>
        <v>150</v>
      </c>
      <c r="M1277" s="35" t="n">
        <f aca="false">L1277*I1277</f>
        <v>15</v>
      </c>
      <c r="N1277" s="35" t="n">
        <f aca="false">L1277-M1277</f>
        <v>135</v>
      </c>
      <c r="O1277" s="4" t="n">
        <f aca="false">MONTH(B1277)</f>
        <v>9</v>
      </c>
      <c r="P1277" s="4" t="str">
        <f aca="false">CHOOSE(WEEKDAY(B1277,2),"Mon","Tue","Wed","Thu","Fri","Sat","Sun")</f>
        <v>Tue</v>
      </c>
      <c r="Q1277" s="4" t="str">
        <f aca="false">IF(WEEKDAY(B1277,2)&gt;5,"Weekend","Weekday")</f>
        <v>Weekday</v>
      </c>
      <c r="R1277" s="4" t="str">
        <f aca="false">IF(C1277&lt;11,"Morning (7-10)",IF(C1277&lt;14,"Lunch (11-13)",IF(C1277&lt;18,"Afternoon (14-17)","Evening (18-20)")))</f>
        <v>Lunch (11-13)</v>
      </c>
      <c r="S1277" s="4" t="str">
        <f aca="false">IF(AND(O1277&gt;=3,O1277&lt;=5),"Hot Dry (Mar-May)",IF(AND(O1277&gt;=6,O1277&lt;=11),"Rainy (Jun-Nov)","Cool Dry (Dec-Feb)"))</f>
        <v>Rainy (Jun-Nov)</v>
      </c>
      <c r="T1277" s="4" t="str">
        <f aca="false">CHOOSE(O1277,"Jan","Feb","Mar","Apr","May","Jun","Jul","Aug","Sep","Oct","Nov","Dec")</f>
        <v>Sep</v>
      </c>
    </row>
    <row r="1278" customFormat="false" ht="15" hidden="false" customHeight="false" outlineLevel="0" collapsed="false">
      <c r="A1278" s="4" t="s">
        <v>1624</v>
      </c>
      <c r="B1278" s="17" t="n">
        <v>45916</v>
      </c>
      <c r="C1278" s="4" t="n">
        <v>14</v>
      </c>
      <c r="D1278" s="4" t="s">
        <v>73</v>
      </c>
      <c r="E1278" s="4" t="s">
        <v>74</v>
      </c>
      <c r="F1278" s="4" t="s">
        <v>139</v>
      </c>
      <c r="G1278" s="4" t="n">
        <v>2</v>
      </c>
      <c r="H1278" s="34" t="n">
        <v>260</v>
      </c>
      <c r="I1278" s="18" t="n">
        <v>0</v>
      </c>
      <c r="J1278" s="4" t="s">
        <v>67</v>
      </c>
      <c r="K1278" s="4" t="s">
        <v>68</v>
      </c>
      <c r="L1278" s="35" t="n">
        <f aca="false">G1278*H1278</f>
        <v>520</v>
      </c>
      <c r="M1278" s="35" t="n">
        <f aca="false">L1278*I1278</f>
        <v>0</v>
      </c>
      <c r="N1278" s="35" t="n">
        <f aca="false">L1278-M1278</f>
        <v>520</v>
      </c>
      <c r="O1278" s="4" t="n">
        <f aca="false">MONTH(B1278)</f>
        <v>9</v>
      </c>
      <c r="P1278" s="4" t="str">
        <f aca="false">CHOOSE(WEEKDAY(B1278,2),"Mon","Tue","Wed","Thu","Fri","Sat","Sun")</f>
        <v>Tue</v>
      </c>
      <c r="Q1278" s="4" t="str">
        <f aca="false">IF(WEEKDAY(B1278,2)&gt;5,"Weekend","Weekday")</f>
        <v>Weekday</v>
      </c>
      <c r="R1278" s="4" t="str">
        <f aca="false">IF(C1278&lt;11,"Morning (7-10)",IF(C1278&lt;14,"Lunch (11-13)",IF(C1278&lt;18,"Afternoon (14-17)","Evening (18-20)")))</f>
        <v>Afternoon (14-17)</v>
      </c>
      <c r="S1278" s="4" t="str">
        <f aca="false">IF(AND(O1278&gt;=3,O1278&lt;=5),"Hot Dry (Mar-May)",IF(AND(O1278&gt;=6,O1278&lt;=11),"Rainy (Jun-Nov)","Cool Dry (Dec-Feb)"))</f>
        <v>Rainy (Jun-Nov)</v>
      </c>
      <c r="T1278" s="4" t="str">
        <f aca="false">CHOOSE(O1278,"Jan","Feb","Mar","Apr","May","Jun","Jul","Aug","Sep","Oct","Nov","Dec")</f>
        <v>Sep</v>
      </c>
    </row>
    <row r="1279" customFormat="false" ht="15" hidden="false" customHeight="false" outlineLevel="0" collapsed="false">
      <c r="A1279" s="4" t="s">
        <v>1625</v>
      </c>
      <c r="B1279" s="17" t="n">
        <v>45916</v>
      </c>
      <c r="C1279" s="4" t="n">
        <v>15</v>
      </c>
      <c r="D1279" s="4" t="s">
        <v>70</v>
      </c>
      <c r="E1279" s="4" t="s">
        <v>79</v>
      </c>
      <c r="F1279" s="4" t="s">
        <v>80</v>
      </c>
      <c r="G1279" s="4" t="n">
        <v>1</v>
      </c>
      <c r="H1279" s="34" t="n">
        <v>160</v>
      </c>
      <c r="I1279" s="18" t="n">
        <v>0</v>
      </c>
      <c r="J1279" s="4" t="s">
        <v>67</v>
      </c>
      <c r="K1279" s="4" t="s">
        <v>68</v>
      </c>
      <c r="L1279" s="35" t="n">
        <f aca="false">G1279*H1279</f>
        <v>160</v>
      </c>
      <c r="M1279" s="35" t="n">
        <f aca="false">L1279*I1279</f>
        <v>0</v>
      </c>
      <c r="N1279" s="35" t="n">
        <f aca="false">L1279-M1279</f>
        <v>160</v>
      </c>
      <c r="O1279" s="4" t="n">
        <f aca="false">MONTH(B1279)</f>
        <v>9</v>
      </c>
      <c r="P1279" s="4" t="str">
        <f aca="false">CHOOSE(WEEKDAY(B1279,2),"Mon","Tue","Wed","Thu","Fri","Sat","Sun")</f>
        <v>Tue</v>
      </c>
      <c r="Q1279" s="4" t="str">
        <f aca="false">IF(WEEKDAY(B1279,2)&gt;5,"Weekend","Weekday")</f>
        <v>Weekday</v>
      </c>
      <c r="R1279" s="4" t="str">
        <f aca="false">IF(C1279&lt;11,"Morning (7-10)",IF(C1279&lt;14,"Lunch (11-13)",IF(C1279&lt;18,"Afternoon (14-17)","Evening (18-20)")))</f>
        <v>Afternoon (14-17)</v>
      </c>
      <c r="S1279" s="4" t="str">
        <f aca="false">IF(AND(O1279&gt;=3,O1279&lt;=5),"Hot Dry (Mar-May)",IF(AND(O1279&gt;=6,O1279&lt;=11),"Rainy (Jun-Nov)","Cool Dry (Dec-Feb)"))</f>
        <v>Rainy (Jun-Nov)</v>
      </c>
      <c r="T1279" s="4" t="str">
        <f aca="false">CHOOSE(O1279,"Jan","Feb","Mar","Apr","May","Jun","Jul","Aug","Sep","Oct","Nov","Dec")</f>
        <v>Sep</v>
      </c>
    </row>
    <row r="1280" customFormat="false" ht="15" hidden="false" customHeight="false" outlineLevel="0" collapsed="false">
      <c r="A1280" s="4" t="s">
        <v>1626</v>
      </c>
      <c r="B1280" s="17" t="n">
        <v>45916</v>
      </c>
      <c r="C1280" s="4" t="n">
        <v>15</v>
      </c>
      <c r="D1280" s="4" t="s">
        <v>73</v>
      </c>
      <c r="E1280" s="4" t="s">
        <v>99</v>
      </c>
      <c r="F1280" s="4" t="s">
        <v>102</v>
      </c>
      <c r="G1280" s="4" t="n">
        <v>1</v>
      </c>
      <c r="H1280" s="34" t="n">
        <v>140</v>
      </c>
      <c r="I1280" s="18" t="n">
        <v>0</v>
      </c>
      <c r="J1280" s="4" t="s">
        <v>67</v>
      </c>
      <c r="K1280" s="4" t="s">
        <v>68</v>
      </c>
      <c r="L1280" s="35" t="n">
        <f aca="false">G1280*H1280</f>
        <v>140</v>
      </c>
      <c r="M1280" s="35" t="n">
        <f aca="false">L1280*I1280</f>
        <v>0</v>
      </c>
      <c r="N1280" s="35" t="n">
        <f aca="false">L1280-M1280</f>
        <v>140</v>
      </c>
      <c r="O1280" s="4" t="n">
        <f aca="false">MONTH(B1280)</f>
        <v>9</v>
      </c>
      <c r="P1280" s="4" t="str">
        <f aca="false">CHOOSE(WEEKDAY(B1280,2),"Mon","Tue","Wed","Thu","Fri","Sat","Sun")</f>
        <v>Tue</v>
      </c>
      <c r="Q1280" s="4" t="str">
        <f aca="false">IF(WEEKDAY(B1280,2)&gt;5,"Weekend","Weekday")</f>
        <v>Weekday</v>
      </c>
      <c r="R1280" s="4" t="str">
        <f aca="false">IF(C1280&lt;11,"Morning (7-10)",IF(C1280&lt;14,"Lunch (11-13)",IF(C1280&lt;18,"Afternoon (14-17)","Evening (18-20)")))</f>
        <v>Afternoon (14-17)</v>
      </c>
      <c r="S1280" s="4" t="str">
        <f aca="false">IF(AND(O1280&gt;=3,O1280&lt;=5),"Hot Dry (Mar-May)",IF(AND(O1280&gt;=6,O1280&lt;=11),"Rainy (Jun-Nov)","Cool Dry (Dec-Feb)"))</f>
        <v>Rainy (Jun-Nov)</v>
      </c>
      <c r="T1280" s="4" t="str">
        <f aca="false">CHOOSE(O1280,"Jan","Feb","Mar","Apr","May","Jun","Jul","Aug","Sep","Oct","Nov","Dec")</f>
        <v>Sep</v>
      </c>
    </row>
    <row r="1281" customFormat="false" ht="15" hidden="false" customHeight="false" outlineLevel="0" collapsed="false">
      <c r="A1281" s="4" t="s">
        <v>1627</v>
      </c>
      <c r="B1281" s="17" t="n">
        <v>45916</v>
      </c>
      <c r="C1281" s="4" t="n">
        <v>18</v>
      </c>
      <c r="D1281" s="4" t="s">
        <v>70</v>
      </c>
      <c r="E1281" s="4" t="s">
        <v>99</v>
      </c>
      <c r="F1281" s="4" t="s">
        <v>102</v>
      </c>
      <c r="G1281" s="4" t="n">
        <v>1</v>
      </c>
      <c r="H1281" s="34" t="n">
        <v>140</v>
      </c>
      <c r="I1281" s="18" t="n">
        <v>0</v>
      </c>
      <c r="J1281" s="4" t="s">
        <v>88</v>
      </c>
      <c r="K1281" s="4" t="s">
        <v>68</v>
      </c>
      <c r="L1281" s="35" t="n">
        <f aca="false">G1281*H1281</f>
        <v>140</v>
      </c>
      <c r="M1281" s="35" t="n">
        <f aca="false">L1281*I1281</f>
        <v>0</v>
      </c>
      <c r="N1281" s="35" t="n">
        <f aca="false">L1281-M1281</f>
        <v>140</v>
      </c>
      <c r="O1281" s="4" t="n">
        <f aca="false">MONTH(B1281)</f>
        <v>9</v>
      </c>
      <c r="P1281" s="4" t="str">
        <f aca="false">CHOOSE(WEEKDAY(B1281,2),"Mon","Tue","Wed","Thu","Fri","Sat","Sun")</f>
        <v>Tue</v>
      </c>
      <c r="Q1281" s="4" t="str">
        <f aca="false">IF(WEEKDAY(B1281,2)&gt;5,"Weekend","Weekday")</f>
        <v>Weekday</v>
      </c>
      <c r="R1281" s="4" t="str">
        <f aca="false">IF(C1281&lt;11,"Morning (7-10)",IF(C1281&lt;14,"Lunch (11-13)",IF(C1281&lt;18,"Afternoon (14-17)","Evening (18-20)")))</f>
        <v>Evening (18-20)</v>
      </c>
      <c r="S1281" s="4" t="str">
        <f aca="false">IF(AND(O1281&gt;=3,O1281&lt;=5),"Hot Dry (Mar-May)",IF(AND(O1281&gt;=6,O1281&lt;=11),"Rainy (Jun-Nov)","Cool Dry (Dec-Feb)"))</f>
        <v>Rainy (Jun-Nov)</v>
      </c>
      <c r="T1281" s="4" t="str">
        <f aca="false">CHOOSE(O1281,"Jan","Feb","Mar","Apr","May","Jun","Jul","Aug","Sep","Oct","Nov","Dec")</f>
        <v>Sep</v>
      </c>
    </row>
    <row r="1282" customFormat="false" ht="15" hidden="false" customHeight="false" outlineLevel="0" collapsed="false">
      <c r="A1282" s="4" t="s">
        <v>1628</v>
      </c>
      <c r="B1282" s="17" t="n">
        <v>45917</v>
      </c>
      <c r="C1282" s="4" t="n">
        <v>11</v>
      </c>
      <c r="D1282" s="4" t="s">
        <v>73</v>
      </c>
      <c r="E1282" s="4" t="s">
        <v>74</v>
      </c>
      <c r="F1282" s="4" t="s">
        <v>91</v>
      </c>
      <c r="G1282" s="4" t="n">
        <v>1</v>
      </c>
      <c r="H1282" s="34" t="n">
        <v>200</v>
      </c>
      <c r="I1282" s="18" t="n">
        <v>0</v>
      </c>
      <c r="J1282" s="4" t="s">
        <v>81</v>
      </c>
      <c r="K1282" s="4" t="s">
        <v>77</v>
      </c>
      <c r="L1282" s="35" t="n">
        <f aca="false">G1282*H1282</f>
        <v>200</v>
      </c>
      <c r="M1282" s="35" t="n">
        <f aca="false">L1282*I1282</f>
        <v>0</v>
      </c>
      <c r="N1282" s="35" t="n">
        <f aca="false">L1282-M1282</f>
        <v>200</v>
      </c>
      <c r="O1282" s="4" t="n">
        <f aca="false">MONTH(B1282)</f>
        <v>9</v>
      </c>
      <c r="P1282" s="4" t="str">
        <f aca="false">CHOOSE(WEEKDAY(B1282,2),"Mon","Tue","Wed","Thu","Fri","Sat","Sun")</f>
        <v>Wed</v>
      </c>
      <c r="Q1282" s="4" t="str">
        <f aca="false">IF(WEEKDAY(B1282,2)&gt;5,"Weekend","Weekday")</f>
        <v>Weekday</v>
      </c>
      <c r="R1282" s="4" t="str">
        <f aca="false">IF(C1282&lt;11,"Morning (7-10)",IF(C1282&lt;14,"Lunch (11-13)",IF(C1282&lt;18,"Afternoon (14-17)","Evening (18-20)")))</f>
        <v>Lunch (11-13)</v>
      </c>
      <c r="S1282" s="4" t="str">
        <f aca="false">IF(AND(O1282&gt;=3,O1282&lt;=5),"Hot Dry (Mar-May)",IF(AND(O1282&gt;=6,O1282&lt;=11),"Rainy (Jun-Nov)","Cool Dry (Dec-Feb)"))</f>
        <v>Rainy (Jun-Nov)</v>
      </c>
      <c r="T1282" s="4" t="str">
        <f aca="false">CHOOSE(O1282,"Jan","Feb","Mar","Apr","May","Jun","Jul","Aug","Sep","Oct","Nov","Dec")</f>
        <v>Sep</v>
      </c>
    </row>
    <row r="1283" customFormat="false" ht="15" hidden="false" customHeight="false" outlineLevel="0" collapsed="false">
      <c r="A1283" s="4" t="s">
        <v>1629</v>
      </c>
      <c r="B1283" s="17" t="n">
        <v>45917</v>
      </c>
      <c r="C1283" s="4" t="n">
        <v>12</v>
      </c>
      <c r="D1283" s="4" t="s">
        <v>70</v>
      </c>
      <c r="E1283" s="4" t="s">
        <v>84</v>
      </c>
      <c r="F1283" s="4" t="s">
        <v>106</v>
      </c>
      <c r="G1283" s="4" t="n">
        <v>2</v>
      </c>
      <c r="H1283" s="34" t="n">
        <v>60</v>
      </c>
      <c r="I1283" s="18" t="n">
        <v>0.05</v>
      </c>
      <c r="J1283" s="4" t="s">
        <v>67</v>
      </c>
      <c r="K1283" s="4" t="s">
        <v>82</v>
      </c>
      <c r="L1283" s="35" t="n">
        <f aca="false">G1283*H1283</f>
        <v>120</v>
      </c>
      <c r="M1283" s="35" t="n">
        <f aca="false">L1283*I1283</f>
        <v>6</v>
      </c>
      <c r="N1283" s="35" t="n">
        <f aca="false">L1283-M1283</f>
        <v>114</v>
      </c>
      <c r="O1283" s="4" t="n">
        <f aca="false">MONTH(B1283)</f>
        <v>9</v>
      </c>
      <c r="P1283" s="4" t="str">
        <f aca="false">CHOOSE(WEEKDAY(B1283,2),"Mon","Tue","Wed","Thu","Fri","Sat","Sun")</f>
        <v>Wed</v>
      </c>
      <c r="Q1283" s="4" t="str">
        <f aca="false">IF(WEEKDAY(B1283,2)&gt;5,"Weekend","Weekday")</f>
        <v>Weekday</v>
      </c>
      <c r="R1283" s="4" t="str">
        <f aca="false">IF(C1283&lt;11,"Morning (7-10)",IF(C1283&lt;14,"Lunch (11-13)",IF(C1283&lt;18,"Afternoon (14-17)","Evening (18-20)")))</f>
        <v>Lunch (11-13)</v>
      </c>
      <c r="S1283" s="4" t="str">
        <f aca="false">IF(AND(O1283&gt;=3,O1283&lt;=5),"Hot Dry (Mar-May)",IF(AND(O1283&gt;=6,O1283&lt;=11),"Rainy (Jun-Nov)","Cool Dry (Dec-Feb)"))</f>
        <v>Rainy (Jun-Nov)</v>
      </c>
      <c r="T1283" s="4" t="str">
        <f aca="false">CHOOSE(O1283,"Jan","Feb","Mar","Apr","May","Jun","Jul","Aug","Sep","Oct","Nov","Dec")</f>
        <v>Sep</v>
      </c>
    </row>
    <row r="1284" customFormat="false" ht="15" hidden="false" customHeight="false" outlineLevel="0" collapsed="false">
      <c r="A1284" s="4" t="s">
        <v>1630</v>
      </c>
      <c r="B1284" s="17" t="n">
        <v>45917</v>
      </c>
      <c r="C1284" s="4" t="n">
        <v>12</v>
      </c>
      <c r="D1284" s="4" t="s">
        <v>64</v>
      </c>
      <c r="E1284" s="4" t="s">
        <v>84</v>
      </c>
      <c r="F1284" s="4" t="s">
        <v>85</v>
      </c>
      <c r="G1284" s="4" t="n">
        <v>1</v>
      </c>
      <c r="H1284" s="34" t="n">
        <v>150</v>
      </c>
      <c r="I1284" s="18" t="n">
        <v>0.05</v>
      </c>
      <c r="J1284" s="4" t="s">
        <v>81</v>
      </c>
      <c r="K1284" s="4" t="s">
        <v>82</v>
      </c>
      <c r="L1284" s="35" t="n">
        <f aca="false">G1284*H1284</f>
        <v>150</v>
      </c>
      <c r="M1284" s="35" t="n">
        <f aca="false">L1284*I1284</f>
        <v>7.5</v>
      </c>
      <c r="N1284" s="35" t="n">
        <f aca="false">L1284-M1284</f>
        <v>142.5</v>
      </c>
      <c r="O1284" s="4" t="n">
        <f aca="false">MONTH(B1284)</f>
        <v>9</v>
      </c>
      <c r="P1284" s="4" t="str">
        <f aca="false">CHOOSE(WEEKDAY(B1284,2),"Mon","Tue","Wed","Thu","Fri","Sat","Sun")</f>
        <v>Wed</v>
      </c>
      <c r="Q1284" s="4" t="str">
        <f aca="false">IF(WEEKDAY(B1284,2)&gt;5,"Weekend","Weekday")</f>
        <v>Weekday</v>
      </c>
      <c r="R1284" s="4" t="str">
        <f aca="false">IF(C1284&lt;11,"Morning (7-10)",IF(C1284&lt;14,"Lunch (11-13)",IF(C1284&lt;18,"Afternoon (14-17)","Evening (18-20)")))</f>
        <v>Lunch (11-13)</v>
      </c>
      <c r="S1284" s="4" t="str">
        <f aca="false">IF(AND(O1284&gt;=3,O1284&lt;=5),"Hot Dry (Mar-May)",IF(AND(O1284&gt;=6,O1284&lt;=11),"Rainy (Jun-Nov)","Cool Dry (Dec-Feb)"))</f>
        <v>Rainy (Jun-Nov)</v>
      </c>
      <c r="T1284" s="4" t="str">
        <f aca="false">CHOOSE(O1284,"Jan","Feb","Mar","Apr","May","Jun","Jul","Aug","Sep","Oct","Nov","Dec")</f>
        <v>Sep</v>
      </c>
    </row>
    <row r="1285" customFormat="false" ht="15" hidden="false" customHeight="false" outlineLevel="0" collapsed="false">
      <c r="A1285" s="4" t="s">
        <v>1631</v>
      </c>
      <c r="B1285" s="17" t="n">
        <v>45917</v>
      </c>
      <c r="C1285" s="4" t="n">
        <v>16</v>
      </c>
      <c r="D1285" s="4" t="s">
        <v>73</v>
      </c>
      <c r="E1285" s="4" t="s">
        <v>74</v>
      </c>
      <c r="F1285" s="4" t="s">
        <v>139</v>
      </c>
      <c r="G1285" s="4" t="n">
        <v>1</v>
      </c>
      <c r="H1285" s="34" t="n">
        <v>260</v>
      </c>
      <c r="I1285" s="18" t="n">
        <v>0</v>
      </c>
      <c r="J1285" s="4" t="s">
        <v>67</v>
      </c>
      <c r="K1285" s="4" t="s">
        <v>68</v>
      </c>
      <c r="L1285" s="35" t="n">
        <f aca="false">G1285*H1285</f>
        <v>260</v>
      </c>
      <c r="M1285" s="35" t="n">
        <f aca="false">L1285*I1285</f>
        <v>0</v>
      </c>
      <c r="N1285" s="35" t="n">
        <f aca="false">L1285-M1285</f>
        <v>260</v>
      </c>
      <c r="O1285" s="4" t="n">
        <f aca="false">MONTH(B1285)</f>
        <v>9</v>
      </c>
      <c r="P1285" s="4" t="str">
        <f aca="false">CHOOSE(WEEKDAY(B1285,2),"Mon","Tue","Wed","Thu","Fri","Sat","Sun")</f>
        <v>Wed</v>
      </c>
      <c r="Q1285" s="4" t="str">
        <f aca="false">IF(WEEKDAY(B1285,2)&gt;5,"Weekend","Weekday")</f>
        <v>Weekday</v>
      </c>
      <c r="R1285" s="4" t="str">
        <f aca="false">IF(C1285&lt;11,"Morning (7-10)",IF(C1285&lt;14,"Lunch (11-13)",IF(C1285&lt;18,"Afternoon (14-17)","Evening (18-20)")))</f>
        <v>Afternoon (14-17)</v>
      </c>
      <c r="S1285" s="4" t="str">
        <f aca="false">IF(AND(O1285&gt;=3,O1285&lt;=5),"Hot Dry (Mar-May)",IF(AND(O1285&gt;=6,O1285&lt;=11),"Rainy (Jun-Nov)","Cool Dry (Dec-Feb)"))</f>
        <v>Rainy (Jun-Nov)</v>
      </c>
      <c r="T1285" s="4" t="str">
        <f aca="false">CHOOSE(O1285,"Jan","Feb","Mar","Apr","May","Jun","Jul","Aug","Sep","Oct","Nov","Dec")</f>
        <v>Sep</v>
      </c>
    </row>
    <row r="1286" customFormat="false" ht="15" hidden="false" customHeight="false" outlineLevel="0" collapsed="false">
      <c r="A1286" s="4" t="s">
        <v>1633</v>
      </c>
      <c r="B1286" s="17" t="n">
        <v>45917</v>
      </c>
      <c r="C1286" s="4" t="n">
        <v>16</v>
      </c>
      <c r="D1286" s="4" t="s">
        <v>98</v>
      </c>
      <c r="E1286" s="4" t="s">
        <v>65</v>
      </c>
      <c r="F1286" s="4" t="s">
        <v>87</v>
      </c>
      <c r="G1286" s="4" t="n">
        <v>1</v>
      </c>
      <c r="H1286" s="34" t="n">
        <v>160</v>
      </c>
      <c r="I1286" s="18" t="n">
        <v>0</v>
      </c>
      <c r="J1286" s="4" t="s">
        <v>76</v>
      </c>
      <c r="K1286" s="4" t="s">
        <v>77</v>
      </c>
      <c r="L1286" s="35" t="n">
        <f aca="false">G1286*H1286</f>
        <v>160</v>
      </c>
      <c r="M1286" s="35" t="n">
        <f aca="false">L1286*I1286</f>
        <v>0</v>
      </c>
      <c r="N1286" s="35" t="n">
        <f aca="false">L1286-M1286</f>
        <v>160</v>
      </c>
      <c r="O1286" s="4" t="n">
        <f aca="false">MONTH(B1286)</f>
        <v>9</v>
      </c>
      <c r="P1286" s="4" t="str">
        <f aca="false">CHOOSE(WEEKDAY(B1286,2),"Mon","Tue","Wed","Thu","Fri","Sat","Sun")</f>
        <v>Wed</v>
      </c>
      <c r="Q1286" s="4" t="str">
        <f aca="false">IF(WEEKDAY(B1286,2)&gt;5,"Weekend","Weekday")</f>
        <v>Weekday</v>
      </c>
      <c r="R1286" s="4" t="str">
        <f aca="false">IF(C1286&lt;11,"Morning (7-10)",IF(C1286&lt;14,"Lunch (11-13)",IF(C1286&lt;18,"Afternoon (14-17)","Evening (18-20)")))</f>
        <v>Afternoon (14-17)</v>
      </c>
      <c r="S1286" s="4" t="str">
        <f aca="false">IF(AND(O1286&gt;=3,O1286&lt;=5),"Hot Dry (Mar-May)",IF(AND(O1286&gt;=6,O1286&lt;=11),"Rainy (Jun-Nov)","Cool Dry (Dec-Feb)"))</f>
        <v>Rainy (Jun-Nov)</v>
      </c>
      <c r="T1286" s="4" t="str">
        <f aca="false">CHOOSE(O1286,"Jan","Feb","Mar","Apr","May","Jun","Jul","Aug","Sep","Oct","Nov","Dec")</f>
        <v>Sep</v>
      </c>
    </row>
    <row r="1287" customFormat="false" ht="15" hidden="false" customHeight="false" outlineLevel="0" collapsed="false">
      <c r="A1287" s="4" t="s">
        <v>1634</v>
      </c>
      <c r="B1287" s="17" t="n">
        <v>45917</v>
      </c>
      <c r="C1287" s="4" t="n">
        <v>19</v>
      </c>
      <c r="D1287" s="4" t="s">
        <v>64</v>
      </c>
      <c r="E1287" s="4" t="s">
        <v>99</v>
      </c>
      <c r="F1287" s="4" t="s">
        <v>100</v>
      </c>
      <c r="G1287" s="4" t="n">
        <v>1</v>
      </c>
      <c r="H1287" s="34" t="n">
        <v>110</v>
      </c>
      <c r="I1287" s="18" t="n">
        <v>0</v>
      </c>
      <c r="J1287" s="4" t="s">
        <v>81</v>
      </c>
      <c r="K1287" s="4" t="s">
        <v>68</v>
      </c>
      <c r="L1287" s="35" t="n">
        <f aca="false">G1287*H1287</f>
        <v>110</v>
      </c>
      <c r="M1287" s="35" t="n">
        <f aca="false">L1287*I1287</f>
        <v>0</v>
      </c>
      <c r="N1287" s="35" t="n">
        <f aca="false">L1287-M1287</f>
        <v>110</v>
      </c>
      <c r="O1287" s="4" t="n">
        <f aca="false">MONTH(B1287)</f>
        <v>9</v>
      </c>
      <c r="P1287" s="4" t="str">
        <f aca="false">CHOOSE(WEEKDAY(B1287,2),"Mon","Tue","Wed","Thu","Fri","Sat","Sun")</f>
        <v>Wed</v>
      </c>
      <c r="Q1287" s="4" t="str">
        <f aca="false">IF(WEEKDAY(B1287,2)&gt;5,"Weekend","Weekday")</f>
        <v>Weekday</v>
      </c>
      <c r="R1287" s="4" t="str">
        <f aca="false">IF(C1287&lt;11,"Morning (7-10)",IF(C1287&lt;14,"Lunch (11-13)",IF(C1287&lt;18,"Afternoon (14-17)","Evening (18-20)")))</f>
        <v>Evening (18-20)</v>
      </c>
      <c r="S1287" s="4" t="str">
        <f aca="false">IF(AND(O1287&gt;=3,O1287&lt;=5),"Hot Dry (Mar-May)",IF(AND(O1287&gt;=6,O1287&lt;=11),"Rainy (Jun-Nov)","Cool Dry (Dec-Feb)"))</f>
        <v>Rainy (Jun-Nov)</v>
      </c>
      <c r="T1287" s="4" t="str">
        <f aca="false">CHOOSE(O1287,"Jan","Feb","Mar","Apr","May","Jun","Jul","Aug","Sep","Oct","Nov","Dec")</f>
        <v>Sep</v>
      </c>
    </row>
    <row r="1288" customFormat="false" ht="15" hidden="false" customHeight="false" outlineLevel="0" collapsed="false">
      <c r="A1288" s="4" t="s">
        <v>1635</v>
      </c>
      <c r="B1288" s="17" t="n">
        <v>45917</v>
      </c>
      <c r="C1288" s="4" t="n">
        <v>20</v>
      </c>
      <c r="D1288" s="4" t="s">
        <v>98</v>
      </c>
      <c r="E1288" s="4" t="s">
        <v>84</v>
      </c>
      <c r="F1288" s="4" t="s">
        <v>117</v>
      </c>
      <c r="G1288" s="4" t="n">
        <v>2</v>
      </c>
      <c r="H1288" s="34" t="n">
        <v>95</v>
      </c>
      <c r="I1288" s="18" t="n">
        <v>0.1</v>
      </c>
      <c r="J1288" s="4" t="s">
        <v>67</v>
      </c>
      <c r="K1288" s="4" t="s">
        <v>71</v>
      </c>
      <c r="L1288" s="35" t="n">
        <f aca="false">G1288*H1288</f>
        <v>190</v>
      </c>
      <c r="M1288" s="35" t="n">
        <f aca="false">L1288*I1288</f>
        <v>19</v>
      </c>
      <c r="N1288" s="35" t="n">
        <f aca="false">L1288-M1288</f>
        <v>171</v>
      </c>
      <c r="O1288" s="4" t="n">
        <f aca="false">MONTH(B1288)</f>
        <v>9</v>
      </c>
      <c r="P1288" s="4" t="str">
        <f aca="false">CHOOSE(WEEKDAY(B1288,2),"Mon","Tue","Wed","Thu","Fri","Sat","Sun")</f>
        <v>Wed</v>
      </c>
      <c r="Q1288" s="4" t="str">
        <f aca="false">IF(WEEKDAY(B1288,2)&gt;5,"Weekend","Weekday")</f>
        <v>Weekday</v>
      </c>
      <c r="R1288" s="4" t="str">
        <f aca="false">IF(C1288&lt;11,"Morning (7-10)",IF(C1288&lt;14,"Lunch (11-13)",IF(C1288&lt;18,"Afternoon (14-17)","Evening (18-20)")))</f>
        <v>Evening (18-20)</v>
      </c>
      <c r="S1288" s="4" t="str">
        <f aca="false">IF(AND(O1288&gt;=3,O1288&lt;=5),"Hot Dry (Mar-May)",IF(AND(O1288&gt;=6,O1288&lt;=11),"Rainy (Jun-Nov)","Cool Dry (Dec-Feb)"))</f>
        <v>Rainy (Jun-Nov)</v>
      </c>
      <c r="T1288" s="4" t="str">
        <f aca="false">CHOOSE(O1288,"Jan","Feb","Mar","Apr","May","Jun","Jul","Aug","Sep","Oct","Nov","Dec")</f>
        <v>Sep</v>
      </c>
    </row>
    <row r="1289" customFormat="false" ht="15" hidden="false" customHeight="false" outlineLevel="0" collapsed="false">
      <c r="A1289" s="4" t="s">
        <v>1636</v>
      </c>
      <c r="B1289" s="17" t="n">
        <v>45918</v>
      </c>
      <c r="C1289" s="4" t="n">
        <v>9</v>
      </c>
      <c r="D1289" s="4" t="s">
        <v>70</v>
      </c>
      <c r="E1289" s="4" t="s">
        <v>65</v>
      </c>
      <c r="F1289" s="4" t="s">
        <v>66</v>
      </c>
      <c r="G1289" s="4" t="n">
        <v>1</v>
      </c>
      <c r="H1289" s="34" t="n">
        <v>120</v>
      </c>
      <c r="I1289" s="18" t="n">
        <v>0.1</v>
      </c>
      <c r="J1289" s="4" t="s">
        <v>81</v>
      </c>
      <c r="K1289" s="4" t="s">
        <v>68</v>
      </c>
      <c r="L1289" s="35" t="n">
        <f aca="false">G1289*H1289</f>
        <v>120</v>
      </c>
      <c r="M1289" s="35" t="n">
        <f aca="false">L1289*I1289</f>
        <v>12</v>
      </c>
      <c r="N1289" s="35" t="n">
        <f aca="false">L1289-M1289</f>
        <v>108</v>
      </c>
      <c r="O1289" s="4" t="n">
        <f aca="false">MONTH(B1289)</f>
        <v>9</v>
      </c>
      <c r="P1289" s="4" t="str">
        <f aca="false">CHOOSE(WEEKDAY(B1289,2),"Mon","Tue","Wed","Thu","Fri","Sat","Sun")</f>
        <v>Thu</v>
      </c>
      <c r="Q1289" s="4" t="str">
        <f aca="false">IF(WEEKDAY(B1289,2)&gt;5,"Weekend","Weekday")</f>
        <v>Weekday</v>
      </c>
      <c r="R1289" s="4" t="str">
        <f aca="false">IF(C1289&lt;11,"Morning (7-10)",IF(C1289&lt;14,"Lunch (11-13)",IF(C1289&lt;18,"Afternoon (14-17)","Evening (18-20)")))</f>
        <v>Morning (7-10)</v>
      </c>
      <c r="S1289" s="4" t="str">
        <f aca="false">IF(AND(O1289&gt;=3,O1289&lt;=5),"Hot Dry (Mar-May)",IF(AND(O1289&gt;=6,O1289&lt;=11),"Rainy (Jun-Nov)","Cool Dry (Dec-Feb)"))</f>
        <v>Rainy (Jun-Nov)</v>
      </c>
      <c r="T1289" s="4" t="str">
        <f aca="false">CHOOSE(O1289,"Jan","Feb","Mar","Apr","May","Jun","Jul","Aug","Sep","Oct","Nov","Dec")</f>
        <v>Sep</v>
      </c>
    </row>
    <row r="1290" customFormat="false" ht="15" hidden="false" customHeight="false" outlineLevel="0" collapsed="false">
      <c r="A1290" s="4" t="s">
        <v>1637</v>
      </c>
      <c r="B1290" s="17" t="n">
        <v>45918</v>
      </c>
      <c r="C1290" s="4" t="n">
        <v>13</v>
      </c>
      <c r="D1290" s="4" t="s">
        <v>73</v>
      </c>
      <c r="E1290" s="4" t="s">
        <v>99</v>
      </c>
      <c r="F1290" s="4" t="s">
        <v>109</v>
      </c>
      <c r="G1290" s="4" t="n">
        <v>1</v>
      </c>
      <c r="H1290" s="34" t="n">
        <v>130</v>
      </c>
      <c r="I1290" s="18" t="n">
        <v>0.1</v>
      </c>
      <c r="J1290" s="4" t="s">
        <v>81</v>
      </c>
      <c r="K1290" s="4" t="s">
        <v>71</v>
      </c>
      <c r="L1290" s="35" t="n">
        <f aca="false">G1290*H1290</f>
        <v>130</v>
      </c>
      <c r="M1290" s="35" t="n">
        <f aca="false">L1290*I1290</f>
        <v>13</v>
      </c>
      <c r="N1290" s="35" t="n">
        <f aca="false">L1290-M1290</f>
        <v>117</v>
      </c>
      <c r="O1290" s="4" t="n">
        <f aca="false">MONTH(B1290)</f>
        <v>9</v>
      </c>
      <c r="P1290" s="4" t="str">
        <f aca="false">CHOOSE(WEEKDAY(B1290,2),"Mon","Tue","Wed","Thu","Fri","Sat","Sun")</f>
        <v>Thu</v>
      </c>
      <c r="Q1290" s="4" t="str">
        <f aca="false">IF(WEEKDAY(B1290,2)&gt;5,"Weekend","Weekday")</f>
        <v>Weekday</v>
      </c>
      <c r="R1290" s="4" t="str">
        <f aca="false">IF(C1290&lt;11,"Morning (7-10)",IF(C1290&lt;14,"Lunch (11-13)",IF(C1290&lt;18,"Afternoon (14-17)","Evening (18-20)")))</f>
        <v>Lunch (11-13)</v>
      </c>
      <c r="S1290" s="4" t="str">
        <f aca="false">IF(AND(O1290&gt;=3,O1290&lt;=5),"Hot Dry (Mar-May)",IF(AND(O1290&gt;=6,O1290&lt;=11),"Rainy (Jun-Nov)","Cool Dry (Dec-Feb)"))</f>
        <v>Rainy (Jun-Nov)</v>
      </c>
      <c r="T1290" s="4" t="str">
        <f aca="false">CHOOSE(O1290,"Jan","Feb","Mar","Apr","May","Jun","Jul","Aug","Sep","Oct","Nov","Dec")</f>
        <v>Sep</v>
      </c>
    </row>
    <row r="1291" customFormat="false" ht="15" hidden="false" customHeight="false" outlineLevel="0" collapsed="false">
      <c r="A1291" s="4" t="s">
        <v>1639</v>
      </c>
      <c r="B1291" s="17" t="n">
        <v>45918</v>
      </c>
      <c r="C1291" s="4" t="n">
        <v>17</v>
      </c>
      <c r="D1291" s="4" t="s">
        <v>64</v>
      </c>
      <c r="E1291" s="4" t="s">
        <v>99</v>
      </c>
      <c r="F1291" s="4" t="s">
        <v>102</v>
      </c>
      <c r="G1291" s="4" t="n">
        <v>2</v>
      </c>
      <c r="H1291" s="34" t="n">
        <v>140</v>
      </c>
      <c r="I1291" s="18" t="n">
        <v>0</v>
      </c>
      <c r="J1291" s="4" t="s">
        <v>112</v>
      </c>
      <c r="K1291" s="4" t="s">
        <v>68</v>
      </c>
      <c r="L1291" s="35" t="n">
        <f aca="false">G1291*H1291</f>
        <v>280</v>
      </c>
      <c r="M1291" s="35" t="n">
        <f aca="false">L1291*I1291</f>
        <v>0</v>
      </c>
      <c r="N1291" s="35" t="n">
        <f aca="false">L1291-M1291</f>
        <v>280</v>
      </c>
      <c r="O1291" s="4" t="n">
        <f aca="false">MONTH(B1291)</f>
        <v>9</v>
      </c>
      <c r="P1291" s="4" t="str">
        <f aca="false">CHOOSE(WEEKDAY(B1291,2),"Mon","Tue","Wed","Thu","Fri","Sat","Sun")</f>
        <v>Thu</v>
      </c>
      <c r="Q1291" s="4" t="str">
        <f aca="false">IF(WEEKDAY(B1291,2)&gt;5,"Weekend","Weekday")</f>
        <v>Weekday</v>
      </c>
      <c r="R1291" s="4" t="str">
        <f aca="false">IF(C1291&lt;11,"Morning (7-10)",IF(C1291&lt;14,"Lunch (11-13)",IF(C1291&lt;18,"Afternoon (14-17)","Evening (18-20)")))</f>
        <v>Afternoon (14-17)</v>
      </c>
      <c r="S1291" s="4" t="str">
        <f aca="false">IF(AND(O1291&gt;=3,O1291&lt;=5),"Hot Dry (Mar-May)",IF(AND(O1291&gt;=6,O1291&lt;=11),"Rainy (Jun-Nov)","Cool Dry (Dec-Feb)"))</f>
        <v>Rainy (Jun-Nov)</v>
      </c>
      <c r="T1291" s="4" t="str">
        <f aca="false">CHOOSE(O1291,"Jan","Feb","Mar","Apr","May","Jun","Jul","Aug","Sep","Oct","Nov","Dec")</f>
        <v>Sep</v>
      </c>
    </row>
    <row r="1292" customFormat="false" ht="15" hidden="false" customHeight="false" outlineLevel="0" collapsed="false">
      <c r="A1292" s="4" t="s">
        <v>1640</v>
      </c>
      <c r="B1292" s="17" t="n">
        <v>45919</v>
      </c>
      <c r="C1292" s="4" t="n">
        <v>8</v>
      </c>
      <c r="D1292" s="4" t="s">
        <v>64</v>
      </c>
      <c r="E1292" s="4" t="s">
        <v>74</v>
      </c>
      <c r="F1292" s="4" t="s">
        <v>139</v>
      </c>
      <c r="G1292" s="4" t="n">
        <v>1</v>
      </c>
      <c r="H1292" s="34" t="n">
        <v>260</v>
      </c>
      <c r="I1292" s="18" t="n">
        <v>0</v>
      </c>
      <c r="J1292" s="4" t="s">
        <v>76</v>
      </c>
      <c r="K1292" s="4" t="s">
        <v>68</v>
      </c>
      <c r="L1292" s="35" t="n">
        <f aca="false">G1292*H1292</f>
        <v>260</v>
      </c>
      <c r="M1292" s="35" t="n">
        <f aca="false">L1292*I1292</f>
        <v>0</v>
      </c>
      <c r="N1292" s="35" t="n">
        <f aca="false">L1292-M1292</f>
        <v>260</v>
      </c>
      <c r="O1292" s="4" t="n">
        <f aca="false">MONTH(B1292)</f>
        <v>9</v>
      </c>
      <c r="P1292" s="4" t="str">
        <f aca="false">CHOOSE(WEEKDAY(B1292,2),"Mon","Tue","Wed","Thu","Fri","Sat","Sun")</f>
        <v>Fri</v>
      </c>
      <c r="Q1292" s="4" t="str">
        <f aca="false">IF(WEEKDAY(B1292,2)&gt;5,"Weekend","Weekday")</f>
        <v>Weekday</v>
      </c>
      <c r="R1292" s="4" t="str">
        <f aca="false">IF(C1292&lt;11,"Morning (7-10)",IF(C1292&lt;14,"Lunch (11-13)",IF(C1292&lt;18,"Afternoon (14-17)","Evening (18-20)")))</f>
        <v>Morning (7-10)</v>
      </c>
      <c r="S1292" s="4" t="str">
        <f aca="false">IF(AND(O1292&gt;=3,O1292&lt;=5),"Hot Dry (Mar-May)",IF(AND(O1292&gt;=6,O1292&lt;=11),"Rainy (Jun-Nov)","Cool Dry (Dec-Feb)"))</f>
        <v>Rainy (Jun-Nov)</v>
      </c>
      <c r="T1292" s="4" t="str">
        <f aca="false">CHOOSE(O1292,"Jan","Feb","Mar","Apr","May","Jun","Jul","Aug","Sep","Oct","Nov","Dec")</f>
        <v>Sep</v>
      </c>
    </row>
    <row r="1293" customFormat="false" ht="15" hidden="false" customHeight="false" outlineLevel="0" collapsed="false">
      <c r="A1293" s="4" t="s">
        <v>1641</v>
      </c>
      <c r="B1293" s="17" t="n">
        <v>45919</v>
      </c>
      <c r="C1293" s="4" t="n">
        <v>11</v>
      </c>
      <c r="D1293" s="4" t="s">
        <v>98</v>
      </c>
      <c r="E1293" s="4" t="s">
        <v>65</v>
      </c>
      <c r="F1293" s="4" t="s">
        <v>94</v>
      </c>
      <c r="G1293" s="4" t="n">
        <v>3</v>
      </c>
      <c r="H1293" s="34" t="n">
        <v>150</v>
      </c>
      <c r="I1293" s="18" t="n">
        <v>0</v>
      </c>
      <c r="J1293" s="4" t="s">
        <v>81</v>
      </c>
      <c r="K1293" s="4" t="s">
        <v>68</v>
      </c>
      <c r="L1293" s="35" t="n">
        <f aca="false">G1293*H1293</f>
        <v>450</v>
      </c>
      <c r="M1293" s="35" t="n">
        <f aca="false">L1293*I1293</f>
        <v>0</v>
      </c>
      <c r="N1293" s="35" t="n">
        <f aca="false">L1293-M1293</f>
        <v>450</v>
      </c>
      <c r="O1293" s="4" t="n">
        <f aca="false">MONTH(B1293)</f>
        <v>9</v>
      </c>
      <c r="P1293" s="4" t="str">
        <f aca="false">CHOOSE(WEEKDAY(B1293,2),"Mon","Tue","Wed","Thu","Fri","Sat","Sun")</f>
        <v>Fri</v>
      </c>
      <c r="Q1293" s="4" t="str">
        <f aca="false">IF(WEEKDAY(B1293,2)&gt;5,"Weekend","Weekday")</f>
        <v>Weekday</v>
      </c>
      <c r="R1293" s="4" t="str">
        <f aca="false">IF(C1293&lt;11,"Morning (7-10)",IF(C1293&lt;14,"Lunch (11-13)",IF(C1293&lt;18,"Afternoon (14-17)","Evening (18-20)")))</f>
        <v>Lunch (11-13)</v>
      </c>
      <c r="S1293" s="4" t="str">
        <f aca="false">IF(AND(O1293&gt;=3,O1293&lt;=5),"Hot Dry (Mar-May)",IF(AND(O1293&gt;=6,O1293&lt;=11),"Rainy (Jun-Nov)","Cool Dry (Dec-Feb)"))</f>
        <v>Rainy (Jun-Nov)</v>
      </c>
      <c r="T1293" s="4" t="str">
        <f aca="false">CHOOSE(O1293,"Jan","Feb","Mar","Apr","May","Jun","Jul","Aug","Sep","Oct","Nov","Dec")</f>
        <v>Sep</v>
      </c>
    </row>
    <row r="1294" customFormat="false" ht="15" hidden="false" customHeight="false" outlineLevel="0" collapsed="false">
      <c r="A1294" s="4" t="s">
        <v>1642</v>
      </c>
      <c r="B1294" s="17" t="n">
        <v>45919</v>
      </c>
      <c r="C1294" s="4" t="n">
        <v>11</v>
      </c>
      <c r="D1294" s="4" t="s">
        <v>64</v>
      </c>
      <c r="E1294" s="4" t="s">
        <v>99</v>
      </c>
      <c r="F1294" s="4" t="s">
        <v>133</v>
      </c>
      <c r="G1294" s="4" t="n">
        <v>1</v>
      </c>
      <c r="H1294" s="34" t="n">
        <v>90</v>
      </c>
      <c r="I1294" s="18" t="n">
        <v>0.1</v>
      </c>
      <c r="J1294" s="4" t="s">
        <v>76</v>
      </c>
      <c r="K1294" s="4" t="s">
        <v>71</v>
      </c>
      <c r="L1294" s="35" t="n">
        <f aca="false">G1294*H1294</f>
        <v>90</v>
      </c>
      <c r="M1294" s="35" t="n">
        <f aca="false">L1294*I1294</f>
        <v>9</v>
      </c>
      <c r="N1294" s="35" t="n">
        <f aca="false">L1294-M1294</f>
        <v>81</v>
      </c>
      <c r="O1294" s="4" t="n">
        <f aca="false">MONTH(B1294)</f>
        <v>9</v>
      </c>
      <c r="P1294" s="4" t="str">
        <f aca="false">CHOOSE(WEEKDAY(B1294,2),"Mon","Tue","Wed","Thu","Fri","Sat","Sun")</f>
        <v>Fri</v>
      </c>
      <c r="Q1294" s="4" t="str">
        <f aca="false">IF(WEEKDAY(B1294,2)&gt;5,"Weekend","Weekday")</f>
        <v>Weekday</v>
      </c>
      <c r="R1294" s="4" t="str">
        <f aca="false">IF(C1294&lt;11,"Morning (7-10)",IF(C1294&lt;14,"Lunch (11-13)",IF(C1294&lt;18,"Afternoon (14-17)","Evening (18-20)")))</f>
        <v>Lunch (11-13)</v>
      </c>
      <c r="S1294" s="4" t="str">
        <f aca="false">IF(AND(O1294&gt;=3,O1294&lt;=5),"Hot Dry (Mar-May)",IF(AND(O1294&gt;=6,O1294&lt;=11),"Rainy (Jun-Nov)","Cool Dry (Dec-Feb)"))</f>
        <v>Rainy (Jun-Nov)</v>
      </c>
      <c r="T1294" s="4" t="str">
        <f aca="false">CHOOSE(O1294,"Jan","Feb","Mar","Apr","May","Jun","Jul","Aug","Sep","Oct","Nov","Dec")</f>
        <v>Sep</v>
      </c>
    </row>
    <row r="1295" customFormat="false" ht="15" hidden="false" customHeight="false" outlineLevel="0" collapsed="false">
      <c r="A1295" s="4" t="s">
        <v>1643</v>
      </c>
      <c r="B1295" s="17" t="n">
        <v>45919</v>
      </c>
      <c r="C1295" s="4" t="n">
        <v>16</v>
      </c>
      <c r="D1295" s="4" t="s">
        <v>64</v>
      </c>
      <c r="E1295" s="4" t="s">
        <v>84</v>
      </c>
      <c r="F1295" s="4" t="s">
        <v>106</v>
      </c>
      <c r="G1295" s="4" t="n">
        <v>2</v>
      </c>
      <c r="H1295" s="34" t="n">
        <v>60</v>
      </c>
      <c r="I1295" s="18" t="n">
        <v>0.1</v>
      </c>
      <c r="J1295" s="4" t="s">
        <v>88</v>
      </c>
      <c r="K1295" s="4" t="s">
        <v>71</v>
      </c>
      <c r="L1295" s="35" t="n">
        <f aca="false">G1295*H1295</f>
        <v>120</v>
      </c>
      <c r="M1295" s="35" t="n">
        <f aca="false">L1295*I1295</f>
        <v>12</v>
      </c>
      <c r="N1295" s="35" t="n">
        <f aca="false">L1295-M1295</f>
        <v>108</v>
      </c>
      <c r="O1295" s="4" t="n">
        <f aca="false">MONTH(B1295)</f>
        <v>9</v>
      </c>
      <c r="P1295" s="4" t="str">
        <f aca="false">CHOOSE(WEEKDAY(B1295,2),"Mon","Tue","Wed","Thu","Fri","Sat","Sun")</f>
        <v>Fri</v>
      </c>
      <c r="Q1295" s="4" t="str">
        <f aca="false">IF(WEEKDAY(B1295,2)&gt;5,"Weekend","Weekday")</f>
        <v>Weekday</v>
      </c>
      <c r="R1295" s="4" t="str">
        <f aca="false">IF(C1295&lt;11,"Morning (7-10)",IF(C1295&lt;14,"Lunch (11-13)",IF(C1295&lt;18,"Afternoon (14-17)","Evening (18-20)")))</f>
        <v>Afternoon (14-17)</v>
      </c>
      <c r="S1295" s="4" t="str">
        <f aca="false">IF(AND(O1295&gt;=3,O1295&lt;=5),"Hot Dry (Mar-May)",IF(AND(O1295&gt;=6,O1295&lt;=11),"Rainy (Jun-Nov)","Cool Dry (Dec-Feb)"))</f>
        <v>Rainy (Jun-Nov)</v>
      </c>
      <c r="T1295" s="4" t="str">
        <f aca="false">CHOOSE(O1295,"Jan","Feb","Mar","Apr","May","Jun","Jul","Aug","Sep","Oct","Nov","Dec")</f>
        <v>Sep</v>
      </c>
    </row>
    <row r="1296" customFormat="false" ht="15" hidden="false" customHeight="false" outlineLevel="0" collapsed="false">
      <c r="A1296" s="4" t="s">
        <v>1645</v>
      </c>
      <c r="B1296" s="17" t="n">
        <v>45919</v>
      </c>
      <c r="C1296" s="4" t="n">
        <v>17</v>
      </c>
      <c r="D1296" s="4" t="s">
        <v>64</v>
      </c>
      <c r="E1296" s="4" t="s">
        <v>65</v>
      </c>
      <c r="F1296" s="4" t="s">
        <v>87</v>
      </c>
      <c r="G1296" s="4" t="n">
        <v>1</v>
      </c>
      <c r="H1296" s="34" t="n">
        <v>160</v>
      </c>
      <c r="I1296" s="18" t="n">
        <v>0.1</v>
      </c>
      <c r="J1296" s="4" t="s">
        <v>67</v>
      </c>
      <c r="K1296" s="4" t="s">
        <v>71</v>
      </c>
      <c r="L1296" s="35" t="n">
        <f aca="false">G1296*H1296</f>
        <v>160</v>
      </c>
      <c r="M1296" s="35" t="n">
        <f aca="false">L1296*I1296</f>
        <v>16</v>
      </c>
      <c r="N1296" s="35" t="n">
        <f aca="false">L1296-M1296</f>
        <v>144</v>
      </c>
      <c r="O1296" s="4" t="n">
        <f aca="false">MONTH(B1296)</f>
        <v>9</v>
      </c>
      <c r="P1296" s="4" t="str">
        <f aca="false">CHOOSE(WEEKDAY(B1296,2),"Mon","Tue","Wed","Thu","Fri","Sat","Sun")</f>
        <v>Fri</v>
      </c>
      <c r="Q1296" s="4" t="str">
        <f aca="false">IF(WEEKDAY(B1296,2)&gt;5,"Weekend","Weekday")</f>
        <v>Weekday</v>
      </c>
      <c r="R1296" s="4" t="str">
        <f aca="false">IF(C1296&lt;11,"Morning (7-10)",IF(C1296&lt;14,"Lunch (11-13)",IF(C1296&lt;18,"Afternoon (14-17)","Evening (18-20)")))</f>
        <v>Afternoon (14-17)</v>
      </c>
      <c r="S1296" s="4" t="str">
        <f aca="false">IF(AND(O1296&gt;=3,O1296&lt;=5),"Hot Dry (Mar-May)",IF(AND(O1296&gt;=6,O1296&lt;=11),"Rainy (Jun-Nov)","Cool Dry (Dec-Feb)"))</f>
        <v>Rainy (Jun-Nov)</v>
      </c>
      <c r="T1296" s="4" t="str">
        <f aca="false">CHOOSE(O1296,"Jan","Feb","Mar","Apr","May","Jun","Jul","Aug","Sep","Oct","Nov","Dec")</f>
        <v>Sep</v>
      </c>
    </row>
    <row r="1297" customFormat="false" ht="15" hidden="false" customHeight="false" outlineLevel="0" collapsed="false">
      <c r="A1297" s="4" t="s">
        <v>1646</v>
      </c>
      <c r="B1297" s="17" t="n">
        <v>45920</v>
      </c>
      <c r="C1297" s="4" t="n">
        <v>8</v>
      </c>
      <c r="D1297" s="4" t="s">
        <v>73</v>
      </c>
      <c r="E1297" s="4" t="s">
        <v>65</v>
      </c>
      <c r="F1297" s="4" t="s">
        <v>66</v>
      </c>
      <c r="G1297" s="4" t="n">
        <v>1</v>
      </c>
      <c r="H1297" s="34" t="n">
        <v>120</v>
      </c>
      <c r="I1297" s="18" t="n">
        <v>0.15</v>
      </c>
      <c r="J1297" s="4" t="s">
        <v>88</v>
      </c>
      <c r="K1297" s="4" t="s">
        <v>71</v>
      </c>
      <c r="L1297" s="35" t="n">
        <f aca="false">G1297*H1297</f>
        <v>120</v>
      </c>
      <c r="M1297" s="35" t="n">
        <f aca="false">L1297*I1297</f>
        <v>18</v>
      </c>
      <c r="N1297" s="35" t="n">
        <f aca="false">L1297-M1297</f>
        <v>102</v>
      </c>
      <c r="O1297" s="4" t="n">
        <f aca="false">MONTH(B1297)</f>
        <v>9</v>
      </c>
      <c r="P1297" s="4" t="str">
        <f aca="false">CHOOSE(WEEKDAY(B1297,2),"Mon","Tue","Wed","Thu","Fri","Sat","Sun")</f>
        <v>Sat</v>
      </c>
      <c r="Q1297" s="4" t="str">
        <f aca="false">IF(WEEKDAY(B1297,2)&gt;5,"Weekend","Weekday")</f>
        <v>Weekend</v>
      </c>
      <c r="R1297" s="4" t="str">
        <f aca="false">IF(C1297&lt;11,"Morning (7-10)",IF(C1297&lt;14,"Lunch (11-13)",IF(C1297&lt;18,"Afternoon (14-17)","Evening (18-20)")))</f>
        <v>Morning (7-10)</v>
      </c>
      <c r="S1297" s="4" t="str">
        <f aca="false">IF(AND(O1297&gt;=3,O1297&lt;=5),"Hot Dry (Mar-May)",IF(AND(O1297&gt;=6,O1297&lt;=11),"Rainy (Jun-Nov)","Cool Dry (Dec-Feb)"))</f>
        <v>Rainy (Jun-Nov)</v>
      </c>
      <c r="T1297" s="4" t="str">
        <f aca="false">CHOOSE(O1297,"Jan","Feb","Mar","Apr","May","Jun","Jul","Aug","Sep","Oct","Nov","Dec")</f>
        <v>Sep</v>
      </c>
    </row>
    <row r="1298" customFormat="false" ht="15" hidden="false" customHeight="false" outlineLevel="0" collapsed="false">
      <c r="A1298" s="4" t="s">
        <v>1647</v>
      </c>
      <c r="B1298" s="17" t="n">
        <v>45920</v>
      </c>
      <c r="C1298" s="4" t="n">
        <v>9</v>
      </c>
      <c r="D1298" s="4" t="s">
        <v>70</v>
      </c>
      <c r="E1298" s="4" t="s">
        <v>65</v>
      </c>
      <c r="F1298" s="4" t="s">
        <v>87</v>
      </c>
      <c r="G1298" s="4" t="n">
        <v>3</v>
      </c>
      <c r="H1298" s="34" t="n">
        <v>160</v>
      </c>
      <c r="I1298" s="18" t="n">
        <v>0</v>
      </c>
      <c r="J1298" s="4" t="s">
        <v>67</v>
      </c>
      <c r="K1298" s="4" t="s">
        <v>77</v>
      </c>
      <c r="L1298" s="35" t="n">
        <f aca="false">G1298*H1298</f>
        <v>480</v>
      </c>
      <c r="M1298" s="35" t="n">
        <f aca="false">L1298*I1298</f>
        <v>0</v>
      </c>
      <c r="N1298" s="35" t="n">
        <f aca="false">L1298-M1298</f>
        <v>480</v>
      </c>
      <c r="O1298" s="4" t="n">
        <f aca="false">MONTH(B1298)</f>
        <v>9</v>
      </c>
      <c r="P1298" s="4" t="str">
        <f aca="false">CHOOSE(WEEKDAY(B1298,2),"Mon","Tue","Wed","Thu","Fri","Sat","Sun")</f>
        <v>Sat</v>
      </c>
      <c r="Q1298" s="4" t="str">
        <f aca="false">IF(WEEKDAY(B1298,2)&gt;5,"Weekend","Weekday")</f>
        <v>Weekend</v>
      </c>
      <c r="R1298" s="4" t="str">
        <f aca="false">IF(C1298&lt;11,"Morning (7-10)",IF(C1298&lt;14,"Lunch (11-13)",IF(C1298&lt;18,"Afternoon (14-17)","Evening (18-20)")))</f>
        <v>Morning (7-10)</v>
      </c>
      <c r="S1298" s="4" t="str">
        <f aca="false">IF(AND(O1298&gt;=3,O1298&lt;=5),"Hot Dry (Mar-May)",IF(AND(O1298&gt;=6,O1298&lt;=11),"Rainy (Jun-Nov)","Cool Dry (Dec-Feb)"))</f>
        <v>Rainy (Jun-Nov)</v>
      </c>
      <c r="T1298" s="4" t="str">
        <f aca="false">CHOOSE(O1298,"Jan","Feb","Mar","Apr","May","Jun","Jul","Aug","Sep","Oct","Nov","Dec")</f>
        <v>Sep</v>
      </c>
    </row>
    <row r="1299" customFormat="false" ht="15" hidden="false" customHeight="false" outlineLevel="0" collapsed="false">
      <c r="A1299" s="4" t="s">
        <v>1648</v>
      </c>
      <c r="B1299" s="17" t="n">
        <v>45920</v>
      </c>
      <c r="C1299" s="4" t="n">
        <v>15</v>
      </c>
      <c r="D1299" s="4" t="s">
        <v>70</v>
      </c>
      <c r="E1299" s="4" t="s">
        <v>65</v>
      </c>
      <c r="F1299" s="4" t="s">
        <v>121</v>
      </c>
      <c r="G1299" s="4" t="n">
        <v>2</v>
      </c>
      <c r="H1299" s="34" t="n">
        <v>170</v>
      </c>
      <c r="I1299" s="18" t="n">
        <v>0</v>
      </c>
      <c r="J1299" s="4" t="s">
        <v>76</v>
      </c>
      <c r="K1299" s="4" t="s">
        <v>77</v>
      </c>
      <c r="L1299" s="35" t="n">
        <f aca="false">G1299*H1299</f>
        <v>340</v>
      </c>
      <c r="M1299" s="35" t="n">
        <f aca="false">L1299*I1299</f>
        <v>0</v>
      </c>
      <c r="N1299" s="35" t="n">
        <f aca="false">L1299-M1299</f>
        <v>340</v>
      </c>
      <c r="O1299" s="4" t="n">
        <f aca="false">MONTH(B1299)</f>
        <v>9</v>
      </c>
      <c r="P1299" s="4" t="str">
        <f aca="false">CHOOSE(WEEKDAY(B1299,2),"Mon","Tue","Wed","Thu","Fri","Sat","Sun")</f>
        <v>Sat</v>
      </c>
      <c r="Q1299" s="4" t="str">
        <f aca="false">IF(WEEKDAY(B1299,2)&gt;5,"Weekend","Weekday")</f>
        <v>Weekend</v>
      </c>
      <c r="R1299" s="4" t="str">
        <f aca="false">IF(C1299&lt;11,"Morning (7-10)",IF(C1299&lt;14,"Lunch (11-13)",IF(C1299&lt;18,"Afternoon (14-17)","Evening (18-20)")))</f>
        <v>Afternoon (14-17)</v>
      </c>
      <c r="S1299" s="4" t="str">
        <f aca="false">IF(AND(O1299&gt;=3,O1299&lt;=5),"Hot Dry (Mar-May)",IF(AND(O1299&gt;=6,O1299&lt;=11),"Rainy (Jun-Nov)","Cool Dry (Dec-Feb)"))</f>
        <v>Rainy (Jun-Nov)</v>
      </c>
      <c r="T1299" s="4" t="str">
        <f aca="false">CHOOSE(O1299,"Jan","Feb","Mar","Apr","May","Jun","Jul","Aug","Sep","Oct","Nov","Dec")</f>
        <v>Sep</v>
      </c>
    </row>
    <row r="1300" customFormat="false" ht="15" hidden="false" customHeight="false" outlineLevel="0" collapsed="false">
      <c r="A1300" s="4" t="s">
        <v>1649</v>
      </c>
      <c r="B1300" s="17" t="n">
        <v>45920</v>
      </c>
      <c r="C1300" s="4" t="n">
        <v>16</v>
      </c>
      <c r="D1300" s="4" t="s">
        <v>98</v>
      </c>
      <c r="E1300" s="4" t="s">
        <v>84</v>
      </c>
      <c r="F1300" s="4" t="s">
        <v>117</v>
      </c>
      <c r="G1300" s="4" t="n">
        <v>1</v>
      </c>
      <c r="H1300" s="34" t="n">
        <v>95</v>
      </c>
      <c r="I1300" s="18" t="n">
        <v>0</v>
      </c>
      <c r="J1300" s="4" t="s">
        <v>81</v>
      </c>
      <c r="K1300" s="4" t="s">
        <v>68</v>
      </c>
      <c r="L1300" s="35" t="n">
        <f aca="false">G1300*H1300</f>
        <v>95</v>
      </c>
      <c r="M1300" s="35" t="n">
        <f aca="false">L1300*I1300</f>
        <v>0</v>
      </c>
      <c r="N1300" s="35" t="n">
        <f aca="false">L1300-M1300</f>
        <v>95</v>
      </c>
      <c r="O1300" s="4" t="n">
        <f aca="false">MONTH(B1300)</f>
        <v>9</v>
      </c>
      <c r="P1300" s="4" t="str">
        <f aca="false">CHOOSE(WEEKDAY(B1300,2),"Mon","Tue","Wed","Thu","Fri","Sat","Sun")</f>
        <v>Sat</v>
      </c>
      <c r="Q1300" s="4" t="str">
        <f aca="false">IF(WEEKDAY(B1300,2)&gt;5,"Weekend","Weekday")</f>
        <v>Weekend</v>
      </c>
      <c r="R1300" s="4" t="str">
        <f aca="false">IF(C1300&lt;11,"Morning (7-10)",IF(C1300&lt;14,"Lunch (11-13)",IF(C1300&lt;18,"Afternoon (14-17)","Evening (18-20)")))</f>
        <v>Afternoon (14-17)</v>
      </c>
      <c r="S1300" s="4" t="str">
        <f aca="false">IF(AND(O1300&gt;=3,O1300&lt;=5),"Hot Dry (Mar-May)",IF(AND(O1300&gt;=6,O1300&lt;=11),"Rainy (Jun-Nov)","Cool Dry (Dec-Feb)"))</f>
        <v>Rainy (Jun-Nov)</v>
      </c>
      <c r="T1300" s="4" t="str">
        <f aca="false">CHOOSE(O1300,"Jan","Feb","Mar","Apr","May","Jun","Jul","Aug","Sep","Oct","Nov","Dec")</f>
        <v>Sep</v>
      </c>
    </row>
    <row r="1301" customFormat="false" ht="15" hidden="false" customHeight="false" outlineLevel="0" collapsed="false">
      <c r="A1301" s="4" t="s">
        <v>1651</v>
      </c>
      <c r="B1301" s="17" t="n">
        <v>45920</v>
      </c>
      <c r="C1301" s="4" t="n">
        <v>16</v>
      </c>
      <c r="D1301" s="4" t="s">
        <v>64</v>
      </c>
      <c r="E1301" s="4" t="s">
        <v>99</v>
      </c>
      <c r="F1301" s="4" t="s">
        <v>102</v>
      </c>
      <c r="G1301" s="4" t="n">
        <v>2</v>
      </c>
      <c r="H1301" s="34" t="n">
        <v>140</v>
      </c>
      <c r="I1301" s="18" t="n">
        <v>0.1</v>
      </c>
      <c r="J1301" s="4" t="s">
        <v>2289</v>
      </c>
      <c r="K1301" s="4" t="s">
        <v>82</v>
      </c>
      <c r="L1301" s="35" t="n">
        <f aca="false">G1301*H1301</f>
        <v>280</v>
      </c>
      <c r="M1301" s="35" t="n">
        <f aca="false">L1301*I1301</f>
        <v>28</v>
      </c>
      <c r="N1301" s="35" t="n">
        <f aca="false">L1301-M1301</f>
        <v>252</v>
      </c>
      <c r="O1301" s="4" t="n">
        <f aca="false">MONTH(B1301)</f>
        <v>9</v>
      </c>
      <c r="P1301" s="4" t="str">
        <f aca="false">CHOOSE(WEEKDAY(B1301,2),"Mon","Tue","Wed","Thu","Fri","Sat","Sun")</f>
        <v>Sat</v>
      </c>
      <c r="Q1301" s="4" t="str">
        <f aca="false">IF(WEEKDAY(B1301,2)&gt;5,"Weekend","Weekday")</f>
        <v>Weekend</v>
      </c>
      <c r="R1301" s="4" t="str">
        <f aca="false">IF(C1301&lt;11,"Morning (7-10)",IF(C1301&lt;14,"Lunch (11-13)",IF(C1301&lt;18,"Afternoon (14-17)","Evening (18-20)")))</f>
        <v>Afternoon (14-17)</v>
      </c>
      <c r="S1301" s="4" t="str">
        <f aca="false">IF(AND(O1301&gt;=3,O1301&lt;=5),"Hot Dry (Mar-May)",IF(AND(O1301&gt;=6,O1301&lt;=11),"Rainy (Jun-Nov)","Cool Dry (Dec-Feb)"))</f>
        <v>Rainy (Jun-Nov)</v>
      </c>
      <c r="T1301" s="4" t="str">
        <f aca="false">CHOOSE(O1301,"Jan","Feb","Mar","Apr","May","Jun","Jul","Aug","Sep","Oct","Nov","Dec")</f>
        <v>Sep</v>
      </c>
    </row>
    <row r="1302" customFormat="false" ht="15" hidden="false" customHeight="false" outlineLevel="0" collapsed="false">
      <c r="A1302" s="4" t="s">
        <v>1652</v>
      </c>
      <c r="B1302" s="17" t="n">
        <v>45921</v>
      </c>
      <c r="C1302" s="4" t="n">
        <v>9</v>
      </c>
      <c r="D1302" s="4" t="s">
        <v>98</v>
      </c>
      <c r="E1302" s="4" t="s">
        <v>99</v>
      </c>
      <c r="F1302" s="4" t="s">
        <v>102</v>
      </c>
      <c r="G1302" s="4" t="n">
        <v>1</v>
      </c>
      <c r="H1302" s="34" t="n">
        <v>140</v>
      </c>
      <c r="I1302" s="18" t="n">
        <v>0.05</v>
      </c>
      <c r="J1302" s="4" t="s">
        <v>67</v>
      </c>
      <c r="K1302" s="4" t="s">
        <v>82</v>
      </c>
      <c r="L1302" s="35" t="n">
        <f aca="false">G1302*H1302</f>
        <v>140</v>
      </c>
      <c r="M1302" s="35" t="n">
        <f aca="false">L1302*I1302</f>
        <v>7</v>
      </c>
      <c r="N1302" s="35" t="n">
        <f aca="false">L1302-M1302</f>
        <v>133</v>
      </c>
      <c r="O1302" s="4" t="n">
        <f aca="false">MONTH(B1302)</f>
        <v>9</v>
      </c>
      <c r="P1302" s="4" t="str">
        <f aca="false">CHOOSE(WEEKDAY(B1302,2),"Mon","Tue","Wed","Thu","Fri","Sat","Sun")</f>
        <v>Sun</v>
      </c>
      <c r="Q1302" s="4" t="str">
        <f aca="false">IF(WEEKDAY(B1302,2)&gt;5,"Weekend","Weekday")</f>
        <v>Weekend</v>
      </c>
      <c r="R1302" s="4" t="str">
        <f aca="false">IF(C1302&lt;11,"Morning (7-10)",IF(C1302&lt;14,"Lunch (11-13)",IF(C1302&lt;18,"Afternoon (14-17)","Evening (18-20)")))</f>
        <v>Morning (7-10)</v>
      </c>
      <c r="S1302" s="4" t="str">
        <f aca="false">IF(AND(O1302&gt;=3,O1302&lt;=5),"Hot Dry (Mar-May)",IF(AND(O1302&gt;=6,O1302&lt;=11),"Rainy (Jun-Nov)","Cool Dry (Dec-Feb)"))</f>
        <v>Rainy (Jun-Nov)</v>
      </c>
      <c r="T1302" s="4" t="str">
        <f aca="false">CHOOSE(O1302,"Jan","Feb","Mar","Apr","May","Jun","Jul","Aug","Sep","Oct","Nov","Dec")</f>
        <v>Sep</v>
      </c>
    </row>
    <row r="1303" customFormat="false" ht="15" hidden="false" customHeight="false" outlineLevel="0" collapsed="false">
      <c r="A1303" s="4" t="s">
        <v>1653</v>
      </c>
      <c r="B1303" s="17" t="n">
        <v>45921</v>
      </c>
      <c r="C1303" s="4" t="n">
        <v>14</v>
      </c>
      <c r="D1303" s="4" t="s">
        <v>98</v>
      </c>
      <c r="E1303" s="4" t="s">
        <v>99</v>
      </c>
      <c r="F1303" s="4" t="s">
        <v>100</v>
      </c>
      <c r="G1303" s="4" t="n">
        <v>1</v>
      </c>
      <c r="H1303" s="34" t="n">
        <v>110</v>
      </c>
      <c r="I1303" s="18" t="n">
        <v>0</v>
      </c>
      <c r="J1303" s="4" t="s">
        <v>88</v>
      </c>
      <c r="K1303" s="4" t="s">
        <v>68</v>
      </c>
      <c r="L1303" s="35" t="n">
        <f aca="false">G1303*H1303</f>
        <v>110</v>
      </c>
      <c r="M1303" s="35" t="n">
        <f aca="false">L1303*I1303</f>
        <v>0</v>
      </c>
      <c r="N1303" s="35" t="n">
        <f aca="false">L1303-M1303</f>
        <v>110</v>
      </c>
      <c r="O1303" s="4" t="n">
        <f aca="false">MONTH(B1303)</f>
        <v>9</v>
      </c>
      <c r="P1303" s="4" t="str">
        <f aca="false">CHOOSE(WEEKDAY(B1303,2),"Mon","Tue","Wed","Thu","Fri","Sat","Sun")</f>
        <v>Sun</v>
      </c>
      <c r="Q1303" s="4" t="str">
        <f aca="false">IF(WEEKDAY(B1303,2)&gt;5,"Weekend","Weekday")</f>
        <v>Weekend</v>
      </c>
      <c r="R1303" s="4" t="str">
        <f aca="false">IF(C1303&lt;11,"Morning (7-10)",IF(C1303&lt;14,"Lunch (11-13)",IF(C1303&lt;18,"Afternoon (14-17)","Evening (18-20)")))</f>
        <v>Afternoon (14-17)</v>
      </c>
      <c r="S1303" s="4" t="str">
        <f aca="false">IF(AND(O1303&gt;=3,O1303&lt;=5),"Hot Dry (Mar-May)",IF(AND(O1303&gt;=6,O1303&lt;=11),"Rainy (Jun-Nov)","Cool Dry (Dec-Feb)"))</f>
        <v>Rainy (Jun-Nov)</v>
      </c>
      <c r="T1303" s="4" t="str">
        <f aca="false">CHOOSE(O1303,"Jan","Feb","Mar","Apr","May","Jun","Jul","Aug","Sep","Oct","Nov","Dec")</f>
        <v>Sep</v>
      </c>
    </row>
    <row r="1304" customFormat="false" ht="15" hidden="false" customHeight="false" outlineLevel="0" collapsed="false">
      <c r="A1304" s="4" t="s">
        <v>1654</v>
      </c>
      <c r="B1304" s="17" t="n">
        <v>45922</v>
      </c>
      <c r="C1304" s="4" t="n">
        <v>10</v>
      </c>
      <c r="D1304" s="4" t="s">
        <v>70</v>
      </c>
      <c r="E1304" s="4" t="s">
        <v>65</v>
      </c>
      <c r="F1304" s="4" t="s">
        <v>94</v>
      </c>
      <c r="G1304" s="4" t="n">
        <v>2</v>
      </c>
      <c r="H1304" s="34" t="n">
        <v>150</v>
      </c>
      <c r="I1304" s="18" t="n">
        <v>0</v>
      </c>
      <c r="J1304" s="4" t="s">
        <v>67</v>
      </c>
      <c r="K1304" s="4" t="s">
        <v>77</v>
      </c>
      <c r="L1304" s="35" t="n">
        <f aca="false">G1304*H1304</f>
        <v>300</v>
      </c>
      <c r="M1304" s="35" t="n">
        <f aca="false">L1304*I1304</f>
        <v>0</v>
      </c>
      <c r="N1304" s="35" t="n">
        <f aca="false">L1304-M1304</f>
        <v>300</v>
      </c>
      <c r="O1304" s="4" t="n">
        <f aca="false">MONTH(B1304)</f>
        <v>9</v>
      </c>
      <c r="P1304" s="4" t="str">
        <f aca="false">CHOOSE(WEEKDAY(B1304,2),"Mon","Tue","Wed","Thu","Fri","Sat","Sun")</f>
        <v>Mon</v>
      </c>
      <c r="Q1304" s="4" t="str">
        <f aca="false">IF(WEEKDAY(B1304,2)&gt;5,"Weekend","Weekday")</f>
        <v>Weekday</v>
      </c>
      <c r="R1304" s="4" t="str">
        <f aca="false">IF(C1304&lt;11,"Morning (7-10)",IF(C1304&lt;14,"Lunch (11-13)",IF(C1304&lt;18,"Afternoon (14-17)","Evening (18-20)")))</f>
        <v>Morning (7-10)</v>
      </c>
      <c r="S1304" s="4" t="str">
        <f aca="false">IF(AND(O1304&gt;=3,O1304&lt;=5),"Hot Dry (Mar-May)",IF(AND(O1304&gt;=6,O1304&lt;=11),"Rainy (Jun-Nov)","Cool Dry (Dec-Feb)"))</f>
        <v>Rainy (Jun-Nov)</v>
      </c>
      <c r="T1304" s="4" t="str">
        <f aca="false">CHOOSE(O1304,"Jan","Feb","Mar","Apr","May","Jun","Jul","Aug","Sep","Oct","Nov","Dec")</f>
        <v>Sep</v>
      </c>
    </row>
    <row r="1305" customFormat="false" ht="15" hidden="false" customHeight="false" outlineLevel="0" collapsed="false">
      <c r="A1305" s="4" t="s">
        <v>1655</v>
      </c>
      <c r="B1305" s="17" t="n">
        <v>45922</v>
      </c>
      <c r="C1305" s="4" t="n">
        <v>11</v>
      </c>
      <c r="D1305" s="4" t="s">
        <v>70</v>
      </c>
      <c r="E1305" s="4" t="s">
        <v>84</v>
      </c>
      <c r="F1305" s="4" t="s">
        <v>106</v>
      </c>
      <c r="G1305" s="4" t="n">
        <v>1</v>
      </c>
      <c r="H1305" s="34" t="n">
        <v>60</v>
      </c>
      <c r="I1305" s="18" t="n">
        <v>0</v>
      </c>
      <c r="J1305" s="4" t="s">
        <v>81</v>
      </c>
      <c r="K1305" s="4" t="s">
        <v>68</v>
      </c>
      <c r="L1305" s="35" t="n">
        <f aca="false">G1305*H1305</f>
        <v>60</v>
      </c>
      <c r="M1305" s="35" t="n">
        <f aca="false">L1305*I1305</f>
        <v>0</v>
      </c>
      <c r="N1305" s="35" t="n">
        <f aca="false">L1305-M1305</f>
        <v>60</v>
      </c>
      <c r="O1305" s="4" t="n">
        <f aca="false">MONTH(B1305)</f>
        <v>9</v>
      </c>
      <c r="P1305" s="4" t="str">
        <f aca="false">CHOOSE(WEEKDAY(B1305,2),"Mon","Tue","Wed","Thu","Fri","Sat","Sun")</f>
        <v>Mon</v>
      </c>
      <c r="Q1305" s="4" t="str">
        <f aca="false">IF(WEEKDAY(B1305,2)&gt;5,"Weekend","Weekday")</f>
        <v>Weekday</v>
      </c>
      <c r="R1305" s="4" t="str">
        <f aca="false">IF(C1305&lt;11,"Morning (7-10)",IF(C1305&lt;14,"Lunch (11-13)",IF(C1305&lt;18,"Afternoon (14-17)","Evening (18-20)")))</f>
        <v>Lunch (11-13)</v>
      </c>
      <c r="S1305" s="4" t="str">
        <f aca="false">IF(AND(O1305&gt;=3,O1305&lt;=5),"Hot Dry (Mar-May)",IF(AND(O1305&gt;=6,O1305&lt;=11),"Rainy (Jun-Nov)","Cool Dry (Dec-Feb)"))</f>
        <v>Rainy (Jun-Nov)</v>
      </c>
      <c r="T1305" s="4" t="str">
        <f aca="false">CHOOSE(O1305,"Jan","Feb","Mar","Apr","May","Jun","Jul","Aug","Sep","Oct","Nov","Dec")</f>
        <v>Sep</v>
      </c>
    </row>
    <row r="1306" customFormat="false" ht="15" hidden="false" customHeight="false" outlineLevel="0" collapsed="false">
      <c r="A1306" s="4" t="s">
        <v>1656</v>
      </c>
      <c r="B1306" s="17" t="n">
        <v>45922</v>
      </c>
      <c r="C1306" s="4" t="n">
        <v>12</v>
      </c>
      <c r="D1306" s="4" t="s">
        <v>70</v>
      </c>
      <c r="E1306" s="4" t="s">
        <v>99</v>
      </c>
      <c r="F1306" s="4" t="s">
        <v>102</v>
      </c>
      <c r="G1306" s="4" t="n">
        <v>3</v>
      </c>
      <c r="H1306" s="34" t="n">
        <v>140</v>
      </c>
      <c r="I1306" s="18" t="n">
        <v>0</v>
      </c>
      <c r="J1306" s="4" t="s">
        <v>67</v>
      </c>
      <c r="K1306" s="4" t="s">
        <v>77</v>
      </c>
      <c r="L1306" s="35" t="n">
        <f aca="false">G1306*H1306</f>
        <v>420</v>
      </c>
      <c r="M1306" s="35" t="n">
        <f aca="false">L1306*I1306</f>
        <v>0</v>
      </c>
      <c r="N1306" s="35" t="n">
        <f aca="false">L1306-M1306</f>
        <v>420</v>
      </c>
      <c r="O1306" s="4" t="n">
        <f aca="false">MONTH(B1306)</f>
        <v>9</v>
      </c>
      <c r="P1306" s="4" t="str">
        <f aca="false">CHOOSE(WEEKDAY(B1306,2),"Mon","Tue","Wed","Thu","Fri","Sat","Sun")</f>
        <v>Mon</v>
      </c>
      <c r="Q1306" s="4" t="str">
        <f aca="false">IF(WEEKDAY(B1306,2)&gt;5,"Weekend","Weekday")</f>
        <v>Weekday</v>
      </c>
      <c r="R1306" s="4" t="str">
        <f aca="false">IF(C1306&lt;11,"Morning (7-10)",IF(C1306&lt;14,"Lunch (11-13)",IF(C1306&lt;18,"Afternoon (14-17)","Evening (18-20)")))</f>
        <v>Lunch (11-13)</v>
      </c>
      <c r="S1306" s="4" t="str">
        <f aca="false">IF(AND(O1306&gt;=3,O1306&lt;=5),"Hot Dry (Mar-May)",IF(AND(O1306&gt;=6,O1306&lt;=11),"Rainy (Jun-Nov)","Cool Dry (Dec-Feb)"))</f>
        <v>Rainy (Jun-Nov)</v>
      </c>
      <c r="T1306" s="4" t="str">
        <f aca="false">CHOOSE(O1306,"Jan","Feb","Mar","Apr","May","Jun","Jul","Aug","Sep","Oct","Nov","Dec")</f>
        <v>Sep</v>
      </c>
    </row>
    <row r="1307" customFormat="false" ht="15" hidden="false" customHeight="false" outlineLevel="0" collapsed="false">
      <c r="A1307" s="4" t="s">
        <v>1657</v>
      </c>
      <c r="B1307" s="17" t="n">
        <v>45922</v>
      </c>
      <c r="C1307" s="4" t="n">
        <v>19</v>
      </c>
      <c r="D1307" s="4" t="s">
        <v>70</v>
      </c>
      <c r="E1307" s="4" t="s">
        <v>65</v>
      </c>
      <c r="F1307" s="4" t="s">
        <v>87</v>
      </c>
      <c r="G1307" s="4" t="n">
        <v>2</v>
      </c>
      <c r="H1307" s="34" t="n">
        <v>160</v>
      </c>
      <c r="I1307" s="18" t="n">
        <v>0</v>
      </c>
      <c r="J1307" s="4" t="s">
        <v>81</v>
      </c>
      <c r="K1307" s="4" t="s">
        <v>77</v>
      </c>
      <c r="L1307" s="35" t="n">
        <f aca="false">G1307*H1307</f>
        <v>320</v>
      </c>
      <c r="M1307" s="35" t="n">
        <f aca="false">L1307*I1307</f>
        <v>0</v>
      </c>
      <c r="N1307" s="35" t="n">
        <f aca="false">L1307-M1307</f>
        <v>320</v>
      </c>
      <c r="O1307" s="4" t="n">
        <f aca="false">MONTH(B1307)</f>
        <v>9</v>
      </c>
      <c r="P1307" s="4" t="str">
        <f aca="false">CHOOSE(WEEKDAY(B1307,2),"Mon","Tue","Wed","Thu","Fri","Sat","Sun")</f>
        <v>Mon</v>
      </c>
      <c r="Q1307" s="4" t="str">
        <f aca="false">IF(WEEKDAY(B1307,2)&gt;5,"Weekend","Weekday")</f>
        <v>Weekday</v>
      </c>
      <c r="R1307" s="4" t="str">
        <f aca="false">IF(C1307&lt;11,"Morning (7-10)",IF(C1307&lt;14,"Lunch (11-13)",IF(C1307&lt;18,"Afternoon (14-17)","Evening (18-20)")))</f>
        <v>Evening (18-20)</v>
      </c>
      <c r="S1307" s="4" t="str">
        <f aca="false">IF(AND(O1307&gt;=3,O1307&lt;=5),"Hot Dry (Mar-May)",IF(AND(O1307&gt;=6,O1307&lt;=11),"Rainy (Jun-Nov)","Cool Dry (Dec-Feb)"))</f>
        <v>Rainy (Jun-Nov)</v>
      </c>
      <c r="T1307" s="4" t="str">
        <f aca="false">CHOOSE(O1307,"Jan","Feb","Mar","Apr","May","Jun","Jul","Aug","Sep","Oct","Nov","Dec")</f>
        <v>Sep</v>
      </c>
    </row>
    <row r="1308" customFormat="false" ht="15" hidden="false" customHeight="false" outlineLevel="0" collapsed="false">
      <c r="A1308" s="4" t="s">
        <v>1658</v>
      </c>
      <c r="B1308" s="17" t="n">
        <v>45922</v>
      </c>
      <c r="C1308" s="4" t="n">
        <v>19</v>
      </c>
      <c r="D1308" s="4" t="s">
        <v>70</v>
      </c>
      <c r="E1308" s="4" t="s">
        <v>84</v>
      </c>
      <c r="F1308" s="4" t="s">
        <v>117</v>
      </c>
      <c r="G1308" s="4" t="n">
        <v>1</v>
      </c>
      <c r="H1308" s="34" t="n">
        <v>95</v>
      </c>
      <c r="I1308" s="18" t="n">
        <v>0</v>
      </c>
      <c r="J1308" s="4" t="s">
        <v>81</v>
      </c>
      <c r="K1308" s="4" t="s">
        <v>77</v>
      </c>
      <c r="L1308" s="35" t="n">
        <f aca="false">G1308*H1308</f>
        <v>95</v>
      </c>
      <c r="M1308" s="35" t="n">
        <f aca="false">L1308*I1308</f>
        <v>0</v>
      </c>
      <c r="N1308" s="35" t="n">
        <f aca="false">L1308-M1308</f>
        <v>95</v>
      </c>
      <c r="O1308" s="4" t="n">
        <f aca="false">MONTH(B1308)</f>
        <v>9</v>
      </c>
      <c r="P1308" s="4" t="str">
        <f aca="false">CHOOSE(WEEKDAY(B1308,2),"Mon","Tue","Wed","Thu","Fri","Sat","Sun")</f>
        <v>Mon</v>
      </c>
      <c r="Q1308" s="4" t="str">
        <f aca="false">IF(WEEKDAY(B1308,2)&gt;5,"Weekend","Weekday")</f>
        <v>Weekday</v>
      </c>
      <c r="R1308" s="4" t="str">
        <f aca="false">IF(C1308&lt;11,"Morning (7-10)",IF(C1308&lt;14,"Lunch (11-13)",IF(C1308&lt;18,"Afternoon (14-17)","Evening (18-20)")))</f>
        <v>Evening (18-20)</v>
      </c>
      <c r="S1308" s="4" t="str">
        <f aca="false">IF(AND(O1308&gt;=3,O1308&lt;=5),"Hot Dry (Mar-May)",IF(AND(O1308&gt;=6,O1308&lt;=11),"Rainy (Jun-Nov)","Cool Dry (Dec-Feb)"))</f>
        <v>Rainy (Jun-Nov)</v>
      </c>
      <c r="T1308" s="4" t="str">
        <f aca="false">CHOOSE(O1308,"Jan","Feb","Mar","Apr","May","Jun","Jul","Aug","Sep","Oct","Nov","Dec")</f>
        <v>Sep</v>
      </c>
    </row>
    <row r="1309" customFormat="false" ht="15" hidden="false" customHeight="false" outlineLevel="0" collapsed="false">
      <c r="A1309" s="4" t="s">
        <v>1660</v>
      </c>
      <c r="B1309" s="17" t="n">
        <v>45923</v>
      </c>
      <c r="C1309" s="4" t="n">
        <v>12</v>
      </c>
      <c r="D1309" s="4" t="s">
        <v>64</v>
      </c>
      <c r="E1309" s="4" t="s">
        <v>99</v>
      </c>
      <c r="F1309" s="4" t="s">
        <v>100</v>
      </c>
      <c r="G1309" s="4" t="n">
        <v>1</v>
      </c>
      <c r="H1309" s="34" t="n">
        <v>110</v>
      </c>
      <c r="I1309" s="18" t="n">
        <v>0.1</v>
      </c>
      <c r="J1309" s="4" t="s">
        <v>81</v>
      </c>
      <c r="K1309" s="4" t="s">
        <v>71</v>
      </c>
      <c r="L1309" s="35" t="n">
        <f aca="false">G1309*H1309</f>
        <v>110</v>
      </c>
      <c r="M1309" s="35" t="n">
        <f aca="false">L1309*I1309</f>
        <v>11</v>
      </c>
      <c r="N1309" s="35" t="n">
        <f aca="false">L1309-M1309</f>
        <v>99</v>
      </c>
      <c r="O1309" s="4" t="n">
        <f aca="false">MONTH(B1309)</f>
        <v>9</v>
      </c>
      <c r="P1309" s="4" t="str">
        <f aca="false">CHOOSE(WEEKDAY(B1309,2),"Mon","Tue","Wed","Thu","Fri","Sat","Sun")</f>
        <v>Tue</v>
      </c>
      <c r="Q1309" s="4" t="str">
        <f aca="false">IF(WEEKDAY(B1309,2)&gt;5,"Weekend","Weekday")</f>
        <v>Weekday</v>
      </c>
      <c r="R1309" s="4" t="str">
        <f aca="false">IF(C1309&lt;11,"Morning (7-10)",IF(C1309&lt;14,"Lunch (11-13)",IF(C1309&lt;18,"Afternoon (14-17)","Evening (18-20)")))</f>
        <v>Lunch (11-13)</v>
      </c>
      <c r="S1309" s="4" t="str">
        <f aca="false">IF(AND(O1309&gt;=3,O1309&lt;=5),"Hot Dry (Mar-May)",IF(AND(O1309&gt;=6,O1309&lt;=11),"Rainy (Jun-Nov)","Cool Dry (Dec-Feb)"))</f>
        <v>Rainy (Jun-Nov)</v>
      </c>
      <c r="T1309" s="4" t="str">
        <f aca="false">CHOOSE(O1309,"Jan","Feb","Mar","Apr","May","Jun","Jul","Aug","Sep","Oct","Nov","Dec")</f>
        <v>Sep</v>
      </c>
    </row>
    <row r="1310" customFormat="false" ht="15" hidden="false" customHeight="false" outlineLevel="0" collapsed="false">
      <c r="A1310" s="4" t="s">
        <v>1662</v>
      </c>
      <c r="B1310" s="17" t="n">
        <v>45923</v>
      </c>
      <c r="C1310" s="4" t="n">
        <v>13</v>
      </c>
      <c r="D1310" s="4" t="s">
        <v>73</v>
      </c>
      <c r="E1310" s="4" t="s">
        <v>65</v>
      </c>
      <c r="F1310" s="4" t="s">
        <v>94</v>
      </c>
      <c r="G1310" s="4" t="n">
        <v>1</v>
      </c>
      <c r="H1310" s="34" t="n">
        <v>150</v>
      </c>
      <c r="I1310" s="18" t="n">
        <v>0</v>
      </c>
      <c r="J1310" s="4" t="s">
        <v>67</v>
      </c>
      <c r="K1310" s="4" t="s">
        <v>77</v>
      </c>
      <c r="L1310" s="35" t="n">
        <f aca="false">G1310*H1310</f>
        <v>150</v>
      </c>
      <c r="M1310" s="35" t="n">
        <f aca="false">L1310*I1310</f>
        <v>0</v>
      </c>
      <c r="N1310" s="35" t="n">
        <f aca="false">L1310-M1310</f>
        <v>150</v>
      </c>
      <c r="O1310" s="4" t="n">
        <f aca="false">MONTH(B1310)</f>
        <v>9</v>
      </c>
      <c r="P1310" s="4" t="str">
        <f aca="false">CHOOSE(WEEKDAY(B1310,2),"Mon","Tue","Wed","Thu","Fri","Sat","Sun")</f>
        <v>Tue</v>
      </c>
      <c r="Q1310" s="4" t="str">
        <f aca="false">IF(WEEKDAY(B1310,2)&gt;5,"Weekend","Weekday")</f>
        <v>Weekday</v>
      </c>
      <c r="R1310" s="4" t="str">
        <f aca="false">IF(C1310&lt;11,"Morning (7-10)",IF(C1310&lt;14,"Lunch (11-13)",IF(C1310&lt;18,"Afternoon (14-17)","Evening (18-20)")))</f>
        <v>Lunch (11-13)</v>
      </c>
      <c r="S1310" s="4" t="str">
        <f aca="false">IF(AND(O1310&gt;=3,O1310&lt;=5),"Hot Dry (Mar-May)",IF(AND(O1310&gt;=6,O1310&lt;=11),"Rainy (Jun-Nov)","Cool Dry (Dec-Feb)"))</f>
        <v>Rainy (Jun-Nov)</v>
      </c>
      <c r="T1310" s="4" t="str">
        <f aca="false">CHOOSE(O1310,"Jan","Feb","Mar","Apr","May","Jun","Jul","Aug","Sep","Oct","Nov","Dec")</f>
        <v>Sep</v>
      </c>
    </row>
    <row r="1311" customFormat="false" ht="15" hidden="false" customHeight="false" outlineLevel="0" collapsed="false">
      <c r="A1311" s="4" t="s">
        <v>1663</v>
      </c>
      <c r="B1311" s="17" t="n">
        <v>45923</v>
      </c>
      <c r="C1311" s="4" t="n">
        <v>19</v>
      </c>
      <c r="D1311" s="4" t="s">
        <v>64</v>
      </c>
      <c r="E1311" s="4" t="s">
        <v>79</v>
      </c>
      <c r="F1311" s="4" t="s">
        <v>80</v>
      </c>
      <c r="G1311" s="4" t="n">
        <v>4</v>
      </c>
      <c r="H1311" s="34" t="n">
        <v>160</v>
      </c>
      <c r="I1311" s="18" t="n">
        <v>0.1</v>
      </c>
      <c r="J1311" s="4" t="s">
        <v>67</v>
      </c>
      <c r="K1311" s="4" t="s">
        <v>71</v>
      </c>
      <c r="L1311" s="35" t="n">
        <f aca="false">G1311*H1311</f>
        <v>640</v>
      </c>
      <c r="M1311" s="35" t="n">
        <f aca="false">L1311*I1311</f>
        <v>64</v>
      </c>
      <c r="N1311" s="35" t="n">
        <f aca="false">L1311-M1311</f>
        <v>576</v>
      </c>
      <c r="O1311" s="4" t="n">
        <f aca="false">MONTH(B1311)</f>
        <v>9</v>
      </c>
      <c r="P1311" s="4" t="str">
        <f aca="false">CHOOSE(WEEKDAY(B1311,2),"Mon","Tue","Wed","Thu","Fri","Sat","Sun")</f>
        <v>Tue</v>
      </c>
      <c r="Q1311" s="4" t="str">
        <f aca="false">IF(WEEKDAY(B1311,2)&gt;5,"Weekend","Weekday")</f>
        <v>Weekday</v>
      </c>
      <c r="R1311" s="4" t="str">
        <f aca="false">IF(C1311&lt;11,"Morning (7-10)",IF(C1311&lt;14,"Lunch (11-13)",IF(C1311&lt;18,"Afternoon (14-17)","Evening (18-20)")))</f>
        <v>Evening (18-20)</v>
      </c>
      <c r="S1311" s="4" t="str">
        <f aca="false">IF(AND(O1311&gt;=3,O1311&lt;=5),"Hot Dry (Mar-May)",IF(AND(O1311&gt;=6,O1311&lt;=11),"Rainy (Jun-Nov)","Cool Dry (Dec-Feb)"))</f>
        <v>Rainy (Jun-Nov)</v>
      </c>
      <c r="T1311" s="4" t="str">
        <f aca="false">CHOOSE(O1311,"Jan","Feb","Mar","Apr","May","Jun","Jul","Aug","Sep","Oct","Nov","Dec")</f>
        <v>Sep</v>
      </c>
    </row>
    <row r="1312" customFormat="false" ht="15" hidden="false" customHeight="false" outlineLevel="0" collapsed="false">
      <c r="A1312" s="4" t="s">
        <v>1664</v>
      </c>
      <c r="B1312" s="17" t="n">
        <v>45924</v>
      </c>
      <c r="C1312" s="4" t="n">
        <v>9</v>
      </c>
      <c r="D1312" s="4" t="s">
        <v>70</v>
      </c>
      <c r="E1312" s="4" t="s">
        <v>65</v>
      </c>
      <c r="F1312" s="4" t="s">
        <v>66</v>
      </c>
      <c r="G1312" s="4" t="n">
        <v>1</v>
      </c>
      <c r="H1312" s="34" t="n">
        <v>120</v>
      </c>
      <c r="I1312" s="18" t="n">
        <v>0.05</v>
      </c>
      <c r="J1312" s="4" t="s">
        <v>81</v>
      </c>
      <c r="K1312" s="4" t="s">
        <v>82</v>
      </c>
      <c r="L1312" s="35" t="n">
        <f aca="false">G1312*H1312</f>
        <v>120</v>
      </c>
      <c r="M1312" s="35" t="n">
        <f aca="false">L1312*I1312</f>
        <v>6</v>
      </c>
      <c r="N1312" s="35" t="n">
        <f aca="false">L1312-M1312</f>
        <v>114</v>
      </c>
      <c r="O1312" s="4" t="n">
        <f aca="false">MONTH(B1312)</f>
        <v>9</v>
      </c>
      <c r="P1312" s="4" t="str">
        <f aca="false">CHOOSE(WEEKDAY(B1312,2),"Mon","Tue","Wed","Thu","Fri","Sat","Sun")</f>
        <v>Wed</v>
      </c>
      <c r="Q1312" s="4" t="str">
        <f aca="false">IF(WEEKDAY(B1312,2)&gt;5,"Weekend","Weekday")</f>
        <v>Weekday</v>
      </c>
      <c r="R1312" s="4" t="str">
        <f aca="false">IF(C1312&lt;11,"Morning (7-10)",IF(C1312&lt;14,"Lunch (11-13)",IF(C1312&lt;18,"Afternoon (14-17)","Evening (18-20)")))</f>
        <v>Morning (7-10)</v>
      </c>
      <c r="S1312" s="4" t="str">
        <f aca="false">IF(AND(O1312&gt;=3,O1312&lt;=5),"Hot Dry (Mar-May)",IF(AND(O1312&gt;=6,O1312&lt;=11),"Rainy (Jun-Nov)","Cool Dry (Dec-Feb)"))</f>
        <v>Rainy (Jun-Nov)</v>
      </c>
      <c r="T1312" s="4" t="str">
        <f aca="false">CHOOSE(O1312,"Jan","Feb","Mar","Apr","May","Jun","Jul","Aug","Sep","Oct","Nov","Dec")</f>
        <v>Sep</v>
      </c>
    </row>
    <row r="1313" customFormat="false" ht="15" hidden="false" customHeight="false" outlineLevel="0" collapsed="false">
      <c r="A1313" s="4" t="s">
        <v>1665</v>
      </c>
      <c r="B1313" s="17" t="n">
        <v>45924</v>
      </c>
      <c r="C1313" s="4" t="n">
        <v>9</v>
      </c>
      <c r="D1313" s="4" t="s">
        <v>98</v>
      </c>
      <c r="E1313" s="4" t="s">
        <v>79</v>
      </c>
      <c r="F1313" s="4" t="s">
        <v>135</v>
      </c>
      <c r="G1313" s="4" t="n">
        <v>2</v>
      </c>
      <c r="H1313" s="34" t="n">
        <v>130</v>
      </c>
      <c r="I1313" s="18" t="n">
        <v>0</v>
      </c>
      <c r="J1313" s="4" t="s">
        <v>67</v>
      </c>
      <c r="K1313" s="4" t="s">
        <v>68</v>
      </c>
      <c r="L1313" s="35" t="n">
        <f aca="false">G1313*H1313</f>
        <v>260</v>
      </c>
      <c r="M1313" s="35" t="n">
        <f aca="false">L1313*I1313</f>
        <v>0</v>
      </c>
      <c r="N1313" s="35" t="n">
        <f aca="false">L1313-M1313</f>
        <v>260</v>
      </c>
      <c r="O1313" s="4" t="n">
        <f aca="false">MONTH(B1313)</f>
        <v>9</v>
      </c>
      <c r="P1313" s="4" t="str">
        <f aca="false">CHOOSE(WEEKDAY(B1313,2),"Mon","Tue","Wed","Thu","Fri","Sat","Sun")</f>
        <v>Wed</v>
      </c>
      <c r="Q1313" s="4" t="str">
        <f aca="false">IF(WEEKDAY(B1313,2)&gt;5,"Weekend","Weekday")</f>
        <v>Weekday</v>
      </c>
      <c r="R1313" s="4" t="str">
        <f aca="false">IF(C1313&lt;11,"Morning (7-10)",IF(C1313&lt;14,"Lunch (11-13)",IF(C1313&lt;18,"Afternoon (14-17)","Evening (18-20)")))</f>
        <v>Morning (7-10)</v>
      </c>
      <c r="S1313" s="4" t="str">
        <f aca="false">IF(AND(O1313&gt;=3,O1313&lt;=5),"Hot Dry (Mar-May)",IF(AND(O1313&gt;=6,O1313&lt;=11),"Rainy (Jun-Nov)","Cool Dry (Dec-Feb)"))</f>
        <v>Rainy (Jun-Nov)</v>
      </c>
      <c r="T1313" s="4" t="str">
        <f aca="false">CHOOSE(O1313,"Jan","Feb","Mar","Apr","May","Jun","Jul","Aug","Sep","Oct","Nov","Dec")</f>
        <v>Sep</v>
      </c>
    </row>
    <row r="1314" customFormat="false" ht="15" hidden="false" customHeight="false" outlineLevel="0" collapsed="false">
      <c r="A1314" s="4" t="s">
        <v>1666</v>
      </c>
      <c r="B1314" s="17" t="n">
        <v>45924</v>
      </c>
      <c r="C1314" s="4" t="n">
        <v>10</v>
      </c>
      <c r="D1314" s="4" t="s">
        <v>64</v>
      </c>
      <c r="E1314" s="4" t="s">
        <v>99</v>
      </c>
      <c r="F1314" s="4" t="s">
        <v>100</v>
      </c>
      <c r="G1314" s="4" t="n">
        <v>2</v>
      </c>
      <c r="H1314" s="34" t="n">
        <v>110</v>
      </c>
      <c r="I1314" s="18" t="n">
        <v>0</v>
      </c>
      <c r="J1314" s="4" t="s">
        <v>81</v>
      </c>
      <c r="K1314" s="4" t="s">
        <v>77</v>
      </c>
      <c r="L1314" s="35" t="n">
        <f aca="false">G1314*H1314</f>
        <v>220</v>
      </c>
      <c r="M1314" s="35" t="n">
        <f aca="false">L1314*I1314</f>
        <v>0</v>
      </c>
      <c r="N1314" s="35" t="n">
        <f aca="false">L1314-M1314</f>
        <v>220</v>
      </c>
      <c r="O1314" s="4" t="n">
        <f aca="false">MONTH(B1314)</f>
        <v>9</v>
      </c>
      <c r="P1314" s="4" t="str">
        <f aca="false">CHOOSE(WEEKDAY(B1314,2),"Mon","Tue","Wed","Thu","Fri","Sat","Sun")</f>
        <v>Wed</v>
      </c>
      <c r="Q1314" s="4" t="str">
        <f aca="false">IF(WEEKDAY(B1314,2)&gt;5,"Weekend","Weekday")</f>
        <v>Weekday</v>
      </c>
      <c r="R1314" s="4" t="str">
        <f aca="false">IF(C1314&lt;11,"Morning (7-10)",IF(C1314&lt;14,"Lunch (11-13)",IF(C1314&lt;18,"Afternoon (14-17)","Evening (18-20)")))</f>
        <v>Morning (7-10)</v>
      </c>
      <c r="S1314" s="4" t="str">
        <f aca="false">IF(AND(O1314&gt;=3,O1314&lt;=5),"Hot Dry (Mar-May)",IF(AND(O1314&gt;=6,O1314&lt;=11),"Rainy (Jun-Nov)","Cool Dry (Dec-Feb)"))</f>
        <v>Rainy (Jun-Nov)</v>
      </c>
      <c r="T1314" s="4" t="str">
        <f aca="false">CHOOSE(O1314,"Jan","Feb","Mar","Apr","May","Jun","Jul","Aug","Sep","Oct","Nov","Dec")</f>
        <v>Sep</v>
      </c>
    </row>
    <row r="1315" customFormat="false" ht="15" hidden="false" customHeight="false" outlineLevel="0" collapsed="false">
      <c r="A1315" s="4" t="s">
        <v>1667</v>
      </c>
      <c r="B1315" s="17" t="n">
        <v>45924</v>
      </c>
      <c r="C1315" s="4" t="n">
        <v>12</v>
      </c>
      <c r="D1315" s="4" t="s">
        <v>98</v>
      </c>
      <c r="E1315" s="4" t="s">
        <v>99</v>
      </c>
      <c r="F1315" s="4" t="s">
        <v>109</v>
      </c>
      <c r="G1315" s="4" t="n">
        <v>2</v>
      </c>
      <c r="H1315" s="34" t="n">
        <v>130</v>
      </c>
      <c r="I1315" s="18" t="n">
        <v>0</v>
      </c>
      <c r="J1315" s="4" t="s">
        <v>76</v>
      </c>
      <c r="K1315" s="4" t="s">
        <v>68</v>
      </c>
      <c r="L1315" s="35" t="n">
        <f aca="false">G1315*H1315</f>
        <v>260</v>
      </c>
      <c r="M1315" s="35" t="n">
        <f aca="false">L1315*I1315</f>
        <v>0</v>
      </c>
      <c r="N1315" s="35" t="n">
        <f aca="false">L1315-M1315</f>
        <v>260</v>
      </c>
      <c r="O1315" s="4" t="n">
        <f aca="false">MONTH(B1315)</f>
        <v>9</v>
      </c>
      <c r="P1315" s="4" t="str">
        <f aca="false">CHOOSE(WEEKDAY(B1315,2),"Mon","Tue","Wed","Thu","Fri","Sat","Sun")</f>
        <v>Wed</v>
      </c>
      <c r="Q1315" s="4" t="str">
        <f aca="false">IF(WEEKDAY(B1315,2)&gt;5,"Weekend","Weekday")</f>
        <v>Weekday</v>
      </c>
      <c r="R1315" s="4" t="str">
        <f aca="false">IF(C1315&lt;11,"Morning (7-10)",IF(C1315&lt;14,"Lunch (11-13)",IF(C1315&lt;18,"Afternoon (14-17)","Evening (18-20)")))</f>
        <v>Lunch (11-13)</v>
      </c>
      <c r="S1315" s="4" t="str">
        <f aca="false">IF(AND(O1315&gt;=3,O1315&lt;=5),"Hot Dry (Mar-May)",IF(AND(O1315&gt;=6,O1315&lt;=11),"Rainy (Jun-Nov)","Cool Dry (Dec-Feb)"))</f>
        <v>Rainy (Jun-Nov)</v>
      </c>
      <c r="T1315" s="4" t="str">
        <f aca="false">CHOOSE(O1315,"Jan","Feb","Mar","Apr","May","Jun","Jul","Aug","Sep","Oct","Nov","Dec")</f>
        <v>Sep</v>
      </c>
    </row>
    <row r="1316" customFormat="false" ht="15" hidden="false" customHeight="false" outlineLevel="0" collapsed="false">
      <c r="A1316" s="4" t="s">
        <v>1668</v>
      </c>
      <c r="B1316" s="17" t="n">
        <v>45924</v>
      </c>
      <c r="C1316" s="4" t="n">
        <v>13</v>
      </c>
      <c r="D1316" s="4" t="s">
        <v>73</v>
      </c>
      <c r="E1316" s="4" t="s">
        <v>74</v>
      </c>
      <c r="F1316" s="4" t="s">
        <v>139</v>
      </c>
      <c r="G1316" s="4" t="n">
        <v>2</v>
      </c>
      <c r="H1316" s="34" t="n">
        <v>260</v>
      </c>
      <c r="I1316" s="18" t="n">
        <v>0</v>
      </c>
      <c r="J1316" s="4" t="s">
        <v>81</v>
      </c>
      <c r="K1316" s="4" t="s">
        <v>77</v>
      </c>
      <c r="L1316" s="35" t="n">
        <f aca="false">G1316*H1316</f>
        <v>520</v>
      </c>
      <c r="M1316" s="35" t="n">
        <f aca="false">L1316*I1316</f>
        <v>0</v>
      </c>
      <c r="N1316" s="35" t="n">
        <f aca="false">L1316-M1316</f>
        <v>520</v>
      </c>
      <c r="O1316" s="4" t="n">
        <f aca="false">MONTH(B1316)</f>
        <v>9</v>
      </c>
      <c r="P1316" s="4" t="str">
        <f aca="false">CHOOSE(WEEKDAY(B1316,2),"Mon","Tue","Wed","Thu","Fri","Sat","Sun")</f>
        <v>Wed</v>
      </c>
      <c r="Q1316" s="4" t="str">
        <f aca="false">IF(WEEKDAY(B1316,2)&gt;5,"Weekend","Weekday")</f>
        <v>Weekday</v>
      </c>
      <c r="R1316" s="4" t="str">
        <f aca="false">IF(C1316&lt;11,"Morning (7-10)",IF(C1316&lt;14,"Lunch (11-13)",IF(C1316&lt;18,"Afternoon (14-17)","Evening (18-20)")))</f>
        <v>Lunch (11-13)</v>
      </c>
      <c r="S1316" s="4" t="str">
        <f aca="false">IF(AND(O1316&gt;=3,O1316&lt;=5),"Hot Dry (Mar-May)",IF(AND(O1316&gt;=6,O1316&lt;=11),"Rainy (Jun-Nov)","Cool Dry (Dec-Feb)"))</f>
        <v>Rainy (Jun-Nov)</v>
      </c>
      <c r="T1316" s="4" t="str">
        <f aca="false">CHOOSE(O1316,"Jan","Feb","Mar","Apr","May","Jun","Jul","Aug","Sep","Oct","Nov","Dec")</f>
        <v>Sep</v>
      </c>
    </row>
    <row r="1317" customFormat="false" ht="15" hidden="false" customHeight="false" outlineLevel="0" collapsed="false">
      <c r="A1317" s="4" t="s">
        <v>1669</v>
      </c>
      <c r="B1317" s="17" t="n">
        <v>45924</v>
      </c>
      <c r="C1317" s="4" t="n">
        <v>13</v>
      </c>
      <c r="D1317" s="4" t="s">
        <v>70</v>
      </c>
      <c r="E1317" s="4" t="s">
        <v>99</v>
      </c>
      <c r="F1317" s="4" t="s">
        <v>100</v>
      </c>
      <c r="G1317" s="4" t="n">
        <v>1</v>
      </c>
      <c r="H1317" s="34" t="n">
        <v>110</v>
      </c>
      <c r="I1317" s="18" t="n">
        <v>0</v>
      </c>
      <c r="J1317" s="4" t="s">
        <v>67</v>
      </c>
      <c r="K1317" s="4" t="s">
        <v>68</v>
      </c>
      <c r="L1317" s="35" t="n">
        <f aca="false">G1317*H1317</f>
        <v>110</v>
      </c>
      <c r="M1317" s="35" t="n">
        <f aca="false">L1317*I1317</f>
        <v>0</v>
      </c>
      <c r="N1317" s="35" t="n">
        <f aca="false">L1317-M1317</f>
        <v>110</v>
      </c>
      <c r="O1317" s="4" t="n">
        <f aca="false">MONTH(B1317)</f>
        <v>9</v>
      </c>
      <c r="P1317" s="4" t="str">
        <f aca="false">CHOOSE(WEEKDAY(B1317,2),"Mon","Tue","Wed","Thu","Fri","Sat","Sun")</f>
        <v>Wed</v>
      </c>
      <c r="Q1317" s="4" t="str">
        <f aca="false">IF(WEEKDAY(B1317,2)&gt;5,"Weekend","Weekday")</f>
        <v>Weekday</v>
      </c>
      <c r="R1317" s="4" t="str">
        <f aca="false">IF(C1317&lt;11,"Morning (7-10)",IF(C1317&lt;14,"Lunch (11-13)",IF(C1317&lt;18,"Afternoon (14-17)","Evening (18-20)")))</f>
        <v>Lunch (11-13)</v>
      </c>
      <c r="S1317" s="4" t="str">
        <f aca="false">IF(AND(O1317&gt;=3,O1317&lt;=5),"Hot Dry (Mar-May)",IF(AND(O1317&gt;=6,O1317&lt;=11),"Rainy (Jun-Nov)","Cool Dry (Dec-Feb)"))</f>
        <v>Rainy (Jun-Nov)</v>
      </c>
      <c r="T1317" s="4" t="str">
        <f aca="false">CHOOSE(O1317,"Jan","Feb","Mar","Apr","May","Jun","Jul","Aug","Sep","Oct","Nov","Dec")</f>
        <v>Sep</v>
      </c>
    </row>
    <row r="1318" customFormat="false" ht="15" hidden="false" customHeight="false" outlineLevel="0" collapsed="false">
      <c r="A1318" s="4" t="s">
        <v>1670</v>
      </c>
      <c r="B1318" s="17" t="n">
        <v>45924</v>
      </c>
      <c r="C1318" s="4" t="n">
        <v>16</v>
      </c>
      <c r="D1318" s="4" t="s">
        <v>98</v>
      </c>
      <c r="E1318" s="4" t="s">
        <v>65</v>
      </c>
      <c r="F1318" s="4" t="s">
        <v>121</v>
      </c>
      <c r="G1318" s="4" t="n">
        <v>4</v>
      </c>
      <c r="H1318" s="34" t="n">
        <v>170</v>
      </c>
      <c r="I1318" s="18" t="n">
        <v>0.05</v>
      </c>
      <c r="J1318" s="4" t="s">
        <v>81</v>
      </c>
      <c r="K1318" s="4" t="s">
        <v>82</v>
      </c>
      <c r="L1318" s="35" t="n">
        <f aca="false">G1318*H1318</f>
        <v>680</v>
      </c>
      <c r="M1318" s="35" t="n">
        <f aca="false">L1318*I1318</f>
        <v>34</v>
      </c>
      <c r="N1318" s="35" t="n">
        <f aca="false">L1318-M1318</f>
        <v>646</v>
      </c>
      <c r="O1318" s="4" t="n">
        <f aca="false">MONTH(B1318)</f>
        <v>9</v>
      </c>
      <c r="P1318" s="4" t="str">
        <f aca="false">CHOOSE(WEEKDAY(B1318,2),"Mon","Tue","Wed","Thu","Fri","Sat","Sun")</f>
        <v>Wed</v>
      </c>
      <c r="Q1318" s="4" t="str">
        <f aca="false">IF(WEEKDAY(B1318,2)&gt;5,"Weekend","Weekday")</f>
        <v>Weekday</v>
      </c>
      <c r="R1318" s="4" t="str">
        <f aca="false">IF(C1318&lt;11,"Morning (7-10)",IF(C1318&lt;14,"Lunch (11-13)",IF(C1318&lt;18,"Afternoon (14-17)","Evening (18-20)")))</f>
        <v>Afternoon (14-17)</v>
      </c>
      <c r="S1318" s="4" t="str">
        <f aca="false">IF(AND(O1318&gt;=3,O1318&lt;=5),"Hot Dry (Mar-May)",IF(AND(O1318&gt;=6,O1318&lt;=11),"Rainy (Jun-Nov)","Cool Dry (Dec-Feb)"))</f>
        <v>Rainy (Jun-Nov)</v>
      </c>
      <c r="T1318" s="4" t="str">
        <f aca="false">CHOOSE(O1318,"Jan","Feb","Mar","Apr","May","Jun","Jul","Aug","Sep","Oct","Nov","Dec")</f>
        <v>Sep</v>
      </c>
    </row>
    <row r="1319" customFormat="false" ht="15" hidden="false" customHeight="false" outlineLevel="0" collapsed="false">
      <c r="A1319" s="4" t="s">
        <v>1671</v>
      </c>
      <c r="B1319" s="17" t="n">
        <v>45925</v>
      </c>
      <c r="C1319" s="4" t="n">
        <v>11</v>
      </c>
      <c r="D1319" s="4" t="s">
        <v>73</v>
      </c>
      <c r="E1319" s="4" t="s">
        <v>74</v>
      </c>
      <c r="F1319" s="4" t="s">
        <v>75</v>
      </c>
      <c r="G1319" s="4" t="n">
        <v>2</v>
      </c>
      <c r="H1319" s="34" t="n">
        <v>220</v>
      </c>
      <c r="I1319" s="18" t="n">
        <v>0.15</v>
      </c>
      <c r="J1319" s="4" t="s">
        <v>88</v>
      </c>
      <c r="K1319" s="4" t="s">
        <v>77</v>
      </c>
      <c r="L1319" s="35" t="n">
        <f aca="false">G1319*H1319</f>
        <v>440</v>
      </c>
      <c r="M1319" s="35" t="n">
        <f aca="false">L1319*I1319</f>
        <v>66</v>
      </c>
      <c r="N1319" s="35" t="n">
        <f aca="false">L1319-M1319</f>
        <v>374</v>
      </c>
      <c r="O1319" s="4" t="n">
        <f aca="false">MONTH(B1319)</f>
        <v>9</v>
      </c>
      <c r="P1319" s="4" t="str">
        <f aca="false">CHOOSE(WEEKDAY(B1319,2),"Mon","Tue","Wed","Thu","Fri","Sat","Sun")</f>
        <v>Thu</v>
      </c>
      <c r="Q1319" s="4" t="str">
        <f aca="false">IF(WEEKDAY(B1319,2)&gt;5,"Weekend","Weekday")</f>
        <v>Weekday</v>
      </c>
      <c r="R1319" s="4" t="str">
        <f aca="false">IF(C1319&lt;11,"Morning (7-10)",IF(C1319&lt;14,"Lunch (11-13)",IF(C1319&lt;18,"Afternoon (14-17)","Evening (18-20)")))</f>
        <v>Lunch (11-13)</v>
      </c>
      <c r="S1319" s="4" t="str">
        <f aca="false">IF(AND(O1319&gt;=3,O1319&lt;=5),"Hot Dry (Mar-May)",IF(AND(O1319&gt;=6,O1319&lt;=11),"Rainy (Jun-Nov)","Cool Dry (Dec-Feb)"))</f>
        <v>Rainy (Jun-Nov)</v>
      </c>
      <c r="T1319" s="4" t="str">
        <f aca="false">CHOOSE(O1319,"Jan","Feb","Mar","Apr","May","Jun","Jul","Aug","Sep","Oct","Nov","Dec")</f>
        <v>Sep</v>
      </c>
    </row>
    <row r="1320" customFormat="false" ht="15" hidden="false" customHeight="false" outlineLevel="0" collapsed="false">
      <c r="A1320" s="4" t="s">
        <v>1672</v>
      </c>
      <c r="B1320" s="17" t="n">
        <v>45925</v>
      </c>
      <c r="C1320" s="4" t="n">
        <v>12</v>
      </c>
      <c r="D1320" s="4" t="s">
        <v>70</v>
      </c>
      <c r="E1320" s="4" t="s">
        <v>74</v>
      </c>
      <c r="F1320" s="4" t="s">
        <v>75</v>
      </c>
      <c r="G1320" s="4" t="n">
        <v>1</v>
      </c>
      <c r="H1320" s="34" t="n">
        <v>220</v>
      </c>
      <c r="I1320" s="18" t="n">
        <v>0.1</v>
      </c>
      <c r="J1320" s="4" t="s">
        <v>88</v>
      </c>
      <c r="K1320" s="4" t="s">
        <v>71</v>
      </c>
      <c r="L1320" s="35" t="n">
        <f aca="false">G1320*H1320</f>
        <v>220</v>
      </c>
      <c r="M1320" s="35" t="n">
        <f aca="false">L1320*I1320</f>
        <v>22</v>
      </c>
      <c r="N1320" s="35" t="n">
        <f aca="false">L1320-M1320</f>
        <v>198</v>
      </c>
      <c r="O1320" s="4" t="n">
        <f aca="false">MONTH(B1320)</f>
        <v>9</v>
      </c>
      <c r="P1320" s="4" t="str">
        <f aca="false">CHOOSE(WEEKDAY(B1320,2),"Mon","Tue","Wed","Thu","Fri","Sat","Sun")</f>
        <v>Thu</v>
      </c>
      <c r="Q1320" s="4" t="str">
        <f aca="false">IF(WEEKDAY(B1320,2)&gt;5,"Weekend","Weekday")</f>
        <v>Weekday</v>
      </c>
      <c r="R1320" s="4" t="str">
        <f aca="false">IF(C1320&lt;11,"Morning (7-10)",IF(C1320&lt;14,"Lunch (11-13)",IF(C1320&lt;18,"Afternoon (14-17)","Evening (18-20)")))</f>
        <v>Lunch (11-13)</v>
      </c>
      <c r="S1320" s="4" t="str">
        <f aca="false">IF(AND(O1320&gt;=3,O1320&lt;=5),"Hot Dry (Mar-May)",IF(AND(O1320&gt;=6,O1320&lt;=11),"Rainy (Jun-Nov)","Cool Dry (Dec-Feb)"))</f>
        <v>Rainy (Jun-Nov)</v>
      </c>
      <c r="T1320" s="4" t="str">
        <f aca="false">CHOOSE(O1320,"Jan","Feb","Mar","Apr","May","Jun","Jul","Aug","Sep","Oct","Nov","Dec")</f>
        <v>Sep</v>
      </c>
    </row>
    <row r="1321" customFormat="false" ht="15" hidden="false" customHeight="false" outlineLevel="0" collapsed="false">
      <c r="A1321" s="4" t="s">
        <v>1673</v>
      </c>
      <c r="B1321" s="17" t="n">
        <v>45925</v>
      </c>
      <c r="C1321" s="4" t="n">
        <v>14</v>
      </c>
      <c r="D1321" s="4" t="s">
        <v>70</v>
      </c>
      <c r="E1321" s="4" t="s">
        <v>65</v>
      </c>
      <c r="F1321" s="4" t="s">
        <v>121</v>
      </c>
      <c r="G1321" s="4" t="n">
        <v>3</v>
      </c>
      <c r="H1321" s="34" t="n">
        <v>170</v>
      </c>
      <c r="I1321" s="18" t="n">
        <v>0</v>
      </c>
      <c r="J1321" s="4" t="s">
        <v>76</v>
      </c>
      <c r="K1321" s="4" t="s">
        <v>68</v>
      </c>
      <c r="L1321" s="35" t="n">
        <f aca="false">G1321*H1321</f>
        <v>510</v>
      </c>
      <c r="M1321" s="35" t="n">
        <f aca="false">L1321*I1321</f>
        <v>0</v>
      </c>
      <c r="N1321" s="35" t="n">
        <f aca="false">L1321-M1321</f>
        <v>510</v>
      </c>
      <c r="O1321" s="4" t="n">
        <f aca="false">MONTH(B1321)</f>
        <v>9</v>
      </c>
      <c r="P1321" s="4" t="str">
        <f aca="false">CHOOSE(WEEKDAY(B1321,2),"Mon","Tue","Wed","Thu","Fri","Sat","Sun")</f>
        <v>Thu</v>
      </c>
      <c r="Q1321" s="4" t="str">
        <f aca="false">IF(WEEKDAY(B1321,2)&gt;5,"Weekend","Weekday")</f>
        <v>Weekday</v>
      </c>
      <c r="R1321" s="4" t="str">
        <f aca="false">IF(C1321&lt;11,"Morning (7-10)",IF(C1321&lt;14,"Lunch (11-13)",IF(C1321&lt;18,"Afternoon (14-17)","Evening (18-20)")))</f>
        <v>Afternoon (14-17)</v>
      </c>
      <c r="S1321" s="4" t="str">
        <f aca="false">IF(AND(O1321&gt;=3,O1321&lt;=5),"Hot Dry (Mar-May)",IF(AND(O1321&gt;=6,O1321&lt;=11),"Rainy (Jun-Nov)","Cool Dry (Dec-Feb)"))</f>
        <v>Rainy (Jun-Nov)</v>
      </c>
      <c r="T1321" s="4" t="str">
        <f aca="false">CHOOSE(O1321,"Jan","Feb","Mar","Apr","May","Jun","Jul","Aug","Sep","Oct","Nov","Dec")</f>
        <v>Sep</v>
      </c>
    </row>
    <row r="1322" customFormat="false" ht="15" hidden="false" customHeight="false" outlineLevel="0" collapsed="false">
      <c r="A1322" s="4" t="s">
        <v>1675</v>
      </c>
      <c r="B1322" s="17" t="n">
        <v>45925</v>
      </c>
      <c r="C1322" s="4" t="n">
        <v>14</v>
      </c>
      <c r="D1322" s="4" t="s">
        <v>64</v>
      </c>
      <c r="E1322" s="4" t="s">
        <v>99</v>
      </c>
      <c r="F1322" s="4" t="s">
        <v>100</v>
      </c>
      <c r="G1322" s="4" t="n">
        <v>1</v>
      </c>
      <c r="H1322" s="34" t="n">
        <v>110</v>
      </c>
      <c r="I1322" s="18" t="n">
        <v>0</v>
      </c>
      <c r="J1322" s="4" t="s">
        <v>67</v>
      </c>
      <c r="K1322" s="4" t="s">
        <v>77</v>
      </c>
      <c r="L1322" s="35" t="n">
        <f aca="false">G1322*H1322</f>
        <v>110</v>
      </c>
      <c r="M1322" s="35" t="n">
        <f aca="false">L1322*I1322</f>
        <v>0</v>
      </c>
      <c r="N1322" s="35" t="n">
        <f aca="false">L1322-M1322</f>
        <v>110</v>
      </c>
      <c r="O1322" s="4" t="n">
        <f aca="false">MONTH(B1322)</f>
        <v>9</v>
      </c>
      <c r="P1322" s="4" t="str">
        <f aca="false">CHOOSE(WEEKDAY(B1322,2),"Mon","Tue","Wed","Thu","Fri","Sat","Sun")</f>
        <v>Thu</v>
      </c>
      <c r="Q1322" s="4" t="str">
        <f aca="false">IF(WEEKDAY(B1322,2)&gt;5,"Weekend","Weekday")</f>
        <v>Weekday</v>
      </c>
      <c r="R1322" s="4" t="str">
        <f aca="false">IF(C1322&lt;11,"Morning (7-10)",IF(C1322&lt;14,"Lunch (11-13)",IF(C1322&lt;18,"Afternoon (14-17)","Evening (18-20)")))</f>
        <v>Afternoon (14-17)</v>
      </c>
      <c r="S1322" s="4" t="str">
        <f aca="false">IF(AND(O1322&gt;=3,O1322&lt;=5),"Hot Dry (Mar-May)",IF(AND(O1322&gt;=6,O1322&lt;=11),"Rainy (Jun-Nov)","Cool Dry (Dec-Feb)"))</f>
        <v>Rainy (Jun-Nov)</v>
      </c>
      <c r="T1322" s="4" t="str">
        <f aca="false">CHOOSE(O1322,"Jan","Feb","Mar","Apr","May","Jun","Jul","Aug","Sep","Oct","Nov","Dec")</f>
        <v>Sep</v>
      </c>
    </row>
    <row r="1323" customFormat="false" ht="15" hidden="false" customHeight="false" outlineLevel="0" collapsed="false">
      <c r="A1323" s="4" t="s">
        <v>1676</v>
      </c>
      <c r="B1323" s="17" t="n">
        <v>45925</v>
      </c>
      <c r="C1323" s="4" t="n">
        <v>18</v>
      </c>
      <c r="D1323" s="4" t="s">
        <v>73</v>
      </c>
      <c r="E1323" s="4" t="s">
        <v>99</v>
      </c>
      <c r="F1323" s="4" t="s">
        <v>109</v>
      </c>
      <c r="G1323" s="4" t="n">
        <v>1</v>
      </c>
      <c r="H1323" s="34" t="n">
        <v>130</v>
      </c>
      <c r="I1323" s="18" t="n">
        <v>0.05</v>
      </c>
      <c r="J1323" s="4" t="s">
        <v>67</v>
      </c>
      <c r="K1323" s="4" t="s">
        <v>82</v>
      </c>
      <c r="L1323" s="35" t="n">
        <f aca="false">G1323*H1323</f>
        <v>130</v>
      </c>
      <c r="M1323" s="35" t="n">
        <f aca="false">L1323*I1323</f>
        <v>6.5</v>
      </c>
      <c r="N1323" s="35" t="n">
        <f aca="false">L1323-M1323</f>
        <v>123.5</v>
      </c>
      <c r="O1323" s="4" t="n">
        <f aca="false">MONTH(B1323)</f>
        <v>9</v>
      </c>
      <c r="P1323" s="4" t="str">
        <f aca="false">CHOOSE(WEEKDAY(B1323,2),"Mon","Tue","Wed","Thu","Fri","Sat","Sun")</f>
        <v>Thu</v>
      </c>
      <c r="Q1323" s="4" t="str">
        <f aca="false">IF(WEEKDAY(B1323,2)&gt;5,"Weekend","Weekday")</f>
        <v>Weekday</v>
      </c>
      <c r="R1323" s="4" t="str">
        <f aca="false">IF(C1323&lt;11,"Morning (7-10)",IF(C1323&lt;14,"Lunch (11-13)",IF(C1323&lt;18,"Afternoon (14-17)","Evening (18-20)")))</f>
        <v>Evening (18-20)</v>
      </c>
      <c r="S1323" s="4" t="str">
        <f aca="false">IF(AND(O1323&gt;=3,O1323&lt;=5),"Hot Dry (Mar-May)",IF(AND(O1323&gt;=6,O1323&lt;=11),"Rainy (Jun-Nov)","Cool Dry (Dec-Feb)"))</f>
        <v>Rainy (Jun-Nov)</v>
      </c>
      <c r="T1323" s="4" t="str">
        <f aca="false">CHOOSE(O1323,"Jan","Feb","Mar","Apr","May","Jun","Jul","Aug","Sep","Oct","Nov","Dec")</f>
        <v>Sep</v>
      </c>
    </row>
    <row r="1324" customFormat="false" ht="15" hidden="false" customHeight="false" outlineLevel="0" collapsed="false">
      <c r="A1324" s="4" t="s">
        <v>1677</v>
      </c>
      <c r="B1324" s="17" t="n">
        <v>45926</v>
      </c>
      <c r="C1324" s="4" t="n">
        <v>12</v>
      </c>
      <c r="D1324" s="4" t="s">
        <v>98</v>
      </c>
      <c r="E1324" s="4" t="s">
        <v>65</v>
      </c>
      <c r="F1324" s="4" t="s">
        <v>94</v>
      </c>
      <c r="G1324" s="4" t="n">
        <v>1</v>
      </c>
      <c r="H1324" s="34" t="n">
        <v>150</v>
      </c>
      <c r="I1324" s="18" t="n">
        <v>0.1</v>
      </c>
      <c r="J1324" s="4" t="s">
        <v>76</v>
      </c>
      <c r="K1324" s="4" t="s">
        <v>71</v>
      </c>
      <c r="L1324" s="35" t="n">
        <f aca="false">G1324*H1324</f>
        <v>150</v>
      </c>
      <c r="M1324" s="35" t="n">
        <f aca="false">L1324*I1324</f>
        <v>15</v>
      </c>
      <c r="N1324" s="35" t="n">
        <f aca="false">L1324-M1324</f>
        <v>135</v>
      </c>
      <c r="O1324" s="4" t="n">
        <f aca="false">MONTH(B1324)</f>
        <v>9</v>
      </c>
      <c r="P1324" s="4" t="str">
        <f aca="false">CHOOSE(WEEKDAY(B1324,2),"Mon","Tue","Wed","Thu","Fri","Sat","Sun")</f>
        <v>Fri</v>
      </c>
      <c r="Q1324" s="4" t="str">
        <f aca="false">IF(WEEKDAY(B1324,2)&gt;5,"Weekend","Weekday")</f>
        <v>Weekday</v>
      </c>
      <c r="R1324" s="4" t="str">
        <f aca="false">IF(C1324&lt;11,"Morning (7-10)",IF(C1324&lt;14,"Lunch (11-13)",IF(C1324&lt;18,"Afternoon (14-17)","Evening (18-20)")))</f>
        <v>Lunch (11-13)</v>
      </c>
      <c r="S1324" s="4" t="str">
        <f aca="false">IF(AND(O1324&gt;=3,O1324&lt;=5),"Hot Dry (Mar-May)",IF(AND(O1324&gt;=6,O1324&lt;=11),"Rainy (Jun-Nov)","Cool Dry (Dec-Feb)"))</f>
        <v>Rainy (Jun-Nov)</v>
      </c>
      <c r="T1324" s="4" t="str">
        <f aca="false">CHOOSE(O1324,"Jan","Feb","Mar","Apr","May","Jun","Jul","Aug","Sep","Oct","Nov","Dec")</f>
        <v>Sep</v>
      </c>
    </row>
    <row r="1325" customFormat="false" ht="15" hidden="false" customHeight="false" outlineLevel="0" collapsed="false">
      <c r="A1325" s="4" t="s">
        <v>1678</v>
      </c>
      <c r="B1325" s="17" t="n">
        <v>45927</v>
      </c>
      <c r="C1325" s="4" t="n">
        <v>13</v>
      </c>
      <c r="D1325" s="4" t="s">
        <v>70</v>
      </c>
      <c r="E1325" s="4" t="s">
        <v>99</v>
      </c>
      <c r="F1325" s="4" t="s">
        <v>100</v>
      </c>
      <c r="G1325" s="4" t="n">
        <v>1</v>
      </c>
      <c r="H1325" s="34" t="n">
        <v>110</v>
      </c>
      <c r="I1325" s="18" t="n">
        <v>0</v>
      </c>
      <c r="J1325" s="4" t="s">
        <v>81</v>
      </c>
      <c r="K1325" s="4" t="s">
        <v>68</v>
      </c>
      <c r="L1325" s="35" t="n">
        <f aca="false">G1325*H1325</f>
        <v>110</v>
      </c>
      <c r="M1325" s="35" t="n">
        <f aca="false">L1325*I1325</f>
        <v>0</v>
      </c>
      <c r="N1325" s="35" t="n">
        <f aca="false">L1325-M1325</f>
        <v>110</v>
      </c>
      <c r="O1325" s="4" t="n">
        <f aca="false">MONTH(B1325)</f>
        <v>9</v>
      </c>
      <c r="P1325" s="4" t="str">
        <f aca="false">CHOOSE(WEEKDAY(B1325,2),"Mon","Tue","Wed","Thu","Fri","Sat","Sun")</f>
        <v>Sat</v>
      </c>
      <c r="Q1325" s="4" t="str">
        <f aca="false">IF(WEEKDAY(B1325,2)&gt;5,"Weekend","Weekday")</f>
        <v>Weekend</v>
      </c>
      <c r="R1325" s="4" t="str">
        <f aca="false">IF(C1325&lt;11,"Morning (7-10)",IF(C1325&lt;14,"Lunch (11-13)",IF(C1325&lt;18,"Afternoon (14-17)","Evening (18-20)")))</f>
        <v>Lunch (11-13)</v>
      </c>
      <c r="S1325" s="4" t="str">
        <f aca="false">IF(AND(O1325&gt;=3,O1325&lt;=5),"Hot Dry (Mar-May)",IF(AND(O1325&gt;=6,O1325&lt;=11),"Rainy (Jun-Nov)","Cool Dry (Dec-Feb)"))</f>
        <v>Rainy (Jun-Nov)</v>
      </c>
      <c r="T1325" s="4" t="str">
        <f aca="false">CHOOSE(O1325,"Jan","Feb","Mar","Apr","May","Jun","Jul","Aug","Sep","Oct","Nov","Dec")</f>
        <v>Sep</v>
      </c>
    </row>
    <row r="1326" customFormat="false" ht="15" hidden="false" customHeight="false" outlineLevel="0" collapsed="false">
      <c r="A1326" s="4" t="s">
        <v>1679</v>
      </c>
      <c r="B1326" s="17" t="n">
        <v>45927</v>
      </c>
      <c r="C1326" s="4" t="n">
        <v>14</v>
      </c>
      <c r="D1326" s="4" t="s">
        <v>98</v>
      </c>
      <c r="E1326" s="4" t="s">
        <v>99</v>
      </c>
      <c r="F1326" s="4" t="s">
        <v>100</v>
      </c>
      <c r="G1326" s="4" t="n">
        <v>1</v>
      </c>
      <c r="H1326" s="34" t="n">
        <v>110</v>
      </c>
      <c r="I1326" s="18" t="n">
        <v>0.05</v>
      </c>
      <c r="J1326" s="4" t="s">
        <v>67</v>
      </c>
      <c r="K1326" s="4" t="s">
        <v>82</v>
      </c>
      <c r="L1326" s="35" t="n">
        <f aca="false">G1326*H1326</f>
        <v>110</v>
      </c>
      <c r="M1326" s="35" t="n">
        <f aca="false">L1326*I1326</f>
        <v>5.5</v>
      </c>
      <c r="N1326" s="35" t="n">
        <f aca="false">L1326-M1326</f>
        <v>104.5</v>
      </c>
      <c r="O1326" s="4" t="n">
        <f aca="false">MONTH(B1326)</f>
        <v>9</v>
      </c>
      <c r="P1326" s="4" t="str">
        <f aca="false">CHOOSE(WEEKDAY(B1326,2),"Mon","Tue","Wed","Thu","Fri","Sat","Sun")</f>
        <v>Sat</v>
      </c>
      <c r="Q1326" s="4" t="str">
        <f aca="false">IF(WEEKDAY(B1326,2)&gt;5,"Weekend","Weekday")</f>
        <v>Weekend</v>
      </c>
      <c r="R1326" s="4" t="str">
        <f aca="false">IF(C1326&lt;11,"Morning (7-10)",IF(C1326&lt;14,"Lunch (11-13)",IF(C1326&lt;18,"Afternoon (14-17)","Evening (18-20)")))</f>
        <v>Afternoon (14-17)</v>
      </c>
      <c r="S1326" s="4" t="str">
        <f aca="false">IF(AND(O1326&gt;=3,O1326&lt;=5),"Hot Dry (Mar-May)",IF(AND(O1326&gt;=6,O1326&lt;=11),"Rainy (Jun-Nov)","Cool Dry (Dec-Feb)"))</f>
        <v>Rainy (Jun-Nov)</v>
      </c>
      <c r="T1326" s="4" t="str">
        <f aca="false">CHOOSE(O1326,"Jan","Feb","Mar","Apr","May","Jun","Jul","Aug","Sep","Oct","Nov","Dec")</f>
        <v>Sep</v>
      </c>
    </row>
    <row r="1327" customFormat="false" ht="15" hidden="false" customHeight="false" outlineLevel="0" collapsed="false">
      <c r="A1327" s="4" t="s">
        <v>1680</v>
      </c>
      <c r="B1327" s="17" t="n">
        <v>45927</v>
      </c>
      <c r="C1327" s="4" t="n">
        <v>19</v>
      </c>
      <c r="D1327" s="4" t="s">
        <v>98</v>
      </c>
      <c r="E1327" s="4" t="s">
        <v>79</v>
      </c>
      <c r="F1327" s="4" t="s">
        <v>148</v>
      </c>
      <c r="G1327" s="4" t="n">
        <v>1</v>
      </c>
      <c r="H1327" s="34" t="n">
        <v>120</v>
      </c>
      <c r="I1327" s="18" t="n">
        <v>0</v>
      </c>
      <c r="J1327" s="4" t="s">
        <v>81</v>
      </c>
      <c r="K1327" s="4" t="s">
        <v>77</v>
      </c>
      <c r="L1327" s="35" t="n">
        <f aca="false">G1327*H1327</f>
        <v>120</v>
      </c>
      <c r="M1327" s="35" t="n">
        <f aca="false">L1327*I1327</f>
        <v>0</v>
      </c>
      <c r="N1327" s="35" t="n">
        <f aca="false">L1327-M1327</f>
        <v>120</v>
      </c>
      <c r="O1327" s="4" t="n">
        <f aca="false">MONTH(B1327)</f>
        <v>9</v>
      </c>
      <c r="P1327" s="4" t="str">
        <f aca="false">CHOOSE(WEEKDAY(B1327,2),"Mon","Tue","Wed","Thu","Fri","Sat","Sun")</f>
        <v>Sat</v>
      </c>
      <c r="Q1327" s="4" t="str">
        <f aca="false">IF(WEEKDAY(B1327,2)&gt;5,"Weekend","Weekday")</f>
        <v>Weekend</v>
      </c>
      <c r="R1327" s="4" t="str">
        <f aca="false">IF(C1327&lt;11,"Morning (7-10)",IF(C1327&lt;14,"Lunch (11-13)",IF(C1327&lt;18,"Afternoon (14-17)","Evening (18-20)")))</f>
        <v>Evening (18-20)</v>
      </c>
      <c r="S1327" s="4" t="str">
        <f aca="false">IF(AND(O1327&gt;=3,O1327&lt;=5),"Hot Dry (Mar-May)",IF(AND(O1327&gt;=6,O1327&lt;=11),"Rainy (Jun-Nov)","Cool Dry (Dec-Feb)"))</f>
        <v>Rainy (Jun-Nov)</v>
      </c>
      <c r="T1327" s="4" t="str">
        <f aca="false">CHOOSE(O1327,"Jan","Feb","Mar","Apr","May","Jun","Jul","Aug","Sep","Oct","Nov","Dec")</f>
        <v>Sep</v>
      </c>
    </row>
    <row r="1328" customFormat="false" ht="15" hidden="false" customHeight="false" outlineLevel="0" collapsed="false">
      <c r="A1328" s="4" t="s">
        <v>1681</v>
      </c>
      <c r="B1328" s="17" t="n">
        <v>45928</v>
      </c>
      <c r="C1328" s="4" t="n">
        <v>9</v>
      </c>
      <c r="D1328" s="4" t="s">
        <v>64</v>
      </c>
      <c r="E1328" s="4" t="s">
        <v>79</v>
      </c>
      <c r="F1328" s="4" t="s">
        <v>80</v>
      </c>
      <c r="G1328" s="4" t="n">
        <v>2</v>
      </c>
      <c r="H1328" s="34" t="n">
        <v>160</v>
      </c>
      <c r="I1328" s="18" t="n">
        <v>0</v>
      </c>
      <c r="J1328" s="4" t="s">
        <v>81</v>
      </c>
      <c r="K1328" s="4" t="s">
        <v>68</v>
      </c>
      <c r="L1328" s="35" t="n">
        <f aca="false">G1328*H1328</f>
        <v>320</v>
      </c>
      <c r="M1328" s="35" t="n">
        <f aca="false">L1328*I1328</f>
        <v>0</v>
      </c>
      <c r="N1328" s="35" t="n">
        <f aca="false">L1328-M1328</f>
        <v>320</v>
      </c>
      <c r="O1328" s="4" t="n">
        <f aca="false">MONTH(B1328)</f>
        <v>9</v>
      </c>
      <c r="P1328" s="4" t="str">
        <f aca="false">CHOOSE(WEEKDAY(B1328,2),"Mon","Tue","Wed","Thu","Fri","Sat","Sun")</f>
        <v>Sun</v>
      </c>
      <c r="Q1328" s="4" t="str">
        <f aca="false">IF(WEEKDAY(B1328,2)&gt;5,"Weekend","Weekday")</f>
        <v>Weekend</v>
      </c>
      <c r="R1328" s="4" t="str">
        <f aca="false">IF(C1328&lt;11,"Morning (7-10)",IF(C1328&lt;14,"Lunch (11-13)",IF(C1328&lt;18,"Afternoon (14-17)","Evening (18-20)")))</f>
        <v>Morning (7-10)</v>
      </c>
      <c r="S1328" s="4" t="str">
        <f aca="false">IF(AND(O1328&gt;=3,O1328&lt;=5),"Hot Dry (Mar-May)",IF(AND(O1328&gt;=6,O1328&lt;=11),"Rainy (Jun-Nov)","Cool Dry (Dec-Feb)"))</f>
        <v>Rainy (Jun-Nov)</v>
      </c>
      <c r="T1328" s="4" t="str">
        <f aca="false">CHOOSE(O1328,"Jan","Feb","Mar","Apr","May","Jun","Jul","Aug","Sep","Oct","Nov","Dec")</f>
        <v>Sep</v>
      </c>
    </row>
    <row r="1329" customFormat="false" ht="15" hidden="false" customHeight="false" outlineLevel="0" collapsed="false">
      <c r="A1329" s="4" t="s">
        <v>1682</v>
      </c>
      <c r="B1329" s="17" t="n">
        <v>45928</v>
      </c>
      <c r="C1329" s="4" t="n">
        <v>9</v>
      </c>
      <c r="D1329" s="4" t="s">
        <v>70</v>
      </c>
      <c r="E1329" s="4" t="s">
        <v>99</v>
      </c>
      <c r="F1329" s="4" t="s">
        <v>100</v>
      </c>
      <c r="G1329" s="4" t="n">
        <v>3</v>
      </c>
      <c r="H1329" s="34" t="n">
        <v>110</v>
      </c>
      <c r="I1329" s="18" t="n">
        <v>0</v>
      </c>
      <c r="J1329" s="4" t="s">
        <v>76</v>
      </c>
      <c r="K1329" s="4" t="s">
        <v>68</v>
      </c>
      <c r="L1329" s="35" t="n">
        <f aca="false">G1329*H1329</f>
        <v>330</v>
      </c>
      <c r="M1329" s="35" t="n">
        <f aca="false">L1329*I1329</f>
        <v>0</v>
      </c>
      <c r="N1329" s="35" t="n">
        <f aca="false">L1329-M1329</f>
        <v>330</v>
      </c>
      <c r="O1329" s="4" t="n">
        <f aca="false">MONTH(B1329)</f>
        <v>9</v>
      </c>
      <c r="P1329" s="4" t="str">
        <f aca="false">CHOOSE(WEEKDAY(B1329,2),"Mon","Tue","Wed","Thu","Fri","Sat","Sun")</f>
        <v>Sun</v>
      </c>
      <c r="Q1329" s="4" t="str">
        <f aca="false">IF(WEEKDAY(B1329,2)&gt;5,"Weekend","Weekday")</f>
        <v>Weekend</v>
      </c>
      <c r="R1329" s="4" t="str">
        <f aca="false">IF(C1329&lt;11,"Morning (7-10)",IF(C1329&lt;14,"Lunch (11-13)",IF(C1329&lt;18,"Afternoon (14-17)","Evening (18-20)")))</f>
        <v>Morning (7-10)</v>
      </c>
      <c r="S1329" s="4" t="str">
        <f aca="false">IF(AND(O1329&gt;=3,O1329&lt;=5),"Hot Dry (Mar-May)",IF(AND(O1329&gt;=6,O1329&lt;=11),"Rainy (Jun-Nov)","Cool Dry (Dec-Feb)"))</f>
        <v>Rainy (Jun-Nov)</v>
      </c>
      <c r="T1329" s="4" t="str">
        <f aca="false">CHOOSE(O1329,"Jan","Feb","Mar","Apr","May","Jun","Jul","Aug","Sep","Oct","Nov","Dec")</f>
        <v>Sep</v>
      </c>
    </row>
    <row r="1330" customFormat="false" ht="15" hidden="false" customHeight="false" outlineLevel="0" collapsed="false">
      <c r="A1330" s="4" t="s">
        <v>1683</v>
      </c>
      <c r="B1330" s="17" t="n">
        <v>45928</v>
      </c>
      <c r="C1330" s="4" t="n">
        <v>10</v>
      </c>
      <c r="D1330" s="4" t="s">
        <v>70</v>
      </c>
      <c r="E1330" s="4" t="s">
        <v>99</v>
      </c>
      <c r="F1330" s="4" t="s">
        <v>102</v>
      </c>
      <c r="G1330" s="4" t="n">
        <v>3</v>
      </c>
      <c r="H1330" s="34" t="n">
        <v>140</v>
      </c>
      <c r="I1330" s="18" t="n">
        <v>0</v>
      </c>
      <c r="J1330" s="4" t="s">
        <v>81</v>
      </c>
      <c r="K1330" s="4" t="s">
        <v>68</v>
      </c>
      <c r="L1330" s="35" t="n">
        <f aca="false">G1330*H1330</f>
        <v>420</v>
      </c>
      <c r="M1330" s="35" t="n">
        <f aca="false">L1330*I1330</f>
        <v>0</v>
      </c>
      <c r="N1330" s="35" t="n">
        <f aca="false">L1330-M1330</f>
        <v>420</v>
      </c>
      <c r="O1330" s="4" t="n">
        <f aca="false">MONTH(B1330)</f>
        <v>9</v>
      </c>
      <c r="P1330" s="4" t="str">
        <f aca="false">CHOOSE(WEEKDAY(B1330,2),"Mon","Tue","Wed","Thu","Fri","Sat","Sun")</f>
        <v>Sun</v>
      </c>
      <c r="Q1330" s="4" t="str">
        <f aca="false">IF(WEEKDAY(B1330,2)&gt;5,"Weekend","Weekday")</f>
        <v>Weekend</v>
      </c>
      <c r="R1330" s="4" t="str">
        <f aca="false">IF(C1330&lt;11,"Morning (7-10)",IF(C1330&lt;14,"Lunch (11-13)",IF(C1330&lt;18,"Afternoon (14-17)","Evening (18-20)")))</f>
        <v>Morning (7-10)</v>
      </c>
      <c r="S1330" s="4" t="str">
        <f aca="false">IF(AND(O1330&gt;=3,O1330&lt;=5),"Hot Dry (Mar-May)",IF(AND(O1330&gt;=6,O1330&lt;=11),"Rainy (Jun-Nov)","Cool Dry (Dec-Feb)"))</f>
        <v>Rainy (Jun-Nov)</v>
      </c>
      <c r="T1330" s="4" t="str">
        <f aca="false">CHOOSE(O1330,"Jan","Feb","Mar","Apr","May","Jun","Jul","Aug","Sep","Oct","Nov","Dec")</f>
        <v>Sep</v>
      </c>
    </row>
    <row r="1331" customFormat="false" ht="15" hidden="false" customHeight="false" outlineLevel="0" collapsed="false">
      <c r="A1331" s="4" t="s">
        <v>1684</v>
      </c>
      <c r="B1331" s="17" t="n">
        <v>45928</v>
      </c>
      <c r="C1331" s="4" t="n">
        <v>13</v>
      </c>
      <c r="D1331" s="4" t="s">
        <v>73</v>
      </c>
      <c r="E1331" s="4" t="s">
        <v>79</v>
      </c>
      <c r="F1331" s="4" t="s">
        <v>148</v>
      </c>
      <c r="G1331" s="4" t="n">
        <v>4</v>
      </c>
      <c r="H1331" s="34" t="n">
        <v>120</v>
      </c>
      <c r="I1331" s="18" t="n">
        <v>0.15</v>
      </c>
      <c r="J1331" s="4" t="s">
        <v>67</v>
      </c>
      <c r="K1331" s="4" t="s">
        <v>71</v>
      </c>
      <c r="L1331" s="35" t="n">
        <f aca="false">G1331*H1331</f>
        <v>480</v>
      </c>
      <c r="M1331" s="35" t="n">
        <f aca="false">L1331*I1331</f>
        <v>72</v>
      </c>
      <c r="N1331" s="35" t="n">
        <f aca="false">L1331-M1331</f>
        <v>408</v>
      </c>
      <c r="O1331" s="4" t="n">
        <f aca="false">MONTH(B1331)</f>
        <v>9</v>
      </c>
      <c r="P1331" s="4" t="str">
        <f aca="false">CHOOSE(WEEKDAY(B1331,2),"Mon","Tue","Wed","Thu","Fri","Sat","Sun")</f>
        <v>Sun</v>
      </c>
      <c r="Q1331" s="4" t="str">
        <f aca="false">IF(WEEKDAY(B1331,2)&gt;5,"Weekend","Weekday")</f>
        <v>Weekend</v>
      </c>
      <c r="R1331" s="4" t="str">
        <f aca="false">IF(C1331&lt;11,"Morning (7-10)",IF(C1331&lt;14,"Lunch (11-13)",IF(C1331&lt;18,"Afternoon (14-17)","Evening (18-20)")))</f>
        <v>Lunch (11-13)</v>
      </c>
      <c r="S1331" s="4" t="str">
        <f aca="false">IF(AND(O1331&gt;=3,O1331&lt;=5),"Hot Dry (Mar-May)",IF(AND(O1331&gt;=6,O1331&lt;=11),"Rainy (Jun-Nov)","Cool Dry (Dec-Feb)"))</f>
        <v>Rainy (Jun-Nov)</v>
      </c>
      <c r="T1331" s="4" t="str">
        <f aca="false">CHOOSE(O1331,"Jan","Feb","Mar","Apr","May","Jun","Jul","Aug","Sep","Oct","Nov","Dec")</f>
        <v>Sep</v>
      </c>
    </row>
    <row r="1332" customFormat="false" ht="15" hidden="false" customHeight="false" outlineLevel="0" collapsed="false">
      <c r="A1332" s="4" t="s">
        <v>1685</v>
      </c>
      <c r="B1332" s="17" t="n">
        <v>45929</v>
      </c>
      <c r="C1332" s="4" t="n">
        <v>7</v>
      </c>
      <c r="D1332" s="4" t="s">
        <v>64</v>
      </c>
      <c r="E1332" s="4" t="s">
        <v>84</v>
      </c>
      <c r="F1332" s="4" t="s">
        <v>106</v>
      </c>
      <c r="G1332" s="4" t="n">
        <v>1</v>
      </c>
      <c r="H1332" s="34" t="n">
        <v>60</v>
      </c>
      <c r="I1332" s="18" t="n">
        <v>0.1</v>
      </c>
      <c r="J1332" s="4" t="s">
        <v>76</v>
      </c>
      <c r="K1332" s="4" t="s">
        <v>71</v>
      </c>
      <c r="L1332" s="35" t="n">
        <f aca="false">G1332*H1332</f>
        <v>60</v>
      </c>
      <c r="M1332" s="35" t="n">
        <f aca="false">L1332*I1332</f>
        <v>6</v>
      </c>
      <c r="N1332" s="35" t="n">
        <f aca="false">L1332-M1332</f>
        <v>54</v>
      </c>
      <c r="O1332" s="4" t="n">
        <f aca="false">MONTH(B1332)</f>
        <v>9</v>
      </c>
      <c r="P1332" s="4" t="str">
        <f aca="false">CHOOSE(WEEKDAY(B1332,2),"Mon","Tue","Wed","Thu","Fri","Sat","Sun")</f>
        <v>Mon</v>
      </c>
      <c r="Q1332" s="4" t="str">
        <f aca="false">IF(WEEKDAY(B1332,2)&gt;5,"Weekend","Weekday")</f>
        <v>Weekday</v>
      </c>
      <c r="R1332" s="4" t="str">
        <f aca="false">IF(C1332&lt;11,"Morning (7-10)",IF(C1332&lt;14,"Lunch (11-13)",IF(C1332&lt;18,"Afternoon (14-17)","Evening (18-20)")))</f>
        <v>Morning (7-10)</v>
      </c>
      <c r="S1332" s="4" t="str">
        <f aca="false">IF(AND(O1332&gt;=3,O1332&lt;=5),"Hot Dry (Mar-May)",IF(AND(O1332&gt;=6,O1332&lt;=11),"Rainy (Jun-Nov)","Cool Dry (Dec-Feb)"))</f>
        <v>Rainy (Jun-Nov)</v>
      </c>
      <c r="T1332" s="4" t="str">
        <f aca="false">CHOOSE(O1332,"Jan","Feb","Mar","Apr","May","Jun","Jul","Aug","Sep","Oct","Nov","Dec")</f>
        <v>Sep</v>
      </c>
    </row>
    <row r="1333" customFormat="false" ht="15" hidden="false" customHeight="false" outlineLevel="0" collapsed="false">
      <c r="A1333" s="4" t="s">
        <v>1687</v>
      </c>
      <c r="B1333" s="17" t="n">
        <v>45929</v>
      </c>
      <c r="C1333" s="4" t="n">
        <v>14</v>
      </c>
      <c r="D1333" s="4" t="s">
        <v>73</v>
      </c>
      <c r="E1333" s="4" t="s">
        <v>65</v>
      </c>
      <c r="F1333" s="4" t="s">
        <v>87</v>
      </c>
      <c r="G1333" s="4" t="n">
        <v>1</v>
      </c>
      <c r="H1333" s="34" t="n">
        <v>160</v>
      </c>
      <c r="I1333" s="18" t="n">
        <v>0.05</v>
      </c>
      <c r="J1333" s="4" t="s">
        <v>67</v>
      </c>
      <c r="K1333" s="4" t="s">
        <v>82</v>
      </c>
      <c r="L1333" s="35" t="n">
        <f aca="false">G1333*H1333</f>
        <v>160</v>
      </c>
      <c r="M1333" s="35" t="n">
        <f aca="false">L1333*I1333</f>
        <v>8</v>
      </c>
      <c r="N1333" s="35" t="n">
        <f aca="false">L1333-M1333</f>
        <v>152</v>
      </c>
      <c r="O1333" s="4" t="n">
        <f aca="false">MONTH(B1333)</f>
        <v>9</v>
      </c>
      <c r="P1333" s="4" t="str">
        <f aca="false">CHOOSE(WEEKDAY(B1333,2),"Mon","Tue","Wed","Thu","Fri","Sat","Sun")</f>
        <v>Mon</v>
      </c>
      <c r="Q1333" s="4" t="str">
        <f aca="false">IF(WEEKDAY(B1333,2)&gt;5,"Weekend","Weekday")</f>
        <v>Weekday</v>
      </c>
      <c r="R1333" s="4" t="str">
        <f aca="false">IF(C1333&lt;11,"Morning (7-10)",IF(C1333&lt;14,"Lunch (11-13)",IF(C1333&lt;18,"Afternoon (14-17)","Evening (18-20)")))</f>
        <v>Afternoon (14-17)</v>
      </c>
      <c r="S1333" s="4" t="str">
        <f aca="false">IF(AND(O1333&gt;=3,O1333&lt;=5),"Hot Dry (Mar-May)",IF(AND(O1333&gt;=6,O1333&lt;=11),"Rainy (Jun-Nov)","Cool Dry (Dec-Feb)"))</f>
        <v>Rainy (Jun-Nov)</v>
      </c>
      <c r="T1333" s="4" t="str">
        <f aca="false">CHOOSE(O1333,"Jan","Feb","Mar","Apr","May","Jun","Jul","Aug","Sep","Oct","Nov","Dec")</f>
        <v>Sep</v>
      </c>
    </row>
    <row r="1334" customFormat="false" ht="15" hidden="false" customHeight="false" outlineLevel="0" collapsed="false">
      <c r="A1334" s="4" t="s">
        <v>1689</v>
      </c>
      <c r="B1334" s="17" t="n">
        <v>45930</v>
      </c>
      <c r="C1334" s="4" t="n">
        <v>7</v>
      </c>
      <c r="D1334" s="4" t="s">
        <v>73</v>
      </c>
      <c r="E1334" s="4" t="s">
        <v>74</v>
      </c>
      <c r="F1334" s="4" t="s">
        <v>75</v>
      </c>
      <c r="G1334" s="4" t="n">
        <v>1</v>
      </c>
      <c r="H1334" s="34" t="n">
        <v>220</v>
      </c>
      <c r="I1334" s="18" t="n">
        <v>0</v>
      </c>
      <c r="J1334" s="4" t="s">
        <v>67</v>
      </c>
      <c r="K1334" s="4" t="s">
        <v>68</v>
      </c>
      <c r="L1334" s="35" t="n">
        <f aca="false">G1334*H1334</f>
        <v>220</v>
      </c>
      <c r="M1334" s="35" t="n">
        <f aca="false">L1334*I1334</f>
        <v>0</v>
      </c>
      <c r="N1334" s="35" t="n">
        <f aca="false">L1334-M1334</f>
        <v>220</v>
      </c>
      <c r="O1334" s="4" t="n">
        <f aca="false">MONTH(B1334)</f>
        <v>9</v>
      </c>
      <c r="P1334" s="4" t="str">
        <f aca="false">CHOOSE(WEEKDAY(B1334,2),"Mon","Tue","Wed","Thu","Fri","Sat","Sun")</f>
        <v>Tue</v>
      </c>
      <c r="Q1334" s="4" t="str">
        <f aca="false">IF(WEEKDAY(B1334,2)&gt;5,"Weekend","Weekday")</f>
        <v>Weekday</v>
      </c>
      <c r="R1334" s="4" t="str">
        <f aca="false">IF(C1334&lt;11,"Morning (7-10)",IF(C1334&lt;14,"Lunch (11-13)",IF(C1334&lt;18,"Afternoon (14-17)","Evening (18-20)")))</f>
        <v>Morning (7-10)</v>
      </c>
      <c r="S1334" s="4" t="str">
        <f aca="false">IF(AND(O1334&gt;=3,O1334&lt;=5),"Hot Dry (Mar-May)",IF(AND(O1334&gt;=6,O1334&lt;=11),"Rainy (Jun-Nov)","Cool Dry (Dec-Feb)"))</f>
        <v>Rainy (Jun-Nov)</v>
      </c>
      <c r="T1334" s="4" t="str">
        <f aca="false">CHOOSE(O1334,"Jan","Feb","Mar","Apr","May","Jun","Jul","Aug","Sep","Oct","Nov","Dec")</f>
        <v>Sep</v>
      </c>
    </row>
    <row r="1335" customFormat="false" ht="15" hidden="false" customHeight="false" outlineLevel="0" collapsed="false">
      <c r="A1335" s="4" t="s">
        <v>1691</v>
      </c>
      <c r="B1335" s="17" t="n">
        <v>45930</v>
      </c>
      <c r="C1335" s="4" t="n">
        <v>8</v>
      </c>
      <c r="D1335" s="4" t="s">
        <v>73</v>
      </c>
      <c r="E1335" s="4" t="s">
        <v>99</v>
      </c>
      <c r="F1335" s="4" t="s">
        <v>100</v>
      </c>
      <c r="G1335" s="4" t="n">
        <v>1</v>
      </c>
      <c r="H1335" s="34" t="n">
        <v>110</v>
      </c>
      <c r="I1335" s="18" t="n">
        <v>0</v>
      </c>
      <c r="J1335" s="4" t="s">
        <v>76</v>
      </c>
      <c r="K1335" s="4" t="s">
        <v>77</v>
      </c>
      <c r="L1335" s="35" t="n">
        <f aca="false">G1335*H1335</f>
        <v>110</v>
      </c>
      <c r="M1335" s="35" t="n">
        <f aca="false">L1335*I1335</f>
        <v>0</v>
      </c>
      <c r="N1335" s="35" t="n">
        <f aca="false">L1335-M1335</f>
        <v>110</v>
      </c>
      <c r="O1335" s="4" t="n">
        <f aca="false">MONTH(B1335)</f>
        <v>9</v>
      </c>
      <c r="P1335" s="4" t="str">
        <f aca="false">CHOOSE(WEEKDAY(B1335,2),"Mon","Tue","Wed","Thu","Fri","Sat","Sun")</f>
        <v>Tue</v>
      </c>
      <c r="Q1335" s="4" t="str">
        <f aca="false">IF(WEEKDAY(B1335,2)&gt;5,"Weekend","Weekday")</f>
        <v>Weekday</v>
      </c>
      <c r="R1335" s="4" t="str">
        <f aca="false">IF(C1335&lt;11,"Morning (7-10)",IF(C1335&lt;14,"Lunch (11-13)",IF(C1335&lt;18,"Afternoon (14-17)","Evening (18-20)")))</f>
        <v>Morning (7-10)</v>
      </c>
      <c r="S1335" s="4" t="str">
        <f aca="false">IF(AND(O1335&gt;=3,O1335&lt;=5),"Hot Dry (Mar-May)",IF(AND(O1335&gt;=6,O1335&lt;=11),"Rainy (Jun-Nov)","Cool Dry (Dec-Feb)"))</f>
        <v>Rainy (Jun-Nov)</v>
      </c>
      <c r="T1335" s="4" t="str">
        <f aca="false">CHOOSE(O1335,"Jan","Feb","Mar","Apr","May","Jun","Jul","Aug","Sep","Oct","Nov","Dec")</f>
        <v>Sep</v>
      </c>
    </row>
    <row r="1336" customFormat="false" ht="15" hidden="false" customHeight="false" outlineLevel="0" collapsed="false">
      <c r="A1336" s="4" t="s">
        <v>1692</v>
      </c>
      <c r="B1336" s="17" t="n">
        <v>45930</v>
      </c>
      <c r="C1336" s="4" t="n">
        <v>9</v>
      </c>
      <c r="D1336" s="4" t="s">
        <v>64</v>
      </c>
      <c r="E1336" s="4" t="s">
        <v>99</v>
      </c>
      <c r="F1336" s="4" t="s">
        <v>109</v>
      </c>
      <c r="G1336" s="4" t="n">
        <v>2</v>
      </c>
      <c r="H1336" s="34" t="n">
        <v>130</v>
      </c>
      <c r="I1336" s="18" t="n">
        <v>0.1</v>
      </c>
      <c r="J1336" s="4" t="s">
        <v>88</v>
      </c>
      <c r="K1336" s="4" t="s">
        <v>71</v>
      </c>
      <c r="L1336" s="35" t="n">
        <f aca="false">G1336*H1336</f>
        <v>260</v>
      </c>
      <c r="M1336" s="35" t="n">
        <f aca="false">L1336*I1336</f>
        <v>26</v>
      </c>
      <c r="N1336" s="35" t="n">
        <f aca="false">L1336-M1336</f>
        <v>234</v>
      </c>
      <c r="O1336" s="4" t="n">
        <f aca="false">MONTH(B1336)</f>
        <v>9</v>
      </c>
      <c r="P1336" s="4" t="str">
        <f aca="false">CHOOSE(WEEKDAY(B1336,2),"Mon","Tue","Wed","Thu","Fri","Sat","Sun")</f>
        <v>Tue</v>
      </c>
      <c r="Q1336" s="4" t="str">
        <f aca="false">IF(WEEKDAY(B1336,2)&gt;5,"Weekend","Weekday")</f>
        <v>Weekday</v>
      </c>
      <c r="R1336" s="4" t="str">
        <f aca="false">IF(C1336&lt;11,"Morning (7-10)",IF(C1336&lt;14,"Lunch (11-13)",IF(C1336&lt;18,"Afternoon (14-17)","Evening (18-20)")))</f>
        <v>Morning (7-10)</v>
      </c>
      <c r="S1336" s="4" t="str">
        <f aca="false">IF(AND(O1336&gt;=3,O1336&lt;=5),"Hot Dry (Mar-May)",IF(AND(O1336&gt;=6,O1336&lt;=11),"Rainy (Jun-Nov)","Cool Dry (Dec-Feb)"))</f>
        <v>Rainy (Jun-Nov)</v>
      </c>
      <c r="T1336" s="4" t="str">
        <f aca="false">CHOOSE(O1336,"Jan","Feb","Mar","Apr","May","Jun","Jul","Aug","Sep","Oct","Nov","Dec")</f>
        <v>Sep</v>
      </c>
    </row>
    <row r="1337" customFormat="false" ht="15" hidden="false" customHeight="false" outlineLevel="0" collapsed="false">
      <c r="A1337" s="4" t="s">
        <v>1693</v>
      </c>
      <c r="B1337" s="17" t="n">
        <v>45930</v>
      </c>
      <c r="C1337" s="4" t="n">
        <v>10</v>
      </c>
      <c r="D1337" s="4" t="s">
        <v>64</v>
      </c>
      <c r="E1337" s="4" t="s">
        <v>65</v>
      </c>
      <c r="F1337" s="4" t="s">
        <v>66</v>
      </c>
      <c r="G1337" s="4" t="n">
        <v>3</v>
      </c>
      <c r="H1337" s="34" t="n">
        <v>120</v>
      </c>
      <c r="I1337" s="18" t="n">
        <v>0</v>
      </c>
      <c r="J1337" s="4" t="s">
        <v>76</v>
      </c>
      <c r="K1337" s="4" t="s">
        <v>68</v>
      </c>
      <c r="L1337" s="35" t="n">
        <f aca="false">G1337*H1337</f>
        <v>360</v>
      </c>
      <c r="M1337" s="35" t="n">
        <f aca="false">L1337*I1337</f>
        <v>0</v>
      </c>
      <c r="N1337" s="35" t="n">
        <f aca="false">L1337-M1337</f>
        <v>360</v>
      </c>
      <c r="O1337" s="4" t="n">
        <f aca="false">MONTH(B1337)</f>
        <v>9</v>
      </c>
      <c r="P1337" s="4" t="str">
        <f aca="false">CHOOSE(WEEKDAY(B1337,2),"Mon","Tue","Wed","Thu","Fri","Sat","Sun")</f>
        <v>Tue</v>
      </c>
      <c r="Q1337" s="4" t="str">
        <f aca="false">IF(WEEKDAY(B1337,2)&gt;5,"Weekend","Weekday")</f>
        <v>Weekday</v>
      </c>
      <c r="R1337" s="4" t="str">
        <f aca="false">IF(C1337&lt;11,"Morning (7-10)",IF(C1337&lt;14,"Lunch (11-13)",IF(C1337&lt;18,"Afternoon (14-17)","Evening (18-20)")))</f>
        <v>Morning (7-10)</v>
      </c>
      <c r="S1337" s="4" t="str">
        <f aca="false">IF(AND(O1337&gt;=3,O1337&lt;=5),"Hot Dry (Mar-May)",IF(AND(O1337&gt;=6,O1337&lt;=11),"Rainy (Jun-Nov)","Cool Dry (Dec-Feb)"))</f>
        <v>Rainy (Jun-Nov)</v>
      </c>
      <c r="T1337" s="4" t="str">
        <f aca="false">CHOOSE(O1337,"Jan","Feb","Mar","Apr","May","Jun","Jul","Aug","Sep","Oct","Nov","Dec")</f>
        <v>Sep</v>
      </c>
    </row>
    <row r="1338" customFormat="false" ht="15" hidden="false" customHeight="false" outlineLevel="0" collapsed="false">
      <c r="A1338" s="4" t="s">
        <v>1694</v>
      </c>
      <c r="B1338" s="17" t="n">
        <v>45930</v>
      </c>
      <c r="C1338" s="4" t="n">
        <v>11</v>
      </c>
      <c r="D1338" s="4" t="s">
        <v>98</v>
      </c>
      <c r="E1338" s="4" t="s">
        <v>74</v>
      </c>
      <c r="F1338" s="4" t="s">
        <v>75</v>
      </c>
      <c r="G1338" s="4" t="n">
        <v>3</v>
      </c>
      <c r="H1338" s="34" t="n">
        <v>220</v>
      </c>
      <c r="I1338" s="18" t="n">
        <v>0</v>
      </c>
      <c r="J1338" s="4" t="s">
        <v>81</v>
      </c>
      <c r="K1338" s="4" t="s">
        <v>68</v>
      </c>
      <c r="L1338" s="35" t="n">
        <f aca="false">G1338*H1338</f>
        <v>660</v>
      </c>
      <c r="M1338" s="35" t="n">
        <f aca="false">L1338*I1338</f>
        <v>0</v>
      </c>
      <c r="N1338" s="35" t="n">
        <f aca="false">L1338-M1338</f>
        <v>660</v>
      </c>
      <c r="O1338" s="4" t="n">
        <f aca="false">MONTH(B1338)</f>
        <v>9</v>
      </c>
      <c r="P1338" s="4" t="str">
        <f aca="false">CHOOSE(WEEKDAY(B1338,2),"Mon","Tue","Wed","Thu","Fri","Sat","Sun")</f>
        <v>Tue</v>
      </c>
      <c r="Q1338" s="4" t="str">
        <f aca="false">IF(WEEKDAY(B1338,2)&gt;5,"Weekend","Weekday")</f>
        <v>Weekday</v>
      </c>
      <c r="R1338" s="4" t="str">
        <f aca="false">IF(C1338&lt;11,"Morning (7-10)",IF(C1338&lt;14,"Lunch (11-13)",IF(C1338&lt;18,"Afternoon (14-17)","Evening (18-20)")))</f>
        <v>Lunch (11-13)</v>
      </c>
      <c r="S1338" s="4" t="str">
        <f aca="false">IF(AND(O1338&gt;=3,O1338&lt;=5),"Hot Dry (Mar-May)",IF(AND(O1338&gt;=6,O1338&lt;=11),"Rainy (Jun-Nov)","Cool Dry (Dec-Feb)"))</f>
        <v>Rainy (Jun-Nov)</v>
      </c>
      <c r="T1338" s="4" t="str">
        <f aca="false">CHOOSE(O1338,"Jan","Feb","Mar","Apr","May","Jun","Jul","Aug","Sep","Oct","Nov","Dec")</f>
        <v>Sep</v>
      </c>
    </row>
    <row r="1339" customFormat="false" ht="15" hidden="false" customHeight="false" outlineLevel="0" collapsed="false">
      <c r="A1339" s="4" t="s">
        <v>1696</v>
      </c>
      <c r="B1339" s="17" t="n">
        <v>45930</v>
      </c>
      <c r="C1339" s="4" t="n">
        <v>15</v>
      </c>
      <c r="D1339" s="4" t="s">
        <v>73</v>
      </c>
      <c r="E1339" s="4" t="s">
        <v>84</v>
      </c>
      <c r="F1339" s="4" t="s">
        <v>106</v>
      </c>
      <c r="G1339" s="4" t="n">
        <v>2</v>
      </c>
      <c r="H1339" s="34" t="n">
        <v>60</v>
      </c>
      <c r="I1339" s="18" t="n">
        <v>0</v>
      </c>
      <c r="J1339" s="4" t="s">
        <v>76</v>
      </c>
      <c r="K1339" s="4" t="s">
        <v>68</v>
      </c>
      <c r="L1339" s="35" t="n">
        <f aca="false">G1339*H1339</f>
        <v>120</v>
      </c>
      <c r="M1339" s="35" t="n">
        <f aca="false">L1339*I1339</f>
        <v>0</v>
      </c>
      <c r="N1339" s="35" t="n">
        <f aca="false">L1339-M1339</f>
        <v>120</v>
      </c>
      <c r="O1339" s="4" t="n">
        <f aca="false">MONTH(B1339)</f>
        <v>9</v>
      </c>
      <c r="P1339" s="4" t="str">
        <f aca="false">CHOOSE(WEEKDAY(B1339,2),"Mon","Tue","Wed","Thu","Fri","Sat","Sun")</f>
        <v>Tue</v>
      </c>
      <c r="Q1339" s="4" t="str">
        <f aca="false">IF(WEEKDAY(B1339,2)&gt;5,"Weekend","Weekday")</f>
        <v>Weekday</v>
      </c>
      <c r="R1339" s="4" t="str">
        <f aca="false">IF(C1339&lt;11,"Morning (7-10)",IF(C1339&lt;14,"Lunch (11-13)",IF(C1339&lt;18,"Afternoon (14-17)","Evening (18-20)")))</f>
        <v>Afternoon (14-17)</v>
      </c>
      <c r="S1339" s="4" t="str">
        <f aca="false">IF(AND(O1339&gt;=3,O1339&lt;=5),"Hot Dry (Mar-May)",IF(AND(O1339&gt;=6,O1339&lt;=11),"Rainy (Jun-Nov)","Cool Dry (Dec-Feb)"))</f>
        <v>Rainy (Jun-Nov)</v>
      </c>
      <c r="T1339" s="4" t="str">
        <f aca="false">CHOOSE(O1339,"Jan","Feb","Mar","Apr","May","Jun","Jul","Aug","Sep","Oct","Nov","Dec")</f>
        <v>Sep</v>
      </c>
    </row>
    <row r="1340" customFormat="false" ht="15" hidden="false" customHeight="false" outlineLevel="0" collapsed="false">
      <c r="A1340" s="4" t="s">
        <v>1697</v>
      </c>
      <c r="B1340" s="17" t="n">
        <v>45930</v>
      </c>
      <c r="C1340" s="4" t="n">
        <v>15</v>
      </c>
      <c r="D1340" s="4" t="s">
        <v>70</v>
      </c>
      <c r="E1340" s="4" t="s">
        <v>99</v>
      </c>
      <c r="F1340" s="4" t="s">
        <v>102</v>
      </c>
      <c r="G1340" s="4" t="n">
        <v>1</v>
      </c>
      <c r="H1340" s="34" t="n">
        <v>140</v>
      </c>
      <c r="I1340" s="18" t="n">
        <v>0.05</v>
      </c>
      <c r="J1340" s="4" t="s">
        <v>81</v>
      </c>
      <c r="K1340" s="4" t="s">
        <v>82</v>
      </c>
      <c r="L1340" s="35" t="n">
        <f aca="false">G1340*H1340</f>
        <v>140</v>
      </c>
      <c r="M1340" s="35" t="n">
        <f aca="false">L1340*I1340</f>
        <v>7</v>
      </c>
      <c r="N1340" s="35" t="n">
        <f aca="false">L1340-M1340</f>
        <v>133</v>
      </c>
      <c r="O1340" s="4" t="n">
        <f aca="false">MONTH(B1340)</f>
        <v>9</v>
      </c>
      <c r="P1340" s="4" t="str">
        <f aca="false">CHOOSE(WEEKDAY(B1340,2),"Mon","Tue","Wed","Thu","Fri","Sat","Sun")</f>
        <v>Tue</v>
      </c>
      <c r="Q1340" s="4" t="str">
        <f aca="false">IF(WEEKDAY(B1340,2)&gt;5,"Weekend","Weekday")</f>
        <v>Weekday</v>
      </c>
      <c r="R1340" s="4" t="str">
        <f aca="false">IF(C1340&lt;11,"Morning (7-10)",IF(C1340&lt;14,"Lunch (11-13)",IF(C1340&lt;18,"Afternoon (14-17)","Evening (18-20)")))</f>
        <v>Afternoon (14-17)</v>
      </c>
      <c r="S1340" s="4" t="str">
        <f aca="false">IF(AND(O1340&gt;=3,O1340&lt;=5),"Hot Dry (Mar-May)",IF(AND(O1340&gt;=6,O1340&lt;=11),"Rainy (Jun-Nov)","Cool Dry (Dec-Feb)"))</f>
        <v>Rainy (Jun-Nov)</v>
      </c>
      <c r="T1340" s="4" t="str">
        <f aca="false">CHOOSE(O1340,"Jan","Feb","Mar","Apr","May","Jun","Jul","Aug","Sep","Oct","Nov","Dec")</f>
        <v>Sep</v>
      </c>
    </row>
    <row r="1341" customFormat="false" ht="15" hidden="false" customHeight="false" outlineLevel="0" collapsed="false">
      <c r="A1341" s="4" t="s">
        <v>1698</v>
      </c>
      <c r="B1341" s="17" t="n">
        <v>45931</v>
      </c>
      <c r="C1341" s="4" t="n">
        <v>7</v>
      </c>
      <c r="D1341" s="4" t="s">
        <v>70</v>
      </c>
      <c r="E1341" s="4" t="s">
        <v>65</v>
      </c>
      <c r="F1341" s="4" t="s">
        <v>121</v>
      </c>
      <c r="G1341" s="4" t="n">
        <v>1</v>
      </c>
      <c r="H1341" s="34" t="n">
        <v>170</v>
      </c>
      <c r="I1341" s="18" t="n">
        <v>0.1</v>
      </c>
      <c r="J1341" s="4" t="s">
        <v>81</v>
      </c>
      <c r="K1341" s="4" t="s">
        <v>71</v>
      </c>
      <c r="L1341" s="35" t="n">
        <f aca="false">G1341*H1341</f>
        <v>170</v>
      </c>
      <c r="M1341" s="35" t="n">
        <f aca="false">L1341*I1341</f>
        <v>17</v>
      </c>
      <c r="N1341" s="35" t="n">
        <f aca="false">L1341-M1341</f>
        <v>153</v>
      </c>
      <c r="O1341" s="4" t="n">
        <f aca="false">MONTH(B1341)</f>
        <v>10</v>
      </c>
      <c r="P1341" s="4" t="str">
        <f aca="false">CHOOSE(WEEKDAY(B1341,2),"Mon","Tue","Wed","Thu","Fri","Sat","Sun")</f>
        <v>Wed</v>
      </c>
      <c r="Q1341" s="4" t="str">
        <f aca="false">IF(WEEKDAY(B1341,2)&gt;5,"Weekend","Weekday")</f>
        <v>Weekday</v>
      </c>
      <c r="R1341" s="4" t="str">
        <f aca="false">IF(C1341&lt;11,"Morning (7-10)",IF(C1341&lt;14,"Lunch (11-13)",IF(C1341&lt;18,"Afternoon (14-17)","Evening (18-20)")))</f>
        <v>Morning (7-10)</v>
      </c>
      <c r="S1341" s="4" t="str">
        <f aca="false">IF(AND(O1341&gt;=3,O1341&lt;=5),"Hot Dry (Mar-May)",IF(AND(O1341&gt;=6,O1341&lt;=11),"Rainy (Jun-Nov)","Cool Dry (Dec-Feb)"))</f>
        <v>Rainy (Jun-Nov)</v>
      </c>
      <c r="T1341" s="4" t="str">
        <f aca="false">CHOOSE(O1341,"Jan","Feb","Mar","Apr","May","Jun","Jul","Aug","Sep","Oct","Nov","Dec")</f>
        <v>Oct</v>
      </c>
    </row>
    <row r="1342" customFormat="false" ht="15" hidden="false" customHeight="false" outlineLevel="0" collapsed="false">
      <c r="A1342" s="4" t="s">
        <v>1700</v>
      </c>
      <c r="B1342" s="17" t="n">
        <v>45931</v>
      </c>
      <c r="C1342" s="4" t="n">
        <v>8</v>
      </c>
      <c r="D1342" s="4" t="s">
        <v>70</v>
      </c>
      <c r="E1342" s="4" t="s">
        <v>74</v>
      </c>
      <c r="F1342" s="4" t="s">
        <v>75</v>
      </c>
      <c r="G1342" s="4" t="n">
        <v>1</v>
      </c>
      <c r="H1342" s="34" t="n">
        <v>220</v>
      </c>
      <c r="I1342" s="18" t="n">
        <v>0</v>
      </c>
      <c r="J1342" s="4" t="s">
        <v>81</v>
      </c>
      <c r="K1342" s="4" t="s">
        <v>68</v>
      </c>
      <c r="L1342" s="35" t="n">
        <f aca="false">G1342*H1342</f>
        <v>220</v>
      </c>
      <c r="M1342" s="35" t="n">
        <f aca="false">L1342*I1342</f>
        <v>0</v>
      </c>
      <c r="N1342" s="35" t="n">
        <f aca="false">L1342-M1342</f>
        <v>220</v>
      </c>
      <c r="O1342" s="4" t="n">
        <f aca="false">MONTH(B1342)</f>
        <v>10</v>
      </c>
      <c r="P1342" s="4" t="str">
        <f aca="false">CHOOSE(WEEKDAY(B1342,2),"Mon","Tue","Wed","Thu","Fri","Sat","Sun")</f>
        <v>Wed</v>
      </c>
      <c r="Q1342" s="4" t="str">
        <f aca="false">IF(WEEKDAY(B1342,2)&gt;5,"Weekend","Weekday")</f>
        <v>Weekday</v>
      </c>
      <c r="R1342" s="4" t="str">
        <f aca="false">IF(C1342&lt;11,"Morning (7-10)",IF(C1342&lt;14,"Lunch (11-13)",IF(C1342&lt;18,"Afternoon (14-17)","Evening (18-20)")))</f>
        <v>Morning (7-10)</v>
      </c>
      <c r="S1342" s="4" t="str">
        <f aca="false">IF(AND(O1342&gt;=3,O1342&lt;=5),"Hot Dry (Mar-May)",IF(AND(O1342&gt;=6,O1342&lt;=11),"Rainy (Jun-Nov)","Cool Dry (Dec-Feb)"))</f>
        <v>Rainy (Jun-Nov)</v>
      </c>
      <c r="T1342" s="4" t="str">
        <f aca="false">CHOOSE(O1342,"Jan","Feb","Mar","Apr","May","Jun","Jul","Aug","Sep","Oct","Nov","Dec")</f>
        <v>Oct</v>
      </c>
    </row>
    <row r="1343" customFormat="false" ht="15" hidden="false" customHeight="false" outlineLevel="0" collapsed="false">
      <c r="A1343" s="4" t="s">
        <v>1702</v>
      </c>
      <c r="B1343" s="17" t="n">
        <v>45931</v>
      </c>
      <c r="C1343" s="4" t="n">
        <v>9</v>
      </c>
      <c r="D1343" s="4" t="s">
        <v>73</v>
      </c>
      <c r="E1343" s="4" t="s">
        <v>65</v>
      </c>
      <c r="F1343" s="4" t="s">
        <v>66</v>
      </c>
      <c r="G1343" s="4" t="n">
        <v>1</v>
      </c>
      <c r="H1343" s="34" t="n">
        <v>120</v>
      </c>
      <c r="I1343" s="18" t="n">
        <v>0</v>
      </c>
      <c r="J1343" s="4" t="s">
        <v>88</v>
      </c>
      <c r="K1343" s="4" t="s">
        <v>77</v>
      </c>
      <c r="L1343" s="35" t="n">
        <f aca="false">G1343*H1343</f>
        <v>120</v>
      </c>
      <c r="M1343" s="35" t="n">
        <f aca="false">L1343*I1343</f>
        <v>0</v>
      </c>
      <c r="N1343" s="35" t="n">
        <f aca="false">L1343-M1343</f>
        <v>120</v>
      </c>
      <c r="O1343" s="4" t="n">
        <f aca="false">MONTH(B1343)</f>
        <v>10</v>
      </c>
      <c r="P1343" s="4" t="str">
        <f aca="false">CHOOSE(WEEKDAY(B1343,2),"Mon","Tue","Wed","Thu","Fri","Sat","Sun")</f>
        <v>Wed</v>
      </c>
      <c r="Q1343" s="4" t="str">
        <f aca="false">IF(WEEKDAY(B1343,2)&gt;5,"Weekend","Weekday")</f>
        <v>Weekday</v>
      </c>
      <c r="R1343" s="4" t="str">
        <f aca="false">IF(C1343&lt;11,"Morning (7-10)",IF(C1343&lt;14,"Lunch (11-13)",IF(C1343&lt;18,"Afternoon (14-17)","Evening (18-20)")))</f>
        <v>Morning (7-10)</v>
      </c>
      <c r="S1343" s="4" t="str">
        <f aca="false">IF(AND(O1343&gt;=3,O1343&lt;=5),"Hot Dry (Mar-May)",IF(AND(O1343&gt;=6,O1343&lt;=11),"Rainy (Jun-Nov)","Cool Dry (Dec-Feb)"))</f>
        <v>Rainy (Jun-Nov)</v>
      </c>
      <c r="T1343" s="4" t="str">
        <f aca="false">CHOOSE(O1343,"Jan","Feb","Mar","Apr","May","Jun","Jul","Aug","Sep","Oct","Nov","Dec")</f>
        <v>Oct</v>
      </c>
    </row>
    <row r="1344" customFormat="false" ht="15" hidden="false" customHeight="false" outlineLevel="0" collapsed="false">
      <c r="A1344" s="4" t="s">
        <v>1703</v>
      </c>
      <c r="B1344" s="17" t="n">
        <v>45931</v>
      </c>
      <c r="C1344" s="4" t="n">
        <v>13</v>
      </c>
      <c r="D1344" s="4" t="s">
        <v>70</v>
      </c>
      <c r="E1344" s="4" t="s">
        <v>65</v>
      </c>
      <c r="F1344" s="4" t="s">
        <v>87</v>
      </c>
      <c r="G1344" s="4" t="n">
        <v>1</v>
      </c>
      <c r="H1344" s="34" t="n">
        <v>160</v>
      </c>
      <c r="I1344" s="18" t="n">
        <v>0.1</v>
      </c>
      <c r="J1344" s="4" t="s">
        <v>81</v>
      </c>
      <c r="K1344" s="4" t="s">
        <v>71</v>
      </c>
      <c r="L1344" s="35" t="n">
        <f aca="false">G1344*H1344</f>
        <v>160</v>
      </c>
      <c r="M1344" s="35" t="n">
        <f aca="false">L1344*I1344</f>
        <v>16</v>
      </c>
      <c r="N1344" s="35" t="n">
        <f aca="false">L1344-M1344</f>
        <v>144</v>
      </c>
      <c r="O1344" s="4" t="n">
        <f aca="false">MONTH(B1344)</f>
        <v>10</v>
      </c>
      <c r="P1344" s="4" t="str">
        <f aca="false">CHOOSE(WEEKDAY(B1344,2),"Mon","Tue","Wed","Thu","Fri","Sat","Sun")</f>
        <v>Wed</v>
      </c>
      <c r="Q1344" s="4" t="str">
        <f aca="false">IF(WEEKDAY(B1344,2)&gt;5,"Weekend","Weekday")</f>
        <v>Weekday</v>
      </c>
      <c r="R1344" s="4" t="str">
        <f aca="false">IF(C1344&lt;11,"Morning (7-10)",IF(C1344&lt;14,"Lunch (11-13)",IF(C1344&lt;18,"Afternoon (14-17)","Evening (18-20)")))</f>
        <v>Lunch (11-13)</v>
      </c>
      <c r="S1344" s="4" t="str">
        <f aca="false">IF(AND(O1344&gt;=3,O1344&lt;=5),"Hot Dry (Mar-May)",IF(AND(O1344&gt;=6,O1344&lt;=11),"Rainy (Jun-Nov)","Cool Dry (Dec-Feb)"))</f>
        <v>Rainy (Jun-Nov)</v>
      </c>
      <c r="T1344" s="4" t="str">
        <f aca="false">CHOOSE(O1344,"Jan","Feb","Mar","Apr","May","Jun","Jul","Aug","Sep","Oct","Nov","Dec")</f>
        <v>Oct</v>
      </c>
    </row>
    <row r="1345" customFormat="false" ht="15" hidden="false" customHeight="false" outlineLevel="0" collapsed="false">
      <c r="A1345" s="4" t="s">
        <v>1704</v>
      </c>
      <c r="B1345" s="17" t="n">
        <v>45932</v>
      </c>
      <c r="C1345" s="4" t="n">
        <v>8</v>
      </c>
      <c r="D1345" s="4" t="s">
        <v>70</v>
      </c>
      <c r="E1345" s="4" t="s">
        <v>99</v>
      </c>
      <c r="F1345" s="4" t="s">
        <v>100</v>
      </c>
      <c r="G1345" s="4" t="n">
        <v>4</v>
      </c>
      <c r="H1345" s="34" t="n">
        <v>110</v>
      </c>
      <c r="I1345" s="18" t="n">
        <v>0</v>
      </c>
      <c r="J1345" s="4" t="s">
        <v>67</v>
      </c>
      <c r="K1345" s="4" t="s">
        <v>77</v>
      </c>
      <c r="L1345" s="35" t="n">
        <f aca="false">G1345*H1345</f>
        <v>440</v>
      </c>
      <c r="M1345" s="35" t="n">
        <f aca="false">L1345*I1345</f>
        <v>0</v>
      </c>
      <c r="N1345" s="35" t="n">
        <f aca="false">L1345-M1345</f>
        <v>440</v>
      </c>
      <c r="O1345" s="4" t="n">
        <f aca="false">MONTH(B1345)</f>
        <v>10</v>
      </c>
      <c r="P1345" s="4" t="str">
        <f aca="false">CHOOSE(WEEKDAY(B1345,2),"Mon","Tue","Wed","Thu","Fri","Sat","Sun")</f>
        <v>Thu</v>
      </c>
      <c r="Q1345" s="4" t="str">
        <f aca="false">IF(WEEKDAY(B1345,2)&gt;5,"Weekend","Weekday")</f>
        <v>Weekday</v>
      </c>
      <c r="R1345" s="4" t="str">
        <f aca="false">IF(C1345&lt;11,"Morning (7-10)",IF(C1345&lt;14,"Lunch (11-13)",IF(C1345&lt;18,"Afternoon (14-17)","Evening (18-20)")))</f>
        <v>Morning (7-10)</v>
      </c>
      <c r="S1345" s="4" t="str">
        <f aca="false">IF(AND(O1345&gt;=3,O1345&lt;=5),"Hot Dry (Mar-May)",IF(AND(O1345&gt;=6,O1345&lt;=11),"Rainy (Jun-Nov)","Cool Dry (Dec-Feb)"))</f>
        <v>Rainy (Jun-Nov)</v>
      </c>
      <c r="T1345" s="4" t="str">
        <f aca="false">CHOOSE(O1345,"Jan","Feb","Mar","Apr","May","Jun","Jul","Aug","Sep","Oct","Nov","Dec")</f>
        <v>Oct</v>
      </c>
    </row>
    <row r="1346" customFormat="false" ht="15" hidden="false" customHeight="false" outlineLevel="0" collapsed="false">
      <c r="A1346" s="4" t="s">
        <v>1705</v>
      </c>
      <c r="B1346" s="17" t="n">
        <v>45932</v>
      </c>
      <c r="C1346" s="4" t="n">
        <v>8</v>
      </c>
      <c r="D1346" s="4" t="s">
        <v>98</v>
      </c>
      <c r="E1346" s="4" t="s">
        <v>65</v>
      </c>
      <c r="F1346" s="4" t="s">
        <v>87</v>
      </c>
      <c r="G1346" s="4" t="n">
        <v>2</v>
      </c>
      <c r="H1346" s="34" t="n">
        <v>160</v>
      </c>
      <c r="I1346" s="18" t="n">
        <v>0</v>
      </c>
      <c r="J1346" s="4" t="s">
        <v>76</v>
      </c>
      <c r="K1346" s="4" t="s">
        <v>68</v>
      </c>
      <c r="L1346" s="35" t="n">
        <f aca="false">G1346*H1346</f>
        <v>320</v>
      </c>
      <c r="M1346" s="35" t="n">
        <f aca="false">L1346*I1346</f>
        <v>0</v>
      </c>
      <c r="N1346" s="35" t="n">
        <f aca="false">L1346-M1346</f>
        <v>320</v>
      </c>
      <c r="O1346" s="4" t="n">
        <f aca="false">MONTH(B1346)</f>
        <v>10</v>
      </c>
      <c r="P1346" s="4" t="str">
        <f aca="false">CHOOSE(WEEKDAY(B1346,2),"Mon","Tue","Wed","Thu","Fri","Sat","Sun")</f>
        <v>Thu</v>
      </c>
      <c r="Q1346" s="4" t="str">
        <f aca="false">IF(WEEKDAY(B1346,2)&gt;5,"Weekend","Weekday")</f>
        <v>Weekday</v>
      </c>
      <c r="R1346" s="4" t="str">
        <f aca="false">IF(C1346&lt;11,"Morning (7-10)",IF(C1346&lt;14,"Lunch (11-13)",IF(C1346&lt;18,"Afternoon (14-17)","Evening (18-20)")))</f>
        <v>Morning (7-10)</v>
      </c>
      <c r="S1346" s="4" t="str">
        <f aca="false">IF(AND(O1346&gt;=3,O1346&lt;=5),"Hot Dry (Mar-May)",IF(AND(O1346&gt;=6,O1346&lt;=11),"Rainy (Jun-Nov)","Cool Dry (Dec-Feb)"))</f>
        <v>Rainy (Jun-Nov)</v>
      </c>
      <c r="T1346" s="4" t="str">
        <f aca="false">CHOOSE(O1346,"Jan","Feb","Mar","Apr","May","Jun","Jul","Aug","Sep","Oct","Nov","Dec")</f>
        <v>Oct</v>
      </c>
    </row>
    <row r="1347" customFormat="false" ht="15" hidden="false" customHeight="false" outlineLevel="0" collapsed="false">
      <c r="A1347" s="4" t="s">
        <v>1706</v>
      </c>
      <c r="B1347" s="17" t="n">
        <v>45932</v>
      </c>
      <c r="C1347" s="4" t="n">
        <v>12</v>
      </c>
      <c r="D1347" s="4" t="s">
        <v>70</v>
      </c>
      <c r="E1347" s="4" t="s">
        <v>99</v>
      </c>
      <c r="F1347" s="4" t="s">
        <v>102</v>
      </c>
      <c r="G1347" s="4" t="n">
        <v>2</v>
      </c>
      <c r="H1347" s="34" t="n">
        <v>140</v>
      </c>
      <c r="I1347" s="18" t="n">
        <v>0</v>
      </c>
      <c r="J1347" s="4" t="s">
        <v>112</v>
      </c>
      <c r="K1347" s="4" t="s">
        <v>68</v>
      </c>
      <c r="L1347" s="35" t="n">
        <f aca="false">G1347*H1347</f>
        <v>280</v>
      </c>
      <c r="M1347" s="35" t="n">
        <f aca="false">L1347*I1347</f>
        <v>0</v>
      </c>
      <c r="N1347" s="35" t="n">
        <f aca="false">L1347-M1347</f>
        <v>280</v>
      </c>
      <c r="O1347" s="4" t="n">
        <f aca="false">MONTH(B1347)</f>
        <v>10</v>
      </c>
      <c r="P1347" s="4" t="str">
        <f aca="false">CHOOSE(WEEKDAY(B1347,2),"Mon","Tue","Wed","Thu","Fri","Sat","Sun")</f>
        <v>Thu</v>
      </c>
      <c r="Q1347" s="4" t="str">
        <f aca="false">IF(WEEKDAY(B1347,2)&gt;5,"Weekend","Weekday")</f>
        <v>Weekday</v>
      </c>
      <c r="R1347" s="4" t="str">
        <f aca="false">IF(C1347&lt;11,"Morning (7-10)",IF(C1347&lt;14,"Lunch (11-13)",IF(C1347&lt;18,"Afternoon (14-17)","Evening (18-20)")))</f>
        <v>Lunch (11-13)</v>
      </c>
      <c r="S1347" s="4" t="str">
        <f aca="false">IF(AND(O1347&gt;=3,O1347&lt;=5),"Hot Dry (Mar-May)",IF(AND(O1347&gt;=6,O1347&lt;=11),"Rainy (Jun-Nov)","Cool Dry (Dec-Feb)"))</f>
        <v>Rainy (Jun-Nov)</v>
      </c>
      <c r="T1347" s="4" t="str">
        <f aca="false">CHOOSE(O1347,"Jan","Feb","Mar","Apr","May","Jun","Jul","Aug","Sep","Oct","Nov","Dec")</f>
        <v>Oct</v>
      </c>
    </row>
    <row r="1348" customFormat="false" ht="15" hidden="false" customHeight="false" outlineLevel="0" collapsed="false">
      <c r="A1348" s="4" t="s">
        <v>1707</v>
      </c>
      <c r="B1348" s="17" t="n">
        <v>45933</v>
      </c>
      <c r="C1348" s="4" t="n">
        <v>9</v>
      </c>
      <c r="D1348" s="4" t="s">
        <v>70</v>
      </c>
      <c r="E1348" s="4" t="s">
        <v>84</v>
      </c>
      <c r="F1348" s="4" t="s">
        <v>106</v>
      </c>
      <c r="G1348" s="4" t="n">
        <v>3</v>
      </c>
      <c r="H1348" s="34" t="n">
        <v>60</v>
      </c>
      <c r="I1348" s="18" t="n">
        <v>0</v>
      </c>
      <c r="J1348" s="4" t="s">
        <v>81</v>
      </c>
      <c r="K1348" s="4" t="s">
        <v>77</v>
      </c>
      <c r="L1348" s="35" t="n">
        <f aca="false">G1348*H1348</f>
        <v>180</v>
      </c>
      <c r="M1348" s="35" t="n">
        <f aca="false">L1348*I1348</f>
        <v>0</v>
      </c>
      <c r="N1348" s="35" t="n">
        <f aca="false">L1348-M1348</f>
        <v>180</v>
      </c>
      <c r="O1348" s="4" t="n">
        <f aca="false">MONTH(B1348)</f>
        <v>10</v>
      </c>
      <c r="P1348" s="4" t="str">
        <f aca="false">CHOOSE(WEEKDAY(B1348,2),"Mon","Tue","Wed","Thu","Fri","Sat","Sun")</f>
        <v>Fri</v>
      </c>
      <c r="Q1348" s="4" t="str">
        <f aca="false">IF(WEEKDAY(B1348,2)&gt;5,"Weekend","Weekday")</f>
        <v>Weekday</v>
      </c>
      <c r="R1348" s="4" t="str">
        <f aca="false">IF(C1348&lt;11,"Morning (7-10)",IF(C1348&lt;14,"Lunch (11-13)",IF(C1348&lt;18,"Afternoon (14-17)","Evening (18-20)")))</f>
        <v>Morning (7-10)</v>
      </c>
      <c r="S1348" s="4" t="str">
        <f aca="false">IF(AND(O1348&gt;=3,O1348&lt;=5),"Hot Dry (Mar-May)",IF(AND(O1348&gt;=6,O1348&lt;=11),"Rainy (Jun-Nov)","Cool Dry (Dec-Feb)"))</f>
        <v>Rainy (Jun-Nov)</v>
      </c>
      <c r="T1348" s="4" t="str">
        <f aca="false">CHOOSE(O1348,"Jan","Feb","Mar","Apr","May","Jun","Jul","Aug","Sep","Oct","Nov","Dec")</f>
        <v>Oct</v>
      </c>
    </row>
    <row r="1349" customFormat="false" ht="15" hidden="false" customHeight="false" outlineLevel="0" collapsed="false">
      <c r="A1349" s="4" t="s">
        <v>1708</v>
      </c>
      <c r="B1349" s="17" t="n">
        <v>45933</v>
      </c>
      <c r="C1349" s="4" t="n">
        <v>9</v>
      </c>
      <c r="D1349" s="4" t="s">
        <v>64</v>
      </c>
      <c r="E1349" s="4" t="s">
        <v>99</v>
      </c>
      <c r="F1349" s="4" t="s">
        <v>100</v>
      </c>
      <c r="G1349" s="4" t="n">
        <v>1</v>
      </c>
      <c r="H1349" s="34" t="n">
        <v>110</v>
      </c>
      <c r="I1349" s="18" t="n">
        <v>0</v>
      </c>
      <c r="J1349" s="4" t="s">
        <v>112</v>
      </c>
      <c r="K1349" s="4" t="s">
        <v>77</v>
      </c>
      <c r="L1349" s="35" t="n">
        <f aca="false">G1349*H1349</f>
        <v>110</v>
      </c>
      <c r="M1349" s="35" t="n">
        <f aca="false">L1349*I1349</f>
        <v>0</v>
      </c>
      <c r="N1349" s="35" t="n">
        <f aca="false">L1349-M1349</f>
        <v>110</v>
      </c>
      <c r="O1349" s="4" t="n">
        <f aca="false">MONTH(B1349)</f>
        <v>10</v>
      </c>
      <c r="P1349" s="4" t="str">
        <f aca="false">CHOOSE(WEEKDAY(B1349,2),"Mon","Tue","Wed","Thu","Fri","Sat","Sun")</f>
        <v>Fri</v>
      </c>
      <c r="Q1349" s="4" t="str">
        <f aca="false">IF(WEEKDAY(B1349,2)&gt;5,"Weekend","Weekday")</f>
        <v>Weekday</v>
      </c>
      <c r="R1349" s="4" t="str">
        <f aca="false">IF(C1349&lt;11,"Morning (7-10)",IF(C1349&lt;14,"Lunch (11-13)",IF(C1349&lt;18,"Afternoon (14-17)","Evening (18-20)")))</f>
        <v>Morning (7-10)</v>
      </c>
      <c r="S1349" s="4" t="str">
        <f aca="false">IF(AND(O1349&gt;=3,O1349&lt;=5),"Hot Dry (Mar-May)",IF(AND(O1349&gt;=6,O1349&lt;=11),"Rainy (Jun-Nov)","Cool Dry (Dec-Feb)"))</f>
        <v>Rainy (Jun-Nov)</v>
      </c>
      <c r="T1349" s="4" t="str">
        <f aca="false">CHOOSE(O1349,"Jan","Feb","Mar","Apr","May","Jun","Jul","Aug","Sep","Oct","Nov","Dec")</f>
        <v>Oct</v>
      </c>
    </row>
    <row r="1350" customFormat="false" ht="15" hidden="false" customHeight="false" outlineLevel="0" collapsed="false">
      <c r="A1350" s="4" t="s">
        <v>1710</v>
      </c>
      <c r="B1350" s="17" t="n">
        <v>45933</v>
      </c>
      <c r="C1350" s="4" t="n">
        <v>10</v>
      </c>
      <c r="D1350" s="4" t="s">
        <v>64</v>
      </c>
      <c r="E1350" s="4" t="s">
        <v>65</v>
      </c>
      <c r="F1350" s="4" t="s">
        <v>87</v>
      </c>
      <c r="G1350" s="4" t="n">
        <v>1</v>
      </c>
      <c r="H1350" s="34" t="n">
        <v>160</v>
      </c>
      <c r="I1350" s="18" t="n">
        <v>0</v>
      </c>
      <c r="J1350" s="4" t="s">
        <v>81</v>
      </c>
      <c r="K1350" s="4" t="s">
        <v>77</v>
      </c>
      <c r="L1350" s="35" t="n">
        <f aca="false">G1350*H1350</f>
        <v>160</v>
      </c>
      <c r="M1350" s="35" t="n">
        <f aca="false">L1350*I1350</f>
        <v>0</v>
      </c>
      <c r="N1350" s="35" t="n">
        <f aca="false">L1350-M1350</f>
        <v>160</v>
      </c>
      <c r="O1350" s="4" t="n">
        <f aca="false">MONTH(B1350)</f>
        <v>10</v>
      </c>
      <c r="P1350" s="4" t="str">
        <f aca="false">CHOOSE(WEEKDAY(B1350,2),"Mon","Tue","Wed","Thu","Fri","Sat","Sun")</f>
        <v>Fri</v>
      </c>
      <c r="Q1350" s="4" t="str">
        <f aca="false">IF(WEEKDAY(B1350,2)&gt;5,"Weekend","Weekday")</f>
        <v>Weekday</v>
      </c>
      <c r="R1350" s="4" t="str">
        <f aca="false">IF(C1350&lt;11,"Morning (7-10)",IF(C1350&lt;14,"Lunch (11-13)",IF(C1350&lt;18,"Afternoon (14-17)","Evening (18-20)")))</f>
        <v>Morning (7-10)</v>
      </c>
      <c r="S1350" s="4" t="str">
        <f aca="false">IF(AND(O1350&gt;=3,O1350&lt;=5),"Hot Dry (Mar-May)",IF(AND(O1350&gt;=6,O1350&lt;=11),"Rainy (Jun-Nov)","Cool Dry (Dec-Feb)"))</f>
        <v>Rainy (Jun-Nov)</v>
      </c>
      <c r="T1350" s="4" t="str">
        <f aca="false">CHOOSE(O1350,"Jan","Feb","Mar","Apr","May","Jun","Jul","Aug","Sep","Oct","Nov","Dec")</f>
        <v>Oct</v>
      </c>
    </row>
    <row r="1351" customFormat="false" ht="15" hidden="false" customHeight="false" outlineLevel="0" collapsed="false">
      <c r="A1351" s="4" t="s">
        <v>1711</v>
      </c>
      <c r="B1351" s="17" t="n">
        <v>45933</v>
      </c>
      <c r="C1351" s="4" t="n">
        <v>11</v>
      </c>
      <c r="D1351" s="4" t="s">
        <v>73</v>
      </c>
      <c r="E1351" s="4" t="s">
        <v>79</v>
      </c>
      <c r="F1351" s="4" t="s">
        <v>148</v>
      </c>
      <c r="G1351" s="4" t="n">
        <v>3</v>
      </c>
      <c r="H1351" s="34" t="n">
        <v>120</v>
      </c>
      <c r="I1351" s="18" t="n">
        <v>0.1</v>
      </c>
      <c r="J1351" s="4" t="s">
        <v>76</v>
      </c>
      <c r="K1351" s="4" t="s">
        <v>71</v>
      </c>
      <c r="L1351" s="35" t="n">
        <f aca="false">G1351*H1351</f>
        <v>360</v>
      </c>
      <c r="M1351" s="35" t="n">
        <f aca="false">L1351*I1351</f>
        <v>36</v>
      </c>
      <c r="N1351" s="35" t="n">
        <f aca="false">L1351-M1351</f>
        <v>324</v>
      </c>
      <c r="O1351" s="4" t="n">
        <f aca="false">MONTH(B1351)</f>
        <v>10</v>
      </c>
      <c r="P1351" s="4" t="str">
        <f aca="false">CHOOSE(WEEKDAY(B1351,2),"Mon","Tue","Wed","Thu","Fri","Sat","Sun")</f>
        <v>Fri</v>
      </c>
      <c r="Q1351" s="4" t="str">
        <f aca="false">IF(WEEKDAY(B1351,2)&gt;5,"Weekend","Weekday")</f>
        <v>Weekday</v>
      </c>
      <c r="R1351" s="4" t="str">
        <f aca="false">IF(C1351&lt;11,"Morning (7-10)",IF(C1351&lt;14,"Lunch (11-13)",IF(C1351&lt;18,"Afternoon (14-17)","Evening (18-20)")))</f>
        <v>Lunch (11-13)</v>
      </c>
      <c r="S1351" s="4" t="str">
        <f aca="false">IF(AND(O1351&gt;=3,O1351&lt;=5),"Hot Dry (Mar-May)",IF(AND(O1351&gt;=6,O1351&lt;=11),"Rainy (Jun-Nov)","Cool Dry (Dec-Feb)"))</f>
        <v>Rainy (Jun-Nov)</v>
      </c>
      <c r="T1351" s="4" t="str">
        <f aca="false">CHOOSE(O1351,"Jan","Feb","Mar","Apr","May","Jun","Jul","Aug","Sep","Oct","Nov","Dec")</f>
        <v>Oct</v>
      </c>
    </row>
    <row r="1352" customFormat="false" ht="15" hidden="false" customHeight="false" outlineLevel="0" collapsed="false">
      <c r="A1352" s="4" t="s">
        <v>1712</v>
      </c>
      <c r="B1352" s="17" t="n">
        <v>45933</v>
      </c>
      <c r="C1352" s="4" t="n">
        <v>17</v>
      </c>
      <c r="D1352" s="4" t="s">
        <v>70</v>
      </c>
      <c r="E1352" s="4" t="s">
        <v>65</v>
      </c>
      <c r="F1352" s="4" t="s">
        <v>94</v>
      </c>
      <c r="G1352" s="4" t="n">
        <v>2</v>
      </c>
      <c r="H1352" s="34" t="n">
        <v>150</v>
      </c>
      <c r="I1352" s="18" t="n">
        <v>0.15</v>
      </c>
      <c r="J1352" s="4" t="s">
        <v>67</v>
      </c>
      <c r="K1352" s="4" t="s">
        <v>82</v>
      </c>
      <c r="L1352" s="35" t="n">
        <f aca="false">G1352*H1352</f>
        <v>300</v>
      </c>
      <c r="M1352" s="35" t="n">
        <f aca="false">L1352*I1352</f>
        <v>45</v>
      </c>
      <c r="N1352" s="35" t="n">
        <f aca="false">L1352-M1352</f>
        <v>255</v>
      </c>
      <c r="O1352" s="4" t="n">
        <f aca="false">MONTH(B1352)</f>
        <v>10</v>
      </c>
      <c r="P1352" s="4" t="str">
        <f aca="false">CHOOSE(WEEKDAY(B1352,2),"Mon","Tue","Wed","Thu","Fri","Sat","Sun")</f>
        <v>Fri</v>
      </c>
      <c r="Q1352" s="4" t="str">
        <f aca="false">IF(WEEKDAY(B1352,2)&gt;5,"Weekend","Weekday")</f>
        <v>Weekday</v>
      </c>
      <c r="R1352" s="4" t="str">
        <f aca="false">IF(C1352&lt;11,"Morning (7-10)",IF(C1352&lt;14,"Lunch (11-13)",IF(C1352&lt;18,"Afternoon (14-17)","Evening (18-20)")))</f>
        <v>Afternoon (14-17)</v>
      </c>
      <c r="S1352" s="4" t="str">
        <f aca="false">IF(AND(O1352&gt;=3,O1352&lt;=5),"Hot Dry (Mar-May)",IF(AND(O1352&gt;=6,O1352&lt;=11),"Rainy (Jun-Nov)","Cool Dry (Dec-Feb)"))</f>
        <v>Rainy (Jun-Nov)</v>
      </c>
      <c r="T1352" s="4" t="str">
        <f aca="false">CHOOSE(O1352,"Jan","Feb","Mar","Apr","May","Jun","Jul","Aug","Sep","Oct","Nov","Dec")</f>
        <v>Oct</v>
      </c>
    </row>
    <row r="1353" customFormat="false" ht="15" hidden="false" customHeight="false" outlineLevel="0" collapsed="false">
      <c r="A1353" s="4" t="s">
        <v>1713</v>
      </c>
      <c r="B1353" s="17" t="n">
        <v>45934</v>
      </c>
      <c r="C1353" s="4" t="n">
        <v>8</v>
      </c>
      <c r="D1353" s="4" t="s">
        <v>70</v>
      </c>
      <c r="E1353" s="4" t="s">
        <v>99</v>
      </c>
      <c r="F1353" s="4" t="s">
        <v>102</v>
      </c>
      <c r="G1353" s="4" t="n">
        <v>1</v>
      </c>
      <c r="H1353" s="34" t="n">
        <v>140</v>
      </c>
      <c r="I1353" s="18" t="n">
        <v>0.05</v>
      </c>
      <c r="J1353" s="4" t="s">
        <v>81</v>
      </c>
      <c r="K1353" s="4" t="s">
        <v>82</v>
      </c>
      <c r="L1353" s="35" t="n">
        <f aca="false">G1353*H1353</f>
        <v>140</v>
      </c>
      <c r="M1353" s="35" t="n">
        <f aca="false">L1353*I1353</f>
        <v>7</v>
      </c>
      <c r="N1353" s="35" t="n">
        <f aca="false">L1353-M1353</f>
        <v>133</v>
      </c>
      <c r="O1353" s="4" t="n">
        <f aca="false">MONTH(B1353)</f>
        <v>10</v>
      </c>
      <c r="P1353" s="4" t="str">
        <f aca="false">CHOOSE(WEEKDAY(B1353,2),"Mon","Tue","Wed","Thu","Fri","Sat","Sun")</f>
        <v>Sat</v>
      </c>
      <c r="Q1353" s="4" t="str">
        <f aca="false">IF(WEEKDAY(B1353,2)&gt;5,"Weekend","Weekday")</f>
        <v>Weekend</v>
      </c>
      <c r="R1353" s="4" t="str">
        <f aca="false">IF(C1353&lt;11,"Morning (7-10)",IF(C1353&lt;14,"Lunch (11-13)",IF(C1353&lt;18,"Afternoon (14-17)","Evening (18-20)")))</f>
        <v>Morning (7-10)</v>
      </c>
      <c r="S1353" s="4" t="str">
        <f aca="false">IF(AND(O1353&gt;=3,O1353&lt;=5),"Hot Dry (Mar-May)",IF(AND(O1353&gt;=6,O1353&lt;=11),"Rainy (Jun-Nov)","Cool Dry (Dec-Feb)"))</f>
        <v>Rainy (Jun-Nov)</v>
      </c>
      <c r="T1353" s="4" t="str">
        <f aca="false">CHOOSE(O1353,"Jan","Feb","Mar","Apr","May","Jun","Jul","Aug","Sep","Oct","Nov","Dec")</f>
        <v>Oct</v>
      </c>
    </row>
    <row r="1354" customFormat="false" ht="15" hidden="false" customHeight="false" outlineLevel="0" collapsed="false">
      <c r="A1354" s="4" t="s">
        <v>1714</v>
      </c>
      <c r="B1354" s="17" t="n">
        <v>45934</v>
      </c>
      <c r="C1354" s="4" t="n">
        <v>9</v>
      </c>
      <c r="D1354" s="4" t="s">
        <v>64</v>
      </c>
      <c r="E1354" s="4" t="s">
        <v>74</v>
      </c>
      <c r="F1354" s="4" t="s">
        <v>91</v>
      </c>
      <c r="G1354" s="4" t="n">
        <v>1</v>
      </c>
      <c r="H1354" s="34" t="n">
        <v>200</v>
      </c>
      <c r="I1354" s="18" t="n">
        <v>0.1</v>
      </c>
      <c r="J1354" s="4" t="s">
        <v>76</v>
      </c>
      <c r="K1354" s="4" t="s">
        <v>71</v>
      </c>
      <c r="L1354" s="35" t="n">
        <f aca="false">G1354*H1354</f>
        <v>200</v>
      </c>
      <c r="M1354" s="35" t="n">
        <f aca="false">L1354*I1354</f>
        <v>20</v>
      </c>
      <c r="N1354" s="35" t="n">
        <f aca="false">L1354-M1354</f>
        <v>180</v>
      </c>
      <c r="O1354" s="4" t="n">
        <f aca="false">MONTH(B1354)</f>
        <v>10</v>
      </c>
      <c r="P1354" s="4" t="str">
        <f aca="false">CHOOSE(WEEKDAY(B1354,2),"Mon","Tue","Wed","Thu","Fri","Sat","Sun")</f>
        <v>Sat</v>
      </c>
      <c r="Q1354" s="4" t="str">
        <f aca="false">IF(WEEKDAY(B1354,2)&gt;5,"Weekend","Weekday")</f>
        <v>Weekend</v>
      </c>
      <c r="R1354" s="4" t="str">
        <f aca="false">IF(C1354&lt;11,"Morning (7-10)",IF(C1354&lt;14,"Lunch (11-13)",IF(C1354&lt;18,"Afternoon (14-17)","Evening (18-20)")))</f>
        <v>Morning (7-10)</v>
      </c>
      <c r="S1354" s="4" t="str">
        <f aca="false">IF(AND(O1354&gt;=3,O1354&lt;=5),"Hot Dry (Mar-May)",IF(AND(O1354&gt;=6,O1354&lt;=11),"Rainy (Jun-Nov)","Cool Dry (Dec-Feb)"))</f>
        <v>Rainy (Jun-Nov)</v>
      </c>
      <c r="T1354" s="4" t="str">
        <f aca="false">CHOOSE(O1354,"Jan","Feb","Mar","Apr","May","Jun","Jul","Aug","Sep","Oct","Nov","Dec")</f>
        <v>Oct</v>
      </c>
    </row>
    <row r="1355" customFormat="false" ht="15" hidden="false" customHeight="false" outlineLevel="0" collapsed="false">
      <c r="A1355" s="4" t="s">
        <v>1715</v>
      </c>
      <c r="B1355" s="17" t="n">
        <v>45934</v>
      </c>
      <c r="C1355" s="4" t="n">
        <v>10</v>
      </c>
      <c r="D1355" s="4" t="s">
        <v>70</v>
      </c>
      <c r="E1355" s="4" t="s">
        <v>74</v>
      </c>
      <c r="F1355" s="4" t="s">
        <v>139</v>
      </c>
      <c r="G1355" s="4" t="n">
        <v>1</v>
      </c>
      <c r="H1355" s="34" t="n">
        <v>260</v>
      </c>
      <c r="I1355" s="18" t="n">
        <v>0</v>
      </c>
      <c r="J1355" s="4" t="s">
        <v>67</v>
      </c>
      <c r="K1355" s="4" t="s">
        <v>77</v>
      </c>
      <c r="L1355" s="35" t="n">
        <f aca="false">G1355*H1355</f>
        <v>260</v>
      </c>
      <c r="M1355" s="35" t="n">
        <f aca="false">L1355*I1355</f>
        <v>0</v>
      </c>
      <c r="N1355" s="35" t="n">
        <f aca="false">L1355-M1355</f>
        <v>260</v>
      </c>
      <c r="O1355" s="4" t="n">
        <f aca="false">MONTH(B1355)</f>
        <v>10</v>
      </c>
      <c r="P1355" s="4" t="str">
        <f aca="false">CHOOSE(WEEKDAY(B1355,2),"Mon","Tue","Wed","Thu","Fri","Sat","Sun")</f>
        <v>Sat</v>
      </c>
      <c r="Q1355" s="4" t="str">
        <f aca="false">IF(WEEKDAY(B1355,2)&gt;5,"Weekend","Weekday")</f>
        <v>Weekend</v>
      </c>
      <c r="R1355" s="4" t="str">
        <f aca="false">IF(C1355&lt;11,"Morning (7-10)",IF(C1355&lt;14,"Lunch (11-13)",IF(C1355&lt;18,"Afternoon (14-17)","Evening (18-20)")))</f>
        <v>Morning (7-10)</v>
      </c>
      <c r="S1355" s="4" t="str">
        <f aca="false">IF(AND(O1355&gt;=3,O1355&lt;=5),"Hot Dry (Mar-May)",IF(AND(O1355&gt;=6,O1355&lt;=11),"Rainy (Jun-Nov)","Cool Dry (Dec-Feb)"))</f>
        <v>Rainy (Jun-Nov)</v>
      </c>
      <c r="T1355" s="4" t="str">
        <f aca="false">CHOOSE(O1355,"Jan","Feb","Mar","Apr","May","Jun","Jul","Aug","Sep","Oct","Nov","Dec")</f>
        <v>Oct</v>
      </c>
    </row>
    <row r="1356" customFormat="false" ht="15" hidden="false" customHeight="false" outlineLevel="0" collapsed="false">
      <c r="A1356" s="4" t="s">
        <v>1716</v>
      </c>
      <c r="B1356" s="17" t="n">
        <v>45934</v>
      </c>
      <c r="C1356" s="4" t="n">
        <v>15</v>
      </c>
      <c r="D1356" s="4" t="s">
        <v>64</v>
      </c>
      <c r="E1356" s="4" t="s">
        <v>99</v>
      </c>
      <c r="F1356" s="4" t="s">
        <v>133</v>
      </c>
      <c r="G1356" s="4" t="n">
        <v>1</v>
      </c>
      <c r="H1356" s="34" t="n">
        <v>90</v>
      </c>
      <c r="I1356" s="18" t="n">
        <v>0</v>
      </c>
      <c r="J1356" s="4" t="s">
        <v>76</v>
      </c>
      <c r="K1356" s="4" t="s">
        <v>68</v>
      </c>
      <c r="L1356" s="35" t="n">
        <f aca="false">G1356*H1356</f>
        <v>90</v>
      </c>
      <c r="M1356" s="35" t="n">
        <f aca="false">L1356*I1356</f>
        <v>0</v>
      </c>
      <c r="N1356" s="35" t="n">
        <f aca="false">L1356-M1356</f>
        <v>90</v>
      </c>
      <c r="O1356" s="4" t="n">
        <f aca="false">MONTH(B1356)</f>
        <v>10</v>
      </c>
      <c r="P1356" s="4" t="str">
        <f aca="false">CHOOSE(WEEKDAY(B1356,2),"Mon","Tue","Wed","Thu","Fri","Sat","Sun")</f>
        <v>Sat</v>
      </c>
      <c r="Q1356" s="4" t="str">
        <f aca="false">IF(WEEKDAY(B1356,2)&gt;5,"Weekend","Weekday")</f>
        <v>Weekend</v>
      </c>
      <c r="R1356" s="4" t="str">
        <f aca="false">IF(C1356&lt;11,"Morning (7-10)",IF(C1356&lt;14,"Lunch (11-13)",IF(C1356&lt;18,"Afternoon (14-17)","Evening (18-20)")))</f>
        <v>Afternoon (14-17)</v>
      </c>
      <c r="S1356" s="4" t="str">
        <f aca="false">IF(AND(O1356&gt;=3,O1356&lt;=5),"Hot Dry (Mar-May)",IF(AND(O1356&gt;=6,O1356&lt;=11),"Rainy (Jun-Nov)","Cool Dry (Dec-Feb)"))</f>
        <v>Rainy (Jun-Nov)</v>
      </c>
      <c r="T1356" s="4" t="str">
        <f aca="false">CHOOSE(O1356,"Jan","Feb","Mar","Apr","May","Jun","Jul","Aug","Sep","Oct","Nov","Dec")</f>
        <v>Oct</v>
      </c>
    </row>
    <row r="1357" customFormat="false" ht="15" hidden="false" customHeight="false" outlineLevel="0" collapsed="false">
      <c r="A1357" s="4" t="s">
        <v>1717</v>
      </c>
      <c r="B1357" s="17" t="n">
        <v>45935</v>
      </c>
      <c r="C1357" s="4" t="n">
        <v>9</v>
      </c>
      <c r="D1357" s="4" t="s">
        <v>70</v>
      </c>
      <c r="E1357" s="4" t="s">
        <v>84</v>
      </c>
      <c r="F1357" s="4" t="s">
        <v>117</v>
      </c>
      <c r="G1357" s="4" t="n">
        <v>2</v>
      </c>
      <c r="H1357" s="34" t="n">
        <v>95</v>
      </c>
      <c r="I1357" s="18" t="n">
        <v>0</v>
      </c>
      <c r="J1357" s="4" t="s">
        <v>67</v>
      </c>
      <c r="K1357" s="4" t="s">
        <v>68</v>
      </c>
      <c r="L1357" s="35" t="n">
        <f aca="false">G1357*H1357</f>
        <v>190</v>
      </c>
      <c r="M1357" s="35" t="n">
        <f aca="false">L1357*I1357</f>
        <v>0</v>
      </c>
      <c r="N1357" s="35" t="n">
        <f aca="false">L1357-M1357</f>
        <v>190</v>
      </c>
      <c r="O1357" s="4" t="n">
        <f aca="false">MONTH(B1357)</f>
        <v>10</v>
      </c>
      <c r="P1357" s="4" t="str">
        <f aca="false">CHOOSE(WEEKDAY(B1357,2),"Mon","Tue","Wed","Thu","Fri","Sat","Sun")</f>
        <v>Sun</v>
      </c>
      <c r="Q1357" s="4" t="str">
        <f aca="false">IF(WEEKDAY(B1357,2)&gt;5,"Weekend","Weekday")</f>
        <v>Weekend</v>
      </c>
      <c r="R1357" s="4" t="str">
        <f aca="false">IF(C1357&lt;11,"Morning (7-10)",IF(C1357&lt;14,"Lunch (11-13)",IF(C1357&lt;18,"Afternoon (14-17)","Evening (18-20)")))</f>
        <v>Morning (7-10)</v>
      </c>
      <c r="S1357" s="4" t="str">
        <f aca="false">IF(AND(O1357&gt;=3,O1357&lt;=5),"Hot Dry (Mar-May)",IF(AND(O1357&gt;=6,O1357&lt;=11),"Rainy (Jun-Nov)","Cool Dry (Dec-Feb)"))</f>
        <v>Rainy (Jun-Nov)</v>
      </c>
      <c r="T1357" s="4" t="str">
        <f aca="false">CHOOSE(O1357,"Jan","Feb","Mar","Apr","May","Jun","Jul","Aug","Sep","Oct","Nov","Dec")</f>
        <v>Oct</v>
      </c>
    </row>
    <row r="1358" customFormat="false" ht="15" hidden="false" customHeight="false" outlineLevel="0" collapsed="false">
      <c r="A1358" s="4" t="s">
        <v>1718</v>
      </c>
      <c r="B1358" s="17" t="n">
        <v>45935</v>
      </c>
      <c r="C1358" s="4" t="n">
        <v>11</v>
      </c>
      <c r="D1358" s="4" t="s">
        <v>98</v>
      </c>
      <c r="E1358" s="4" t="s">
        <v>79</v>
      </c>
      <c r="F1358" s="4" t="s">
        <v>148</v>
      </c>
      <c r="G1358" s="4" t="n">
        <v>2</v>
      </c>
      <c r="H1358" s="34" t="n">
        <v>120</v>
      </c>
      <c r="I1358" s="18" t="n">
        <v>0.05</v>
      </c>
      <c r="J1358" s="4" t="s">
        <v>88</v>
      </c>
      <c r="K1358" s="4" t="s">
        <v>82</v>
      </c>
      <c r="L1358" s="35" t="n">
        <f aca="false">G1358*H1358</f>
        <v>240</v>
      </c>
      <c r="M1358" s="35" t="n">
        <f aca="false">L1358*I1358</f>
        <v>12</v>
      </c>
      <c r="N1358" s="35" t="n">
        <f aca="false">L1358-M1358</f>
        <v>228</v>
      </c>
      <c r="O1358" s="4" t="n">
        <f aca="false">MONTH(B1358)</f>
        <v>10</v>
      </c>
      <c r="P1358" s="4" t="str">
        <f aca="false">CHOOSE(WEEKDAY(B1358,2),"Mon","Tue","Wed","Thu","Fri","Sat","Sun")</f>
        <v>Sun</v>
      </c>
      <c r="Q1358" s="4" t="str">
        <f aca="false">IF(WEEKDAY(B1358,2)&gt;5,"Weekend","Weekday")</f>
        <v>Weekend</v>
      </c>
      <c r="R1358" s="4" t="str">
        <f aca="false">IF(C1358&lt;11,"Morning (7-10)",IF(C1358&lt;14,"Lunch (11-13)",IF(C1358&lt;18,"Afternoon (14-17)","Evening (18-20)")))</f>
        <v>Lunch (11-13)</v>
      </c>
      <c r="S1358" s="4" t="str">
        <f aca="false">IF(AND(O1358&gt;=3,O1358&lt;=5),"Hot Dry (Mar-May)",IF(AND(O1358&gt;=6,O1358&lt;=11),"Rainy (Jun-Nov)","Cool Dry (Dec-Feb)"))</f>
        <v>Rainy (Jun-Nov)</v>
      </c>
      <c r="T1358" s="4" t="str">
        <f aca="false">CHOOSE(O1358,"Jan","Feb","Mar","Apr","May","Jun","Jul","Aug","Sep","Oct","Nov","Dec")</f>
        <v>Oct</v>
      </c>
    </row>
    <row r="1359" customFormat="false" ht="15" hidden="false" customHeight="false" outlineLevel="0" collapsed="false">
      <c r="A1359" s="4" t="s">
        <v>1720</v>
      </c>
      <c r="B1359" s="17" t="n">
        <v>45935</v>
      </c>
      <c r="C1359" s="4" t="n">
        <v>15</v>
      </c>
      <c r="D1359" s="4" t="s">
        <v>98</v>
      </c>
      <c r="E1359" s="4" t="s">
        <v>79</v>
      </c>
      <c r="F1359" s="4" t="s">
        <v>148</v>
      </c>
      <c r="G1359" s="4" t="n">
        <v>2</v>
      </c>
      <c r="H1359" s="34" t="n">
        <v>120</v>
      </c>
      <c r="I1359" s="18" t="n">
        <v>0.05</v>
      </c>
      <c r="J1359" s="4" t="s">
        <v>81</v>
      </c>
      <c r="K1359" s="4" t="s">
        <v>82</v>
      </c>
      <c r="L1359" s="35" t="n">
        <f aca="false">G1359*H1359</f>
        <v>240</v>
      </c>
      <c r="M1359" s="35" t="n">
        <f aca="false">L1359*I1359</f>
        <v>12</v>
      </c>
      <c r="N1359" s="35" t="n">
        <f aca="false">L1359-M1359</f>
        <v>228</v>
      </c>
      <c r="O1359" s="4" t="n">
        <f aca="false">MONTH(B1359)</f>
        <v>10</v>
      </c>
      <c r="P1359" s="4" t="str">
        <f aca="false">CHOOSE(WEEKDAY(B1359,2),"Mon","Tue","Wed","Thu","Fri","Sat","Sun")</f>
        <v>Sun</v>
      </c>
      <c r="Q1359" s="4" t="str">
        <f aca="false">IF(WEEKDAY(B1359,2)&gt;5,"Weekend","Weekday")</f>
        <v>Weekend</v>
      </c>
      <c r="R1359" s="4" t="str">
        <f aca="false">IF(C1359&lt;11,"Morning (7-10)",IF(C1359&lt;14,"Lunch (11-13)",IF(C1359&lt;18,"Afternoon (14-17)","Evening (18-20)")))</f>
        <v>Afternoon (14-17)</v>
      </c>
      <c r="S1359" s="4" t="str">
        <f aca="false">IF(AND(O1359&gt;=3,O1359&lt;=5),"Hot Dry (Mar-May)",IF(AND(O1359&gt;=6,O1359&lt;=11),"Rainy (Jun-Nov)","Cool Dry (Dec-Feb)"))</f>
        <v>Rainy (Jun-Nov)</v>
      </c>
      <c r="T1359" s="4" t="str">
        <f aca="false">CHOOSE(O1359,"Jan","Feb","Mar","Apr","May","Jun","Jul","Aug","Sep","Oct","Nov","Dec")</f>
        <v>Oct</v>
      </c>
    </row>
    <row r="1360" customFormat="false" ht="15" hidden="false" customHeight="false" outlineLevel="0" collapsed="false">
      <c r="A1360" s="4" t="s">
        <v>1721</v>
      </c>
      <c r="B1360" s="17" t="n">
        <v>45936</v>
      </c>
      <c r="C1360" s="4" t="n">
        <v>11</v>
      </c>
      <c r="D1360" s="4" t="s">
        <v>73</v>
      </c>
      <c r="E1360" s="4" t="s">
        <v>79</v>
      </c>
      <c r="F1360" s="4" t="s">
        <v>80</v>
      </c>
      <c r="G1360" s="4" t="n">
        <v>1</v>
      </c>
      <c r="H1360" s="34" t="n">
        <v>160</v>
      </c>
      <c r="I1360" s="18" t="n">
        <v>0.1</v>
      </c>
      <c r="J1360" s="4" t="s">
        <v>67</v>
      </c>
      <c r="K1360" s="4" t="s">
        <v>71</v>
      </c>
      <c r="L1360" s="35" t="n">
        <f aca="false">G1360*H1360</f>
        <v>160</v>
      </c>
      <c r="M1360" s="35" t="n">
        <f aca="false">L1360*I1360</f>
        <v>16</v>
      </c>
      <c r="N1360" s="35" t="n">
        <f aca="false">L1360-M1360</f>
        <v>144</v>
      </c>
      <c r="O1360" s="4" t="n">
        <f aca="false">MONTH(B1360)</f>
        <v>10</v>
      </c>
      <c r="P1360" s="4" t="str">
        <f aca="false">CHOOSE(WEEKDAY(B1360,2),"Mon","Tue","Wed","Thu","Fri","Sat","Sun")</f>
        <v>Mon</v>
      </c>
      <c r="Q1360" s="4" t="str">
        <f aca="false">IF(WEEKDAY(B1360,2)&gt;5,"Weekend","Weekday")</f>
        <v>Weekday</v>
      </c>
      <c r="R1360" s="4" t="str">
        <f aca="false">IF(C1360&lt;11,"Morning (7-10)",IF(C1360&lt;14,"Lunch (11-13)",IF(C1360&lt;18,"Afternoon (14-17)","Evening (18-20)")))</f>
        <v>Lunch (11-13)</v>
      </c>
      <c r="S1360" s="4" t="str">
        <f aca="false">IF(AND(O1360&gt;=3,O1360&lt;=5),"Hot Dry (Mar-May)",IF(AND(O1360&gt;=6,O1360&lt;=11),"Rainy (Jun-Nov)","Cool Dry (Dec-Feb)"))</f>
        <v>Rainy (Jun-Nov)</v>
      </c>
      <c r="T1360" s="4" t="str">
        <f aca="false">CHOOSE(O1360,"Jan","Feb","Mar","Apr","May","Jun","Jul","Aug","Sep","Oct","Nov","Dec")</f>
        <v>Oct</v>
      </c>
    </row>
    <row r="1361" customFormat="false" ht="15" hidden="false" customHeight="false" outlineLevel="0" collapsed="false">
      <c r="A1361" s="4" t="s">
        <v>1722</v>
      </c>
      <c r="B1361" s="17" t="n">
        <v>45936</v>
      </c>
      <c r="C1361" s="4" t="n">
        <v>12</v>
      </c>
      <c r="D1361" s="4" t="s">
        <v>64</v>
      </c>
      <c r="E1361" s="4" t="s">
        <v>65</v>
      </c>
      <c r="F1361" s="4" t="s">
        <v>94</v>
      </c>
      <c r="G1361" s="4" t="n">
        <v>1</v>
      </c>
      <c r="H1361" s="34" t="n">
        <v>150</v>
      </c>
      <c r="I1361" s="18" t="n">
        <v>0</v>
      </c>
      <c r="J1361" s="4" t="s">
        <v>81</v>
      </c>
      <c r="K1361" s="4" t="s">
        <v>68</v>
      </c>
      <c r="L1361" s="35" t="n">
        <f aca="false">G1361*H1361</f>
        <v>150</v>
      </c>
      <c r="M1361" s="35" t="n">
        <f aca="false">L1361*I1361</f>
        <v>0</v>
      </c>
      <c r="N1361" s="35" t="n">
        <f aca="false">L1361-M1361</f>
        <v>150</v>
      </c>
      <c r="O1361" s="4" t="n">
        <f aca="false">MONTH(B1361)</f>
        <v>10</v>
      </c>
      <c r="P1361" s="4" t="str">
        <f aca="false">CHOOSE(WEEKDAY(B1361,2),"Mon","Tue","Wed","Thu","Fri","Sat","Sun")</f>
        <v>Mon</v>
      </c>
      <c r="Q1361" s="4" t="str">
        <f aca="false">IF(WEEKDAY(B1361,2)&gt;5,"Weekend","Weekday")</f>
        <v>Weekday</v>
      </c>
      <c r="R1361" s="4" t="str">
        <f aca="false">IF(C1361&lt;11,"Morning (7-10)",IF(C1361&lt;14,"Lunch (11-13)",IF(C1361&lt;18,"Afternoon (14-17)","Evening (18-20)")))</f>
        <v>Lunch (11-13)</v>
      </c>
      <c r="S1361" s="4" t="str">
        <f aca="false">IF(AND(O1361&gt;=3,O1361&lt;=5),"Hot Dry (Mar-May)",IF(AND(O1361&gt;=6,O1361&lt;=11),"Rainy (Jun-Nov)","Cool Dry (Dec-Feb)"))</f>
        <v>Rainy (Jun-Nov)</v>
      </c>
      <c r="T1361" s="4" t="str">
        <f aca="false">CHOOSE(O1361,"Jan","Feb","Mar","Apr","May","Jun","Jul","Aug","Sep","Oct","Nov","Dec")</f>
        <v>Oct</v>
      </c>
    </row>
    <row r="1362" customFormat="false" ht="15" hidden="false" customHeight="false" outlineLevel="0" collapsed="false">
      <c r="A1362" s="4" t="s">
        <v>1723</v>
      </c>
      <c r="B1362" s="17" t="n">
        <v>45936</v>
      </c>
      <c r="C1362" s="4" t="n">
        <v>13</v>
      </c>
      <c r="D1362" s="4" t="s">
        <v>73</v>
      </c>
      <c r="E1362" s="4" t="s">
        <v>99</v>
      </c>
      <c r="F1362" s="4" t="s">
        <v>109</v>
      </c>
      <c r="G1362" s="4" t="n">
        <v>2</v>
      </c>
      <c r="H1362" s="34" t="n">
        <v>130</v>
      </c>
      <c r="I1362" s="18" t="n">
        <v>0.1</v>
      </c>
      <c r="J1362" s="4" t="s">
        <v>81</v>
      </c>
      <c r="K1362" s="4" t="s">
        <v>71</v>
      </c>
      <c r="L1362" s="35" t="n">
        <f aca="false">G1362*H1362</f>
        <v>260</v>
      </c>
      <c r="M1362" s="35" t="n">
        <f aca="false">L1362*I1362</f>
        <v>26</v>
      </c>
      <c r="N1362" s="35" t="n">
        <f aca="false">L1362-M1362</f>
        <v>234</v>
      </c>
      <c r="O1362" s="4" t="n">
        <f aca="false">MONTH(B1362)</f>
        <v>10</v>
      </c>
      <c r="P1362" s="4" t="str">
        <f aca="false">CHOOSE(WEEKDAY(B1362,2),"Mon","Tue","Wed","Thu","Fri","Sat","Sun")</f>
        <v>Mon</v>
      </c>
      <c r="Q1362" s="4" t="str">
        <f aca="false">IF(WEEKDAY(B1362,2)&gt;5,"Weekend","Weekday")</f>
        <v>Weekday</v>
      </c>
      <c r="R1362" s="4" t="str">
        <f aca="false">IF(C1362&lt;11,"Morning (7-10)",IF(C1362&lt;14,"Lunch (11-13)",IF(C1362&lt;18,"Afternoon (14-17)","Evening (18-20)")))</f>
        <v>Lunch (11-13)</v>
      </c>
      <c r="S1362" s="4" t="str">
        <f aca="false">IF(AND(O1362&gt;=3,O1362&lt;=5),"Hot Dry (Mar-May)",IF(AND(O1362&gt;=6,O1362&lt;=11),"Rainy (Jun-Nov)","Cool Dry (Dec-Feb)"))</f>
        <v>Rainy (Jun-Nov)</v>
      </c>
      <c r="T1362" s="4" t="str">
        <f aca="false">CHOOSE(O1362,"Jan","Feb","Mar","Apr","May","Jun","Jul","Aug","Sep","Oct","Nov","Dec")</f>
        <v>Oct</v>
      </c>
    </row>
    <row r="1363" customFormat="false" ht="15" hidden="false" customHeight="false" outlineLevel="0" collapsed="false">
      <c r="A1363" s="4" t="s">
        <v>1724</v>
      </c>
      <c r="B1363" s="17" t="n">
        <v>45937</v>
      </c>
      <c r="C1363" s="4" t="n">
        <v>7</v>
      </c>
      <c r="D1363" s="4" t="s">
        <v>70</v>
      </c>
      <c r="E1363" s="4" t="s">
        <v>99</v>
      </c>
      <c r="F1363" s="4" t="s">
        <v>109</v>
      </c>
      <c r="G1363" s="4" t="n">
        <v>1</v>
      </c>
      <c r="H1363" s="34" t="n">
        <v>130</v>
      </c>
      <c r="I1363" s="18" t="n">
        <v>0.05</v>
      </c>
      <c r="J1363" s="4" t="s">
        <v>81</v>
      </c>
      <c r="K1363" s="4" t="s">
        <v>82</v>
      </c>
      <c r="L1363" s="35" t="n">
        <f aca="false">G1363*H1363</f>
        <v>130</v>
      </c>
      <c r="M1363" s="35" t="n">
        <f aca="false">L1363*I1363</f>
        <v>6.5</v>
      </c>
      <c r="N1363" s="35" t="n">
        <f aca="false">L1363-M1363</f>
        <v>123.5</v>
      </c>
      <c r="O1363" s="4" t="n">
        <f aca="false">MONTH(B1363)</f>
        <v>10</v>
      </c>
      <c r="P1363" s="4" t="str">
        <f aca="false">CHOOSE(WEEKDAY(B1363,2),"Mon","Tue","Wed","Thu","Fri","Sat","Sun")</f>
        <v>Tue</v>
      </c>
      <c r="Q1363" s="4" t="str">
        <f aca="false">IF(WEEKDAY(B1363,2)&gt;5,"Weekend","Weekday")</f>
        <v>Weekday</v>
      </c>
      <c r="R1363" s="4" t="str">
        <f aca="false">IF(C1363&lt;11,"Morning (7-10)",IF(C1363&lt;14,"Lunch (11-13)",IF(C1363&lt;18,"Afternoon (14-17)","Evening (18-20)")))</f>
        <v>Morning (7-10)</v>
      </c>
      <c r="S1363" s="4" t="str">
        <f aca="false">IF(AND(O1363&gt;=3,O1363&lt;=5),"Hot Dry (Mar-May)",IF(AND(O1363&gt;=6,O1363&lt;=11),"Rainy (Jun-Nov)","Cool Dry (Dec-Feb)"))</f>
        <v>Rainy (Jun-Nov)</v>
      </c>
      <c r="T1363" s="4" t="str">
        <f aca="false">CHOOSE(O1363,"Jan","Feb","Mar","Apr","May","Jun","Jul","Aug","Sep","Oct","Nov","Dec")</f>
        <v>Oct</v>
      </c>
    </row>
    <row r="1364" customFormat="false" ht="15" hidden="false" customHeight="false" outlineLevel="0" collapsed="false">
      <c r="A1364" s="4" t="s">
        <v>1725</v>
      </c>
      <c r="B1364" s="17" t="n">
        <v>45937</v>
      </c>
      <c r="C1364" s="4" t="n">
        <v>7</v>
      </c>
      <c r="D1364" s="4" t="s">
        <v>70</v>
      </c>
      <c r="E1364" s="4" t="s">
        <v>84</v>
      </c>
      <c r="F1364" s="4" t="s">
        <v>106</v>
      </c>
      <c r="G1364" s="4" t="n">
        <v>1</v>
      </c>
      <c r="H1364" s="34" t="n">
        <v>60</v>
      </c>
      <c r="I1364" s="18" t="n">
        <v>0.1</v>
      </c>
      <c r="J1364" s="4" t="s">
        <v>81</v>
      </c>
      <c r="K1364" s="4" t="s">
        <v>71</v>
      </c>
      <c r="L1364" s="35" t="n">
        <f aca="false">G1364*H1364</f>
        <v>60</v>
      </c>
      <c r="M1364" s="35" t="n">
        <f aca="false">L1364*I1364</f>
        <v>6</v>
      </c>
      <c r="N1364" s="35" t="n">
        <f aca="false">L1364-M1364</f>
        <v>54</v>
      </c>
      <c r="O1364" s="4" t="n">
        <f aca="false">MONTH(B1364)</f>
        <v>10</v>
      </c>
      <c r="P1364" s="4" t="str">
        <f aca="false">CHOOSE(WEEKDAY(B1364,2),"Mon","Tue","Wed","Thu","Fri","Sat","Sun")</f>
        <v>Tue</v>
      </c>
      <c r="Q1364" s="4" t="str">
        <f aca="false">IF(WEEKDAY(B1364,2)&gt;5,"Weekend","Weekday")</f>
        <v>Weekday</v>
      </c>
      <c r="R1364" s="4" t="str">
        <f aca="false">IF(C1364&lt;11,"Morning (7-10)",IF(C1364&lt;14,"Lunch (11-13)",IF(C1364&lt;18,"Afternoon (14-17)","Evening (18-20)")))</f>
        <v>Morning (7-10)</v>
      </c>
      <c r="S1364" s="4" t="str">
        <f aca="false">IF(AND(O1364&gt;=3,O1364&lt;=5),"Hot Dry (Mar-May)",IF(AND(O1364&gt;=6,O1364&lt;=11),"Rainy (Jun-Nov)","Cool Dry (Dec-Feb)"))</f>
        <v>Rainy (Jun-Nov)</v>
      </c>
      <c r="T1364" s="4" t="str">
        <f aca="false">CHOOSE(O1364,"Jan","Feb","Mar","Apr","May","Jun","Jul","Aug","Sep","Oct","Nov","Dec")</f>
        <v>Oct</v>
      </c>
    </row>
    <row r="1365" customFormat="false" ht="15" hidden="false" customHeight="false" outlineLevel="0" collapsed="false">
      <c r="A1365" s="4" t="s">
        <v>1727</v>
      </c>
      <c r="B1365" s="17" t="n">
        <v>45937</v>
      </c>
      <c r="C1365" s="4" t="n">
        <v>8</v>
      </c>
      <c r="D1365" s="4" t="s">
        <v>64</v>
      </c>
      <c r="E1365" s="4" t="s">
        <v>84</v>
      </c>
      <c r="F1365" s="4" t="s">
        <v>114</v>
      </c>
      <c r="G1365" s="4" t="n">
        <v>2</v>
      </c>
      <c r="H1365" s="34" t="n">
        <v>85</v>
      </c>
      <c r="I1365" s="18" t="n">
        <v>0</v>
      </c>
      <c r="J1365" s="4" t="s">
        <v>81</v>
      </c>
      <c r="K1365" s="4" t="s">
        <v>68</v>
      </c>
      <c r="L1365" s="35" t="n">
        <f aca="false">G1365*H1365</f>
        <v>170</v>
      </c>
      <c r="M1365" s="35" t="n">
        <f aca="false">L1365*I1365</f>
        <v>0</v>
      </c>
      <c r="N1365" s="35" t="n">
        <f aca="false">L1365-M1365</f>
        <v>170</v>
      </c>
      <c r="O1365" s="4" t="n">
        <f aca="false">MONTH(B1365)</f>
        <v>10</v>
      </c>
      <c r="P1365" s="4" t="str">
        <f aca="false">CHOOSE(WEEKDAY(B1365,2),"Mon","Tue","Wed","Thu","Fri","Sat","Sun")</f>
        <v>Tue</v>
      </c>
      <c r="Q1365" s="4" t="str">
        <f aca="false">IF(WEEKDAY(B1365,2)&gt;5,"Weekend","Weekday")</f>
        <v>Weekday</v>
      </c>
      <c r="R1365" s="4" t="str">
        <f aca="false">IF(C1365&lt;11,"Morning (7-10)",IF(C1365&lt;14,"Lunch (11-13)",IF(C1365&lt;18,"Afternoon (14-17)","Evening (18-20)")))</f>
        <v>Morning (7-10)</v>
      </c>
      <c r="S1365" s="4" t="str">
        <f aca="false">IF(AND(O1365&gt;=3,O1365&lt;=5),"Hot Dry (Mar-May)",IF(AND(O1365&gt;=6,O1365&lt;=11),"Rainy (Jun-Nov)","Cool Dry (Dec-Feb)"))</f>
        <v>Rainy (Jun-Nov)</v>
      </c>
      <c r="T1365" s="4" t="str">
        <f aca="false">CHOOSE(O1365,"Jan","Feb","Mar","Apr","May","Jun","Jul","Aug","Sep","Oct","Nov","Dec")</f>
        <v>Oct</v>
      </c>
    </row>
    <row r="1366" customFormat="false" ht="15" hidden="false" customHeight="false" outlineLevel="0" collapsed="false">
      <c r="A1366" s="4" t="s">
        <v>1728</v>
      </c>
      <c r="B1366" s="17" t="n">
        <v>45937</v>
      </c>
      <c r="C1366" s="4" t="n">
        <v>8</v>
      </c>
      <c r="D1366" s="4" t="s">
        <v>64</v>
      </c>
      <c r="E1366" s="4" t="s">
        <v>74</v>
      </c>
      <c r="F1366" s="4" t="s">
        <v>139</v>
      </c>
      <c r="G1366" s="4" t="n">
        <v>1</v>
      </c>
      <c r="H1366" s="34" t="n">
        <v>260</v>
      </c>
      <c r="I1366" s="18" t="n">
        <v>0</v>
      </c>
      <c r="J1366" s="4" t="s">
        <v>2289</v>
      </c>
      <c r="K1366" s="4" t="s">
        <v>68</v>
      </c>
      <c r="L1366" s="35" t="n">
        <f aca="false">G1366*H1366</f>
        <v>260</v>
      </c>
      <c r="M1366" s="35" t="n">
        <f aca="false">L1366*I1366</f>
        <v>0</v>
      </c>
      <c r="N1366" s="35" t="n">
        <f aca="false">L1366-M1366</f>
        <v>260</v>
      </c>
      <c r="O1366" s="4" t="n">
        <f aca="false">MONTH(B1366)</f>
        <v>10</v>
      </c>
      <c r="P1366" s="4" t="str">
        <f aca="false">CHOOSE(WEEKDAY(B1366,2),"Mon","Tue","Wed","Thu","Fri","Sat","Sun")</f>
        <v>Tue</v>
      </c>
      <c r="Q1366" s="4" t="str">
        <f aca="false">IF(WEEKDAY(B1366,2)&gt;5,"Weekend","Weekday")</f>
        <v>Weekday</v>
      </c>
      <c r="R1366" s="4" t="str">
        <f aca="false">IF(C1366&lt;11,"Morning (7-10)",IF(C1366&lt;14,"Lunch (11-13)",IF(C1366&lt;18,"Afternoon (14-17)","Evening (18-20)")))</f>
        <v>Morning (7-10)</v>
      </c>
      <c r="S1366" s="4" t="str">
        <f aca="false">IF(AND(O1366&gt;=3,O1366&lt;=5),"Hot Dry (Mar-May)",IF(AND(O1366&gt;=6,O1366&lt;=11),"Rainy (Jun-Nov)","Cool Dry (Dec-Feb)"))</f>
        <v>Rainy (Jun-Nov)</v>
      </c>
      <c r="T1366" s="4" t="str">
        <f aca="false">CHOOSE(O1366,"Jan","Feb","Mar","Apr","May","Jun","Jul","Aug","Sep","Oct","Nov","Dec")</f>
        <v>Oct</v>
      </c>
    </row>
    <row r="1367" customFormat="false" ht="15" hidden="false" customHeight="false" outlineLevel="0" collapsed="false">
      <c r="A1367" s="4" t="s">
        <v>1729</v>
      </c>
      <c r="B1367" s="17" t="n">
        <v>45937</v>
      </c>
      <c r="C1367" s="4" t="n">
        <v>10</v>
      </c>
      <c r="D1367" s="4" t="s">
        <v>70</v>
      </c>
      <c r="E1367" s="4" t="s">
        <v>99</v>
      </c>
      <c r="F1367" s="4" t="s">
        <v>109</v>
      </c>
      <c r="G1367" s="4" t="n">
        <v>1</v>
      </c>
      <c r="H1367" s="34" t="n">
        <v>130</v>
      </c>
      <c r="I1367" s="18" t="n">
        <v>0.05</v>
      </c>
      <c r="J1367" s="4" t="s">
        <v>67</v>
      </c>
      <c r="K1367" s="4" t="s">
        <v>82</v>
      </c>
      <c r="L1367" s="35" t="n">
        <f aca="false">G1367*H1367</f>
        <v>130</v>
      </c>
      <c r="M1367" s="35" t="n">
        <f aca="false">L1367*I1367</f>
        <v>6.5</v>
      </c>
      <c r="N1367" s="35" t="n">
        <f aca="false">L1367-M1367</f>
        <v>123.5</v>
      </c>
      <c r="O1367" s="4" t="n">
        <f aca="false">MONTH(B1367)</f>
        <v>10</v>
      </c>
      <c r="P1367" s="4" t="str">
        <f aca="false">CHOOSE(WEEKDAY(B1367,2),"Mon","Tue","Wed","Thu","Fri","Sat","Sun")</f>
        <v>Tue</v>
      </c>
      <c r="Q1367" s="4" t="str">
        <f aca="false">IF(WEEKDAY(B1367,2)&gt;5,"Weekend","Weekday")</f>
        <v>Weekday</v>
      </c>
      <c r="R1367" s="4" t="str">
        <f aca="false">IF(C1367&lt;11,"Morning (7-10)",IF(C1367&lt;14,"Lunch (11-13)",IF(C1367&lt;18,"Afternoon (14-17)","Evening (18-20)")))</f>
        <v>Morning (7-10)</v>
      </c>
      <c r="S1367" s="4" t="str">
        <f aca="false">IF(AND(O1367&gt;=3,O1367&lt;=5),"Hot Dry (Mar-May)",IF(AND(O1367&gt;=6,O1367&lt;=11),"Rainy (Jun-Nov)","Cool Dry (Dec-Feb)"))</f>
        <v>Rainy (Jun-Nov)</v>
      </c>
      <c r="T1367" s="4" t="str">
        <f aca="false">CHOOSE(O1367,"Jan","Feb","Mar","Apr","May","Jun","Jul","Aug","Sep","Oct","Nov","Dec")</f>
        <v>Oct</v>
      </c>
    </row>
    <row r="1368" customFormat="false" ht="15" hidden="false" customHeight="false" outlineLevel="0" collapsed="false">
      <c r="A1368" s="4" t="s">
        <v>1730</v>
      </c>
      <c r="B1368" s="17" t="n">
        <v>45937</v>
      </c>
      <c r="C1368" s="4" t="n">
        <v>11</v>
      </c>
      <c r="D1368" s="4" t="s">
        <v>70</v>
      </c>
      <c r="E1368" s="4" t="s">
        <v>65</v>
      </c>
      <c r="F1368" s="4" t="s">
        <v>66</v>
      </c>
      <c r="G1368" s="4" t="n">
        <v>1</v>
      </c>
      <c r="H1368" s="34" t="n">
        <v>120</v>
      </c>
      <c r="I1368" s="18" t="n">
        <v>0.05</v>
      </c>
      <c r="J1368" s="4" t="s">
        <v>67</v>
      </c>
      <c r="K1368" s="4" t="s">
        <v>82</v>
      </c>
      <c r="L1368" s="35" t="n">
        <f aca="false">G1368*H1368</f>
        <v>120</v>
      </c>
      <c r="M1368" s="35" t="n">
        <f aca="false">L1368*I1368</f>
        <v>6</v>
      </c>
      <c r="N1368" s="35" t="n">
        <f aca="false">L1368-M1368</f>
        <v>114</v>
      </c>
      <c r="O1368" s="4" t="n">
        <f aca="false">MONTH(B1368)</f>
        <v>10</v>
      </c>
      <c r="P1368" s="4" t="str">
        <f aca="false">CHOOSE(WEEKDAY(B1368,2),"Mon","Tue","Wed","Thu","Fri","Sat","Sun")</f>
        <v>Tue</v>
      </c>
      <c r="Q1368" s="4" t="str">
        <f aca="false">IF(WEEKDAY(B1368,2)&gt;5,"Weekend","Weekday")</f>
        <v>Weekday</v>
      </c>
      <c r="R1368" s="4" t="str">
        <f aca="false">IF(C1368&lt;11,"Morning (7-10)",IF(C1368&lt;14,"Lunch (11-13)",IF(C1368&lt;18,"Afternoon (14-17)","Evening (18-20)")))</f>
        <v>Lunch (11-13)</v>
      </c>
      <c r="S1368" s="4" t="str">
        <f aca="false">IF(AND(O1368&gt;=3,O1368&lt;=5),"Hot Dry (Mar-May)",IF(AND(O1368&gt;=6,O1368&lt;=11),"Rainy (Jun-Nov)","Cool Dry (Dec-Feb)"))</f>
        <v>Rainy (Jun-Nov)</v>
      </c>
      <c r="T1368" s="4" t="str">
        <f aca="false">CHOOSE(O1368,"Jan","Feb","Mar","Apr","May","Jun","Jul","Aug","Sep","Oct","Nov","Dec")</f>
        <v>Oct</v>
      </c>
    </row>
    <row r="1369" customFormat="false" ht="15" hidden="false" customHeight="false" outlineLevel="0" collapsed="false">
      <c r="A1369" s="4" t="s">
        <v>1731</v>
      </c>
      <c r="B1369" s="17" t="n">
        <v>45937</v>
      </c>
      <c r="C1369" s="4" t="n">
        <v>12</v>
      </c>
      <c r="D1369" s="4" t="s">
        <v>64</v>
      </c>
      <c r="E1369" s="4" t="s">
        <v>99</v>
      </c>
      <c r="F1369" s="4" t="s">
        <v>100</v>
      </c>
      <c r="G1369" s="4" t="n">
        <v>3</v>
      </c>
      <c r="H1369" s="34" t="n">
        <v>110</v>
      </c>
      <c r="I1369" s="18" t="n">
        <v>0</v>
      </c>
      <c r="J1369" s="4" t="s">
        <v>76</v>
      </c>
      <c r="K1369" s="4" t="s">
        <v>68</v>
      </c>
      <c r="L1369" s="35" t="n">
        <f aca="false">G1369*H1369</f>
        <v>330</v>
      </c>
      <c r="M1369" s="35" t="n">
        <f aca="false">L1369*I1369</f>
        <v>0</v>
      </c>
      <c r="N1369" s="35" t="n">
        <f aca="false">L1369-M1369</f>
        <v>330</v>
      </c>
      <c r="O1369" s="4" t="n">
        <f aca="false">MONTH(B1369)</f>
        <v>10</v>
      </c>
      <c r="P1369" s="4" t="str">
        <f aca="false">CHOOSE(WEEKDAY(B1369,2),"Mon","Tue","Wed","Thu","Fri","Sat","Sun")</f>
        <v>Tue</v>
      </c>
      <c r="Q1369" s="4" t="str">
        <f aca="false">IF(WEEKDAY(B1369,2)&gt;5,"Weekend","Weekday")</f>
        <v>Weekday</v>
      </c>
      <c r="R1369" s="4" t="str">
        <f aca="false">IF(C1369&lt;11,"Morning (7-10)",IF(C1369&lt;14,"Lunch (11-13)",IF(C1369&lt;18,"Afternoon (14-17)","Evening (18-20)")))</f>
        <v>Lunch (11-13)</v>
      </c>
      <c r="S1369" s="4" t="str">
        <f aca="false">IF(AND(O1369&gt;=3,O1369&lt;=5),"Hot Dry (Mar-May)",IF(AND(O1369&gt;=6,O1369&lt;=11),"Rainy (Jun-Nov)","Cool Dry (Dec-Feb)"))</f>
        <v>Rainy (Jun-Nov)</v>
      </c>
      <c r="T1369" s="4" t="str">
        <f aca="false">CHOOSE(O1369,"Jan","Feb","Mar","Apr","May","Jun","Jul","Aug","Sep","Oct","Nov","Dec")</f>
        <v>Oct</v>
      </c>
    </row>
    <row r="1370" customFormat="false" ht="15" hidden="false" customHeight="false" outlineLevel="0" collapsed="false">
      <c r="A1370" s="4" t="s">
        <v>1732</v>
      </c>
      <c r="B1370" s="17" t="n">
        <v>45937</v>
      </c>
      <c r="C1370" s="4" t="n">
        <v>15</v>
      </c>
      <c r="D1370" s="4" t="s">
        <v>98</v>
      </c>
      <c r="E1370" s="4" t="s">
        <v>99</v>
      </c>
      <c r="F1370" s="4" t="s">
        <v>102</v>
      </c>
      <c r="G1370" s="4" t="n">
        <v>1</v>
      </c>
      <c r="H1370" s="34" t="n">
        <v>140</v>
      </c>
      <c r="I1370" s="18" t="n">
        <v>0.1</v>
      </c>
      <c r="J1370" s="4" t="s">
        <v>76</v>
      </c>
      <c r="K1370" s="4" t="s">
        <v>71</v>
      </c>
      <c r="L1370" s="35" t="n">
        <f aca="false">G1370*H1370</f>
        <v>140</v>
      </c>
      <c r="M1370" s="35" t="n">
        <f aca="false">L1370*I1370</f>
        <v>14</v>
      </c>
      <c r="N1370" s="35" t="n">
        <f aca="false">L1370-M1370</f>
        <v>126</v>
      </c>
      <c r="O1370" s="4" t="n">
        <f aca="false">MONTH(B1370)</f>
        <v>10</v>
      </c>
      <c r="P1370" s="4" t="str">
        <f aca="false">CHOOSE(WEEKDAY(B1370,2),"Mon","Tue","Wed","Thu","Fri","Sat","Sun")</f>
        <v>Tue</v>
      </c>
      <c r="Q1370" s="4" t="str">
        <f aca="false">IF(WEEKDAY(B1370,2)&gt;5,"Weekend","Weekday")</f>
        <v>Weekday</v>
      </c>
      <c r="R1370" s="4" t="str">
        <f aca="false">IF(C1370&lt;11,"Morning (7-10)",IF(C1370&lt;14,"Lunch (11-13)",IF(C1370&lt;18,"Afternoon (14-17)","Evening (18-20)")))</f>
        <v>Afternoon (14-17)</v>
      </c>
      <c r="S1370" s="4" t="str">
        <f aca="false">IF(AND(O1370&gt;=3,O1370&lt;=5),"Hot Dry (Mar-May)",IF(AND(O1370&gt;=6,O1370&lt;=11),"Rainy (Jun-Nov)","Cool Dry (Dec-Feb)"))</f>
        <v>Rainy (Jun-Nov)</v>
      </c>
      <c r="T1370" s="4" t="str">
        <f aca="false">CHOOSE(O1370,"Jan","Feb","Mar","Apr","May","Jun","Jul","Aug","Sep","Oct","Nov","Dec")</f>
        <v>Oct</v>
      </c>
    </row>
    <row r="1371" customFormat="false" ht="15" hidden="false" customHeight="false" outlineLevel="0" collapsed="false">
      <c r="A1371" s="4" t="s">
        <v>1733</v>
      </c>
      <c r="B1371" s="17" t="n">
        <v>45937</v>
      </c>
      <c r="C1371" s="4" t="n">
        <v>16</v>
      </c>
      <c r="D1371" s="4" t="s">
        <v>73</v>
      </c>
      <c r="E1371" s="4" t="s">
        <v>65</v>
      </c>
      <c r="F1371" s="4" t="s">
        <v>121</v>
      </c>
      <c r="G1371" s="4" t="n">
        <v>2</v>
      </c>
      <c r="H1371" s="34" t="n">
        <v>170</v>
      </c>
      <c r="I1371" s="18" t="n">
        <v>0.1</v>
      </c>
      <c r="J1371" s="4" t="s">
        <v>67</v>
      </c>
      <c r="K1371" s="4" t="s">
        <v>71</v>
      </c>
      <c r="L1371" s="35" t="n">
        <f aca="false">G1371*H1371</f>
        <v>340</v>
      </c>
      <c r="M1371" s="35" t="n">
        <f aca="false">L1371*I1371</f>
        <v>34</v>
      </c>
      <c r="N1371" s="35" t="n">
        <f aca="false">L1371-M1371</f>
        <v>306</v>
      </c>
      <c r="O1371" s="4" t="n">
        <f aca="false">MONTH(B1371)</f>
        <v>10</v>
      </c>
      <c r="P1371" s="4" t="str">
        <f aca="false">CHOOSE(WEEKDAY(B1371,2),"Mon","Tue","Wed","Thu","Fri","Sat","Sun")</f>
        <v>Tue</v>
      </c>
      <c r="Q1371" s="4" t="str">
        <f aca="false">IF(WEEKDAY(B1371,2)&gt;5,"Weekend","Weekday")</f>
        <v>Weekday</v>
      </c>
      <c r="R1371" s="4" t="str">
        <f aca="false">IF(C1371&lt;11,"Morning (7-10)",IF(C1371&lt;14,"Lunch (11-13)",IF(C1371&lt;18,"Afternoon (14-17)","Evening (18-20)")))</f>
        <v>Afternoon (14-17)</v>
      </c>
      <c r="S1371" s="4" t="str">
        <f aca="false">IF(AND(O1371&gt;=3,O1371&lt;=5),"Hot Dry (Mar-May)",IF(AND(O1371&gt;=6,O1371&lt;=11),"Rainy (Jun-Nov)","Cool Dry (Dec-Feb)"))</f>
        <v>Rainy (Jun-Nov)</v>
      </c>
      <c r="T1371" s="4" t="str">
        <f aca="false">CHOOSE(O1371,"Jan","Feb","Mar","Apr","May","Jun","Jul","Aug","Sep","Oct","Nov","Dec")</f>
        <v>Oct</v>
      </c>
    </row>
    <row r="1372" customFormat="false" ht="15" hidden="false" customHeight="false" outlineLevel="0" collapsed="false">
      <c r="A1372" s="4" t="s">
        <v>1734</v>
      </c>
      <c r="B1372" s="17" t="n">
        <v>45937</v>
      </c>
      <c r="C1372" s="4" t="n">
        <v>20</v>
      </c>
      <c r="D1372" s="4" t="s">
        <v>73</v>
      </c>
      <c r="E1372" s="4" t="s">
        <v>65</v>
      </c>
      <c r="F1372" s="4" t="s">
        <v>94</v>
      </c>
      <c r="G1372" s="4" t="n">
        <v>1</v>
      </c>
      <c r="H1372" s="34" t="n">
        <v>150</v>
      </c>
      <c r="I1372" s="18" t="n">
        <v>0</v>
      </c>
      <c r="J1372" s="4" t="s">
        <v>76</v>
      </c>
      <c r="K1372" s="4" t="s">
        <v>68</v>
      </c>
      <c r="L1372" s="35" t="n">
        <f aca="false">G1372*H1372</f>
        <v>150</v>
      </c>
      <c r="M1372" s="35" t="n">
        <f aca="false">L1372*I1372</f>
        <v>0</v>
      </c>
      <c r="N1372" s="35" t="n">
        <f aca="false">L1372-M1372</f>
        <v>150</v>
      </c>
      <c r="O1372" s="4" t="n">
        <f aca="false">MONTH(B1372)</f>
        <v>10</v>
      </c>
      <c r="P1372" s="4" t="str">
        <f aca="false">CHOOSE(WEEKDAY(B1372,2),"Mon","Tue","Wed","Thu","Fri","Sat","Sun")</f>
        <v>Tue</v>
      </c>
      <c r="Q1372" s="4" t="str">
        <f aca="false">IF(WEEKDAY(B1372,2)&gt;5,"Weekend","Weekday")</f>
        <v>Weekday</v>
      </c>
      <c r="R1372" s="4" t="str">
        <f aca="false">IF(C1372&lt;11,"Morning (7-10)",IF(C1372&lt;14,"Lunch (11-13)",IF(C1372&lt;18,"Afternoon (14-17)","Evening (18-20)")))</f>
        <v>Evening (18-20)</v>
      </c>
      <c r="S1372" s="4" t="str">
        <f aca="false">IF(AND(O1372&gt;=3,O1372&lt;=5),"Hot Dry (Mar-May)",IF(AND(O1372&gt;=6,O1372&lt;=11),"Rainy (Jun-Nov)","Cool Dry (Dec-Feb)"))</f>
        <v>Rainy (Jun-Nov)</v>
      </c>
      <c r="T1372" s="4" t="str">
        <f aca="false">CHOOSE(O1372,"Jan","Feb","Mar","Apr","May","Jun","Jul","Aug","Sep","Oct","Nov","Dec")</f>
        <v>Oct</v>
      </c>
    </row>
    <row r="1373" customFormat="false" ht="15" hidden="false" customHeight="false" outlineLevel="0" collapsed="false">
      <c r="A1373" s="4" t="s">
        <v>1735</v>
      </c>
      <c r="B1373" s="17" t="n">
        <v>45938</v>
      </c>
      <c r="C1373" s="4" t="n">
        <v>9</v>
      </c>
      <c r="D1373" s="4" t="s">
        <v>70</v>
      </c>
      <c r="E1373" s="4" t="s">
        <v>99</v>
      </c>
      <c r="F1373" s="4" t="s">
        <v>102</v>
      </c>
      <c r="G1373" s="4" t="n">
        <v>1</v>
      </c>
      <c r="H1373" s="34" t="n">
        <v>140</v>
      </c>
      <c r="I1373" s="18" t="n">
        <v>0</v>
      </c>
      <c r="J1373" s="4" t="s">
        <v>76</v>
      </c>
      <c r="K1373" s="4" t="s">
        <v>68</v>
      </c>
      <c r="L1373" s="35" t="n">
        <f aca="false">G1373*H1373</f>
        <v>140</v>
      </c>
      <c r="M1373" s="35" t="n">
        <f aca="false">L1373*I1373</f>
        <v>0</v>
      </c>
      <c r="N1373" s="35" t="n">
        <f aca="false">L1373-M1373</f>
        <v>140</v>
      </c>
      <c r="O1373" s="4" t="n">
        <f aca="false">MONTH(B1373)</f>
        <v>10</v>
      </c>
      <c r="P1373" s="4" t="str">
        <f aca="false">CHOOSE(WEEKDAY(B1373,2),"Mon","Tue","Wed","Thu","Fri","Sat","Sun")</f>
        <v>Wed</v>
      </c>
      <c r="Q1373" s="4" t="str">
        <f aca="false">IF(WEEKDAY(B1373,2)&gt;5,"Weekend","Weekday")</f>
        <v>Weekday</v>
      </c>
      <c r="R1373" s="4" t="str">
        <f aca="false">IF(C1373&lt;11,"Morning (7-10)",IF(C1373&lt;14,"Lunch (11-13)",IF(C1373&lt;18,"Afternoon (14-17)","Evening (18-20)")))</f>
        <v>Morning (7-10)</v>
      </c>
      <c r="S1373" s="4" t="str">
        <f aca="false">IF(AND(O1373&gt;=3,O1373&lt;=5),"Hot Dry (Mar-May)",IF(AND(O1373&gt;=6,O1373&lt;=11),"Rainy (Jun-Nov)","Cool Dry (Dec-Feb)"))</f>
        <v>Rainy (Jun-Nov)</v>
      </c>
      <c r="T1373" s="4" t="str">
        <f aca="false">CHOOSE(O1373,"Jan","Feb","Mar","Apr","May","Jun","Jul","Aug","Sep","Oct","Nov","Dec")</f>
        <v>Oct</v>
      </c>
    </row>
    <row r="1374" customFormat="false" ht="15" hidden="false" customHeight="false" outlineLevel="0" collapsed="false">
      <c r="A1374" s="4" t="s">
        <v>1736</v>
      </c>
      <c r="B1374" s="17" t="n">
        <v>45938</v>
      </c>
      <c r="C1374" s="4" t="n">
        <v>9</v>
      </c>
      <c r="D1374" s="4" t="s">
        <v>73</v>
      </c>
      <c r="E1374" s="4" t="s">
        <v>74</v>
      </c>
      <c r="F1374" s="4" t="s">
        <v>75</v>
      </c>
      <c r="G1374" s="4" t="n">
        <v>1</v>
      </c>
      <c r="H1374" s="34" t="n">
        <v>220</v>
      </c>
      <c r="I1374" s="18" t="n">
        <v>0</v>
      </c>
      <c r="J1374" s="4" t="s">
        <v>81</v>
      </c>
      <c r="K1374" s="4" t="s">
        <v>68</v>
      </c>
      <c r="L1374" s="35" t="n">
        <f aca="false">G1374*H1374</f>
        <v>220</v>
      </c>
      <c r="M1374" s="35" t="n">
        <f aca="false">L1374*I1374</f>
        <v>0</v>
      </c>
      <c r="N1374" s="35" t="n">
        <f aca="false">L1374-M1374</f>
        <v>220</v>
      </c>
      <c r="O1374" s="4" t="n">
        <f aca="false">MONTH(B1374)</f>
        <v>10</v>
      </c>
      <c r="P1374" s="4" t="str">
        <f aca="false">CHOOSE(WEEKDAY(B1374,2),"Mon","Tue","Wed","Thu","Fri","Sat","Sun")</f>
        <v>Wed</v>
      </c>
      <c r="Q1374" s="4" t="str">
        <f aca="false">IF(WEEKDAY(B1374,2)&gt;5,"Weekend","Weekday")</f>
        <v>Weekday</v>
      </c>
      <c r="R1374" s="4" t="str">
        <f aca="false">IF(C1374&lt;11,"Morning (7-10)",IF(C1374&lt;14,"Lunch (11-13)",IF(C1374&lt;18,"Afternoon (14-17)","Evening (18-20)")))</f>
        <v>Morning (7-10)</v>
      </c>
      <c r="S1374" s="4" t="str">
        <f aca="false">IF(AND(O1374&gt;=3,O1374&lt;=5),"Hot Dry (Mar-May)",IF(AND(O1374&gt;=6,O1374&lt;=11),"Rainy (Jun-Nov)","Cool Dry (Dec-Feb)"))</f>
        <v>Rainy (Jun-Nov)</v>
      </c>
      <c r="T1374" s="4" t="str">
        <f aca="false">CHOOSE(O1374,"Jan","Feb","Mar","Apr","May","Jun","Jul","Aug","Sep","Oct","Nov","Dec")</f>
        <v>Oct</v>
      </c>
    </row>
    <row r="1375" customFormat="false" ht="15" hidden="false" customHeight="false" outlineLevel="0" collapsed="false">
      <c r="A1375" s="4" t="s">
        <v>1737</v>
      </c>
      <c r="B1375" s="17" t="n">
        <v>45938</v>
      </c>
      <c r="C1375" s="4" t="n">
        <v>14</v>
      </c>
      <c r="D1375" s="4" t="s">
        <v>64</v>
      </c>
      <c r="E1375" s="4" t="s">
        <v>84</v>
      </c>
      <c r="F1375" s="4" t="s">
        <v>114</v>
      </c>
      <c r="G1375" s="4" t="n">
        <v>1</v>
      </c>
      <c r="H1375" s="34" t="n">
        <v>85</v>
      </c>
      <c r="I1375" s="18" t="n">
        <v>0</v>
      </c>
      <c r="J1375" s="4" t="s">
        <v>81</v>
      </c>
      <c r="K1375" s="4" t="s">
        <v>77</v>
      </c>
      <c r="L1375" s="35" t="n">
        <f aca="false">G1375*H1375</f>
        <v>85</v>
      </c>
      <c r="M1375" s="35" t="n">
        <f aca="false">L1375*I1375</f>
        <v>0</v>
      </c>
      <c r="N1375" s="35" t="n">
        <f aca="false">L1375-M1375</f>
        <v>85</v>
      </c>
      <c r="O1375" s="4" t="n">
        <f aca="false">MONTH(B1375)</f>
        <v>10</v>
      </c>
      <c r="P1375" s="4" t="str">
        <f aca="false">CHOOSE(WEEKDAY(B1375,2),"Mon","Tue","Wed","Thu","Fri","Sat","Sun")</f>
        <v>Wed</v>
      </c>
      <c r="Q1375" s="4" t="str">
        <f aca="false">IF(WEEKDAY(B1375,2)&gt;5,"Weekend","Weekday")</f>
        <v>Weekday</v>
      </c>
      <c r="R1375" s="4" t="str">
        <f aca="false">IF(C1375&lt;11,"Morning (7-10)",IF(C1375&lt;14,"Lunch (11-13)",IF(C1375&lt;18,"Afternoon (14-17)","Evening (18-20)")))</f>
        <v>Afternoon (14-17)</v>
      </c>
      <c r="S1375" s="4" t="str">
        <f aca="false">IF(AND(O1375&gt;=3,O1375&lt;=5),"Hot Dry (Mar-May)",IF(AND(O1375&gt;=6,O1375&lt;=11),"Rainy (Jun-Nov)","Cool Dry (Dec-Feb)"))</f>
        <v>Rainy (Jun-Nov)</v>
      </c>
      <c r="T1375" s="4" t="str">
        <f aca="false">CHOOSE(O1375,"Jan","Feb","Mar","Apr","May","Jun","Jul","Aug","Sep","Oct","Nov","Dec")</f>
        <v>Oct</v>
      </c>
    </row>
    <row r="1376" customFormat="false" ht="15" hidden="false" customHeight="false" outlineLevel="0" collapsed="false">
      <c r="A1376" s="4" t="s">
        <v>1738</v>
      </c>
      <c r="B1376" s="17" t="n">
        <v>45938</v>
      </c>
      <c r="C1376" s="4" t="n">
        <v>15</v>
      </c>
      <c r="D1376" s="4" t="s">
        <v>73</v>
      </c>
      <c r="E1376" s="4" t="s">
        <v>79</v>
      </c>
      <c r="F1376" s="4" t="s">
        <v>148</v>
      </c>
      <c r="G1376" s="4" t="n">
        <v>2</v>
      </c>
      <c r="H1376" s="34" t="n">
        <v>120</v>
      </c>
      <c r="I1376" s="18" t="n">
        <v>0</v>
      </c>
      <c r="J1376" s="4" t="s">
        <v>81</v>
      </c>
      <c r="K1376" s="4" t="s">
        <v>68</v>
      </c>
      <c r="L1376" s="35" t="n">
        <f aca="false">G1376*H1376</f>
        <v>240</v>
      </c>
      <c r="M1376" s="35" t="n">
        <f aca="false">L1376*I1376</f>
        <v>0</v>
      </c>
      <c r="N1376" s="35" t="n">
        <f aca="false">L1376-M1376</f>
        <v>240</v>
      </c>
      <c r="O1376" s="4" t="n">
        <f aca="false">MONTH(B1376)</f>
        <v>10</v>
      </c>
      <c r="P1376" s="4" t="str">
        <f aca="false">CHOOSE(WEEKDAY(B1376,2),"Mon","Tue","Wed","Thu","Fri","Sat","Sun")</f>
        <v>Wed</v>
      </c>
      <c r="Q1376" s="4" t="str">
        <f aca="false">IF(WEEKDAY(B1376,2)&gt;5,"Weekend","Weekday")</f>
        <v>Weekday</v>
      </c>
      <c r="R1376" s="4" t="str">
        <f aca="false">IF(C1376&lt;11,"Morning (7-10)",IF(C1376&lt;14,"Lunch (11-13)",IF(C1376&lt;18,"Afternoon (14-17)","Evening (18-20)")))</f>
        <v>Afternoon (14-17)</v>
      </c>
      <c r="S1376" s="4" t="str">
        <f aca="false">IF(AND(O1376&gt;=3,O1376&lt;=5),"Hot Dry (Mar-May)",IF(AND(O1376&gt;=6,O1376&lt;=11),"Rainy (Jun-Nov)","Cool Dry (Dec-Feb)"))</f>
        <v>Rainy (Jun-Nov)</v>
      </c>
      <c r="T1376" s="4" t="str">
        <f aca="false">CHOOSE(O1376,"Jan","Feb","Mar","Apr","May","Jun","Jul","Aug","Sep","Oct","Nov","Dec")</f>
        <v>Oct</v>
      </c>
    </row>
    <row r="1377" customFormat="false" ht="15" hidden="false" customHeight="false" outlineLevel="0" collapsed="false">
      <c r="A1377" s="4" t="s">
        <v>1739</v>
      </c>
      <c r="B1377" s="17" t="n">
        <v>45938</v>
      </c>
      <c r="C1377" s="4" t="n">
        <v>15</v>
      </c>
      <c r="D1377" s="4" t="s">
        <v>98</v>
      </c>
      <c r="E1377" s="4" t="s">
        <v>74</v>
      </c>
      <c r="F1377" s="4" t="s">
        <v>91</v>
      </c>
      <c r="G1377" s="4" t="n">
        <v>1</v>
      </c>
      <c r="H1377" s="34" t="n">
        <v>200</v>
      </c>
      <c r="I1377" s="18" t="n">
        <v>0</v>
      </c>
      <c r="J1377" s="4" t="s">
        <v>67</v>
      </c>
      <c r="K1377" s="4" t="s">
        <v>77</v>
      </c>
      <c r="L1377" s="35" t="n">
        <f aca="false">G1377*H1377</f>
        <v>200</v>
      </c>
      <c r="M1377" s="35" t="n">
        <f aca="false">L1377*I1377</f>
        <v>0</v>
      </c>
      <c r="N1377" s="35" t="n">
        <f aca="false">L1377-M1377</f>
        <v>200</v>
      </c>
      <c r="O1377" s="4" t="n">
        <f aca="false">MONTH(B1377)</f>
        <v>10</v>
      </c>
      <c r="P1377" s="4" t="str">
        <f aca="false">CHOOSE(WEEKDAY(B1377,2),"Mon","Tue","Wed","Thu","Fri","Sat","Sun")</f>
        <v>Wed</v>
      </c>
      <c r="Q1377" s="4" t="str">
        <f aca="false">IF(WEEKDAY(B1377,2)&gt;5,"Weekend","Weekday")</f>
        <v>Weekday</v>
      </c>
      <c r="R1377" s="4" t="str">
        <f aca="false">IF(C1377&lt;11,"Morning (7-10)",IF(C1377&lt;14,"Lunch (11-13)",IF(C1377&lt;18,"Afternoon (14-17)","Evening (18-20)")))</f>
        <v>Afternoon (14-17)</v>
      </c>
      <c r="S1377" s="4" t="str">
        <f aca="false">IF(AND(O1377&gt;=3,O1377&lt;=5),"Hot Dry (Mar-May)",IF(AND(O1377&gt;=6,O1377&lt;=11),"Rainy (Jun-Nov)","Cool Dry (Dec-Feb)"))</f>
        <v>Rainy (Jun-Nov)</v>
      </c>
      <c r="T1377" s="4" t="str">
        <f aca="false">CHOOSE(O1377,"Jan","Feb","Mar","Apr","May","Jun","Jul","Aug","Sep","Oct","Nov","Dec")</f>
        <v>Oct</v>
      </c>
    </row>
    <row r="1378" customFormat="false" ht="15" hidden="false" customHeight="false" outlineLevel="0" collapsed="false">
      <c r="A1378" s="4" t="s">
        <v>1740</v>
      </c>
      <c r="B1378" s="17" t="n">
        <v>45938</v>
      </c>
      <c r="C1378" s="4" t="n">
        <v>16</v>
      </c>
      <c r="D1378" s="4" t="s">
        <v>64</v>
      </c>
      <c r="E1378" s="4" t="s">
        <v>99</v>
      </c>
      <c r="F1378" s="4" t="s">
        <v>133</v>
      </c>
      <c r="G1378" s="4" t="n">
        <v>2</v>
      </c>
      <c r="H1378" s="34" t="n">
        <v>90</v>
      </c>
      <c r="I1378" s="18" t="n">
        <v>0.15</v>
      </c>
      <c r="J1378" s="4" t="s">
        <v>81</v>
      </c>
      <c r="K1378" s="4" t="s">
        <v>71</v>
      </c>
      <c r="L1378" s="35" t="n">
        <f aca="false">G1378*H1378</f>
        <v>180</v>
      </c>
      <c r="M1378" s="35" t="n">
        <f aca="false">L1378*I1378</f>
        <v>27</v>
      </c>
      <c r="N1378" s="35" t="n">
        <f aca="false">L1378-M1378</f>
        <v>153</v>
      </c>
      <c r="O1378" s="4" t="n">
        <f aca="false">MONTH(B1378)</f>
        <v>10</v>
      </c>
      <c r="P1378" s="4" t="str">
        <f aca="false">CHOOSE(WEEKDAY(B1378,2),"Mon","Tue","Wed","Thu","Fri","Sat","Sun")</f>
        <v>Wed</v>
      </c>
      <c r="Q1378" s="4" t="str">
        <f aca="false">IF(WEEKDAY(B1378,2)&gt;5,"Weekend","Weekday")</f>
        <v>Weekday</v>
      </c>
      <c r="R1378" s="4" t="str">
        <f aca="false">IF(C1378&lt;11,"Morning (7-10)",IF(C1378&lt;14,"Lunch (11-13)",IF(C1378&lt;18,"Afternoon (14-17)","Evening (18-20)")))</f>
        <v>Afternoon (14-17)</v>
      </c>
      <c r="S1378" s="4" t="str">
        <f aca="false">IF(AND(O1378&gt;=3,O1378&lt;=5),"Hot Dry (Mar-May)",IF(AND(O1378&gt;=6,O1378&lt;=11),"Rainy (Jun-Nov)","Cool Dry (Dec-Feb)"))</f>
        <v>Rainy (Jun-Nov)</v>
      </c>
      <c r="T1378" s="4" t="str">
        <f aca="false">CHOOSE(O1378,"Jan","Feb","Mar","Apr","May","Jun","Jul","Aug","Sep","Oct","Nov","Dec")</f>
        <v>Oct</v>
      </c>
    </row>
    <row r="1379" customFormat="false" ht="15" hidden="false" customHeight="false" outlineLevel="0" collapsed="false">
      <c r="A1379" s="4" t="s">
        <v>1741</v>
      </c>
      <c r="B1379" s="17" t="n">
        <v>45939</v>
      </c>
      <c r="C1379" s="4" t="n">
        <v>8</v>
      </c>
      <c r="D1379" s="4" t="s">
        <v>64</v>
      </c>
      <c r="E1379" s="4" t="s">
        <v>74</v>
      </c>
      <c r="F1379" s="4" t="s">
        <v>139</v>
      </c>
      <c r="G1379" s="4" t="n">
        <v>1</v>
      </c>
      <c r="H1379" s="34" t="n">
        <v>260</v>
      </c>
      <c r="I1379" s="18" t="n">
        <v>0.15</v>
      </c>
      <c r="J1379" s="4" t="s">
        <v>67</v>
      </c>
      <c r="K1379" s="4" t="s">
        <v>71</v>
      </c>
      <c r="L1379" s="35" t="n">
        <f aca="false">G1379*H1379</f>
        <v>260</v>
      </c>
      <c r="M1379" s="35" t="n">
        <f aca="false">L1379*I1379</f>
        <v>39</v>
      </c>
      <c r="N1379" s="35" t="n">
        <f aca="false">L1379-M1379</f>
        <v>221</v>
      </c>
      <c r="O1379" s="4" t="n">
        <f aca="false">MONTH(B1379)</f>
        <v>10</v>
      </c>
      <c r="P1379" s="4" t="str">
        <f aca="false">CHOOSE(WEEKDAY(B1379,2),"Mon","Tue","Wed","Thu","Fri","Sat","Sun")</f>
        <v>Thu</v>
      </c>
      <c r="Q1379" s="4" t="str">
        <f aca="false">IF(WEEKDAY(B1379,2)&gt;5,"Weekend","Weekday")</f>
        <v>Weekday</v>
      </c>
      <c r="R1379" s="4" t="str">
        <f aca="false">IF(C1379&lt;11,"Morning (7-10)",IF(C1379&lt;14,"Lunch (11-13)",IF(C1379&lt;18,"Afternoon (14-17)","Evening (18-20)")))</f>
        <v>Morning (7-10)</v>
      </c>
      <c r="S1379" s="4" t="str">
        <f aca="false">IF(AND(O1379&gt;=3,O1379&lt;=5),"Hot Dry (Mar-May)",IF(AND(O1379&gt;=6,O1379&lt;=11),"Rainy (Jun-Nov)","Cool Dry (Dec-Feb)"))</f>
        <v>Rainy (Jun-Nov)</v>
      </c>
      <c r="T1379" s="4" t="str">
        <f aca="false">CHOOSE(O1379,"Jan","Feb","Mar","Apr","May","Jun","Jul","Aug","Sep","Oct","Nov","Dec")</f>
        <v>Oct</v>
      </c>
    </row>
    <row r="1380" customFormat="false" ht="15" hidden="false" customHeight="false" outlineLevel="0" collapsed="false">
      <c r="A1380" s="4" t="s">
        <v>1742</v>
      </c>
      <c r="B1380" s="17" t="n">
        <v>45939</v>
      </c>
      <c r="C1380" s="4" t="n">
        <v>9</v>
      </c>
      <c r="D1380" s="4" t="s">
        <v>64</v>
      </c>
      <c r="E1380" s="4" t="s">
        <v>84</v>
      </c>
      <c r="F1380" s="4" t="s">
        <v>117</v>
      </c>
      <c r="G1380" s="4" t="n">
        <v>1</v>
      </c>
      <c r="H1380" s="34" t="n">
        <v>95</v>
      </c>
      <c r="I1380" s="18" t="n">
        <v>0.05</v>
      </c>
      <c r="J1380" s="4" t="s">
        <v>81</v>
      </c>
      <c r="K1380" s="4" t="s">
        <v>82</v>
      </c>
      <c r="L1380" s="35" t="n">
        <f aca="false">G1380*H1380</f>
        <v>95</v>
      </c>
      <c r="M1380" s="35" t="n">
        <f aca="false">L1380*I1380</f>
        <v>4.75</v>
      </c>
      <c r="N1380" s="35" t="n">
        <f aca="false">L1380-M1380</f>
        <v>90.25</v>
      </c>
      <c r="O1380" s="4" t="n">
        <f aca="false">MONTH(B1380)</f>
        <v>10</v>
      </c>
      <c r="P1380" s="4" t="str">
        <f aca="false">CHOOSE(WEEKDAY(B1380,2),"Mon","Tue","Wed","Thu","Fri","Sat","Sun")</f>
        <v>Thu</v>
      </c>
      <c r="Q1380" s="4" t="str">
        <f aca="false">IF(WEEKDAY(B1380,2)&gt;5,"Weekend","Weekday")</f>
        <v>Weekday</v>
      </c>
      <c r="R1380" s="4" t="str">
        <f aca="false">IF(C1380&lt;11,"Morning (7-10)",IF(C1380&lt;14,"Lunch (11-13)",IF(C1380&lt;18,"Afternoon (14-17)","Evening (18-20)")))</f>
        <v>Morning (7-10)</v>
      </c>
      <c r="S1380" s="4" t="str">
        <f aca="false">IF(AND(O1380&gt;=3,O1380&lt;=5),"Hot Dry (Mar-May)",IF(AND(O1380&gt;=6,O1380&lt;=11),"Rainy (Jun-Nov)","Cool Dry (Dec-Feb)"))</f>
        <v>Rainy (Jun-Nov)</v>
      </c>
      <c r="T1380" s="4" t="str">
        <f aca="false">CHOOSE(O1380,"Jan","Feb","Mar","Apr","May","Jun","Jul","Aug","Sep","Oct","Nov","Dec")</f>
        <v>Oct</v>
      </c>
    </row>
    <row r="1381" customFormat="false" ht="15" hidden="false" customHeight="false" outlineLevel="0" collapsed="false">
      <c r="A1381" s="4" t="s">
        <v>1743</v>
      </c>
      <c r="B1381" s="17" t="n">
        <v>45939</v>
      </c>
      <c r="C1381" s="4" t="n">
        <v>12</v>
      </c>
      <c r="D1381" s="4" t="s">
        <v>64</v>
      </c>
      <c r="E1381" s="4" t="s">
        <v>84</v>
      </c>
      <c r="F1381" s="4" t="s">
        <v>117</v>
      </c>
      <c r="G1381" s="4" t="n">
        <v>1</v>
      </c>
      <c r="H1381" s="34" t="n">
        <v>95</v>
      </c>
      <c r="I1381" s="18" t="n">
        <v>0</v>
      </c>
      <c r="J1381" s="4" t="s">
        <v>88</v>
      </c>
      <c r="K1381" s="4" t="s">
        <v>77</v>
      </c>
      <c r="L1381" s="35" t="n">
        <f aca="false">G1381*H1381</f>
        <v>95</v>
      </c>
      <c r="M1381" s="35" t="n">
        <f aca="false">L1381*I1381</f>
        <v>0</v>
      </c>
      <c r="N1381" s="35" t="n">
        <f aca="false">L1381-M1381</f>
        <v>95</v>
      </c>
      <c r="O1381" s="4" t="n">
        <f aca="false">MONTH(B1381)</f>
        <v>10</v>
      </c>
      <c r="P1381" s="4" t="str">
        <f aca="false">CHOOSE(WEEKDAY(B1381,2),"Mon","Tue","Wed","Thu","Fri","Sat","Sun")</f>
        <v>Thu</v>
      </c>
      <c r="Q1381" s="4" t="str">
        <f aca="false">IF(WEEKDAY(B1381,2)&gt;5,"Weekend","Weekday")</f>
        <v>Weekday</v>
      </c>
      <c r="R1381" s="4" t="str">
        <f aca="false">IF(C1381&lt;11,"Morning (7-10)",IF(C1381&lt;14,"Lunch (11-13)",IF(C1381&lt;18,"Afternoon (14-17)","Evening (18-20)")))</f>
        <v>Lunch (11-13)</v>
      </c>
      <c r="S1381" s="4" t="str">
        <f aca="false">IF(AND(O1381&gt;=3,O1381&lt;=5),"Hot Dry (Mar-May)",IF(AND(O1381&gt;=6,O1381&lt;=11),"Rainy (Jun-Nov)","Cool Dry (Dec-Feb)"))</f>
        <v>Rainy (Jun-Nov)</v>
      </c>
      <c r="T1381" s="4" t="str">
        <f aca="false">CHOOSE(O1381,"Jan","Feb","Mar","Apr","May","Jun","Jul","Aug","Sep","Oct","Nov","Dec")</f>
        <v>Oct</v>
      </c>
    </row>
    <row r="1382" customFormat="false" ht="15" hidden="false" customHeight="false" outlineLevel="0" collapsed="false">
      <c r="A1382" s="4" t="s">
        <v>1744</v>
      </c>
      <c r="B1382" s="17" t="n">
        <v>45939</v>
      </c>
      <c r="C1382" s="4" t="n">
        <v>13</v>
      </c>
      <c r="D1382" s="4" t="s">
        <v>98</v>
      </c>
      <c r="E1382" s="4" t="s">
        <v>65</v>
      </c>
      <c r="F1382" s="4" t="s">
        <v>94</v>
      </c>
      <c r="G1382" s="4" t="n">
        <v>2</v>
      </c>
      <c r="H1382" s="34" t="n">
        <v>150</v>
      </c>
      <c r="I1382" s="18" t="n">
        <v>0.15</v>
      </c>
      <c r="J1382" s="4" t="s">
        <v>76</v>
      </c>
      <c r="K1382" s="4" t="s">
        <v>68</v>
      </c>
      <c r="L1382" s="35" t="n">
        <f aca="false">G1382*H1382</f>
        <v>300</v>
      </c>
      <c r="M1382" s="35" t="n">
        <f aca="false">L1382*I1382</f>
        <v>45</v>
      </c>
      <c r="N1382" s="35" t="n">
        <f aca="false">L1382-M1382</f>
        <v>255</v>
      </c>
      <c r="O1382" s="4" t="n">
        <f aca="false">MONTH(B1382)</f>
        <v>10</v>
      </c>
      <c r="P1382" s="4" t="str">
        <f aca="false">CHOOSE(WEEKDAY(B1382,2),"Mon","Tue","Wed","Thu","Fri","Sat","Sun")</f>
        <v>Thu</v>
      </c>
      <c r="Q1382" s="4" t="str">
        <f aca="false">IF(WEEKDAY(B1382,2)&gt;5,"Weekend","Weekday")</f>
        <v>Weekday</v>
      </c>
      <c r="R1382" s="4" t="str">
        <f aca="false">IF(C1382&lt;11,"Morning (7-10)",IF(C1382&lt;14,"Lunch (11-13)",IF(C1382&lt;18,"Afternoon (14-17)","Evening (18-20)")))</f>
        <v>Lunch (11-13)</v>
      </c>
      <c r="S1382" s="4" t="str">
        <f aca="false">IF(AND(O1382&gt;=3,O1382&lt;=5),"Hot Dry (Mar-May)",IF(AND(O1382&gt;=6,O1382&lt;=11),"Rainy (Jun-Nov)","Cool Dry (Dec-Feb)"))</f>
        <v>Rainy (Jun-Nov)</v>
      </c>
      <c r="T1382" s="4" t="str">
        <f aca="false">CHOOSE(O1382,"Jan","Feb","Mar","Apr","May","Jun","Jul","Aug","Sep","Oct","Nov","Dec")</f>
        <v>Oct</v>
      </c>
    </row>
    <row r="1383" customFormat="false" ht="15" hidden="false" customHeight="false" outlineLevel="0" collapsed="false">
      <c r="A1383" s="4" t="s">
        <v>1746</v>
      </c>
      <c r="B1383" s="17" t="n">
        <v>45939</v>
      </c>
      <c r="C1383" s="4" t="n">
        <v>13</v>
      </c>
      <c r="D1383" s="4" t="s">
        <v>98</v>
      </c>
      <c r="E1383" s="4" t="s">
        <v>65</v>
      </c>
      <c r="F1383" s="4" t="s">
        <v>87</v>
      </c>
      <c r="G1383" s="4" t="n">
        <v>2</v>
      </c>
      <c r="H1383" s="34" t="n">
        <v>160</v>
      </c>
      <c r="I1383" s="18" t="n">
        <v>0</v>
      </c>
      <c r="J1383" s="4" t="s">
        <v>88</v>
      </c>
      <c r="K1383" s="4" t="s">
        <v>68</v>
      </c>
      <c r="L1383" s="35" t="n">
        <f aca="false">G1383*H1383</f>
        <v>320</v>
      </c>
      <c r="M1383" s="35" t="n">
        <f aca="false">L1383*I1383</f>
        <v>0</v>
      </c>
      <c r="N1383" s="35" t="n">
        <f aca="false">L1383-M1383</f>
        <v>320</v>
      </c>
      <c r="O1383" s="4" t="n">
        <f aca="false">MONTH(B1383)</f>
        <v>10</v>
      </c>
      <c r="P1383" s="4" t="str">
        <f aca="false">CHOOSE(WEEKDAY(B1383,2),"Mon","Tue","Wed","Thu","Fri","Sat","Sun")</f>
        <v>Thu</v>
      </c>
      <c r="Q1383" s="4" t="str">
        <f aca="false">IF(WEEKDAY(B1383,2)&gt;5,"Weekend","Weekday")</f>
        <v>Weekday</v>
      </c>
      <c r="R1383" s="4" t="str">
        <f aca="false">IF(C1383&lt;11,"Morning (7-10)",IF(C1383&lt;14,"Lunch (11-13)",IF(C1383&lt;18,"Afternoon (14-17)","Evening (18-20)")))</f>
        <v>Lunch (11-13)</v>
      </c>
      <c r="S1383" s="4" t="str">
        <f aca="false">IF(AND(O1383&gt;=3,O1383&lt;=5),"Hot Dry (Mar-May)",IF(AND(O1383&gt;=6,O1383&lt;=11),"Rainy (Jun-Nov)","Cool Dry (Dec-Feb)"))</f>
        <v>Rainy (Jun-Nov)</v>
      </c>
      <c r="T1383" s="4" t="str">
        <f aca="false">CHOOSE(O1383,"Jan","Feb","Mar","Apr","May","Jun","Jul","Aug","Sep","Oct","Nov","Dec")</f>
        <v>Oct</v>
      </c>
    </row>
    <row r="1384" customFormat="false" ht="15" hidden="false" customHeight="false" outlineLevel="0" collapsed="false">
      <c r="A1384" s="4" t="s">
        <v>1747</v>
      </c>
      <c r="B1384" s="17" t="n">
        <v>45939</v>
      </c>
      <c r="C1384" s="4" t="n">
        <v>14</v>
      </c>
      <c r="D1384" s="4" t="s">
        <v>70</v>
      </c>
      <c r="E1384" s="4" t="s">
        <v>65</v>
      </c>
      <c r="F1384" s="4" t="s">
        <v>121</v>
      </c>
      <c r="G1384" s="4" t="n">
        <v>3</v>
      </c>
      <c r="H1384" s="34" t="n">
        <v>170</v>
      </c>
      <c r="I1384" s="18" t="n">
        <v>0</v>
      </c>
      <c r="J1384" s="4" t="s">
        <v>112</v>
      </c>
      <c r="K1384" s="4" t="s">
        <v>77</v>
      </c>
      <c r="L1384" s="35" t="n">
        <f aca="false">G1384*H1384</f>
        <v>510</v>
      </c>
      <c r="M1384" s="35" t="n">
        <f aca="false">L1384*I1384</f>
        <v>0</v>
      </c>
      <c r="N1384" s="35" t="n">
        <f aca="false">L1384-M1384</f>
        <v>510</v>
      </c>
      <c r="O1384" s="4" t="n">
        <f aca="false">MONTH(B1384)</f>
        <v>10</v>
      </c>
      <c r="P1384" s="4" t="str">
        <f aca="false">CHOOSE(WEEKDAY(B1384,2),"Mon","Tue","Wed","Thu","Fri","Sat","Sun")</f>
        <v>Thu</v>
      </c>
      <c r="Q1384" s="4" t="str">
        <f aca="false">IF(WEEKDAY(B1384,2)&gt;5,"Weekend","Weekday")</f>
        <v>Weekday</v>
      </c>
      <c r="R1384" s="4" t="str">
        <f aca="false">IF(C1384&lt;11,"Morning (7-10)",IF(C1384&lt;14,"Lunch (11-13)",IF(C1384&lt;18,"Afternoon (14-17)","Evening (18-20)")))</f>
        <v>Afternoon (14-17)</v>
      </c>
      <c r="S1384" s="4" t="str">
        <f aca="false">IF(AND(O1384&gt;=3,O1384&lt;=5),"Hot Dry (Mar-May)",IF(AND(O1384&gt;=6,O1384&lt;=11),"Rainy (Jun-Nov)","Cool Dry (Dec-Feb)"))</f>
        <v>Rainy (Jun-Nov)</v>
      </c>
      <c r="T1384" s="4" t="str">
        <f aca="false">CHOOSE(O1384,"Jan","Feb","Mar","Apr","May","Jun","Jul","Aug","Sep","Oct","Nov","Dec")</f>
        <v>Oct</v>
      </c>
    </row>
    <row r="1385" customFormat="false" ht="15" hidden="false" customHeight="false" outlineLevel="0" collapsed="false">
      <c r="A1385" s="4" t="s">
        <v>1748</v>
      </c>
      <c r="B1385" s="17" t="n">
        <v>45939</v>
      </c>
      <c r="C1385" s="4" t="n">
        <v>16</v>
      </c>
      <c r="D1385" s="4" t="s">
        <v>73</v>
      </c>
      <c r="E1385" s="4" t="s">
        <v>65</v>
      </c>
      <c r="F1385" s="4" t="s">
        <v>87</v>
      </c>
      <c r="G1385" s="4" t="n">
        <v>1</v>
      </c>
      <c r="H1385" s="34" t="n">
        <v>160</v>
      </c>
      <c r="I1385" s="18" t="n">
        <v>0.05</v>
      </c>
      <c r="J1385" s="4" t="s">
        <v>67</v>
      </c>
      <c r="K1385" s="4" t="s">
        <v>82</v>
      </c>
      <c r="L1385" s="35" t="n">
        <f aca="false">G1385*H1385</f>
        <v>160</v>
      </c>
      <c r="M1385" s="35" t="n">
        <f aca="false">L1385*I1385</f>
        <v>8</v>
      </c>
      <c r="N1385" s="35" t="n">
        <f aca="false">L1385-M1385</f>
        <v>152</v>
      </c>
      <c r="O1385" s="4" t="n">
        <f aca="false">MONTH(B1385)</f>
        <v>10</v>
      </c>
      <c r="P1385" s="4" t="str">
        <f aca="false">CHOOSE(WEEKDAY(B1385,2),"Mon","Tue","Wed","Thu","Fri","Sat","Sun")</f>
        <v>Thu</v>
      </c>
      <c r="Q1385" s="4" t="str">
        <f aca="false">IF(WEEKDAY(B1385,2)&gt;5,"Weekend","Weekday")</f>
        <v>Weekday</v>
      </c>
      <c r="R1385" s="4" t="str">
        <f aca="false">IF(C1385&lt;11,"Morning (7-10)",IF(C1385&lt;14,"Lunch (11-13)",IF(C1385&lt;18,"Afternoon (14-17)","Evening (18-20)")))</f>
        <v>Afternoon (14-17)</v>
      </c>
      <c r="S1385" s="4" t="str">
        <f aca="false">IF(AND(O1385&gt;=3,O1385&lt;=5),"Hot Dry (Mar-May)",IF(AND(O1385&gt;=6,O1385&lt;=11),"Rainy (Jun-Nov)","Cool Dry (Dec-Feb)"))</f>
        <v>Rainy (Jun-Nov)</v>
      </c>
      <c r="T1385" s="4" t="str">
        <f aca="false">CHOOSE(O1385,"Jan","Feb","Mar","Apr","May","Jun","Jul","Aug","Sep","Oct","Nov","Dec")</f>
        <v>Oct</v>
      </c>
    </row>
    <row r="1386" customFormat="false" ht="15" hidden="false" customHeight="false" outlineLevel="0" collapsed="false">
      <c r="A1386" s="4" t="s">
        <v>1749</v>
      </c>
      <c r="B1386" s="17" t="n">
        <v>45940</v>
      </c>
      <c r="C1386" s="4" t="n">
        <v>8</v>
      </c>
      <c r="D1386" s="4" t="s">
        <v>73</v>
      </c>
      <c r="E1386" s="4" t="s">
        <v>99</v>
      </c>
      <c r="F1386" s="4" t="s">
        <v>100</v>
      </c>
      <c r="G1386" s="4" t="n">
        <v>1</v>
      </c>
      <c r="H1386" s="34" t="n">
        <v>110</v>
      </c>
      <c r="I1386" s="18" t="n">
        <v>0</v>
      </c>
      <c r="J1386" s="4" t="s">
        <v>81</v>
      </c>
      <c r="K1386" s="4" t="s">
        <v>77</v>
      </c>
      <c r="L1386" s="35" t="n">
        <f aca="false">G1386*H1386</f>
        <v>110</v>
      </c>
      <c r="M1386" s="35" t="n">
        <f aca="false">L1386*I1386</f>
        <v>0</v>
      </c>
      <c r="N1386" s="35" t="n">
        <f aca="false">L1386-M1386</f>
        <v>110</v>
      </c>
      <c r="O1386" s="4" t="n">
        <f aca="false">MONTH(B1386)</f>
        <v>10</v>
      </c>
      <c r="P1386" s="4" t="str">
        <f aca="false">CHOOSE(WEEKDAY(B1386,2),"Mon","Tue","Wed","Thu","Fri","Sat","Sun")</f>
        <v>Fri</v>
      </c>
      <c r="Q1386" s="4" t="str">
        <f aca="false">IF(WEEKDAY(B1386,2)&gt;5,"Weekend","Weekday")</f>
        <v>Weekday</v>
      </c>
      <c r="R1386" s="4" t="str">
        <f aca="false">IF(C1386&lt;11,"Morning (7-10)",IF(C1386&lt;14,"Lunch (11-13)",IF(C1386&lt;18,"Afternoon (14-17)","Evening (18-20)")))</f>
        <v>Morning (7-10)</v>
      </c>
      <c r="S1386" s="4" t="str">
        <f aca="false">IF(AND(O1386&gt;=3,O1386&lt;=5),"Hot Dry (Mar-May)",IF(AND(O1386&gt;=6,O1386&lt;=11),"Rainy (Jun-Nov)","Cool Dry (Dec-Feb)"))</f>
        <v>Rainy (Jun-Nov)</v>
      </c>
      <c r="T1386" s="4" t="str">
        <f aca="false">CHOOSE(O1386,"Jan","Feb","Mar","Apr","May","Jun","Jul","Aug","Sep","Oct","Nov","Dec")</f>
        <v>Oct</v>
      </c>
    </row>
    <row r="1387" customFormat="false" ht="15" hidden="false" customHeight="false" outlineLevel="0" collapsed="false">
      <c r="A1387" s="4" t="s">
        <v>1750</v>
      </c>
      <c r="B1387" s="17" t="n">
        <v>45940</v>
      </c>
      <c r="C1387" s="4" t="n">
        <v>9</v>
      </c>
      <c r="D1387" s="4" t="s">
        <v>64</v>
      </c>
      <c r="E1387" s="4" t="s">
        <v>79</v>
      </c>
      <c r="F1387" s="4" t="s">
        <v>80</v>
      </c>
      <c r="G1387" s="4" t="n">
        <v>1</v>
      </c>
      <c r="H1387" s="34" t="n">
        <v>160</v>
      </c>
      <c r="I1387" s="18" t="n">
        <v>0</v>
      </c>
      <c r="J1387" s="4" t="s">
        <v>67</v>
      </c>
      <c r="K1387" s="4" t="s">
        <v>68</v>
      </c>
      <c r="L1387" s="35" t="n">
        <f aca="false">G1387*H1387</f>
        <v>160</v>
      </c>
      <c r="M1387" s="35" t="n">
        <f aca="false">L1387*I1387</f>
        <v>0</v>
      </c>
      <c r="N1387" s="35" t="n">
        <f aca="false">L1387-M1387</f>
        <v>160</v>
      </c>
      <c r="O1387" s="4" t="n">
        <f aca="false">MONTH(B1387)</f>
        <v>10</v>
      </c>
      <c r="P1387" s="4" t="str">
        <f aca="false">CHOOSE(WEEKDAY(B1387,2),"Mon","Tue","Wed","Thu","Fri","Sat","Sun")</f>
        <v>Fri</v>
      </c>
      <c r="Q1387" s="4" t="str">
        <f aca="false">IF(WEEKDAY(B1387,2)&gt;5,"Weekend","Weekday")</f>
        <v>Weekday</v>
      </c>
      <c r="R1387" s="4" t="str">
        <f aca="false">IF(C1387&lt;11,"Morning (7-10)",IF(C1387&lt;14,"Lunch (11-13)",IF(C1387&lt;18,"Afternoon (14-17)","Evening (18-20)")))</f>
        <v>Morning (7-10)</v>
      </c>
      <c r="S1387" s="4" t="str">
        <f aca="false">IF(AND(O1387&gt;=3,O1387&lt;=5),"Hot Dry (Mar-May)",IF(AND(O1387&gt;=6,O1387&lt;=11),"Rainy (Jun-Nov)","Cool Dry (Dec-Feb)"))</f>
        <v>Rainy (Jun-Nov)</v>
      </c>
      <c r="T1387" s="4" t="str">
        <f aca="false">CHOOSE(O1387,"Jan","Feb","Mar","Apr","May","Jun","Jul","Aug","Sep","Oct","Nov","Dec")</f>
        <v>Oct</v>
      </c>
    </row>
    <row r="1388" customFormat="false" ht="15" hidden="false" customHeight="false" outlineLevel="0" collapsed="false">
      <c r="A1388" s="4" t="s">
        <v>1751</v>
      </c>
      <c r="B1388" s="17" t="n">
        <v>45940</v>
      </c>
      <c r="C1388" s="4" t="n">
        <v>13</v>
      </c>
      <c r="D1388" s="4" t="s">
        <v>98</v>
      </c>
      <c r="E1388" s="4" t="s">
        <v>79</v>
      </c>
      <c r="F1388" s="4" t="s">
        <v>148</v>
      </c>
      <c r="G1388" s="4" t="n">
        <v>1</v>
      </c>
      <c r="H1388" s="34" t="n">
        <v>120</v>
      </c>
      <c r="I1388" s="18" t="n">
        <v>0.1</v>
      </c>
      <c r="J1388" s="4" t="s">
        <v>88</v>
      </c>
      <c r="K1388" s="4" t="s">
        <v>71</v>
      </c>
      <c r="L1388" s="35" t="n">
        <f aca="false">G1388*H1388</f>
        <v>120</v>
      </c>
      <c r="M1388" s="35" t="n">
        <f aca="false">L1388*I1388</f>
        <v>12</v>
      </c>
      <c r="N1388" s="35" t="n">
        <f aca="false">L1388-M1388</f>
        <v>108</v>
      </c>
      <c r="O1388" s="4" t="n">
        <f aca="false">MONTH(B1388)</f>
        <v>10</v>
      </c>
      <c r="P1388" s="4" t="str">
        <f aca="false">CHOOSE(WEEKDAY(B1388,2),"Mon","Tue","Wed","Thu","Fri","Sat","Sun")</f>
        <v>Fri</v>
      </c>
      <c r="Q1388" s="4" t="str">
        <f aca="false">IF(WEEKDAY(B1388,2)&gt;5,"Weekend","Weekday")</f>
        <v>Weekday</v>
      </c>
      <c r="R1388" s="4" t="str">
        <f aca="false">IF(C1388&lt;11,"Morning (7-10)",IF(C1388&lt;14,"Lunch (11-13)",IF(C1388&lt;18,"Afternoon (14-17)","Evening (18-20)")))</f>
        <v>Lunch (11-13)</v>
      </c>
      <c r="S1388" s="4" t="str">
        <f aca="false">IF(AND(O1388&gt;=3,O1388&lt;=5),"Hot Dry (Mar-May)",IF(AND(O1388&gt;=6,O1388&lt;=11),"Rainy (Jun-Nov)","Cool Dry (Dec-Feb)"))</f>
        <v>Rainy (Jun-Nov)</v>
      </c>
      <c r="T1388" s="4" t="str">
        <f aca="false">CHOOSE(O1388,"Jan","Feb","Mar","Apr","May","Jun","Jul","Aug","Sep","Oct","Nov","Dec")</f>
        <v>Oct</v>
      </c>
    </row>
    <row r="1389" customFormat="false" ht="15" hidden="false" customHeight="false" outlineLevel="0" collapsed="false">
      <c r="A1389" s="4" t="s">
        <v>1752</v>
      </c>
      <c r="B1389" s="17" t="n">
        <v>45940</v>
      </c>
      <c r="C1389" s="4" t="n">
        <v>13</v>
      </c>
      <c r="D1389" s="4" t="s">
        <v>64</v>
      </c>
      <c r="E1389" s="4" t="s">
        <v>65</v>
      </c>
      <c r="F1389" s="4" t="s">
        <v>66</v>
      </c>
      <c r="G1389" s="4" t="n">
        <v>1</v>
      </c>
      <c r="H1389" s="34" t="n">
        <v>120</v>
      </c>
      <c r="I1389" s="18" t="n">
        <v>0.15</v>
      </c>
      <c r="J1389" s="4" t="s">
        <v>81</v>
      </c>
      <c r="K1389" s="4" t="s">
        <v>71</v>
      </c>
      <c r="L1389" s="35" t="n">
        <f aca="false">G1389*H1389</f>
        <v>120</v>
      </c>
      <c r="M1389" s="35" t="n">
        <f aca="false">L1389*I1389</f>
        <v>18</v>
      </c>
      <c r="N1389" s="35" t="n">
        <f aca="false">L1389-M1389</f>
        <v>102</v>
      </c>
      <c r="O1389" s="4" t="n">
        <f aca="false">MONTH(B1389)</f>
        <v>10</v>
      </c>
      <c r="P1389" s="4" t="str">
        <f aca="false">CHOOSE(WEEKDAY(B1389,2),"Mon","Tue","Wed","Thu","Fri","Sat","Sun")</f>
        <v>Fri</v>
      </c>
      <c r="Q1389" s="4" t="str">
        <f aca="false">IF(WEEKDAY(B1389,2)&gt;5,"Weekend","Weekday")</f>
        <v>Weekday</v>
      </c>
      <c r="R1389" s="4" t="str">
        <f aca="false">IF(C1389&lt;11,"Morning (7-10)",IF(C1389&lt;14,"Lunch (11-13)",IF(C1389&lt;18,"Afternoon (14-17)","Evening (18-20)")))</f>
        <v>Lunch (11-13)</v>
      </c>
      <c r="S1389" s="4" t="str">
        <f aca="false">IF(AND(O1389&gt;=3,O1389&lt;=5),"Hot Dry (Mar-May)",IF(AND(O1389&gt;=6,O1389&lt;=11),"Rainy (Jun-Nov)","Cool Dry (Dec-Feb)"))</f>
        <v>Rainy (Jun-Nov)</v>
      </c>
      <c r="T1389" s="4" t="str">
        <f aca="false">CHOOSE(O1389,"Jan","Feb","Mar","Apr","May","Jun","Jul","Aug","Sep","Oct","Nov","Dec")</f>
        <v>Oct</v>
      </c>
    </row>
    <row r="1390" customFormat="false" ht="15" hidden="false" customHeight="false" outlineLevel="0" collapsed="false">
      <c r="A1390" s="4" t="s">
        <v>1753</v>
      </c>
      <c r="B1390" s="17" t="n">
        <v>45940</v>
      </c>
      <c r="C1390" s="4" t="n">
        <v>16</v>
      </c>
      <c r="D1390" s="4" t="s">
        <v>64</v>
      </c>
      <c r="E1390" s="4" t="s">
        <v>65</v>
      </c>
      <c r="F1390" s="4" t="s">
        <v>121</v>
      </c>
      <c r="G1390" s="4" t="n">
        <v>1</v>
      </c>
      <c r="H1390" s="34" t="n">
        <v>170</v>
      </c>
      <c r="I1390" s="18" t="n">
        <v>0.05</v>
      </c>
      <c r="J1390" s="4" t="s">
        <v>81</v>
      </c>
      <c r="K1390" s="4" t="s">
        <v>82</v>
      </c>
      <c r="L1390" s="35" t="n">
        <f aca="false">G1390*H1390</f>
        <v>170</v>
      </c>
      <c r="M1390" s="35" t="n">
        <f aca="false">L1390*I1390</f>
        <v>8.5</v>
      </c>
      <c r="N1390" s="35" t="n">
        <f aca="false">L1390-M1390</f>
        <v>161.5</v>
      </c>
      <c r="O1390" s="4" t="n">
        <f aca="false">MONTH(B1390)</f>
        <v>10</v>
      </c>
      <c r="P1390" s="4" t="str">
        <f aca="false">CHOOSE(WEEKDAY(B1390,2),"Mon","Tue","Wed","Thu","Fri","Sat","Sun")</f>
        <v>Fri</v>
      </c>
      <c r="Q1390" s="4" t="str">
        <f aca="false">IF(WEEKDAY(B1390,2)&gt;5,"Weekend","Weekday")</f>
        <v>Weekday</v>
      </c>
      <c r="R1390" s="4" t="str">
        <f aca="false">IF(C1390&lt;11,"Morning (7-10)",IF(C1390&lt;14,"Lunch (11-13)",IF(C1390&lt;18,"Afternoon (14-17)","Evening (18-20)")))</f>
        <v>Afternoon (14-17)</v>
      </c>
      <c r="S1390" s="4" t="str">
        <f aca="false">IF(AND(O1390&gt;=3,O1390&lt;=5),"Hot Dry (Mar-May)",IF(AND(O1390&gt;=6,O1390&lt;=11),"Rainy (Jun-Nov)","Cool Dry (Dec-Feb)"))</f>
        <v>Rainy (Jun-Nov)</v>
      </c>
      <c r="T1390" s="4" t="str">
        <f aca="false">CHOOSE(O1390,"Jan","Feb","Mar","Apr","May","Jun","Jul","Aug","Sep","Oct","Nov","Dec")</f>
        <v>Oct</v>
      </c>
    </row>
    <row r="1391" customFormat="false" ht="15" hidden="false" customHeight="false" outlineLevel="0" collapsed="false">
      <c r="A1391" s="4" t="s">
        <v>1755</v>
      </c>
      <c r="B1391" s="17" t="n">
        <v>45940</v>
      </c>
      <c r="C1391" s="4" t="n">
        <v>18</v>
      </c>
      <c r="D1391" s="4" t="s">
        <v>64</v>
      </c>
      <c r="E1391" s="4" t="s">
        <v>84</v>
      </c>
      <c r="F1391" s="4" t="s">
        <v>117</v>
      </c>
      <c r="G1391" s="4" t="n">
        <v>3</v>
      </c>
      <c r="H1391" s="34" t="n">
        <v>95</v>
      </c>
      <c r="I1391" s="18" t="n">
        <v>0.1</v>
      </c>
      <c r="J1391" s="4" t="s">
        <v>76</v>
      </c>
      <c r="K1391" s="4" t="s">
        <v>71</v>
      </c>
      <c r="L1391" s="35" t="n">
        <f aca="false">G1391*H1391</f>
        <v>285</v>
      </c>
      <c r="M1391" s="35" t="n">
        <f aca="false">L1391*I1391</f>
        <v>28.5</v>
      </c>
      <c r="N1391" s="35" t="n">
        <f aca="false">L1391-M1391</f>
        <v>256.5</v>
      </c>
      <c r="O1391" s="4" t="n">
        <f aca="false">MONTH(B1391)</f>
        <v>10</v>
      </c>
      <c r="P1391" s="4" t="str">
        <f aca="false">CHOOSE(WEEKDAY(B1391,2),"Mon","Tue","Wed","Thu","Fri","Sat","Sun")</f>
        <v>Fri</v>
      </c>
      <c r="Q1391" s="4" t="str">
        <f aca="false">IF(WEEKDAY(B1391,2)&gt;5,"Weekend","Weekday")</f>
        <v>Weekday</v>
      </c>
      <c r="R1391" s="4" t="str">
        <f aca="false">IF(C1391&lt;11,"Morning (7-10)",IF(C1391&lt;14,"Lunch (11-13)",IF(C1391&lt;18,"Afternoon (14-17)","Evening (18-20)")))</f>
        <v>Evening (18-20)</v>
      </c>
      <c r="S1391" s="4" t="str">
        <f aca="false">IF(AND(O1391&gt;=3,O1391&lt;=5),"Hot Dry (Mar-May)",IF(AND(O1391&gt;=6,O1391&lt;=11),"Rainy (Jun-Nov)","Cool Dry (Dec-Feb)"))</f>
        <v>Rainy (Jun-Nov)</v>
      </c>
      <c r="T1391" s="4" t="str">
        <f aca="false">CHOOSE(O1391,"Jan","Feb","Mar","Apr","May","Jun","Jul","Aug","Sep","Oct","Nov","Dec")</f>
        <v>Oct</v>
      </c>
    </row>
    <row r="1392" customFormat="false" ht="15" hidden="false" customHeight="false" outlineLevel="0" collapsed="false">
      <c r="A1392" s="4" t="s">
        <v>1756</v>
      </c>
      <c r="B1392" s="17" t="n">
        <v>45941</v>
      </c>
      <c r="C1392" s="4" t="n">
        <v>7</v>
      </c>
      <c r="D1392" s="4" t="s">
        <v>70</v>
      </c>
      <c r="E1392" s="4" t="s">
        <v>99</v>
      </c>
      <c r="F1392" s="4" t="s">
        <v>102</v>
      </c>
      <c r="G1392" s="4" t="n">
        <v>4</v>
      </c>
      <c r="H1392" s="34" t="n">
        <v>140</v>
      </c>
      <c r="I1392" s="18" t="n">
        <v>0</v>
      </c>
      <c r="J1392" s="4" t="s">
        <v>67</v>
      </c>
      <c r="K1392" s="4" t="s">
        <v>77</v>
      </c>
      <c r="L1392" s="35" t="n">
        <f aca="false">G1392*H1392</f>
        <v>560</v>
      </c>
      <c r="M1392" s="35" t="n">
        <f aca="false">L1392*I1392</f>
        <v>0</v>
      </c>
      <c r="N1392" s="35" t="n">
        <f aca="false">L1392-M1392</f>
        <v>560</v>
      </c>
      <c r="O1392" s="4" t="n">
        <f aca="false">MONTH(B1392)</f>
        <v>10</v>
      </c>
      <c r="P1392" s="4" t="str">
        <f aca="false">CHOOSE(WEEKDAY(B1392,2),"Mon","Tue","Wed","Thu","Fri","Sat","Sun")</f>
        <v>Sat</v>
      </c>
      <c r="Q1392" s="4" t="str">
        <f aca="false">IF(WEEKDAY(B1392,2)&gt;5,"Weekend","Weekday")</f>
        <v>Weekend</v>
      </c>
      <c r="R1392" s="4" t="str">
        <f aca="false">IF(C1392&lt;11,"Morning (7-10)",IF(C1392&lt;14,"Lunch (11-13)",IF(C1392&lt;18,"Afternoon (14-17)","Evening (18-20)")))</f>
        <v>Morning (7-10)</v>
      </c>
      <c r="S1392" s="4" t="str">
        <f aca="false">IF(AND(O1392&gt;=3,O1392&lt;=5),"Hot Dry (Mar-May)",IF(AND(O1392&gt;=6,O1392&lt;=11),"Rainy (Jun-Nov)","Cool Dry (Dec-Feb)"))</f>
        <v>Rainy (Jun-Nov)</v>
      </c>
      <c r="T1392" s="4" t="str">
        <f aca="false">CHOOSE(O1392,"Jan","Feb","Mar","Apr","May","Jun","Jul","Aug","Sep","Oct","Nov","Dec")</f>
        <v>Oct</v>
      </c>
    </row>
    <row r="1393" customFormat="false" ht="15" hidden="false" customHeight="false" outlineLevel="0" collapsed="false">
      <c r="A1393" s="4" t="s">
        <v>1757</v>
      </c>
      <c r="B1393" s="17" t="n">
        <v>45941</v>
      </c>
      <c r="C1393" s="4" t="n">
        <v>9</v>
      </c>
      <c r="D1393" s="4" t="s">
        <v>73</v>
      </c>
      <c r="E1393" s="4" t="s">
        <v>99</v>
      </c>
      <c r="F1393" s="4" t="s">
        <v>109</v>
      </c>
      <c r="G1393" s="4" t="n">
        <v>2</v>
      </c>
      <c r="H1393" s="34" t="n">
        <v>130</v>
      </c>
      <c r="I1393" s="18" t="n">
        <v>0.05</v>
      </c>
      <c r="J1393" s="4" t="s">
        <v>81</v>
      </c>
      <c r="K1393" s="4" t="s">
        <v>82</v>
      </c>
      <c r="L1393" s="35" t="n">
        <f aca="false">G1393*H1393</f>
        <v>260</v>
      </c>
      <c r="M1393" s="35" t="n">
        <f aca="false">L1393*I1393</f>
        <v>13</v>
      </c>
      <c r="N1393" s="35" t="n">
        <f aca="false">L1393-M1393</f>
        <v>247</v>
      </c>
      <c r="O1393" s="4" t="n">
        <f aca="false">MONTH(B1393)</f>
        <v>10</v>
      </c>
      <c r="P1393" s="4" t="str">
        <f aca="false">CHOOSE(WEEKDAY(B1393,2),"Mon","Tue","Wed","Thu","Fri","Sat","Sun")</f>
        <v>Sat</v>
      </c>
      <c r="Q1393" s="4" t="str">
        <f aca="false">IF(WEEKDAY(B1393,2)&gt;5,"Weekend","Weekday")</f>
        <v>Weekend</v>
      </c>
      <c r="R1393" s="4" t="str">
        <f aca="false">IF(C1393&lt;11,"Morning (7-10)",IF(C1393&lt;14,"Lunch (11-13)",IF(C1393&lt;18,"Afternoon (14-17)","Evening (18-20)")))</f>
        <v>Morning (7-10)</v>
      </c>
      <c r="S1393" s="4" t="str">
        <f aca="false">IF(AND(O1393&gt;=3,O1393&lt;=5),"Hot Dry (Mar-May)",IF(AND(O1393&gt;=6,O1393&lt;=11),"Rainy (Jun-Nov)","Cool Dry (Dec-Feb)"))</f>
        <v>Rainy (Jun-Nov)</v>
      </c>
      <c r="T1393" s="4" t="str">
        <f aca="false">CHOOSE(O1393,"Jan","Feb","Mar","Apr","May","Jun","Jul","Aug","Sep","Oct","Nov","Dec")</f>
        <v>Oct</v>
      </c>
    </row>
    <row r="1394" customFormat="false" ht="15" hidden="false" customHeight="false" outlineLevel="0" collapsed="false">
      <c r="A1394" s="4" t="s">
        <v>1758</v>
      </c>
      <c r="B1394" s="17" t="n">
        <v>45941</v>
      </c>
      <c r="C1394" s="4" t="n">
        <v>17</v>
      </c>
      <c r="D1394" s="4" t="s">
        <v>70</v>
      </c>
      <c r="E1394" s="4" t="s">
        <v>99</v>
      </c>
      <c r="F1394" s="4" t="s">
        <v>102</v>
      </c>
      <c r="G1394" s="4" t="n">
        <v>2</v>
      </c>
      <c r="H1394" s="34" t="n">
        <v>140</v>
      </c>
      <c r="I1394" s="18" t="n">
        <v>0</v>
      </c>
      <c r="J1394" s="4" t="s">
        <v>81</v>
      </c>
      <c r="K1394" s="4" t="s">
        <v>68</v>
      </c>
      <c r="L1394" s="35" t="n">
        <f aca="false">G1394*H1394</f>
        <v>280</v>
      </c>
      <c r="M1394" s="35" t="n">
        <f aca="false">L1394*I1394</f>
        <v>0</v>
      </c>
      <c r="N1394" s="35" t="n">
        <f aca="false">L1394-M1394</f>
        <v>280</v>
      </c>
      <c r="O1394" s="4" t="n">
        <f aca="false">MONTH(B1394)</f>
        <v>10</v>
      </c>
      <c r="P1394" s="4" t="str">
        <f aca="false">CHOOSE(WEEKDAY(B1394,2),"Mon","Tue","Wed","Thu","Fri","Sat","Sun")</f>
        <v>Sat</v>
      </c>
      <c r="Q1394" s="4" t="str">
        <f aca="false">IF(WEEKDAY(B1394,2)&gt;5,"Weekend","Weekday")</f>
        <v>Weekend</v>
      </c>
      <c r="R1394" s="4" t="str">
        <f aca="false">IF(C1394&lt;11,"Morning (7-10)",IF(C1394&lt;14,"Lunch (11-13)",IF(C1394&lt;18,"Afternoon (14-17)","Evening (18-20)")))</f>
        <v>Afternoon (14-17)</v>
      </c>
      <c r="S1394" s="4" t="str">
        <f aca="false">IF(AND(O1394&gt;=3,O1394&lt;=5),"Hot Dry (Mar-May)",IF(AND(O1394&gt;=6,O1394&lt;=11),"Rainy (Jun-Nov)","Cool Dry (Dec-Feb)"))</f>
        <v>Rainy (Jun-Nov)</v>
      </c>
      <c r="T1394" s="4" t="str">
        <f aca="false">CHOOSE(O1394,"Jan","Feb","Mar","Apr","May","Jun","Jul","Aug","Sep","Oct","Nov","Dec")</f>
        <v>Oct</v>
      </c>
    </row>
    <row r="1395" customFormat="false" ht="15" hidden="false" customHeight="false" outlineLevel="0" collapsed="false">
      <c r="A1395" s="4" t="s">
        <v>1759</v>
      </c>
      <c r="B1395" s="17" t="n">
        <v>45941</v>
      </c>
      <c r="C1395" s="4" t="n">
        <v>19</v>
      </c>
      <c r="D1395" s="4" t="s">
        <v>98</v>
      </c>
      <c r="E1395" s="4" t="s">
        <v>65</v>
      </c>
      <c r="F1395" s="4" t="s">
        <v>121</v>
      </c>
      <c r="G1395" s="4" t="n">
        <v>1</v>
      </c>
      <c r="H1395" s="34" t="n">
        <v>170</v>
      </c>
      <c r="I1395" s="18" t="n">
        <v>0</v>
      </c>
      <c r="J1395" s="4" t="s">
        <v>76</v>
      </c>
      <c r="K1395" s="4" t="s">
        <v>68</v>
      </c>
      <c r="L1395" s="35" t="n">
        <f aca="false">G1395*H1395</f>
        <v>170</v>
      </c>
      <c r="M1395" s="35" t="n">
        <f aca="false">L1395*I1395</f>
        <v>0</v>
      </c>
      <c r="N1395" s="35" t="n">
        <f aca="false">L1395-M1395</f>
        <v>170</v>
      </c>
      <c r="O1395" s="4" t="n">
        <f aca="false">MONTH(B1395)</f>
        <v>10</v>
      </c>
      <c r="P1395" s="4" t="str">
        <f aca="false">CHOOSE(WEEKDAY(B1395,2),"Mon","Tue","Wed","Thu","Fri","Sat","Sun")</f>
        <v>Sat</v>
      </c>
      <c r="Q1395" s="4" t="str">
        <f aca="false">IF(WEEKDAY(B1395,2)&gt;5,"Weekend","Weekday")</f>
        <v>Weekend</v>
      </c>
      <c r="R1395" s="4" t="str">
        <f aca="false">IF(C1395&lt;11,"Morning (7-10)",IF(C1395&lt;14,"Lunch (11-13)",IF(C1395&lt;18,"Afternoon (14-17)","Evening (18-20)")))</f>
        <v>Evening (18-20)</v>
      </c>
      <c r="S1395" s="4" t="str">
        <f aca="false">IF(AND(O1395&gt;=3,O1395&lt;=5),"Hot Dry (Mar-May)",IF(AND(O1395&gt;=6,O1395&lt;=11),"Rainy (Jun-Nov)","Cool Dry (Dec-Feb)"))</f>
        <v>Rainy (Jun-Nov)</v>
      </c>
      <c r="T1395" s="4" t="str">
        <f aca="false">CHOOSE(O1395,"Jan","Feb","Mar","Apr","May","Jun","Jul","Aug","Sep","Oct","Nov","Dec")</f>
        <v>Oct</v>
      </c>
    </row>
    <row r="1396" customFormat="false" ht="15" hidden="false" customHeight="false" outlineLevel="0" collapsed="false">
      <c r="A1396" s="4" t="s">
        <v>1760</v>
      </c>
      <c r="B1396" s="17" t="n">
        <v>45941</v>
      </c>
      <c r="C1396" s="4" t="n">
        <v>20</v>
      </c>
      <c r="D1396" s="4" t="s">
        <v>64</v>
      </c>
      <c r="E1396" s="4" t="s">
        <v>79</v>
      </c>
      <c r="F1396" s="4" t="s">
        <v>148</v>
      </c>
      <c r="G1396" s="4" t="n">
        <v>2</v>
      </c>
      <c r="H1396" s="34" t="n">
        <v>120</v>
      </c>
      <c r="I1396" s="18" t="n">
        <v>0</v>
      </c>
      <c r="J1396" s="4" t="s">
        <v>67</v>
      </c>
      <c r="K1396" s="4" t="s">
        <v>68</v>
      </c>
      <c r="L1396" s="35" t="n">
        <f aca="false">G1396*H1396</f>
        <v>240</v>
      </c>
      <c r="M1396" s="35" t="n">
        <f aca="false">L1396*I1396</f>
        <v>0</v>
      </c>
      <c r="N1396" s="35" t="n">
        <f aca="false">L1396-M1396</f>
        <v>240</v>
      </c>
      <c r="O1396" s="4" t="n">
        <f aca="false">MONTH(B1396)</f>
        <v>10</v>
      </c>
      <c r="P1396" s="4" t="str">
        <f aca="false">CHOOSE(WEEKDAY(B1396,2),"Mon","Tue","Wed","Thu","Fri","Sat","Sun")</f>
        <v>Sat</v>
      </c>
      <c r="Q1396" s="4" t="str">
        <f aca="false">IF(WEEKDAY(B1396,2)&gt;5,"Weekend","Weekday")</f>
        <v>Weekend</v>
      </c>
      <c r="R1396" s="4" t="str">
        <f aca="false">IF(C1396&lt;11,"Morning (7-10)",IF(C1396&lt;14,"Lunch (11-13)",IF(C1396&lt;18,"Afternoon (14-17)","Evening (18-20)")))</f>
        <v>Evening (18-20)</v>
      </c>
      <c r="S1396" s="4" t="str">
        <f aca="false">IF(AND(O1396&gt;=3,O1396&lt;=5),"Hot Dry (Mar-May)",IF(AND(O1396&gt;=6,O1396&lt;=11),"Rainy (Jun-Nov)","Cool Dry (Dec-Feb)"))</f>
        <v>Rainy (Jun-Nov)</v>
      </c>
      <c r="T1396" s="4" t="str">
        <f aca="false">CHOOSE(O1396,"Jan","Feb","Mar","Apr","May","Jun","Jul","Aug","Sep","Oct","Nov","Dec")</f>
        <v>Oct</v>
      </c>
    </row>
    <row r="1397" customFormat="false" ht="15" hidden="false" customHeight="false" outlineLevel="0" collapsed="false">
      <c r="A1397" s="4" t="s">
        <v>1761</v>
      </c>
      <c r="B1397" s="17" t="n">
        <v>45942</v>
      </c>
      <c r="C1397" s="4" t="n">
        <v>8</v>
      </c>
      <c r="D1397" s="4" t="s">
        <v>73</v>
      </c>
      <c r="E1397" s="4" t="s">
        <v>65</v>
      </c>
      <c r="F1397" s="4" t="s">
        <v>94</v>
      </c>
      <c r="G1397" s="4" t="n">
        <v>1</v>
      </c>
      <c r="H1397" s="34" t="n">
        <v>150</v>
      </c>
      <c r="I1397" s="18" t="n">
        <v>0.1</v>
      </c>
      <c r="J1397" s="4" t="s">
        <v>67</v>
      </c>
      <c r="K1397" s="4" t="s">
        <v>71</v>
      </c>
      <c r="L1397" s="35" t="n">
        <f aca="false">G1397*H1397</f>
        <v>150</v>
      </c>
      <c r="M1397" s="35" t="n">
        <f aca="false">L1397*I1397</f>
        <v>15</v>
      </c>
      <c r="N1397" s="35" t="n">
        <f aca="false">L1397-M1397</f>
        <v>135</v>
      </c>
      <c r="O1397" s="4" t="n">
        <f aca="false">MONTH(B1397)</f>
        <v>10</v>
      </c>
      <c r="P1397" s="4" t="str">
        <f aca="false">CHOOSE(WEEKDAY(B1397,2),"Mon","Tue","Wed","Thu","Fri","Sat","Sun")</f>
        <v>Sun</v>
      </c>
      <c r="Q1397" s="4" t="str">
        <f aca="false">IF(WEEKDAY(B1397,2)&gt;5,"Weekend","Weekday")</f>
        <v>Weekend</v>
      </c>
      <c r="R1397" s="4" t="str">
        <f aca="false">IF(C1397&lt;11,"Morning (7-10)",IF(C1397&lt;14,"Lunch (11-13)",IF(C1397&lt;18,"Afternoon (14-17)","Evening (18-20)")))</f>
        <v>Morning (7-10)</v>
      </c>
      <c r="S1397" s="4" t="str">
        <f aca="false">IF(AND(O1397&gt;=3,O1397&lt;=5),"Hot Dry (Mar-May)",IF(AND(O1397&gt;=6,O1397&lt;=11),"Rainy (Jun-Nov)","Cool Dry (Dec-Feb)"))</f>
        <v>Rainy (Jun-Nov)</v>
      </c>
      <c r="T1397" s="4" t="str">
        <f aca="false">CHOOSE(O1397,"Jan","Feb","Mar","Apr","May","Jun","Jul","Aug","Sep","Oct","Nov","Dec")</f>
        <v>Oct</v>
      </c>
    </row>
    <row r="1398" customFormat="false" ht="15" hidden="false" customHeight="false" outlineLevel="0" collapsed="false">
      <c r="A1398" s="4" t="s">
        <v>1763</v>
      </c>
      <c r="B1398" s="17" t="n">
        <v>45942</v>
      </c>
      <c r="C1398" s="4" t="n">
        <v>10</v>
      </c>
      <c r="D1398" s="4" t="s">
        <v>70</v>
      </c>
      <c r="E1398" s="4" t="s">
        <v>99</v>
      </c>
      <c r="F1398" s="4" t="s">
        <v>100</v>
      </c>
      <c r="G1398" s="4" t="n">
        <v>1</v>
      </c>
      <c r="H1398" s="34" t="n">
        <v>110</v>
      </c>
      <c r="I1398" s="18" t="n">
        <v>0.05</v>
      </c>
      <c r="J1398" s="4" t="s">
        <v>67</v>
      </c>
      <c r="K1398" s="4" t="s">
        <v>82</v>
      </c>
      <c r="L1398" s="35" t="n">
        <f aca="false">G1398*H1398</f>
        <v>110</v>
      </c>
      <c r="M1398" s="35" t="n">
        <f aca="false">L1398*I1398</f>
        <v>5.5</v>
      </c>
      <c r="N1398" s="35" t="n">
        <f aca="false">L1398-M1398</f>
        <v>104.5</v>
      </c>
      <c r="O1398" s="4" t="n">
        <f aca="false">MONTH(B1398)</f>
        <v>10</v>
      </c>
      <c r="P1398" s="4" t="str">
        <f aca="false">CHOOSE(WEEKDAY(B1398,2),"Mon","Tue","Wed","Thu","Fri","Sat","Sun")</f>
        <v>Sun</v>
      </c>
      <c r="Q1398" s="4" t="str">
        <f aca="false">IF(WEEKDAY(B1398,2)&gt;5,"Weekend","Weekday")</f>
        <v>Weekend</v>
      </c>
      <c r="R1398" s="4" t="str">
        <f aca="false">IF(C1398&lt;11,"Morning (7-10)",IF(C1398&lt;14,"Lunch (11-13)",IF(C1398&lt;18,"Afternoon (14-17)","Evening (18-20)")))</f>
        <v>Morning (7-10)</v>
      </c>
      <c r="S1398" s="4" t="str">
        <f aca="false">IF(AND(O1398&gt;=3,O1398&lt;=5),"Hot Dry (Mar-May)",IF(AND(O1398&gt;=6,O1398&lt;=11),"Rainy (Jun-Nov)","Cool Dry (Dec-Feb)"))</f>
        <v>Rainy (Jun-Nov)</v>
      </c>
      <c r="T1398" s="4" t="str">
        <f aca="false">CHOOSE(O1398,"Jan","Feb","Mar","Apr","May","Jun","Jul","Aug","Sep","Oct","Nov","Dec")</f>
        <v>Oct</v>
      </c>
    </row>
    <row r="1399" customFormat="false" ht="15" hidden="false" customHeight="false" outlineLevel="0" collapsed="false">
      <c r="A1399" s="4" t="s">
        <v>1764</v>
      </c>
      <c r="B1399" s="17" t="n">
        <v>45942</v>
      </c>
      <c r="C1399" s="4" t="n">
        <v>12</v>
      </c>
      <c r="D1399" s="4" t="s">
        <v>70</v>
      </c>
      <c r="E1399" s="4" t="s">
        <v>79</v>
      </c>
      <c r="F1399" s="4" t="s">
        <v>148</v>
      </c>
      <c r="G1399" s="4" t="n">
        <v>1</v>
      </c>
      <c r="H1399" s="34" t="n">
        <v>120</v>
      </c>
      <c r="I1399" s="18" t="n">
        <v>0.05</v>
      </c>
      <c r="J1399" s="4" t="s">
        <v>67</v>
      </c>
      <c r="K1399" s="4" t="s">
        <v>82</v>
      </c>
      <c r="L1399" s="35" t="n">
        <f aca="false">G1399*H1399</f>
        <v>120</v>
      </c>
      <c r="M1399" s="35" t="n">
        <f aca="false">L1399*I1399</f>
        <v>6</v>
      </c>
      <c r="N1399" s="35" t="n">
        <f aca="false">L1399-M1399</f>
        <v>114</v>
      </c>
      <c r="O1399" s="4" t="n">
        <f aca="false">MONTH(B1399)</f>
        <v>10</v>
      </c>
      <c r="P1399" s="4" t="str">
        <f aca="false">CHOOSE(WEEKDAY(B1399,2),"Mon","Tue","Wed","Thu","Fri","Sat","Sun")</f>
        <v>Sun</v>
      </c>
      <c r="Q1399" s="4" t="str">
        <f aca="false">IF(WEEKDAY(B1399,2)&gt;5,"Weekend","Weekday")</f>
        <v>Weekend</v>
      </c>
      <c r="R1399" s="4" t="str">
        <f aca="false">IF(C1399&lt;11,"Morning (7-10)",IF(C1399&lt;14,"Lunch (11-13)",IF(C1399&lt;18,"Afternoon (14-17)","Evening (18-20)")))</f>
        <v>Lunch (11-13)</v>
      </c>
      <c r="S1399" s="4" t="str">
        <f aca="false">IF(AND(O1399&gt;=3,O1399&lt;=5),"Hot Dry (Mar-May)",IF(AND(O1399&gt;=6,O1399&lt;=11),"Rainy (Jun-Nov)","Cool Dry (Dec-Feb)"))</f>
        <v>Rainy (Jun-Nov)</v>
      </c>
      <c r="T1399" s="4" t="str">
        <f aca="false">CHOOSE(O1399,"Jan","Feb","Mar","Apr","May","Jun","Jul","Aug","Sep","Oct","Nov","Dec")</f>
        <v>Oct</v>
      </c>
    </row>
    <row r="1400" customFormat="false" ht="15" hidden="false" customHeight="false" outlineLevel="0" collapsed="false">
      <c r="A1400" s="4" t="s">
        <v>1765</v>
      </c>
      <c r="B1400" s="17" t="n">
        <v>45942</v>
      </c>
      <c r="C1400" s="4" t="n">
        <v>14</v>
      </c>
      <c r="D1400" s="4" t="s">
        <v>64</v>
      </c>
      <c r="E1400" s="4" t="s">
        <v>84</v>
      </c>
      <c r="F1400" s="4" t="s">
        <v>85</v>
      </c>
      <c r="G1400" s="4" t="n">
        <v>1</v>
      </c>
      <c r="H1400" s="34" t="n">
        <v>150</v>
      </c>
      <c r="I1400" s="18" t="n">
        <v>0.05</v>
      </c>
      <c r="J1400" s="4" t="s">
        <v>81</v>
      </c>
      <c r="K1400" s="4" t="s">
        <v>82</v>
      </c>
      <c r="L1400" s="35" t="n">
        <f aca="false">G1400*H1400</f>
        <v>150</v>
      </c>
      <c r="M1400" s="35" t="n">
        <f aca="false">L1400*I1400</f>
        <v>7.5</v>
      </c>
      <c r="N1400" s="35" t="n">
        <f aca="false">L1400-M1400</f>
        <v>142.5</v>
      </c>
      <c r="O1400" s="4" t="n">
        <f aca="false">MONTH(B1400)</f>
        <v>10</v>
      </c>
      <c r="P1400" s="4" t="str">
        <f aca="false">CHOOSE(WEEKDAY(B1400,2),"Mon","Tue","Wed","Thu","Fri","Sat","Sun")</f>
        <v>Sun</v>
      </c>
      <c r="Q1400" s="4" t="str">
        <f aca="false">IF(WEEKDAY(B1400,2)&gt;5,"Weekend","Weekday")</f>
        <v>Weekend</v>
      </c>
      <c r="R1400" s="4" t="str">
        <f aca="false">IF(C1400&lt;11,"Morning (7-10)",IF(C1400&lt;14,"Lunch (11-13)",IF(C1400&lt;18,"Afternoon (14-17)","Evening (18-20)")))</f>
        <v>Afternoon (14-17)</v>
      </c>
      <c r="S1400" s="4" t="str">
        <f aca="false">IF(AND(O1400&gt;=3,O1400&lt;=5),"Hot Dry (Mar-May)",IF(AND(O1400&gt;=6,O1400&lt;=11),"Rainy (Jun-Nov)","Cool Dry (Dec-Feb)"))</f>
        <v>Rainy (Jun-Nov)</v>
      </c>
      <c r="T1400" s="4" t="str">
        <f aca="false">CHOOSE(O1400,"Jan","Feb","Mar","Apr","May","Jun","Jul","Aug","Sep","Oct","Nov","Dec")</f>
        <v>Oct</v>
      </c>
    </row>
    <row r="1401" customFormat="false" ht="15" hidden="false" customHeight="false" outlineLevel="0" collapsed="false">
      <c r="A1401" s="4" t="s">
        <v>1766</v>
      </c>
      <c r="B1401" s="17" t="n">
        <v>45943</v>
      </c>
      <c r="C1401" s="4" t="n">
        <v>12</v>
      </c>
      <c r="D1401" s="4" t="s">
        <v>64</v>
      </c>
      <c r="E1401" s="4" t="s">
        <v>74</v>
      </c>
      <c r="F1401" s="4" t="s">
        <v>75</v>
      </c>
      <c r="G1401" s="4" t="n">
        <v>2</v>
      </c>
      <c r="H1401" s="34" t="n">
        <v>220</v>
      </c>
      <c r="I1401" s="18" t="n">
        <v>0</v>
      </c>
      <c r="J1401" s="4" t="s">
        <v>76</v>
      </c>
      <c r="K1401" s="4" t="s">
        <v>77</v>
      </c>
      <c r="L1401" s="35" t="n">
        <f aca="false">G1401*H1401</f>
        <v>440</v>
      </c>
      <c r="M1401" s="35" t="n">
        <f aca="false">L1401*I1401</f>
        <v>0</v>
      </c>
      <c r="N1401" s="35" t="n">
        <f aca="false">L1401-M1401</f>
        <v>440</v>
      </c>
      <c r="O1401" s="4" t="n">
        <f aca="false">MONTH(B1401)</f>
        <v>10</v>
      </c>
      <c r="P1401" s="4" t="str">
        <f aca="false">CHOOSE(WEEKDAY(B1401,2),"Mon","Tue","Wed","Thu","Fri","Sat","Sun")</f>
        <v>Mon</v>
      </c>
      <c r="Q1401" s="4" t="str">
        <f aca="false">IF(WEEKDAY(B1401,2)&gt;5,"Weekend","Weekday")</f>
        <v>Weekday</v>
      </c>
      <c r="R1401" s="4" t="str">
        <f aca="false">IF(C1401&lt;11,"Morning (7-10)",IF(C1401&lt;14,"Lunch (11-13)",IF(C1401&lt;18,"Afternoon (14-17)","Evening (18-20)")))</f>
        <v>Lunch (11-13)</v>
      </c>
      <c r="S1401" s="4" t="str">
        <f aca="false">IF(AND(O1401&gt;=3,O1401&lt;=5),"Hot Dry (Mar-May)",IF(AND(O1401&gt;=6,O1401&lt;=11),"Rainy (Jun-Nov)","Cool Dry (Dec-Feb)"))</f>
        <v>Rainy (Jun-Nov)</v>
      </c>
      <c r="T1401" s="4" t="str">
        <f aca="false">CHOOSE(O1401,"Jan","Feb","Mar","Apr","May","Jun","Jul","Aug","Sep","Oct","Nov","Dec")</f>
        <v>Oct</v>
      </c>
    </row>
    <row r="1402" customFormat="false" ht="15" hidden="false" customHeight="false" outlineLevel="0" collapsed="false">
      <c r="A1402" s="4" t="s">
        <v>1767</v>
      </c>
      <c r="B1402" s="17" t="n">
        <v>45943</v>
      </c>
      <c r="C1402" s="4" t="n">
        <v>13</v>
      </c>
      <c r="D1402" s="4" t="s">
        <v>73</v>
      </c>
      <c r="E1402" s="4" t="s">
        <v>84</v>
      </c>
      <c r="F1402" s="4" t="s">
        <v>114</v>
      </c>
      <c r="G1402" s="4" t="n">
        <v>2</v>
      </c>
      <c r="H1402" s="34" t="n">
        <v>85</v>
      </c>
      <c r="I1402" s="18" t="n">
        <v>0</v>
      </c>
      <c r="J1402" s="4" t="s">
        <v>81</v>
      </c>
      <c r="K1402" s="4" t="s">
        <v>68</v>
      </c>
      <c r="L1402" s="35" t="n">
        <f aca="false">G1402*H1402</f>
        <v>170</v>
      </c>
      <c r="M1402" s="35" t="n">
        <f aca="false">L1402*I1402</f>
        <v>0</v>
      </c>
      <c r="N1402" s="35" t="n">
        <f aca="false">L1402-M1402</f>
        <v>170</v>
      </c>
      <c r="O1402" s="4" t="n">
        <f aca="false">MONTH(B1402)</f>
        <v>10</v>
      </c>
      <c r="P1402" s="4" t="str">
        <f aca="false">CHOOSE(WEEKDAY(B1402,2),"Mon","Tue","Wed","Thu","Fri","Sat","Sun")</f>
        <v>Mon</v>
      </c>
      <c r="Q1402" s="4" t="str">
        <f aca="false">IF(WEEKDAY(B1402,2)&gt;5,"Weekend","Weekday")</f>
        <v>Weekday</v>
      </c>
      <c r="R1402" s="4" t="str">
        <f aca="false">IF(C1402&lt;11,"Morning (7-10)",IF(C1402&lt;14,"Lunch (11-13)",IF(C1402&lt;18,"Afternoon (14-17)","Evening (18-20)")))</f>
        <v>Lunch (11-13)</v>
      </c>
      <c r="S1402" s="4" t="str">
        <f aca="false">IF(AND(O1402&gt;=3,O1402&lt;=5),"Hot Dry (Mar-May)",IF(AND(O1402&gt;=6,O1402&lt;=11),"Rainy (Jun-Nov)","Cool Dry (Dec-Feb)"))</f>
        <v>Rainy (Jun-Nov)</v>
      </c>
      <c r="T1402" s="4" t="str">
        <f aca="false">CHOOSE(O1402,"Jan","Feb","Mar","Apr","May","Jun","Jul","Aug","Sep","Oct","Nov","Dec")</f>
        <v>Oct</v>
      </c>
    </row>
    <row r="1403" customFormat="false" ht="15" hidden="false" customHeight="false" outlineLevel="0" collapsed="false">
      <c r="A1403" s="4" t="s">
        <v>1768</v>
      </c>
      <c r="B1403" s="17" t="n">
        <v>45943</v>
      </c>
      <c r="C1403" s="4" t="n">
        <v>19</v>
      </c>
      <c r="D1403" s="4" t="s">
        <v>70</v>
      </c>
      <c r="E1403" s="4" t="s">
        <v>79</v>
      </c>
      <c r="F1403" s="4" t="s">
        <v>135</v>
      </c>
      <c r="G1403" s="4" t="n">
        <v>2</v>
      </c>
      <c r="H1403" s="34" t="n">
        <v>130</v>
      </c>
      <c r="I1403" s="18" t="n">
        <v>0</v>
      </c>
      <c r="J1403" s="4" t="s">
        <v>76</v>
      </c>
      <c r="K1403" s="4" t="s">
        <v>77</v>
      </c>
      <c r="L1403" s="35" t="n">
        <f aca="false">G1403*H1403</f>
        <v>260</v>
      </c>
      <c r="M1403" s="35" t="n">
        <f aca="false">L1403*I1403</f>
        <v>0</v>
      </c>
      <c r="N1403" s="35" t="n">
        <f aca="false">L1403-M1403</f>
        <v>260</v>
      </c>
      <c r="O1403" s="4" t="n">
        <f aca="false">MONTH(B1403)</f>
        <v>10</v>
      </c>
      <c r="P1403" s="4" t="str">
        <f aca="false">CHOOSE(WEEKDAY(B1403,2),"Mon","Tue","Wed","Thu","Fri","Sat","Sun")</f>
        <v>Mon</v>
      </c>
      <c r="Q1403" s="4" t="str">
        <f aca="false">IF(WEEKDAY(B1403,2)&gt;5,"Weekend","Weekday")</f>
        <v>Weekday</v>
      </c>
      <c r="R1403" s="4" t="str">
        <f aca="false">IF(C1403&lt;11,"Morning (7-10)",IF(C1403&lt;14,"Lunch (11-13)",IF(C1403&lt;18,"Afternoon (14-17)","Evening (18-20)")))</f>
        <v>Evening (18-20)</v>
      </c>
      <c r="S1403" s="4" t="str">
        <f aca="false">IF(AND(O1403&gt;=3,O1403&lt;=5),"Hot Dry (Mar-May)",IF(AND(O1403&gt;=6,O1403&lt;=11),"Rainy (Jun-Nov)","Cool Dry (Dec-Feb)"))</f>
        <v>Rainy (Jun-Nov)</v>
      </c>
      <c r="T1403" s="4" t="str">
        <f aca="false">CHOOSE(O1403,"Jan","Feb","Mar","Apr","May","Jun","Jul","Aug","Sep","Oct","Nov","Dec")</f>
        <v>Oct</v>
      </c>
    </row>
    <row r="1404" customFormat="false" ht="15" hidden="false" customHeight="false" outlineLevel="0" collapsed="false">
      <c r="A1404" s="4" t="s">
        <v>1770</v>
      </c>
      <c r="B1404" s="17" t="n">
        <v>45944</v>
      </c>
      <c r="C1404" s="4" t="n">
        <v>12</v>
      </c>
      <c r="D1404" s="4" t="s">
        <v>70</v>
      </c>
      <c r="E1404" s="4" t="s">
        <v>99</v>
      </c>
      <c r="F1404" s="4" t="s">
        <v>102</v>
      </c>
      <c r="G1404" s="4" t="n">
        <v>3</v>
      </c>
      <c r="H1404" s="34" t="n">
        <v>140</v>
      </c>
      <c r="I1404" s="18" t="n">
        <v>0</v>
      </c>
      <c r="J1404" s="4" t="s">
        <v>81</v>
      </c>
      <c r="K1404" s="4" t="s">
        <v>77</v>
      </c>
      <c r="L1404" s="35" t="n">
        <f aca="false">G1404*H1404</f>
        <v>420</v>
      </c>
      <c r="M1404" s="35" t="n">
        <f aca="false">L1404*I1404</f>
        <v>0</v>
      </c>
      <c r="N1404" s="35" t="n">
        <f aca="false">L1404-M1404</f>
        <v>420</v>
      </c>
      <c r="O1404" s="4" t="n">
        <f aca="false">MONTH(B1404)</f>
        <v>10</v>
      </c>
      <c r="P1404" s="4" t="str">
        <f aca="false">CHOOSE(WEEKDAY(B1404,2),"Mon","Tue","Wed","Thu","Fri","Sat","Sun")</f>
        <v>Tue</v>
      </c>
      <c r="Q1404" s="4" t="str">
        <f aca="false">IF(WEEKDAY(B1404,2)&gt;5,"Weekend","Weekday")</f>
        <v>Weekday</v>
      </c>
      <c r="R1404" s="4" t="str">
        <f aca="false">IF(C1404&lt;11,"Morning (7-10)",IF(C1404&lt;14,"Lunch (11-13)",IF(C1404&lt;18,"Afternoon (14-17)","Evening (18-20)")))</f>
        <v>Lunch (11-13)</v>
      </c>
      <c r="S1404" s="4" t="str">
        <f aca="false">IF(AND(O1404&gt;=3,O1404&lt;=5),"Hot Dry (Mar-May)",IF(AND(O1404&gt;=6,O1404&lt;=11),"Rainy (Jun-Nov)","Cool Dry (Dec-Feb)"))</f>
        <v>Rainy (Jun-Nov)</v>
      </c>
      <c r="T1404" s="4" t="str">
        <f aca="false">CHOOSE(O1404,"Jan","Feb","Mar","Apr","May","Jun","Jul","Aug","Sep","Oct","Nov","Dec")</f>
        <v>Oct</v>
      </c>
    </row>
    <row r="1405" customFormat="false" ht="15" hidden="false" customHeight="false" outlineLevel="0" collapsed="false">
      <c r="A1405" s="4" t="s">
        <v>1771</v>
      </c>
      <c r="B1405" s="17" t="n">
        <v>45944</v>
      </c>
      <c r="C1405" s="4" t="n">
        <v>14</v>
      </c>
      <c r="D1405" s="4" t="s">
        <v>73</v>
      </c>
      <c r="E1405" s="4" t="s">
        <v>74</v>
      </c>
      <c r="F1405" s="4" t="s">
        <v>75</v>
      </c>
      <c r="G1405" s="4" t="n">
        <v>1</v>
      </c>
      <c r="H1405" s="34" t="n">
        <v>220</v>
      </c>
      <c r="I1405" s="18" t="n">
        <v>0</v>
      </c>
      <c r="J1405" s="4" t="s">
        <v>67</v>
      </c>
      <c r="K1405" s="4" t="s">
        <v>77</v>
      </c>
      <c r="L1405" s="35" t="n">
        <f aca="false">G1405*H1405</f>
        <v>220</v>
      </c>
      <c r="M1405" s="35" t="n">
        <f aca="false">L1405*I1405</f>
        <v>0</v>
      </c>
      <c r="N1405" s="35" t="n">
        <f aca="false">L1405-M1405</f>
        <v>220</v>
      </c>
      <c r="O1405" s="4" t="n">
        <f aca="false">MONTH(B1405)</f>
        <v>10</v>
      </c>
      <c r="P1405" s="4" t="str">
        <f aca="false">CHOOSE(WEEKDAY(B1405,2),"Mon","Tue","Wed","Thu","Fri","Sat","Sun")</f>
        <v>Tue</v>
      </c>
      <c r="Q1405" s="4" t="str">
        <f aca="false">IF(WEEKDAY(B1405,2)&gt;5,"Weekend","Weekday")</f>
        <v>Weekday</v>
      </c>
      <c r="R1405" s="4" t="str">
        <f aca="false">IF(C1405&lt;11,"Morning (7-10)",IF(C1405&lt;14,"Lunch (11-13)",IF(C1405&lt;18,"Afternoon (14-17)","Evening (18-20)")))</f>
        <v>Afternoon (14-17)</v>
      </c>
      <c r="S1405" s="4" t="str">
        <f aca="false">IF(AND(O1405&gt;=3,O1405&lt;=5),"Hot Dry (Mar-May)",IF(AND(O1405&gt;=6,O1405&lt;=11),"Rainy (Jun-Nov)","Cool Dry (Dec-Feb)"))</f>
        <v>Rainy (Jun-Nov)</v>
      </c>
      <c r="T1405" s="4" t="str">
        <f aca="false">CHOOSE(O1405,"Jan","Feb","Mar","Apr","May","Jun","Jul","Aug","Sep","Oct","Nov","Dec")</f>
        <v>Oct</v>
      </c>
    </row>
    <row r="1406" customFormat="false" ht="15" hidden="false" customHeight="false" outlineLevel="0" collapsed="false">
      <c r="A1406" s="4" t="s">
        <v>1772</v>
      </c>
      <c r="B1406" s="17" t="n">
        <v>45944</v>
      </c>
      <c r="C1406" s="4" t="n">
        <v>15</v>
      </c>
      <c r="D1406" s="4" t="s">
        <v>70</v>
      </c>
      <c r="E1406" s="4" t="s">
        <v>79</v>
      </c>
      <c r="F1406" s="4" t="s">
        <v>135</v>
      </c>
      <c r="G1406" s="4" t="n">
        <v>4</v>
      </c>
      <c r="H1406" s="34" t="n">
        <v>130</v>
      </c>
      <c r="I1406" s="18" t="n">
        <v>0</v>
      </c>
      <c r="J1406" s="4" t="s">
        <v>81</v>
      </c>
      <c r="K1406" s="4" t="s">
        <v>77</v>
      </c>
      <c r="L1406" s="35" t="n">
        <f aca="false">G1406*H1406</f>
        <v>520</v>
      </c>
      <c r="M1406" s="35" t="n">
        <f aca="false">L1406*I1406</f>
        <v>0</v>
      </c>
      <c r="N1406" s="35" t="n">
        <f aca="false">L1406-M1406</f>
        <v>520</v>
      </c>
      <c r="O1406" s="4" t="n">
        <f aca="false">MONTH(B1406)</f>
        <v>10</v>
      </c>
      <c r="P1406" s="4" t="str">
        <f aca="false">CHOOSE(WEEKDAY(B1406,2),"Mon","Tue","Wed","Thu","Fri","Sat","Sun")</f>
        <v>Tue</v>
      </c>
      <c r="Q1406" s="4" t="str">
        <f aca="false">IF(WEEKDAY(B1406,2)&gt;5,"Weekend","Weekday")</f>
        <v>Weekday</v>
      </c>
      <c r="R1406" s="4" t="str">
        <f aca="false">IF(C1406&lt;11,"Morning (7-10)",IF(C1406&lt;14,"Lunch (11-13)",IF(C1406&lt;18,"Afternoon (14-17)","Evening (18-20)")))</f>
        <v>Afternoon (14-17)</v>
      </c>
      <c r="S1406" s="4" t="str">
        <f aca="false">IF(AND(O1406&gt;=3,O1406&lt;=5),"Hot Dry (Mar-May)",IF(AND(O1406&gt;=6,O1406&lt;=11),"Rainy (Jun-Nov)","Cool Dry (Dec-Feb)"))</f>
        <v>Rainy (Jun-Nov)</v>
      </c>
      <c r="T1406" s="4" t="str">
        <f aca="false">CHOOSE(O1406,"Jan","Feb","Mar","Apr","May","Jun","Jul","Aug","Sep","Oct","Nov","Dec")</f>
        <v>Oct</v>
      </c>
    </row>
    <row r="1407" customFormat="false" ht="15" hidden="false" customHeight="false" outlineLevel="0" collapsed="false">
      <c r="A1407" s="4" t="s">
        <v>1774</v>
      </c>
      <c r="B1407" s="17" t="n">
        <v>45944</v>
      </c>
      <c r="C1407" s="4" t="n">
        <v>16</v>
      </c>
      <c r="D1407" s="4" t="s">
        <v>73</v>
      </c>
      <c r="E1407" s="4" t="s">
        <v>79</v>
      </c>
      <c r="F1407" s="4" t="s">
        <v>135</v>
      </c>
      <c r="G1407" s="4" t="n">
        <v>2</v>
      </c>
      <c r="H1407" s="34" t="n">
        <v>130</v>
      </c>
      <c r="I1407" s="18" t="n">
        <v>0.05</v>
      </c>
      <c r="J1407" s="4" t="s">
        <v>76</v>
      </c>
      <c r="K1407" s="4" t="s">
        <v>82</v>
      </c>
      <c r="L1407" s="35" t="n">
        <f aca="false">G1407*H1407</f>
        <v>260</v>
      </c>
      <c r="M1407" s="35" t="n">
        <f aca="false">L1407*I1407</f>
        <v>13</v>
      </c>
      <c r="N1407" s="35" t="n">
        <f aca="false">L1407-M1407</f>
        <v>247</v>
      </c>
      <c r="O1407" s="4" t="n">
        <f aca="false">MONTH(B1407)</f>
        <v>10</v>
      </c>
      <c r="P1407" s="4" t="str">
        <f aca="false">CHOOSE(WEEKDAY(B1407,2),"Mon","Tue","Wed","Thu","Fri","Sat","Sun")</f>
        <v>Tue</v>
      </c>
      <c r="Q1407" s="4" t="str">
        <f aca="false">IF(WEEKDAY(B1407,2)&gt;5,"Weekend","Weekday")</f>
        <v>Weekday</v>
      </c>
      <c r="R1407" s="4" t="str">
        <f aca="false">IF(C1407&lt;11,"Morning (7-10)",IF(C1407&lt;14,"Lunch (11-13)",IF(C1407&lt;18,"Afternoon (14-17)","Evening (18-20)")))</f>
        <v>Afternoon (14-17)</v>
      </c>
      <c r="S1407" s="4" t="str">
        <f aca="false">IF(AND(O1407&gt;=3,O1407&lt;=5),"Hot Dry (Mar-May)",IF(AND(O1407&gt;=6,O1407&lt;=11),"Rainy (Jun-Nov)","Cool Dry (Dec-Feb)"))</f>
        <v>Rainy (Jun-Nov)</v>
      </c>
      <c r="T1407" s="4" t="str">
        <f aca="false">CHOOSE(O1407,"Jan","Feb","Mar","Apr","May","Jun","Jul","Aug","Sep","Oct","Nov","Dec")</f>
        <v>Oct</v>
      </c>
    </row>
    <row r="1408" customFormat="false" ht="15" hidden="false" customHeight="false" outlineLevel="0" collapsed="false">
      <c r="A1408" s="4" t="s">
        <v>1775</v>
      </c>
      <c r="B1408" s="17" t="n">
        <v>45944</v>
      </c>
      <c r="C1408" s="4" t="n">
        <v>16</v>
      </c>
      <c r="D1408" s="4" t="s">
        <v>64</v>
      </c>
      <c r="E1408" s="4" t="s">
        <v>65</v>
      </c>
      <c r="F1408" s="4" t="s">
        <v>94</v>
      </c>
      <c r="G1408" s="4" t="n">
        <v>2</v>
      </c>
      <c r="H1408" s="34" t="n">
        <v>150</v>
      </c>
      <c r="I1408" s="18" t="n">
        <v>0.15</v>
      </c>
      <c r="J1408" s="4" t="s">
        <v>81</v>
      </c>
      <c r="K1408" s="4" t="s">
        <v>77</v>
      </c>
      <c r="L1408" s="35" t="n">
        <f aca="false">G1408*H1408</f>
        <v>300</v>
      </c>
      <c r="M1408" s="35" t="n">
        <f aca="false">L1408*I1408</f>
        <v>45</v>
      </c>
      <c r="N1408" s="35" t="n">
        <f aca="false">L1408-M1408</f>
        <v>255</v>
      </c>
      <c r="O1408" s="4" t="n">
        <f aca="false">MONTH(B1408)</f>
        <v>10</v>
      </c>
      <c r="P1408" s="4" t="str">
        <f aca="false">CHOOSE(WEEKDAY(B1408,2),"Mon","Tue","Wed","Thu","Fri","Sat","Sun")</f>
        <v>Tue</v>
      </c>
      <c r="Q1408" s="4" t="str">
        <f aca="false">IF(WEEKDAY(B1408,2)&gt;5,"Weekend","Weekday")</f>
        <v>Weekday</v>
      </c>
      <c r="R1408" s="4" t="str">
        <f aca="false">IF(C1408&lt;11,"Morning (7-10)",IF(C1408&lt;14,"Lunch (11-13)",IF(C1408&lt;18,"Afternoon (14-17)","Evening (18-20)")))</f>
        <v>Afternoon (14-17)</v>
      </c>
      <c r="S1408" s="4" t="str">
        <f aca="false">IF(AND(O1408&gt;=3,O1408&lt;=5),"Hot Dry (Mar-May)",IF(AND(O1408&gt;=6,O1408&lt;=11),"Rainy (Jun-Nov)","Cool Dry (Dec-Feb)"))</f>
        <v>Rainy (Jun-Nov)</v>
      </c>
      <c r="T1408" s="4" t="str">
        <f aca="false">CHOOSE(O1408,"Jan","Feb","Mar","Apr","May","Jun","Jul","Aug","Sep","Oct","Nov","Dec")</f>
        <v>Oct</v>
      </c>
    </row>
    <row r="1409" customFormat="false" ht="15" hidden="false" customHeight="false" outlineLevel="0" collapsed="false">
      <c r="A1409" s="4" t="s">
        <v>1776</v>
      </c>
      <c r="B1409" s="17" t="n">
        <v>45944</v>
      </c>
      <c r="C1409" s="4" t="n">
        <v>16</v>
      </c>
      <c r="D1409" s="4" t="s">
        <v>98</v>
      </c>
      <c r="E1409" s="4" t="s">
        <v>65</v>
      </c>
      <c r="F1409" s="4" t="s">
        <v>94</v>
      </c>
      <c r="G1409" s="4" t="n">
        <v>1</v>
      </c>
      <c r="H1409" s="34" t="n">
        <v>150</v>
      </c>
      <c r="I1409" s="18" t="n">
        <v>0.05</v>
      </c>
      <c r="J1409" s="4" t="s">
        <v>81</v>
      </c>
      <c r="K1409" s="4" t="s">
        <v>82</v>
      </c>
      <c r="L1409" s="35" t="n">
        <f aca="false">G1409*H1409</f>
        <v>150</v>
      </c>
      <c r="M1409" s="35" t="n">
        <f aca="false">L1409*I1409</f>
        <v>7.5</v>
      </c>
      <c r="N1409" s="35" t="n">
        <f aca="false">L1409-M1409</f>
        <v>142.5</v>
      </c>
      <c r="O1409" s="4" t="n">
        <f aca="false">MONTH(B1409)</f>
        <v>10</v>
      </c>
      <c r="P1409" s="4" t="str">
        <f aca="false">CHOOSE(WEEKDAY(B1409,2),"Mon","Tue","Wed","Thu","Fri","Sat","Sun")</f>
        <v>Tue</v>
      </c>
      <c r="Q1409" s="4" t="str">
        <f aca="false">IF(WEEKDAY(B1409,2)&gt;5,"Weekend","Weekday")</f>
        <v>Weekday</v>
      </c>
      <c r="R1409" s="4" t="str">
        <f aca="false">IF(C1409&lt;11,"Morning (7-10)",IF(C1409&lt;14,"Lunch (11-13)",IF(C1409&lt;18,"Afternoon (14-17)","Evening (18-20)")))</f>
        <v>Afternoon (14-17)</v>
      </c>
      <c r="S1409" s="4" t="str">
        <f aca="false">IF(AND(O1409&gt;=3,O1409&lt;=5),"Hot Dry (Mar-May)",IF(AND(O1409&gt;=6,O1409&lt;=11),"Rainy (Jun-Nov)","Cool Dry (Dec-Feb)"))</f>
        <v>Rainy (Jun-Nov)</v>
      </c>
      <c r="T1409" s="4" t="str">
        <f aca="false">CHOOSE(O1409,"Jan","Feb","Mar","Apr","May","Jun","Jul","Aug","Sep","Oct","Nov","Dec")</f>
        <v>Oct</v>
      </c>
    </row>
    <row r="1410" customFormat="false" ht="15" hidden="false" customHeight="false" outlineLevel="0" collapsed="false">
      <c r="A1410" s="4" t="s">
        <v>1777</v>
      </c>
      <c r="B1410" s="17" t="n">
        <v>45945</v>
      </c>
      <c r="C1410" s="4" t="n">
        <v>7</v>
      </c>
      <c r="D1410" s="4" t="s">
        <v>70</v>
      </c>
      <c r="E1410" s="4" t="s">
        <v>99</v>
      </c>
      <c r="F1410" s="4" t="s">
        <v>109</v>
      </c>
      <c r="G1410" s="4" t="n">
        <v>1</v>
      </c>
      <c r="H1410" s="34" t="n">
        <v>130</v>
      </c>
      <c r="I1410" s="18" t="n">
        <v>0</v>
      </c>
      <c r="J1410" s="4" t="s">
        <v>67</v>
      </c>
      <c r="K1410" s="4" t="s">
        <v>2289</v>
      </c>
      <c r="L1410" s="35" t="n">
        <f aca="false">G1410*H1410</f>
        <v>130</v>
      </c>
      <c r="M1410" s="35" t="n">
        <f aca="false">L1410*I1410</f>
        <v>0</v>
      </c>
      <c r="N1410" s="35" t="n">
        <f aca="false">L1410-M1410</f>
        <v>130</v>
      </c>
      <c r="O1410" s="4" t="n">
        <f aca="false">MONTH(B1410)</f>
        <v>10</v>
      </c>
      <c r="P1410" s="4" t="str">
        <f aca="false">CHOOSE(WEEKDAY(B1410,2),"Mon","Tue","Wed","Thu","Fri","Sat","Sun")</f>
        <v>Wed</v>
      </c>
      <c r="Q1410" s="4" t="str">
        <f aca="false">IF(WEEKDAY(B1410,2)&gt;5,"Weekend","Weekday")</f>
        <v>Weekday</v>
      </c>
      <c r="R1410" s="4" t="str">
        <f aca="false">IF(C1410&lt;11,"Morning (7-10)",IF(C1410&lt;14,"Lunch (11-13)",IF(C1410&lt;18,"Afternoon (14-17)","Evening (18-20)")))</f>
        <v>Morning (7-10)</v>
      </c>
      <c r="S1410" s="4" t="str">
        <f aca="false">IF(AND(O1410&gt;=3,O1410&lt;=5),"Hot Dry (Mar-May)",IF(AND(O1410&gt;=6,O1410&lt;=11),"Rainy (Jun-Nov)","Cool Dry (Dec-Feb)"))</f>
        <v>Rainy (Jun-Nov)</v>
      </c>
      <c r="T1410" s="4" t="str">
        <f aca="false">CHOOSE(O1410,"Jan","Feb","Mar","Apr","May","Jun","Jul","Aug","Sep","Oct","Nov","Dec")</f>
        <v>Oct</v>
      </c>
    </row>
    <row r="1411" customFormat="false" ht="15" hidden="false" customHeight="false" outlineLevel="0" collapsed="false">
      <c r="A1411" s="4" t="s">
        <v>1778</v>
      </c>
      <c r="B1411" s="17" t="n">
        <v>45945</v>
      </c>
      <c r="C1411" s="4" t="n">
        <v>8</v>
      </c>
      <c r="D1411" s="4" t="s">
        <v>70</v>
      </c>
      <c r="E1411" s="4" t="s">
        <v>79</v>
      </c>
      <c r="F1411" s="4" t="s">
        <v>148</v>
      </c>
      <c r="G1411" s="4" t="n">
        <v>1</v>
      </c>
      <c r="H1411" s="34" t="n">
        <v>120</v>
      </c>
      <c r="I1411" s="18" t="n">
        <v>0</v>
      </c>
      <c r="J1411" s="4" t="s">
        <v>81</v>
      </c>
      <c r="K1411" s="4" t="s">
        <v>68</v>
      </c>
      <c r="L1411" s="35" t="n">
        <f aca="false">G1411*H1411</f>
        <v>120</v>
      </c>
      <c r="M1411" s="35" t="n">
        <f aca="false">L1411*I1411</f>
        <v>0</v>
      </c>
      <c r="N1411" s="35" t="n">
        <f aca="false">L1411-M1411</f>
        <v>120</v>
      </c>
      <c r="O1411" s="4" t="n">
        <f aca="false">MONTH(B1411)</f>
        <v>10</v>
      </c>
      <c r="P1411" s="4" t="str">
        <f aca="false">CHOOSE(WEEKDAY(B1411,2),"Mon","Tue","Wed","Thu","Fri","Sat","Sun")</f>
        <v>Wed</v>
      </c>
      <c r="Q1411" s="4" t="str">
        <f aca="false">IF(WEEKDAY(B1411,2)&gt;5,"Weekend","Weekday")</f>
        <v>Weekday</v>
      </c>
      <c r="R1411" s="4" t="str">
        <f aca="false">IF(C1411&lt;11,"Morning (7-10)",IF(C1411&lt;14,"Lunch (11-13)",IF(C1411&lt;18,"Afternoon (14-17)","Evening (18-20)")))</f>
        <v>Morning (7-10)</v>
      </c>
      <c r="S1411" s="4" t="str">
        <f aca="false">IF(AND(O1411&gt;=3,O1411&lt;=5),"Hot Dry (Mar-May)",IF(AND(O1411&gt;=6,O1411&lt;=11),"Rainy (Jun-Nov)","Cool Dry (Dec-Feb)"))</f>
        <v>Rainy (Jun-Nov)</v>
      </c>
      <c r="T1411" s="4" t="str">
        <f aca="false">CHOOSE(O1411,"Jan","Feb","Mar","Apr","May","Jun","Jul","Aug","Sep","Oct","Nov","Dec")</f>
        <v>Oct</v>
      </c>
    </row>
    <row r="1412" customFormat="false" ht="15" hidden="false" customHeight="false" outlineLevel="0" collapsed="false">
      <c r="A1412" s="4" t="s">
        <v>1779</v>
      </c>
      <c r="B1412" s="17" t="n">
        <v>45945</v>
      </c>
      <c r="C1412" s="4" t="n">
        <v>8</v>
      </c>
      <c r="D1412" s="4" t="s">
        <v>73</v>
      </c>
      <c r="E1412" s="4" t="s">
        <v>65</v>
      </c>
      <c r="F1412" s="4" t="s">
        <v>66</v>
      </c>
      <c r="G1412" s="4" t="n">
        <v>1</v>
      </c>
      <c r="H1412" s="34" t="n">
        <v>120</v>
      </c>
      <c r="I1412" s="18" t="n">
        <v>0.2</v>
      </c>
      <c r="J1412" s="4" t="s">
        <v>76</v>
      </c>
      <c r="K1412" s="4" t="s">
        <v>68</v>
      </c>
      <c r="L1412" s="35" t="n">
        <f aca="false">G1412*H1412</f>
        <v>120</v>
      </c>
      <c r="M1412" s="35" t="n">
        <f aca="false">L1412*I1412</f>
        <v>24</v>
      </c>
      <c r="N1412" s="35" t="n">
        <f aca="false">L1412-M1412</f>
        <v>96</v>
      </c>
      <c r="O1412" s="4" t="n">
        <f aca="false">MONTH(B1412)</f>
        <v>10</v>
      </c>
      <c r="P1412" s="4" t="str">
        <f aca="false">CHOOSE(WEEKDAY(B1412,2),"Mon","Tue","Wed","Thu","Fri","Sat","Sun")</f>
        <v>Wed</v>
      </c>
      <c r="Q1412" s="4" t="str">
        <f aca="false">IF(WEEKDAY(B1412,2)&gt;5,"Weekend","Weekday")</f>
        <v>Weekday</v>
      </c>
      <c r="R1412" s="4" t="str">
        <f aca="false">IF(C1412&lt;11,"Morning (7-10)",IF(C1412&lt;14,"Lunch (11-13)",IF(C1412&lt;18,"Afternoon (14-17)","Evening (18-20)")))</f>
        <v>Morning (7-10)</v>
      </c>
      <c r="S1412" s="4" t="str">
        <f aca="false">IF(AND(O1412&gt;=3,O1412&lt;=5),"Hot Dry (Mar-May)",IF(AND(O1412&gt;=6,O1412&lt;=11),"Rainy (Jun-Nov)","Cool Dry (Dec-Feb)"))</f>
        <v>Rainy (Jun-Nov)</v>
      </c>
      <c r="T1412" s="4" t="str">
        <f aca="false">CHOOSE(O1412,"Jan","Feb","Mar","Apr","May","Jun","Jul","Aug","Sep","Oct","Nov","Dec")</f>
        <v>Oct</v>
      </c>
    </row>
    <row r="1413" customFormat="false" ht="15" hidden="false" customHeight="false" outlineLevel="0" collapsed="false">
      <c r="A1413" s="4" t="s">
        <v>1781</v>
      </c>
      <c r="B1413" s="17" t="n">
        <v>45945</v>
      </c>
      <c r="C1413" s="4" t="n">
        <v>10</v>
      </c>
      <c r="D1413" s="4" t="s">
        <v>70</v>
      </c>
      <c r="E1413" s="4" t="s">
        <v>84</v>
      </c>
      <c r="F1413" s="4" t="s">
        <v>85</v>
      </c>
      <c r="G1413" s="4" t="n">
        <v>2</v>
      </c>
      <c r="H1413" s="34" t="n">
        <v>150</v>
      </c>
      <c r="I1413" s="18" t="n">
        <v>0.05</v>
      </c>
      <c r="J1413" s="4" t="s">
        <v>67</v>
      </c>
      <c r="K1413" s="4" t="s">
        <v>82</v>
      </c>
      <c r="L1413" s="35" t="n">
        <f aca="false">G1413*H1413</f>
        <v>300</v>
      </c>
      <c r="M1413" s="35" t="n">
        <f aca="false">L1413*I1413</f>
        <v>15</v>
      </c>
      <c r="N1413" s="35" t="n">
        <f aca="false">L1413-M1413</f>
        <v>285</v>
      </c>
      <c r="O1413" s="4" t="n">
        <f aca="false">MONTH(B1413)</f>
        <v>10</v>
      </c>
      <c r="P1413" s="4" t="str">
        <f aca="false">CHOOSE(WEEKDAY(B1413,2),"Mon","Tue","Wed","Thu","Fri","Sat","Sun")</f>
        <v>Wed</v>
      </c>
      <c r="Q1413" s="4" t="str">
        <f aca="false">IF(WEEKDAY(B1413,2)&gt;5,"Weekend","Weekday")</f>
        <v>Weekday</v>
      </c>
      <c r="R1413" s="4" t="str">
        <f aca="false">IF(C1413&lt;11,"Morning (7-10)",IF(C1413&lt;14,"Lunch (11-13)",IF(C1413&lt;18,"Afternoon (14-17)","Evening (18-20)")))</f>
        <v>Morning (7-10)</v>
      </c>
      <c r="S1413" s="4" t="str">
        <f aca="false">IF(AND(O1413&gt;=3,O1413&lt;=5),"Hot Dry (Mar-May)",IF(AND(O1413&gt;=6,O1413&lt;=11),"Rainy (Jun-Nov)","Cool Dry (Dec-Feb)"))</f>
        <v>Rainy (Jun-Nov)</v>
      </c>
      <c r="T1413" s="4" t="str">
        <f aca="false">CHOOSE(O1413,"Jan","Feb","Mar","Apr","May","Jun","Jul","Aug","Sep","Oct","Nov","Dec")</f>
        <v>Oct</v>
      </c>
    </row>
    <row r="1414" customFormat="false" ht="15" hidden="false" customHeight="false" outlineLevel="0" collapsed="false">
      <c r="A1414" s="4" t="s">
        <v>1782</v>
      </c>
      <c r="B1414" s="17" t="n">
        <v>45945</v>
      </c>
      <c r="C1414" s="4" t="n">
        <v>11</v>
      </c>
      <c r="D1414" s="4" t="s">
        <v>64</v>
      </c>
      <c r="E1414" s="4" t="s">
        <v>99</v>
      </c>
      <c r="F1414" s="4" t="s">
        <v>100</v>
      </c>
      <c r="G1414" s="4" t="n">
        <v>3</v>
      </c>
      <c r="H1414" s="34" t="n">
        <v>110</v>
      </c>
      <c r="I1414" s="18" t="n">
        <v>0</v>
      </c>
      <c r="J1414" s="4" t="s">
        <v>81</v>
      </c>
      <c r="K1414" s="4" t="s">
        <v>68</v>
      </c>
      <c r="L1414" s="35" t="n">
        <f aca="false">G1414*H1414</f>
        <v>330</v>
      </c>
      <c r="M1414" s="35" t="n">
        <f aca="false">L1414*I1414</f>
        <v>0</v>
      </c>
      <c r="N1414" s="35" t="n">
        <f aca="false">L1414-M1414</f>
        <v>330</v>
      </c>
      <c r="O1414" s="4" t="n">
        <f aca="false">MONTH(B1414)</f>
        <v>10</v>
      </c>
      <c r="P1414" s="4" t="str">
        <f aca="false">CHOOSE(WEEKDAY(B1414,2),"Mon","Tue","Wed","Thu","Fri","Sat","Sun")</f>
        <v>Wed</v>
      </c>
      <c r="Q1414" s="4" t="str">
        <f aca="false">IF(WEEKDAY(B1414,2)&gt;5,"Weekend","Weekday")</f>
        <v>Weekday</v>
      </c>
      <c r="R1414" s="4" t="str">
        <f aca="false">IF(C1414&lt;11,"Morning (7-10)",IF(C1414&lt;14,"Lunch (11-13)",IF(C1414&lt;18,"Afternoon (14-17)","Evening (18-20)")))</f>
        <v>Lunch (11-13)</v>
      </c>
      <c r="S1414" s="4" t="str">
        <f aca="false">IF(AND(O1414&gt;=3,O1414&lt;=5),"Hot Dry (Mar-May)",IF(AND(O1414&gt;=6,O1414&lt;=11),"Rainy (Jun-Nov)","Cool Dry (Dec-Feb)"))</f>
        <v>Rainy (Jun-Nov)</v>
      </c>
      <c r="T1414" s="4" t="str">
        <f aca="false">CHOOSE(O1414,"Jan","Feb","Mar","Apr","May","Jun","Jul","Aug","Sep","Oct","Nov","Dec")</f>
        <v>Oct</v>
      </c>
    </row>
    <row r="1415" customFormat="false" ht="15" hidden="false" customHeight="false" outlineLevel="0" collapsed="false">
      <c r="A1415" s="4" t="s">
        <v>1783</v>
      </c>
      <c r="B1415" s="17" t="n">
        <v>45945</v>
      </c>
      <c r="C1415" s="4" t="n">
        <v>17</v>
      </c>
      <c r="D1415" s="4" t="s">
        <v>70</v>
      </c>
      <c r="E1415" s="4" t="s">
        <v>84</v>
      </c>
      <c r="F1415" s="4" t="s">
        <v>117</v>
      </c>
      <c r="G1415" s="4" t="n">
        <v>1</v>
      </c>
      <c r="H1415" s="34" t="n">
        <v>95</v>
      </c>
      <c r="I1415" s="18" t="n">
        <v>0.05</v>
      </c>
      <c r="J1415" s="4" t="s">
        <v>81</v>
      </c>
      <c r="K1415" s="4" t="s">
        <v>82</v>
      </c>
      <c r="L1415" s="35" t="n">
        <f aca="false">G1415*H1415</f>
        <v>95</v>
      </c>
      <c r="M1415" s="35" t="n">
        <f aca="false">L1415*I1415</f>
        <v>4.75</v>
      </c>
      <c r="N1415" s="35" t="n">
        <f aca="false">L1415-M1415</f>
        <v>90.25</v>
      </c>
      <c r="O1415" s="4" t="n">
        <f aca="false">MONTH(B1415)</f>
        <v>10</v>
      </c>
      <c r="P1415" s="4" t="str">
        <f aca="false">CHOOSE(WEEKDAY(B1415,2),"Mon","Tue","Wed","Thu","Fri","Sat","Sun")</f>
        <v>Wed</v>
      </c>
      <c r="Q1415" s="4" t="str">
        <f aca="false">IF(WEEKDAY(B1415,2)&gt;5,"Weekend","Weekday")</f>
        <v>Weekday</v>
      </c>
      <c r="R1415" s="4" t="str">
        <f aca="false">IF(C1415&lt;11,"Morning (7-10)",IF(C1415&lt;14,"Lunch (11-13)",IF(C1415&lt;18,"Afternoon (14-17)","Evening (18-20)")))</f>
        <v>Afternoon (14-17)</v>
      </c>
      <c r="S1415" s="4" t="str">
        <f aca="false">IF(AND(O1415&gt;=3,O1415&lt;=5),"Hot Dry (Mar-May)",IF(AND(O1415&gt;=6,O1415&lt;=11),"Rainy (Jun-Nov)","Cool Dry (Dec-Feb)"))</f>
        <v>Rainy (Jun-Nov)</v>
      </c>
      <c r="T1415" s="4" t="str">
        <f aca="false">CHOOSE(O1415,"Jan","Feb","Mar","Apr","May","Jun","Jul","Aug","Sep","Oct","Nov","Dec")</f>
        <v>Oct</v>
      </c>
    </row>
    <row r="1416" customFormat="false" ht="15" hidden="false" customHeight="false" outlineLevel="0" collapsed="false">
      <c r="A1416" s="4" t="s">
        <v>1784</v>
      </c>
      <c r="B1416" s="17" t="n">
        <v>45945</v>
      </c>
      <c r="C1416" s="4" t="n">
        <v>17</v>
      </c>
      <c r="D1416" s="4" t="s">
        <v>64</v>
      </c>
      <c r="E1416" s="4" t="s">
        <v>65</v>
      </c>
      <c r="F1416" s="4" t="s">
        <v>94</v>
      </c>
      <c r="G1416" s="4" t="n">
        <v>1</v>
      </c>
      <c r="H1416" s="34" t="n">
        <v>150</v>
      </c>
      <c r="I1416" s="18" t="n">
        <v>0.05</v>
      </c>
      <c r="J1416" s="4" t="s">
        <v>112</v>
      </c>
      <c r="K1416" s="4" t="s">
        <v>82</v>
      </c>
      <c r="L1416" s="35" t="n">
        <f aca="false">G1416*H1416</f>
        <v>150</v>
      </c>
      <c r="M1416" s="35" t="n">
        <f aca="false">L1416*I1416</f>
        <v>7.5</v>
      </c>
      <c r="N1416" s="35" t="n">
        <f aca="false">L1416-M1416</f>
        <v>142.5</v>
      </c>
      <c r="O1416" s="4" t="n">
        <f aca="false">MONTH(B1416)</f>
        <v>10</v>
      </c>
      <c r="P1416" s="4" t="str">
        <f aca="false">CHOOSE(WEEKDAY(B1416,2),"Mon","Tue","Wed","Thu","Fri","Sat","Sun")</f>
        <v>Wed</v>
      </c>
      <c r="Q1416" s="4" t="str">
        <f aca="false">IF(WEEKDAY(B1416,2)&gt;5,"Weekend","Weekday")</f>
        <v>Weekday</v>
      </c>
      <c r="R1416" s="4" t="str">
        <f aca="false">IF(C1416&lt;11,"Morning (7-10)",IF(C1416&lt;14,"Lunch (11-13)",IF(C1416&lt;18,"Afternoon (14-17)","Evening (18-20)")))</f>
        <v>Afternoon (14-17)</v>
      </c>
      <c r="S1416" s="4" t="str">
        <f aca="false">IF(AND(O1416&gt;=3,O1416&lt;=5),"Hot Dry (Mar-May)",IF(AND(O1416&gt;=6,O1416&lt;=11),"Rainy (Jun-Nov)","Cool Dry (Dec-Feb)"))</f>
        <v>Rainy (Jun-Nov)</v>
      </c>
      <c r="T1416" s="4" t="str">
        <f aca="false">CHOOSE(O1416,"Jan","Feb","Mar","Apr","May","Jun","Jul","Aug","Sep","Oct","Nov","Dec")</f>
        <v>Oct</v>
      </c>
    </row>
    <row r="1417" customFormat="false" ht="15" hidden="false" customHeight="false" outlineLevel="0" collapsed="false">
      <c r="A1417" s="4" t="s">
        <v>1785</v>
      </c>
      <c r="B1417" s="17" t="n">
        <v>45945</v>
      </c>
      <c r="C1417" s="4" t="n">
        <v>17</v>
      </c>
      <c r="D1417" s="4" t="s">
        <v>73</v>
      </c>
      <c r="E1417" s="4" t="s">
        <v>99</v>
      </c>
      <c r="F1417" s="4" t="s">
        <v>133</v>
      </c>
      <c r="G1417" s="4" t="n">
        <v>1</v>
      </c>
      <c r="H1417" s="34" t="n">
        <v>90</v>
      </c>
      <c r="I1417" s="18" t="n">
        <v>0</v>
      </c>
      <c r="J1417" s="4" t="s">
        <v>81</v>
      </c>
      <c r="K1417" s="4" t="s">
        <v>68</v>
      </c>
      <c r="L1417" s="35" t="n">
        <f aca="false">G1417*H1417</f>
        <v>90</v>
      </c>
      <c r="M1417" s="35" t="n">
        <f aca="false">L1417*I1417</f>
        <v>0</v>
      </c>
      <c r="N1417" s="35" t="n">
        <f aca="false">L1417-M1417</f>
        <v>90</v>
      </c>
      <c r="O1417" s="4" t="n">
        <f aca="false">MONTH(B1417)</f>
        <v>10</v>
      </c>
      <c r="P1417" s="4" t="str">
        <f aca="false">CHOOSE(WEEKDAY(B1417,2),"Mon","Tue","Wed","Thu","Fri","Sat","Sun")</f>
        <v>Wed</v>
      </c>
      <c r="Q1417" s="4" t="str">
        <f aca="false">IF(WEEKDAY(B1417,2)&gt;5,"Weekend","Weekday")</f>
        <v>Weekday</v>
      </c>
      <c r="R1417" s="4" t="str">
        <f aca="false">IF(C1417&lt;11,"Morning (7-10)",IF(C1417&lt;14,"Lunch (11-13)",IF(C1417&lt;18,"Afternoon (14-17)","Evening (18-20)")))</f>
        <v>Afternoon (14-17)</v>
      </c>
      <c r="S1417" s="4" t="str">
        <f aca="false">IF(AND(O1417&gt;=3,O1417&lt;=5),"Hot Dry (Mar-May)",IF(AND(O1417&gt;=6,O1417&lt;=11),"Rainy (Jun-Nov)","Cool Dry (Dec-Feb)"))</f>
        <v>Rainy (Jun-Nov)</v>
      </c>
      <c r="T1417" s="4" t="str">
        <f aca="false">CHOOSE(O1417,"Jan","Feb","Mar","Apr","May","Jun","Jul","Aug","Sep","Oct","Nov","Dec")</f>
        <v>Oct</v>
      </c>
    </row>
    <row r="1418" customFormat="false" ht="15" hidden="false" customHeight="false" outlineLevel="0" collapsed="false">
      <c r="A1418" s="4" t="s">
        <v>1786</v>
      </c>
      <c r="B1418" s="17" t="n">
        <v>45945</v>
      </c>
      <c r="C1418" s="4" t="n">
        <v>19</v>
      </c>
      <c r="D1418" s="4" t="s">
        <v>64</v>
      </c>
      <c r="E1418" s="4" t="s">
        <v>79</v>
      </c>
      <c r="F1418" s="4" t="s">
        <v>80</v>
      </c>
      <c r="G1418" s="4" t="n">
        <v>1</v>
      </c>
      <c r="H1418" s="34" t="n">
        <v>160</v>
      </c>
      <c r="I1418" s="18" t="n">
        <v>0.05</v>
      </c>
      <c r="J1418" s="4" t="s">
        <v>81</v>
      </c>
      <c r="K1418" s="4" t="s">
        <v>2289</v>
      </c>
      <c r="L1418" s="35" t="n">
        <f aca="false">G1418*H1418</f>
        <v>160</v>
      </c>
      <c r="M1418" s="35" t="n">
        <f aca="false">L1418*I1418</f>
        <v>8</v>
      </c>
      <c r="N1418" s="35" t="n">
        <f aca="false">L1418-M1418</f>
        <v>152</v>
      </c>
      <c r="O1418" s="4" t="n">
        <f aca="false">MONTH(B1418)</f>
        <v>10</v>
      </c>
      <c r="P1418" s="4" t="str">
        <f aca="false">CHOOSE(WEEKDAY(B1418,2),"Mon","Tue","Wed","Thu","Fri","Sat","Sun")</f>
        <v>Wed</v>
      </c>
      <c r="Q1418" s="4" t="str">
        <f aca="false">IF(WEEKDAY(B1418,2)&gt;5,"Weekend","Weekday")</f>
        <v>Weekday</v>
      </c>
      <c r="R1418" s="4" t="str">
        <f aca="false">IF(C1418&lt;11,"Morning (7-10)",IF(C1418&lt;14,"Lunch (11-13)",IF(C1418&lt;18,"Afternoon (14-17)","Evening (18-20)")))</f>
        <v>Evening (18-20)</v>
      </c>
      <c r="S1418" s="4" t="str">
        <f aca="false">IF(AND(O1418&gt;=3,O1418&lt;=5),"Hot Dry (Mar-May)",IF(AND(O1418&gt;=6,O1418&lt;=11),"Rainy (Jun-Nov)","Cool Dry (Dec-Feb)"))</f>
        <v>Rainy (Jun-Nov)</v>
      </c>
      <c r="T1418" s="4" t="str">
        <f aca="false">CHOOSE(O1418,"Jan","Feb","Mar","Apr","May","Jun","Jul","Aug","Sep","Oct","Nov","Dec")</f>
        <v>Oct</v>
      </c>
    </row>
    <row r="1419" customFormat="false" ht="15" hidden="false" customHeight="false" outlineLevel="0" collapsed="false">
      <c r="A1419" s="4" t="s">
        <v>1787</v>
      </c>
      <c r="B1419" s="17" t="n">
        <v>45946</v>
      </c>
      <c r="C1419" s="4" t="n">
        <v>7</v>
      </c>
      <c r="D1419" s="4" t="s">
        <v>73</v>
      </c>
      <c r="E1419" s="4" t="s">
        <v>84</v>
      </c>
      <c r="F1419" s="4" t="s">
        <v>114</v>
      </c>
      <c r="G1419" s="4" t="n">
        <v>2</v>
      </c>
      <c r="H1419" s="34" t="n">
        <v>85</v>
      </c>
      <c r="I1419" s="18" t="n">
        <v>0</v>
      </c>
      <c r="J1419" s="4" t="s">
        <v>81</v>
      </c>
      <c r="K1419" s="4" t="s">
        <v>77</v>
      </c>
      <c r="L1419" s="35" t="n">
        <f aca="false">G1419*H1419</f>
        <v>170</v>
      </c>
      <c r="M1419" s="35" t="n">
        <f aca="false">L1419*I1419</f>
        <v>0</v>
      </c>
      <c r="N1419" s="35" t="n">
        <f aca="false">L1419-M1419</f>
        <v>170</v>
      </c>
      <c r="O1419" s="4" t="n">
        <f aca="false">MONTH(B1419)</f>
        <v>10</v>
      </c>
      <c r="P1419" s="4" t="str">
        <f aca="false">CHOOSE(WEEKDAY(B1419,2),"Mon","Tue","Wed","Thu","Fri","Sat","Sun")</f>
        <v>Thu</v>
      </c>
      <c r="Q1419" s="4" t="str">
        <f aca="false">IF(WEEKDAY(B1419,2)&gt;5,"Weekend","Weekday")</f>
        <v>Weekday</v>
      </c>
      <c r="R1419" s="4" t="str">
        <f aca="false">IF(C1419&lt;11,"Morning (7-10)",IF(C1419&lt;14,"Lunch (11-13)",IF(C1419&lt;18,"Afternoon (14-17)","Evening (18-20)")))</f>
        <v>Morning (7-10)</v>
      </c>
      <c r="S1419" s="4" t="str">
        <f aca="false">IF(AND(O1419&gt;=3,O1419&lt;=5),"Hot Dry (Mar-May)",IF(AND(O1419&gt;=6,O1419&lt;=11),"Rainy (Jun-Nov)","Cool Dry (Dec-Feb)"))</f>
        <v>Rainy (Jun-Nov)</v>
      </c>
      <c r="T1419" s="4" t="str">
        <f aca="false">CHOOSE(O1419,"Jan","Feb","Mar","Apr","May","Jun","Jul","Aug","Sep","Oct","Nov","Dec")</f>
        <v>Oct</v>
      </c>
    </row>
    <row r="1420" customFormat="false" ht="15" hidden="false" customHeight="false" outlineLevel="0" collapsed="false">
      <c r="A1420" s="4" t="s">
        <v>1788</v>
      </c>
      <c r="B1420" s="17" t="n">
        <v>45946</v>
      </c>
      <c r="C1420" s="4" t="n">
        <v>9</v>
      </c>
      <c r="D1420" s="4" t="s">
        <v>73</v>
      </c>
      <c r="E1420" s="4" t="s">
        <v>84</v>
      </c>
      <c r="F1420" s="4" t="s">
        <v>114</v>
      </c>
      <c r="G1420" s="4" t="n">
        <v>1</v>
      </c>
      <c r="H1420" s="34" t="n">
        <v>85</v>
      </c>
      <c r="I1420" s="18" t="n">
        <v>0.1</v>
      </c>
      <c r="J1420" s="4" t="s">
        <v>76</v>
      </c>
      <c r="K1420" s="4" t="s">
        <v>2289</v>
      </c>
      <c r="L1420" s="35" t="n">
        <f aca="false">G1420*H1420</f>
        <v>85</v>
      </c>
      <c r="M1420" s="35" t="n">
        <f aca="false">L1420*I1420</f>
        <v>8.5</v>
      </c>
      <c r="N1420" s="35" t="n">
        <f aca="false">L1420-M1420</f>
        <v>76.5</v>
      </c>
      <c r="O1420" s="4" t="n">
        <f aca="false">MONTH(B1420)</f>
        <v>10</v>
      </c>
      <c r="P1420" s="4" t="str">
        <f aca="false">CHOOSE(WEEKDAY(B1420,2),"Mon","Tue","Wed","Thu","Fri","Sat","Sun")</f>
        <v>Thu</v>
      </c>
      <c r="Q1420" s="4" t="str">
        <f aca="false">IF(WEEKDAY(B1420,2)&gt;5,"Weekend","Weekday")</f>
        <v>Weekday</v>
      </c>
      <c r="R1420" s="4" t="str">
        <f aca="false">IF(C1420&lt;11,"Morning (7-10)",IF(C1420&lt;14,"Lunch (11-13)",IF(C1420&lt;18,"Afternoon (14-17)","Evening (18-20)")))</f>
        <v>Morning (7-10)</v>
      </c>
      <c r="S1420" s="4" t="str">
        <f aca="false">IF(AND(O1420&gt;=3,O1420&lt;=5),"Hot Dry (Mar-May)",IF(AND(O1420&gt;=6,O1420&lt;=11),"Rainy (Jun-Nov)","Cool Dry (Dec-Feb)"))</f>
        <v>Rainy (Jun-Nov)</v>
      </c>
      <c r="T1420" s="4" t="str">
        <f aca="false">CHOOSE(O1420,"Jan","Feb","Mar","Apr","May","Jun","Jul","Aug","Sep","Oct","Nov","Dec")</f>
        <v>Oct</v>
      </c>
    </row>
    <row r="1421" customFormat="false" ht="15" hidden="false" customHeight="false" outlineLevel="0" collapsed="false">
      <c r="A1421" s="4" t="s">
        <v>1789</v>
      </c>
      <c r="B1421" s="17" t="n">
        <v>45946</v>
      </c>
      <c r="C1421" s="4" t="n">
        <v>10</v>
      </c>
      <c r="D1421" s="4" t="s">
        <v>70</v>
      </c>
      <c r="E1421" s="4" t="s">
        <v>65</v>
      </c>
      <c r="F1421" s="4" t="s">
        <v>94</v>
      </c>
      <c r="G1421" s="4" t="n">
        <v>1</v>
      </c>
      <c r="H1421" s="34" t="n">
        <v>150</v>
      </c>
      <c r="I1421" s="18" t="n">
        <v>0</v>
      </c>
      <c r="J1421" s="4" t="s">
        <v>81</v>
      </c>
      <c r="K1421" s="4" t="s">
        <v>68</v>
      </c>
      <c r="L1421" s="35" t="n">
        <f aca="false">G1421*H1421</f>
        <v>150</v>
      </c>
      <c r="M1421" s="35" t="n">
        <f aca="false">L1421*I1421</f>
        <v>0</v>
      </c>
      <c r="N1421" s="35" t="n">
        <f aca="false">L1421-M1421</f>
        <v>150</v>
      </c>
      <c r="O1421" s="4" t="n">
        <f aca="false">MONTH(B1421)</f>
        <v>10</v>
      </c>
      <c r="P1421" s="4" t="str">
        <f aca="false">CHOOSE(WEEKDAY(B1421,2),"Mon","Tue","Wed","Thu","Fri","Sat","Sun")</f>
        <v>Thu</v>
      </c>
      <c r="Q1421" s="4" t="str">
        <f aca="false">IF(WEEKDAY(B1421,2)&gt;5,"Weekend","Weekday")</f>
        <v>Weekday</v>
      </c>
      <c r="R1421" s="4" t="str">
        <f aca="false">IF(C1421&lt;11,"Morning (7-10)",IF(C1421&lt;14,"Lunch (11-13)",IF(C1421&lt;18,"Afternoon (14-17)","Evening (18-20)")))</f>
        <v>Morning (7-10)</v>
      </c>
      <c r="S1421" s="4" t="str">
        <f aca="false">IF(AND(O1421&gt;=3,O1421&lt;=5),"Hot Dry (Mar-May)",IF(AND(O1421&gt;=6,O1421&lt;=11),"Rainy (Jun-Nov)","Cool Dry (Dec-Feb)"))</f>
        <v>Rainy (Jun-Nov)</v>
      </c>
      <c r="T1421" s="4" t="str">
        <f aca="false">CHOOSE(O1421,"Jan","Feb","Mar","Apr","May","Jun","Jul","Aug","Sep","Oct","Nov","Dec")</f>
        <v>Oct</v>
      </c>
    </row>
    <row r="1422" customFormat="false" ht="15" hidden="false" customHeight="false" outlineLevel="0" collapsed="false">
      <c r="A1422" s="4" t="s">
        <v>1790</v>
      </c>
      <c r="B1422" s="17" t="n">
        <v>45946</v>
      </c>
      <c r="C1422" s="4" t="n">
        <v>14</v>
      </c>
      <c r="D1422" s="4" t="s">
        <v>98</v>
      </c>
      <c r="E1422" s="4" t="s">
        <v>74</v>
      </c>
      <c r="F1422" s="4" t="s">
        <v>139</v>
      </c>
      <c r="G1422" s="4" t="n">
        <v>1</v>
      </c>
      <c r="H1422" s="34" t="n">
        <v>260</v>
      </c>
      <c r="I1422" s="18" t="n">
        <v>0</v>
      </c>
      <c r="J1422" s="4" t="s">
        <v>67</v>
      </c>
      <c r="K1422" s="4" t="s">
        <v>68</v>
      </c>
      <c r="L1422" s="35" t="n">
        <f aca="false">G1422*H1422</f>
        <v>260</v>
      </c>
      <c r="M1422" s="35" t="n">
        <f aca="false">L1422*I1422</f>
        <v>0</v>
      </c>
      <c r="N1422" s="35" t="n">
        <f aca="false">L1422-M1422</f>
        <v>260</v>
      </c>
      <c r="O1422" s="4" t="n">
        <f aca="false">MONTH(B1422)</f>
        <v>10</v>
      </c>
      <c r="P1422" s="4" t="str">
        <f aca="false">CHOOSE(WEEKDAY(B1422,2),"Mon","Tue","Wed","Thu","Fri","Sat","Sun")</f>
        <v>Thu</v>
      </c>
      <c r="Q1422" s="4" t="str">
        <f aca="false">IF(WEEKDAY(B1422,2)&gt;5,"Weekend","Weekday")</f>
        <v>Weekday</v>
      </c>
      <c r="R1422" s="4" t="str">
        <f aca="false">IF(C1422&lt;11,"Morning (7-10)",IF(C1422&lt;14,"Lunch (11-13)",IF(C1422&lt;18,"Afternoon (14-17)","Evening (18-20)")))</f>
        <v>Afternoon (14-17)</v>
      </c>
      <c r="S1422" s="4" t="str">
        <f aca="false">IF(AND(O1422&gt;=3,O1422&lt;=5),"Hot Dry (Mar-May)",IF(AND(O1422&gt;=6,O1422&lt;=11),"Rainy (Jun-Nov)","Cool Dry (Dec-Feb)"))</f>
        <v>Rainy (Jun-Nov)</v>
      </c>
      <c r="T1422" s="4" t="str">
        <f aca="false">CHOOSE(O1422,"Jan","Feb","Mar","Apr","May","Jun","Jul","Aug","Sep","Oct","Nov","Dec")</f>
        <v>Oct</v>
      </c>
    </row>
    <row r="1423" customFormat="false" ht="15" hidden="false" customHeight="false" outlineLevel="0" collapsed="false">
      <c r="A1423" s="4" t="s">
        <v>1791</v>
      </c>
      <c r="B1423" s="17" t="n">
        <v>45946</v>
      </c>
      <c r="C1423" s="4" t="n">
        <v>16</v>
      </c>
      <c r="D1423" s="4" t="s">
        <v>73</v>
      </c>
      <c r="E1423" s="4" t="s">
        <v>84</v>
      </c>
      <c r="F1423" s="4" t="s">
        <v>106</v>
      </c>
      <c r="G1423" s="4" t="n">
        <v>1</v>
      </c>
      <c r="H1423" s="34" t="n">
        <v>60</v>
      </c>
      <c r="I1423" s="18" t="n">
        <v>0.05</v>
      </c>
      <c r="J1423" s="4" t="s">
        <v>81</v>
      </c>
      <c r="K1423" s="4" t="s">
        <v>82</v>
      </c>
      <c r="L1423" s="35" t="n">
        <f aca="false">G1423*H1423</f>
        <v>60</v>
      </c>
      <c r="M1423" s="35" t="n">
        <f aca="false">L1423*I1423</f>
        <v>3</v>
      </c>
      <c r="N1423" s="35" t="n">
        <f aca="false">L1423-M1423</f>
        <v>57</v>
      </c>
      <c r="O1423" s="4" t="n">
        <f aca="false">MONTH(B1423)</f>
        <v>10</v>
      </c>
      <c r="P1423" s="4" t="str">
        <f aca="false">CHOOSE(WEEKDAY(B1423,2),"Mon","Tue","Wed","Thu","Fri","Sat","Sun")</f>
        <v>Thu</v>
      </c>
      <c r="Q1423" s="4" t="str">
        <f aca="false">IF(WEEKDAY(B1423,2)&gt;5,"Weekend","Weekday")</f>
        <v>Weekday</v>
      </c>
      <c r="R1423" s="4" t="str">
        <f aca="false">IF(C1423&lt;11,"Morning (7-10)",IF(C1423&lt;14,"Lunch (11-13)",IF(C1423&lt;18,"Afternoon (14-17)","Evening (18-20)")))</f>
        <v>Afternoon (14-17)</v>
      </c>
      <c r="S1423" s="4" t="str">
        <f aca="false">IF(AND(O1423&gt;=3,O1423&lt;=5),"Hot Dry (Mar-May)",IF(AND(O1423&gt;=6,O1423&lt;=11),"Rainy (Jun-Nov)","Cool Dry (Dec-Feb)"))</f>
        <v>Rainy (Jun-Nov)</v>
      </c>
      <c r="T1423" s="4" t="str">
        <f aca="false">CHOOSE(O1423,"Jan","Feb","Mar","Apr","May","Jun","Jul","Aug","Sep","Oct","Nov","Dec")</f>
        <v>Oct</v>
      </c>
    </row>
    <row r="1424" customFormat="false" ht="15" hidden="false" customHeight="false" outlineLevel="0" collapsed="false">
      <c r="A1424" s="4" t="s">
        <v>1792</v>
      </c>
      <c r="B1424" s="17" t="n">
        <v>45946</v>
      </c>
      <c r="C1424" s="4" t="n">
        <v>19</v>
      </c>
      <c r="D1424" s="4" t="s">
        <v>70</v>
      </c>
      <c r="E1424" s="4" t="s">
        <v>65</v>
      </c>
      <c r="F1424" s="4" t="s">
        <v>121</v>
      </c>
      <c r="G1424" s="4" t="n">
        <v>2</v>
      </c>
      <c r="H1424" s="34" t="n">
        <v>170</v>
      </c>
      <c r="I1424" s="18" t="n">
        <v>0.05</v>
      </c>
      <c r="J1424" s="4" t="s">
        <v>81</v>
      </c>
      <c r="K1424" s="4" t="s">
        <v>82</v>
      </c>
      <c r="L1424" s="35" t="n">
        <f aca="false">G1424*H1424</f>
        <v>340</v>
      </c>
      <c r="M1424" s="35" t="n">
        <f aca="false">L1424*I1424</f>
        <v>17</v>
      </c>
      <c r="N1424" s="35" t="n">
        <f aca="false">L1424-M1424</f>
        <v>323</v>
      </c>
      <c r="O1424" s="4" t="n">
        <f aca="false">MONTH(B1424)</f>
        <v>10</v>
      </c>
      <c r="P1424" s="4" t="str">
        <f aca="false">CHOOSE(WEEKDAY(B1424,2),"Mon","Tue","Wed","Thu","Fri","Sat","Sun")</f>
        <v>Thu</v>
      </c>
      <c r="Q1424" s="4" t="str">
        <f aca="false">IF(WEEKDAY(B1424,2)&gt;5,"Weekend","Weekday")</f>
        <v>Weekday</v>
      </c>
      <c r="R1424" s="4" t="str">
        <f aca="false">IF(C1424&lt;11,"Morning (7-10)",IF(C1424&lt;14,"Lunch (11-13)",IF(C1424&lt;18,"Afternoon (14-17)","Evening (18-20)")))</f>
        <v>Evening (18-20)</v>
      </c>
      <c r="S1424" s="4" t="str">
        <f aca="false">IF(AND(O1424&gt;=3,O1424&lt;=5),"Hot Dry (Mar-May)",IF(AND(O1424&gt;=6,O1424&lt;=11),"Rainy (Jun-Nov)","Cool Dry (Dec-Feb)"))</f>
        <v>Rainy (Jun-Nov)</v>
      </c>
      <c r="T1424" s="4" t="str">
        <f aca="false">CHOOSE(O1424,"Jan","Feb","Mar","Apr","May","Jun","Jul","Aug","Sep","Oct","Nov","Dec")</f>
        <v>Oct</v>
      </c>
    </row>
    <row r="1425" customFormat="false" ht="15" hidden="false" customHeight="false" outlineLevel="0" collapsed="false">
      <c r="A1425" s="4" t="s">
        <v>1793</v>
      </c>
      <c r="B1425" s="17" t="n">
        <v>45947</v>
      </c>
      <c r="C1425" s="4" t="n">
        <v>12</v>
      </c>
      <c r="D1425" s="4" t="s">
        <v>73</v>
      </c>
      <c r="E1425" s="4" t="s">
        <v>74</v>
      </c>
      <c r="F1425" s="4" t="s">
        <v>91</v>
      </c>
      <c r="G1425" s="4" t="n">
        <v>1</v>
      </c>
      <c r="H1425" s="34" t="n">
        <v>200</v>
      </c>
      <c r="I1425" s="18" t="n">
        <v>0.1</v>
      </c>
      <c r="J1425" s="4" t="s">
        <v>81</v>
      </c>
      <c r="K1425" s="4" t="s">
        <v>71</v>
      </c>
      <c r="L1425" s="35" t="n">
        <f aca="false">G1425*H1425</f>
        <v>200</v>
      </c>
      <c r="M1425" s="35" t="n">
        <f aca="false">L1425*I1425</f>
        <v>20</v>
      </c>
      <c r="N1425" s="35" t="n">
        <f aca="false">L1425-M1425</f>
        <v>180</v>
      </c>
      <c r="O1425" s="4" t="n">
        <f aca="false">MONTH(B1425)</f>
        <v>10</v>
      </c>
      <c r="P1425" s="4" t="str">
        <f aca="false">CHOOSE(WEEKDAY(B1425,2),"Mon","Tue","Wed","Thu","Fri","Sat","Sun")</f>
        <v>Fri</v>
      </c>
      <c r="Q1425" s="4" t="str">
        <f aca="false">IF(WEEKDAY(B1425,2)&gt;5,"Weekend","Weekday")</f>
        <v>Weekday</v>
      </c>
      <c r="R1425" s="4" t="str">
        <f aca="false">IF(C1425&lt;11,"Morning (7-10)",IF(C1425&lt;14,"Lunch (11-13)",IF(C1425&lt;18,"Afternoon (14-17)","Evening (18-20)")))</f>
        <v>Lunch (11-13)</v>
      </c>
      <c r="S1425" s="4" t="str">
        <f aca="false">IF(AND(O1425&gt;=3,O1425&lt;=5),"Hot Dry (Mar-May)",IF(AND(O1425&gt;=6,O1425&lt;=11),"Rainy (Jun-Nov)","Cool Dry (Dec-Feb)"))</f>
        <v>Rainy (Jun-Nov)</v>
      </c>
      <c r="T1425" s="4" t="str">
        <f aca="false">CHOOSE(O1425,"Jan","Feb","Mar","Apr","May","Jun","Jul","Aug","Sep","Oct","Nov","Dec")</f>
        <v>Oct</v>
      </c>
    </row>
    <row r="1426" customFormat="false" ht="15" hidden="false" customHeight="false" outlineLevel="0" collapsed="false">
      <c r="A1426" s="4" t="s">
        <v>1794</v>
      </c>
      <c r="B1426" s="17" t="n">
        <v>45947</v>
      </c>
      <c r="C1426" s="4" t="n">
        <v>15</v>
      </c>
      <c r="D1426" s="4" t="s">
        <v>64</v>
      </c>
      <c r="E1426" s="4" t="s">
        <v>84</v>
      </c>
      <c r="F1426" s="4" t="s">
        <v>117</v>
      </c>
      <c r="G1426" s="4" t="n">
        <v>2</v>
      </c>
      <c r="H1426" s="34" t="n">
        <v>95</v>
      </c>
      <c r="I1426" s="18" t="n">
        <v>0</v>
      </c>
      <c r="J1426" s="4" t="s">
        <v>67</v>
      </c>
      <c r="K1426" s="4" t="s">
        <v>68</v>
      </c>
      <c r="L1426" s="35" t="n">
        <f aca="false">G1426*H1426</f>
        <v>190</v>
      </c>
      <c r="M1426" s="35" t="n">
        <f aca="false">L1426*I1426</f>
        <v>0</v>
      </c>
      <c r="N1426" s="35" t="n">
        <f aca="false">L1426-M1426</f>
        <v>190</v>
      </c>
      <c r="O1426" s="4" t="n">
        <f aca="false">MONTH(B1426)</f>
        <v>10</v>
      </c>
      <c r="P1426" s="4" t="str">
        <f aca="false">CHOOSE(WEEKDAY(B1426,2),"Mon","Tue","Wed","Thu","Fri","Sat","Sun")</f>
        <v>Fri</v>
      </c>
      <c r="Q1426" s="4" t="str">
        <f aca="false">IF(WEEKDAY(B1426,2)&gt;5,"Weekend","Weekday")</f>
        <v>Weekday</v>
      </c>
      <c r="R1426" s="4" t="str">
        <f aca="false">IF(C1426&lt;11,"Morning (7-10)",IF(C1426&lt;14,"Lunch (11-13)",IF(C1426&lt;18,"Afternoon (14-17)","Evening (18-20)")))</f>
        <v>Afternoon (14-17)</v>
      </c>
      <c r="S1426" s="4" t="str">
        <f aca="false">IF(AND(O1426&gt;=3,O1426&lt;=5),"Hot Dry (Mar-May)",IF(AND(O1426&gt;=6,O1426&lt;=11),"Rainy (Jun-Nov)","Cool Dry (Dec-Feb)"))</f>
        <v>Rainy (Jun-Nov)</v>
      </c>
      <c r="T1426" s="4" t="str">
        <f aca="false">CHOOSE(O1426,"Jan","Feb","Mar","Apr","May","Jun","Jul","Aug","Sep","Oct","Nov","Dec")</f>
        <v>Oct</v>
      </c>
    </row>
    <row r="1427" customFormat="false" ht="15" hidden="false" customHeight="false" outlineLevel="0" collapsed="false">
      <c r="A1427" s="4" t="s">
        <v>1795</v>
      </c>
      <c r="B1427" s="17" t="n">
        <v>45947</v>
      </c>
      <c r="C1427" s="4" t="n">
        <v>18</v>
      </c>
      <c r="D1427" s="4" t="s">
        <v>98</v>
      </c>
      <c r="E1427" s="4" t="s">
        <v>65</v>
      </c>
      <c r="F1427" s="4" t="s">
        <v>66</v>
      </c>
      <c r="G1427" s="4" t="n">
        <v>4</v>
      </c>
      <c r="H1427" s="34" t="n">
        <v>120</v>
      </c>
      <c r="I1427" s="18" t="n">
        <v>0.05</v>
      </c>
      <c r="J1427" s="4" t="s">
        <v>81</v>
      </c>
      <c r="K1427" s="4" t="s">
        <v>82</v>
      </c>
      <c r="L1427" s="35" t="n">
        <f aca="false">G1427*H1427</f>
        <v>480</v>
      </c>
      <c r="M1427" s="35" t="n">
        <f aca="false">L1427*I1427</f>
        <v>24</v>
      </c>
      <c r="N1427" s="35" t="n">
        <f aca="false">L1427-M1427</f>
        <v>456</v>
      </c>
      <c r="O1427" s="4" t="n">
        <f aca="false">MONTH(B1427)</f>
        <v>10</v>
      </c>
      <c r="P1427" s="4" t="str">
        <f aca="false">CHOOSE(WEEKDAY(B1427,2),"Mon","Tue","Wed","Thu","Fri","Sat","Sun")</f>
        <v>Fri</v>
      </c>
      <c r="Q1427" s="4" t="str">
        <f aca="false">IF(WEEKDAY(B1427,2)&gt;5,"Weekend","Weekday")</f>
        <v>Weekday</v>
      </c>
      <c r="R1427" s="4" t="str">
        <f aca="false">IF(C1427&lt;11,"Morning (7-10)",IF(C1427&lt;14,"Lunch (11-13)",IF(C1427&lt;18,"Afternoon (14-17)","Evening (18-20)")))</f>
        <v>Evening (18-20)</v>
      </c>
      <c r="S1427" s="4" t="str">
        <f aca="false">IF(AND(O1427&gt;=3,O1427&lt;=5),"Hot Dry (Mar-May)",IF(AND(O1427&gt;=6,O1427&lt;=11),"Rainy (Jun-Nov)","Cool Dry (Dec-Feb)"))</f>
        <v>Rainy (Jun-Nov)</v>
      </c>
      <c r="T1427" s="4" t="str">
        <f aca="false">CHOOSE(O1427,"Jan","Feb","Mar","Apr","May","Jun","Jul","Aug","Sep","Oct","Nov","Dec")</f>
        <v>Oct</v>
      </c>
    </row>
    <row r="1428" customFormat="false" ht="15" hidden="false" customHeight="false" outlineLevel="0" collapsed="false">
      <c r="A1428" s="4" t="s">
        <v>1797</v>
      </c>
      <c r="B1428" s="17" t="n">
        <v>45948</v>
      </c>
      <c r="C1428" s="4" t="n">
        <v>10</v>
      </c>
      <c r="D1428" s="4" t="s">
        <v>70</v>
      </c>
      <c r="E1428" s="4" t="s">
        <v>65</v>
      </c>
      <c r="F1428" s="4" t="s">
        <v>121</v>
      </c>
      <c r="G1428" s="4" t="n">
        <v>2</v>
      </c>
      <c r="H1428" s="34" t="n">
        <v>170</v>
      </c>
      <c r="I1428" s="18" t="n">
        <v>0</v>
      </c>
      <c r="J1428" s="4" t="s">
        <v>81</v>
      </c>
      <c r="K1428" s="4" t="s">
        <v>68</v>
      </c>
      <c r="L1428" s="35" t="n">
        <f aca="false">G1428*H1428</f>
        <v>340</v>
      </c>
      <c r="M1428" s="35" t="n">
        <f aca="false">L1428*I1428</f>
        <v>0</v>
      </c>
      <c r="N1428" s="35" t="n">
        <f aca="false">L1428-M1428</f>
        <v>340</v>
      </c>
      <c r="O1428" s="4" t="n">
        <f aca="false">MONTH(B1428)</f>
        <v>10</v>
      </c>
      <c r="P1428" s="4" t="str">
        <f aca="false">CHOOSE(WEEKDAY(B1428,2),"Mon","Tue","Wed","Thu","Fri","Sat","Sun")</f>
        <v>Sat</v>
      </c>
      <c r="Q1428" s="4" t="str">
        <f aca="false">IF(WEEKDAY(B1428,2)&gt;5,"Weekend","Weekday")</f>
        <v>Weekend</v>
      </c>
      <c r="R1428" s="4" t="str">
        <f aca="false">IF(C1428&lt;11,"Morning (7-10)",IF(C1428&lt;14,"Lunch (11-13)",IF(C1428&lt;18,"Afternoon (14-17)","Evening (18-20)")))</f>
        <v>Morning (7-10)</v>
      </c>
      <c r="S1428" s="4" t="str">
        <f aca="false">IF(AND(O1428&gt;=3,O1428&lt;=5),"Hot Dry (Mar-May)",IF(AND(O1428&gt;=6,O1428&lt;=11),"Rainy (Jun-Nov)","Cool Dry (Dec-Feb)"))</f>
        <v>Rainy (Jun-Nov)</v>
      </c>
      <c r="T1428" s="4" t="str">
        <f aca="false">CHOOSE(O1428,"Jan","Feb","Mar","Apr","May","Jun","Jul","Aug","Sep","Oct","Nov","Dec")</f>
        <v>Oct</v>
      </c>
    </row>
    <row r="1429" customFormat="false" ht="15" hidden="false" customHeight="false" outlineLevel="0" collapsed="false">
      <c r="A1429" s="4" t="s">
        <v>1798</v>
      </c>
      <c r="B1429" s="17" t="n">
        <v>45948</v>
      </c>
      <c r="C1429" s="4" t="n">
        <v>13</v>
      </c>
      <c r="D1429" s="4" t="s">
        <v>70</v>
      </c>
      <c r="E1429" s="4" t="s">
        <v>99</v>
      </c>
      <c r="F1429" s="4" t="s">
        <v>109</v>
      </c>
      <c r="G1429" s="4" t="n">
        <v>1</v>
      </c>
      <c r="H1429" s="34" t="n">
        <v>130</v>
      </c>
      <c r="I1429" s="18" t="n">
        <v>0</v>
      </c>
      <c r="J1429" s="4" t="s">
        <v>67</v>
      </c>
      <c r="K1429" s="4" t="s">
        <v>68</v>
      </c>
      <c r="L1429" s="35" t="n">
        <f aca="false">G1429*H1429</f>
        <v>130</v>
      </c>
      <c r="M1429" s="35" t="n">
        <f aca="false">L1429*I1429</f>
        <v>0</v>
      </c>
      <c r="N1429" s="35" t="n">
        <f aca="false">L1429-M1429</f>
        <v>130</v>
      </c>
      <c r="O1429" s="4" t="n">
        <f aca="false">MONTH(B1429)</f>
        <v>10</v>
      </c>
      <c r="P1429" s="4" t="str">
        <f aca="false">CHOOSE(WEEKDAY(B1429,2),"Mon","Tue","Wed","Thu","Fri","Sat","Sun")</f>
        <v>Sat</v>
      </c>
      <c r="Q1429" s="4" t="str">
        <f aca="false">IF(WEEKDAY(B1429,2)&gt;5,"Weekend","Weekday")</f>
        <v>Weekend</v>
      </c>
      <c r="R1429" s="4" t="str">
        <f aca="false">IF(C1429&lt;11,"Morning (7-10)",IF(C1429&lt;14,"Lunch (11-13)",IF(C1429&lt;18,"Afternoon (14-17)","Evening (18-20)")))</f>
        <v>Lunch (11-13)</v>
      </c>
      <c r="S1429" s="4" t="str">
        <f aca="false">IF(AND(O1429&gt;=3,O1429&lt;=5),"Hot Dry (Mar-May)",IF(AND(O1429&gt;=6,O1429&lt;=11),"Rainy (Jun-Nov)","Cool Dry (Dec-Feb)"))</f>
        <v>Rainy (Jun-Nov)</v>
      </c>
      <c r="T1429" s="4" t="str">
        <f aca="false">CHOOSE(O1429,"Jan","Feb","Mar","Apr","May","Jun","Jul","Aug","Sep","Oct","Nov","Dec")</f>
        <v>Oct</v>
      </c>
    </row>
    <row r="1430" customFormat="false" ht="15" hidden="false" customHeight="false" outlineLevel="0" collapsed="false">
      <c r="A1430" s="4" t="s">
        <v>1799</v>
      </c>
      <c r="B1430" s="17" t="n">
        <v>45948</v>
      </c>
      <c r="C1430" s="4" t="n">
        <v>15</v>
      </c>
      <c r="D1430" s="4" t="s">
        <v>64</v>
      </c>
      <c r="E1430" s="4" t="s">
        <v>99</v>
      </c>
      <c r="F1430" s="4" t="s">
        <v>109</v>
      </c>
      <c r="G1430" s="4" t="n">
        <v>3</v>
      </c>
      <c r="H1430" s="34" t="n">
        <v>130</v>
      </c>
      <c r="I1430" s="18" t="n">
        <v>0</v>
      </c>
      <c r="J1430" s="4" t="s">
        <v>67</v>
      </c>
      <c r="K1430" s="4" t="s">
        <v>77</v>
      </c>
      <c r="L1430" s="35" t="n">
        <f aca="false">G1430*H1430</f>
        <v>390</v>
      </c>
      <c r="M1430" s="35" t="n">
        <f aca="false">L1430*I1430</f>
        <v>0</v>
      </c>
      <c r="N1430" s="35" t="n">
        <f aca="false">L1430-M1430</f>
        <v>390</v>
      </c>
      <c r="O1430" s="4" t="n">
        <f aca="false">MONTH(B1430)</f>
        <v>10</v>
      </c>
      <c r="P1430" s="4" t="str">
        <f aca="false">CHOOSE(WEEKDAY(B1430,2),"Mon","Tue","Wed","Thu","Fri","Sat","Sun")</f>
        <v>Sat</v>
      </c>
      <c r="Q1430" s="4" t="str">
        <f aca="false">IF(WEEKDAY(B1430,2)&gt;5,"Weekend","Weekday")</f>
        <v>Weekend</v>
      </c>
      <c r="R1430" s="4" t="str">
        <f aca="false">IF(C1430&lt;11,"Morning (7-10)",IF(C1430&lt;14,"Lunch (11-13)",IF(C1430&lt;18,"Afternoon (14-17)","Evening (18-20)")))</f>
        <v>Afternoon (14-17)</v>
      </c>
      <c r="S1430" s="4" t="str">
        <f aca="false">IF(AND(O1430&gt;=3,O1430&lt;=5),"Hot Dry (Mar-May)",IF(AND(O1430&gt;=6,O1430&lt;=11),"Rainy (Jun-Nov)","Cool Dry (Dec-Feb)"))</f>
        <v>Rainy (Jun-Nov)</v>
      </c>
      <c r="T1430" s="4" t="str">
        <f aca="false">CHOOSE(O1430,"Jan","Feb","Mar","Apr","May","Jun","Jul","Aug","Sep","Oct","Nov","Dec")</f>
        <v>Oct</v>
      </c>
    </row>
    <row r="1431" customFormat="false" ht="15" hidden="false" customHeight="false" outlineLevel="0" collapsed="false">
      <c r="A1431" s="4" t="s">
        <v>1800</v>
      </c>
      <c r="B1431" s="17" t="n">
        <v>45948</v>
      </c>
      <c r="C1431" s="4" t="n">
        <v>18</v>
      </c>
      <c r="D1431" s="4" t="s">
        <v>70</v>
      </c>
      <c r="E1431" s="4" t="s">
        <v>74</v>
      </c>
      <c r="F1431" s="4" t="s">
        <v>75</v>
      </c>
      <c r="G1431" s="4" t="n">
        <v>1</v>
      </c>
      <c r="H1431" s="34" t="n">
        <v>220</v>
      </c>
      <c r="I1431" s="18" t="n">
        <v>0.1</v>
      </c>
      <c r="J1431" s="4" t="s">
        <v>67</v>
      </c>
      <c r="K1431" s="4" t="s">
        <v>71</v>
      </c>
      <c r="L1431" s="35" t="n">
        <f aca="false">G1431*H1431</f>
        <v>220</v>
      </c>
      <c r="M1431" s="35" t="n">
        <f aca="false">L1431*I1431</f>
        <v>22</v>
      </c>
      <c r="N1431" s="35" t="n">
        <f aca="false">L1431-M1431</f>
        <v>198</v>
      </c>
      <c r="O1431" s="4" t="n">
        <f aca="false">MONTH(B1431)</f>
        <v>10</v>
      </c>
      <c r="P1431" s="4" t="str">
        <f aca="false">CHOOSE(WEEKDAY(B1431,2),"Mon","Tue","Wed","Thu","Fri","Sat","Sun")</f>
        <v>Sat</v>
      </c>
      <c r="Q1431" s="4" t="str">
        <f aca="false">IF(WEEKDAY(B1431,2)&gt;5,"Weekend","Weekday")</f>
        <v>Weekend</v>
      </c>
      <c r="R1431" s="4" t="str">
        <f aca="false">IF(C1431&lt;11,"Morning (7-10)",IF(C1431&lt;14,"Lunch (11-13)",IF(C1431&lt;18,"Afternoon (14-17)","Evening (18-20)")))</f>
        <v>Evening (18-20)</v>
      </c>
      <c r="S1431" s="4" t="str">
        <f aca="false">IF(AND(O1431&gt;=3,O1431&lt;=5),"Hot Dry (Mar-May)",IF(AND(O1431&gt;=6,O1431&lt;=11),"Rainy (Jun-Nov)","Cool Dry (Dec-Feb)"))</f>
        <v>Rainy (Jun-Nov)</v>
      </c>
      <c r="T1431" s="4" t="str">
        <f aca="false">CHOOSE(O1431,"Jan","Feb","Mar","Apr","May","Jun","Jul","Aug","Sep","Oct","Nov","Dec")</f>
        <v>Oct</v>
      </c>
    </row>
    <row r="1432" customFormat="false" ht="15" hidden="false" customHeight="false" outlineLevel="0" collapsed="false">
      <c r="A1432" s="4" t="s">
        <v>1801</v>
      </c>
      <c r="B1432" s="17" t="n">
        <v>45949</v>
      </c>
      <c r="C1432" s="4" t="n">
        <v>9</v>
      </c>
      <c r="D1432" s="4" t="s">
        <v>70</v>
      </c>
      <c r="E1432" s="4" t="s">
        <v>99</v>
      </c>
      <c r="F1432" s="4" t="s">
        <v>100</v>
      </c>
      <c r="G1432" s="4" t="n">
        <v>1</v>
      </c>
      <c r="H1432" s="34" t="n">
        <v>110</v>
      </c>
      <c r="I1432" s="18" t="n">
        <v>0</v>
      </c>
      <c r="J1432" s="4" t="s">
        <v>76</v>
      </c>
      <c r="K1432" s="4" t="s">
        <v>77</v>
      </c>
      <c r="L1432" s="35" t="n">
        <f aca="false">G1432*H1432</f>
        <v>110</v>
      </c>
      <c r="M1432" s="35" t="n">
        <f aca="false">L1432*I1432</f>
        <v>0</v>
      </c>
      <c r="N1432" s="35" t="n">
        <f aca="false">L1432-M1432</f>
        <v>110</v>
      </c>
      <c r="O1432" s="4" t="n">
        <f aca="false">MONTH(B1432)</f>
        <v>10</v>
      </c>
      <c r="P1432" s="4" t="str">
        <f aca="false">CHOOSE(WEEKDAY(B1432,2),"Mon","Tue","Wed","Thu","Fri","Sat","Sun")</f>
        <v>Sun</v>
      </c>
      <c r="Q1432" s="4" t="str">
        <f aca="false">IF(WEEKDAY(B1432,2)&gt;5,"Weekend","Weekday")</f>
        <v>Weekend</v>
      </c>
      <c r="R1432" s="4" t="str">
        <f aca="false">IF(C1432&lt;11,"Morning (7-10)",IF(C1432&lt;14,"Lunch (11-13)",IF(C1432&lt;18,"Afternoon (14-17)","Evening (18-20)")))</f>
        <v>Morning (7-10)</v>
      </c>
      <c r="S1432" s="4" t="str">
        <f aca="false">IF(AND(O1432&gt;=3,O1432&lt;=5),"Hot Dry (Mar-May)",IF(AND(O1432&gt;=6,O1432&lt;=11),"Rainy (Jun-Nov)","Cool Dry (Dec-Feb)"))</f>
        <v>Rainy (Jun-Nov)</v>
      </c>
      <c r="T1432" s="4" t="str">
        <f aca="false">CHOOSE(O1432,"Jan","Feb","Mar","Apr","May","Jun","Jul","Aug","Sep","Oct","Nov","Dec")</f>
        <v>Oct</v>
      </c>
    </row>
    <row r="1433" customFormat="false" ht="15" hidden="false" customHeight="false" outlineLevel="0" collapsed="false">
      <c r="A1433" s="4" t="s">
        <v>1802</v>
      </c>
      <c r="B1433" s="17" t="n">
        <v>45949</v>
      </c>
      <c r="C1433" s="4" t="n">
        <v>12</v>
      </c>
      <c r="D1433" s="4" t="s">
        <v>73</v>
      </c>
      <c r="E1433" s="4" t="s">
        <v>74</v>
      </c>
      <c r="F1433" s="4" t="s">
        <v>75</v>
      </c>
      <c r="G1433" s="4" t="n">
        <v>2</v>
      </c>
      <c r="H1433" s="34" t="n">
        <v>220</v>
      </c>
      <c r="I1433" s="18" t="n">
        <v>0.2</v>
      </c>
      <c r="J1433" s="4" t="s">
        <v>67</v>
      </c>
      <c r="K1433" s="4" t="s">
        <v>71</v>
      </c>
      <c r="L1433" s="35" t="n">
        <f aca="false">G1433*H1433</f>
        <v>440</v>
      </c>
      <c r="M1433" s="35" t="n">
        <f aca="false">L1433*I1433</f>
        <v>88</v>
      </c>
      <c r="N1433" s="35" t="n">
        <f aca="false">L1433-M1433</f>
        <v>352</v>
      </c>
      <c r="O1433" s="4" t="n">
        <f aca="false">MONTH(B1433)</f>
        <v>10</v>
      </c>
      <c r="P1433" s="4" t="str">
        <f aca="false">CHOOSE(WEEKDAY(B1433,2),"Mon","Tue","Wed","Thu","Fri","Sat","Sun")</f>
        <v>Sun</v>
      </c>
      <c r="Q1433" s="4" t="str">
        <f aca="false">IF(WEEKDAY(B1433,2)&gt;5,"Weekend","Weekday")</f>
        <v>Weekend</v>
      </c>
      <c r="R1433" s="4" t="str">
        <f aca="false">IF(C1433&lt;11,"Morning (7-10)",IF(C1433&lt;14,"Lunch (11-13)",IF(C1433&lt;18,"Afternoon (14-17)","Evening (18-20)")))</f>
        <v>Lunch (11-13)</v>
      </c>
      <c r="S1433" s="4" t="str">
        <f aca="false">IF(AND(O1433&gt;=3,O1433&lt;=5),"Hot Dry (Mar-May)",IF(AND(O1433&gt;=6,O1433&lt;=11),"Rainy (Jun-Nov)","Cool Dry (Dec-Feb)"))</f>
        <v>Rainy (Jun-Nov)</v>
      </c>
      <c r="T1433" s="4" t="str">
        <f aca="false">CHOOSE(O1433,"Jan","Feb","Mar","Apr","May","Jun","Jul","Aug","Sep","Oct","Nov","Dec")</f>
        <v>Oct</v>
      </c>
    </row>
    <row r="1434" customFormat="false" ht="15" hidden="false" customHeight="false" outlineLevel="0" collapsed="false">
      <c r="A1434" s="4" t="s">
        <v>1803</v>
      </c>
      <c r="B1434" s="17" t="n">
        <v>45949</v>
      </c>
      <c r="C1434" s="4" t="n">
        <v>13</v>
      </c>
      <c r="D1434" s="4" t="s">
        <v>70</v>
      </c>
      <c r="E1434" s="4" t="s">
        <v>65</v>
      </c>
      <c r="F1434" s="4" t="s">
        <v>66</v>
      </c>
      <c r="G1434" s="4" t="n">
        <v>1</v>
      </c>
      <c r="H1434" s="34" t="n">
        <v>120</v>
      </c>
      <c r="I1434" s="18" t="n">
        <v>0.05</v>
      </c>
      <c r="J1434" s="4" t="s">
        <v>81</v>
      </c>
      <c r="K1434" s="4" t="s">
        <v>82</v>
      </c>
      <c r="L1434" s="35" t="n">
        <f aca="false">G1434*H1434</f>
        <v>120</v>
      </c>
      <c r="M1434" s="35" t="n">
        <f aca="false">L1434*I1434</f>
        <v>6</v>
      </c>
      <c r="N1434" s="35" t="n">
        <f aca="false">L1434-M1434</f>
        <v>114</v>
      </c>
      <c r="O1434" s="4" t="n">
        <f aca="false">MONTH(B1434)</f>
        <v>10</v>
      </c>
      <c r="P1434" s="4" t="str">
        <f aca="false">CHOOSE(WEEKDAY(B1434,2),"Mon","Tue","Wed","Thu","Fri","Sat","Sun")</f>
        <v>Sun</v>
      </c>
      <c r="Q1434" s="4" t="str">
        <f aca="false">IF(WEEKDAY(B1434,2)&gt;5,"Weekend","Weekday")</f>
        <v>Weekend</v>
      </c>
      <c r="R1434" s="4" t="str">
        <f aca="false">IF(C1434&lt;11,"Morning (7-10)",IF(C1434&lt;14,"Lunch (11-13)",IF(C1434&lt;18,"Afternoon (14-17)","Evening (18-20)")))</f>
        <v>Lunch (11-13)</v>
      </c>
      <c r="S1434" s="4" t="str">
        <f aca="false">IF(AND(O1434&gt;=3,O1434&lt;=5),"Hot Dry (Mar-May)",IF(AND(O1434&gt;=6,O1434&lt;=11),"Rainy (Jun-Nov)","Cool Dry (Dec-Feb)"))</f>
        <v>Rainy (Jun-Nov)</v>
      </c>
      <c r="T1434" s="4" t="str">
        <f aca="false">CHOOSE(O1434,"Jan","Feb","Mar","Apr","May","Jun","Jul","Aug","Sep","Oct","Nov","Dec")</f>
        <v>Oct</v>
      </c>
    </row>
    <row r="1435" customFormat="false" ht="15" hidden="false" customHeight="false" outlineLevel="0" collapsed="false">
      <c r="A1435" s="4" t="s">
        <v>1805</v>
      </c>
      <c r="B1435" s="17" t="n">
        <v>45949</v>
      </c>
      <c r="C1435" s="4" t="n">
        <v>14</v>
      </c>
      <c r="D1435" s="4" t="s">
        <v>70</v>
      </c>
      <c r="E1435" s="4" t="s">
        <v>74</v>
      </c>
      <c r="F1435" s="4" t="s">
        <v>75</v>
      </c>
      <c r="G1435" s="4" t="n">
        <v>2</v>
      </c>
      <c r="H1435" s="34" t="n">
        <v>220</v>
      </c>
      <c r="I1435" s="18" t="n">
        <v>0</v>
      </c>
      <c r="J1435" s="4" t="s">
        <v>67</v>
      </c>
      <c r="K1435" s="4" t="s">
        <v>68</v>
      </c>
      <c r="L1435" s="35" t="n">
        <f aca="false">G1435*H1435</f>
        <v>440</v>
      </c>
      <c r="M1435" s="35" t="n">
        <f aca="false">L1435*I1435</f>
        <v>0</v>
      </c>
      <c r="N1435" s="35" t="n">
        <f aca="false">L1435-M1435</f>
        <v>440</v>
      </c>
      <c r="O1435" s="4" t="n">
        <f aca="false">MONTH(B1435)</f>
        <v>10</v>
      </c>
      <c r="P1435" s="4" t="str">
        <f aca="false">CHOOSE(WEEKDAY(B1435,2),"Mon","Tue","Wed","Thu","Fri","Sat","Sun")</f>
        <v>Sun</v>
      </c>
      <c r="Q1435" s="4" t="str">
        <f aca="false">IF(WEEKDAY(B1435,2)&gt;5,"Weekend","Weekday")</f>
        <v>Weekend</v>
      </c>
      <c r="R1435" s="4" t="str">
        <f aca="false">IF(C1435&lt;11,"Morning (7-10)",IF(C1435&lt;14,"Lunch (11-13)",IF(C1435&lt;18,"Afternoon (14-17)","Evening (18-20)")))</f>
        <v>Afternoon (14-17)</v>
      </c>
      <c r="S1435" s="4" t="str">
        <f aca="false">IF(AND(O1435&gt;=3,O1435&lt;=5),"Hot Dry (Mar-May)",IF(AND(O1435&gt;=6,O1435&lt;=11),"Rainy (Jun-Nov)","Cool Dry (Dec-Feb)"))</f>
        <v>Rainy (Jun-Nov)</v>
      </c>
      <c r="T1435" s="4" t="str">
        <f aca="false">CHOOSE(O1435,"Jan","Feb","Mar","Apr","May","Jun","Jul","Aug","Sep","Oct","Nov","Dec")</f>
        <v>Oct</v>
      </c>
    </row>
    <row r="1436" customFormat="false" ht="15" hidden="false" customHeight="false" outlineLevel="0" collapsed="false">
      <c r="A1436" s="4" t="s">
        <v>1806</v>
      </c>
      <c r="B1436" s="17" t="n">
        <v>45949</v>
      </c>
      <c r="C1436" s="4" t="n">
        <v>14</v>
      </c>
      <c r="D1436" s="4" t="s">
        <v>70</v>
      </c>
      <c r="E1436" s="4" t="s">
        <v>79</v>
      </c>
      <c r="F1436" s="4" t="s">
        <v>135</v>
      </c>
      <c r="G1436" s="4" t="n">
        <v>1</v>
      </c>
      <c r="H1436" s="34" t="n">
        <v>130</v>
      </c>
      <c r="I1436" s="18" t="n">
        <v>0.15</v>
      </c>
      <c r="J1436" s="4" t="s">
        <v>112</v>
      </c>
      <c r="K1436" s="4" t="s">
        <v>71</v>
      </c>
      <c r="L1436" s="35" t="n">
        <f aca="false">G1436*H1436</f>
        <v>130</v>
      </c>
      <c r="M1436" s="35" t="n">
        <f aca="false">L1436*I1436</f>
        <v>19.5</v>
      </c>
      <c r="N1436" s="35" t="n">
        <f aca="false">L1436-M1436</f>
        <v>110.5</v>
      </c>
      <c r="O1436" s="4" t="n">
        <f aca="false">MONTH(B1436)</f>
        <v>10</v>
      </c>
      <c r="P1436" s="4" t="str">
        <f aca="false">CHOOSE(WEEKDAY(B1436,2),"Mon","Tue","Wed","Thu","Fri","Sat","Sun")</f>
        <v>Sun</v>
      </c>
      <c r="Q1436" s="4" t="str">
        <f aca="false">IF(WEEKDAY(B1436,2)&gt;5,"Weekend","Weekday")</f>
        <v>Weekend</v>
      </c>
      <c r="R1436" s="4" t="str">
        <f aca="false">IF(C1436&lt;11,"Morning (7-10)",IF(C1436&lt;14,"Lunch (11-13)",IF(C1436&lt;18,"Afternoon (14-17)","Evening (18-20)")))</f>
        <v>Afternoon (14-17)</v>
      </c>
      <c r="S1436" s="4" t="str">
        <f aca="false">IF(AND(O1436&gt;=3,O1436&lt;=5),"Hot Dry (Mar-May)",IF(AND(O1436&gt;=6,O1436&lt;=11),"Rainy (Jun-Nov)","Cool Dry (Dec-Feb)"))</f>
        <v>Rainy (Jun-Nov)</v>
      </c>
      <c r="T1436" s="4" t="str">
        <f aca="false">CHOOSE(O1436,"Jan","Feb","Mar","Apr","May","Jun","Jul","Aug","Sep","Oct","Nov","Dec")</f>
        <v>Oct</v>
      </c>
    </row>
    <row r="1437" customFormat="false" ht="15" hidden="false" customHeight="false" outlineLevel="0" collapsed="false">
      <c r="A1437" s="4" t="s">
        <v>1807</v>
      </c>
      <c r="B1437" s="17" t="n">
        <v>45950</v>
      </c>
      <c r="C1437" s="4" t="n">
        <v>7</v>
      </c>
      <c r="D1437" s="4" t="s">
        <v>70</v>
      </c>
      <c r="E1437" s="4" t="s">
        <v>99</v>
      </c>
      <c r="F1437" s="4" t="s">
        <v>100</v>
      </c>
      <c r="G1437" s="4" t="n">
        <v>1</v>
      </c>
      <c r="H1437" s="34" t="n">
        <v>110</v>
      </c>
      <c r="I1437" s="18" t="n">
        <v>0.05</v>
      </c>
      <c r="J1437" s="4" t="s">
        <v>88</v>
      </c>
      <c r="K1437" s="4" t="s">
        <v>2289</v>
      </c>
      <c r="L1437" s="35" t="n">
        <f aca="false">G1437*H1437</f>
        <v>110</v>
      </c>
      <c r="M1437" s="35" t="n">
        <f aca="false">L1437*I1437</f>
        <v>5.5</v>
      </c>
      <c r="N1437" s="35" t="n">
        <f aca="false">L1437-M1437</f>
        <v>104.5</v>
      </c>
      <c r="O1437" s="4" t="n">
        <f aca="false">MONTH(B1437)</f>
        <v>10</v>
      </c>
      <c r="P1437" s="4" t="str">
        <f aca="false">CHOOSE(WEEKDAY(B1437,2),"Mon","Tue","Wed","Thu","Fri","Sat","Sun")</f>
        <v>Mon</v>
      </c>
      <c r="Q1437" s="4" t="str">
        <f aca="false">IF(WEEKDAY(B1437,2)&gt;5,"Weekend","Weekday")</f>
        <v>Weekday</v>
      </c>
      <c r="R1437" s="4" t="str">
        <f aca="false">IF(C1437&lt;11,"Morning (7-10)",IF(C1437&lt;14,"Lunch (11-13)",IF(C1437&lt;18,"Afternoon (14-17)","Evening (18-20)")))</f>
        <v>Morning (7-10)</v>
      </c>
      <c r="S1437" s="4" t="str">
        <f aca="false">IF(AND(O1437&gt;=3,O1437&lt;=5),"Hot Dry (Mar-May)",IF(AND(O1437&gt;=6,O1437&lt;=11),"Rainy (Jun-Nov)","Cool Dry (Dec-Feb)"))</f>
        <v>Rainy (Jun-Nov)</v>
      </c>
      <c r="T1437" s="4" t="str">
        <f aca="false">CHOOSE(O1437,"Jan","Feb","Mar","Apr","May","Jun","Jul","Aug","Sep","Oct","Nov","Dec")</f>
        <v>Oct</v>
      </c>
    </row>
    <row r="1438" customFormat="false" ht="15" hidden="false" customHeight="false" outlineLevel="0" collapsed="false">
      <c r="A1438" s="4" t="s">
        <v>1808</v>
      </c>
      <c r="B1438" s="17" t="n">
        <v>45950</v>
      </c>
      <c r="C1438" s="4" t="n">
        <v>10</v>
      </c>
      <c r="D1438" s="4" t="s">
        <v>70</v>
      </c>
      <c r="E1438" s="4" t="s">
        <v>65</v>
      </c>
      <c r="F1438" s="4" t="s">
        <v>94</v>
      </c>
      <c r="G1438" s="4" t="n">
        <v>3</v>
      </c>
      <c r="H1438" s="34" t="n">
        <v>150</v>
      </c>
      <c r="I1438" s="18" t="n">
        <v>0</v>
      </c>
      <c r="J1438" s="4" t="s">
        <v>67</v>
      </c>
      <c r="K1438" s="4" t="s">
        <v>77</v>
      </c>
      <c r="L1438" s="35" t="n">
        <f aca="false">G1438*H1438</f>
        <v>450</v>
      </c>
      <c r="M1438" s="35" t="n">
        <f aca="false">L1438*I1438</f>
        <v>0</v>
      </c>
      <c r="N1438" s="35" t="n">
        <f aca="false">L1438-M1438</f>
        <v>450</v>
      </c>
      <c r="O1438" s="4" t="n">
        <f aca="false">MONTH(B1438)</f>
        <v>10</v>
      </c>
      <c r="P1438" s="4" t="str">
        <f aca="false">CHOOSE(WEEKDAY(B1438,2),"Mon","Tue","Wed","Thu","Fri","Sat","Sun")</f>
        <v>Mon</v>
      </c>
      <c r="Q1438" s="4" t="str">
        <f aca="false">IF(WEEKDAY(B1438,2)&gt;5,"Weekend","Weekday")</f>
        <v>Weekday</v>
      </c>
      <c r="R1438" s="4" t="str">
        <f aca="false">IF(C1438&lt;11,"Morning (7-10)",IF(C1438&lt;14,"Lunch (11-13)",IF(C1438&lt;18,"Afternoon (14-17)","Evening (18-20)")))</f>
        <v>Morning (7-10)</v>
      </c>
      <c r="S1438" s="4" t="str">
        <f aca="false">IF(AND(O1438&gt;=3,O1438&lt;=5),"Hot Dry (Mar-May)",IF(AND(O1438&gt;=6,O1438&lt;=11),"Rainy (Jun-Nov)","Cool Dry (Dec-Feb)"))</f>
        <v>Rainy (Jun-Nov)</v>
      </c>
      <c r="T1438" s="4" t="str">
        <f aca="false">CHOOSE(O1438,"Jan","Feb","Mar","Apr","May","Jun","Jul","Aug","Sep","Oct","Nov","Dec")</f>
        <v>Oct</v>
      </c>
    </row>
    <row r="1439" customFormat="false" ht="15" hidden="false" customHeight="false" outlineLevel="0" collapsed="false">
      <c r="A1439" s="4" t="s">
        <v>1809</v>
      </c>
      <c r="B1439" s="17" t="n">
        <v>45950</v>
      </c>
      <c r="C1439" s="4" t="n">
        <v>12</v>
      </c>
      <c r="D1439" s="4" t="s">
        <v>64</v>
      </c>
      <c r="E1439" s="4" t="s">
        <v>65</v>
      </c>
      <c r="F1439" s="4" t="s">
        <v>94</v>
      </c>
      <c r="G1439" s="4" t="n">
        <v>1</v>
      </c>
      <c r="H1439" s="34" t="n">
        <v>150</v>
      </c>
      <c r="I1439" s="18" t="n">
        <v>0</v>
      </c>
      <c r="J1439" s="4" t="s">
        <v>112</v>
      </c>
      <c r="K1439" s="4" t="s">
        <v>68</v>
      </c>
      <c r="L1439" s="35" t="n">
        <f aca="false">G1439*H1439</f>
        <v>150</v>
      </c>
      <c r="M1439" s="35" t="n">
        <f aca="false">L1439*I1439</f>
        <v>0</v>
      </c>
      <c r="N1439" s="35" t="n">
        <f aca="false">L1439-M1439</f>
        <v>150</v>
      </c>
      <c r="O1439" s="4" t="n">
        <f aca="false">MONTH(B1439)</f>
        <v>10</v>
      </c>
      <c r="P1439" s="4" t="str">
        <f aca="false">CHOOSE(WEEKDAY(B1439,2),"Mon","Tue","Wed","Thu","Fri","Sat","Sun")</f>
        <v>Mon</v>
      </c>
      <c r="Q1439" s="4" t="str">
        <f aca="false">IF(WEEKDAY(B1439,2)&gt;5,"Weekend","Weekday")</f>
        <v>Weekday</v>
      </c>
      <c r="R1439" s="4" t="str">
        <f aca="false">IF(C1439&lt;11,"Morning (7-10)",IF(C1439&lt;14,"Lunch (11-13)",IF(C1439&lt;18,"Afternoon (14-17)","Evening (18-20)")))</f>
        <v>Lunch (11-13)</v>
      </c>
      <c r="S1439" s="4" t="str">
        <f aca="false">IF(AND(O1439&gt;=3,O1439&lt;=5),"Hot Dry (Mar-May)",IF(AND(O1439&gt;=6,O1439&lt;=11),"Rainy (Jun-Nov)","Cool Dry (Dec-Feb)"))</f>
        <v>Rainy (Jun-Nov)</v>
      </c>
      <c r="T1439" s="4" t="str">
        <f aca="false">CHOOSE(O1439,"Jan","Feb","Mar","Apr","May","Jun","Jul","Aug","Sep","Oct","Nov","Dec")</f>
        <v>Oct</v>
      </c>
    </row>
    <row r="1440" customFormat="false" ht="15" hidden="false" customHeight="false" outlineLevel="0" collapsed="false">
      <c r="A1440" s="4" t="s">
        <v>1811</v>
      </c>
      <c r="B1440" s="17" t="n">
        <v>45950</v>
      </c>
      <c r="C1440" s="4" t="n">
        <v>13</v>
      </c>
      <c r="D1440" s="4" t="s">
        <v>73</v>
      </c>
      <c r="E1440" s="4" t="s">
        <v>99</v>
      </c>
      <c r="F1440" s="4" t="s">
        <v>109</v>
      </c>
      <c r="G1440" s="4" t="n">
        <v>1</v>
      </c>
      <c r="H1440" s="34" t="n">
        <v>130</v>
      </c>
      <c r="I1440" s="18" t="n">
        <v>0</v>
      </c>
      <c r="J1440" s="4" t="s">
        <v>67</v>
      </c>
      <c r="K1440" s="4" t="s">
        <v>77</v>
      </c>
      <c r="L1440" s="35" t="n">
        <f aca="false">G1440*H1440</f>
        <v>130</v>
      </c>
      <c r="M1440" s="35" t="n">
        <f aca="false">L1440*I1440</f>
        <v>0</v>
      </c>
      <c r="N1440" s="35" t="n">
        <f aca="false">L1440-M1440</f>
        <v>130</v>
      </c>
      <c r="O1440" s="4" t="n">
        <f aca="false">MONTH(B1440)</f>
        <v>10</v>
      </c>
      <c r="P1440" s="4" t="str">
        <f aca="false">CHOOSE(WEEKDAY(B1440,2),"Mon","Tue","Wed","Thu","Fri","Sat","Sun")</f>
        <v>Mon</v>
      </c>
      <c r="Q1440" s="4" t="str">
        <f aca="false">IF(WEEKDAY(B1440,2)&gt;5,"Weekend","Weekday")</f>
        <v>Weekday</v>
      </c>
      <c r="R1440" s="4" t="str">
        <f aca="false">IF(C1440&lt;11,"Morning (7-10)",IF(C1440&lt;14,"Lunch (11-13)",IF(C1440&lt;18,"Afternoon (14-17)","Evening (18-20)")))</f>
        <v>Lunch (11-13)</v>
      </c>
      <c r="S1440" s="4" t="str">
        <f aca="false">IF(AND(O1440&gt;=3,O1440&lt;=5),"Hot Dry (Mar-May)",IF(AND(O1440&gt;=6,O1440&lt;=11),"Rainy (Jun-Nov)","Cool Dry (Dec-Feb)"))</f>
        <v>Rainy (Jun-Nov)</v>
      </c>
      <c r="T1440" s="4" t="str">
        <f aca="false">CHOOSE(O1440,"Jan","Feb","Mar","Apr","May","Jun","Jul","Aug","Sep","Oct","Nov","Dec")</f>
        <v>Oct</v>
      </c>
    </row>
    <row r="1441" customFormat="false" ht="15" hidden="false" customHeight="false" outlineLevel="0" collapsed="false">
      <c r="A1441" s="4" t="s">
        <v>1812</v>
      </c>
      <c r="B1441" s="17" t="n">
        <v>45950</v>
      </c>
      <c r="C1441" s="4" t="n">
        <v>15</v>
      </c>
      <c r="D1441" s="4" t="s">
        <v>73</v>
      </c>
      <c r="E1441" s="4" t="s">
        <v>99</v>
      </c>
      <c r="F1441" s="4" t="s">
        <v>109</v>
      </c>
      <c r="G1441" s="4" t="n">
        <v>3</v>
      </c>
      <c r="H1441" s="34" t="n">
        <v>130</v>
      </c>
      <c r="I1441" s="18" t="n">
        <v>0.1</v>
      </c>
      <c r="J1441" s="4" t="s">
        <v>67</v>
      </c>
      <c r="K1441" s="4" t="s">
        <v>68</v>
      </c>
      <c r="L1441" s="35" t="n">
        <f aca="false">G1441*H1441</f>
        <v>390</v>
      </c>
      <c r="M1441" s="35" t="n">
        <f aca="false">L1441*I1441</f>
        <v>39</v>
      </c>
      <c r="N1441" s="35" t="n">
        <f aca="false">L1441-M1441</f>
        <v>351</v>
      </c>
      <c r="O1441" s="4" t="n">
        <f aca="false">MONTH(B1441)</f>
        <v>10</v>
      </c>
      <c r="P1441" s="4" t="str">
        <f aca="false">CHOOSE(WEEKDAY(B1441,2),"Mon","Tue","Wed","Thu","Fri","Sat","Sun")</f>
        <v>Mon</v>
      </c>
      <c r="Q1441" s="4" t="str">
        <f aca="false">IF(WEEKDAY(B1441,2)&gt;5,"Weekend","Weekday")</f>
        <v>Weekday</v>
      </c>
      <c r="R1441" s="4" t="str">
        <f aca="false">IF(C1441&lt;11,"Morning (7-10)",IF(C1441&lt;14,"Lunch (11-13)",IF(C1441&lt;18,"Afternoon (14-17)","Evening (18-20)")))</f>
        <v>Afternoon (14-17)</v>
      </c>
      <c r="S1441" s="4" t="str">
        <f aca="false">IF(AND(O1441&gt;=3,O1441&lt;=5),"Hot Dry (Mar-May)",IF(AND(O1441&gt;=6,O1441&lt;=11),"Rainy (Jun-Nov)","Cool Dry (Dec-Feb)"))</f>
        <v>Rainy (Jun-Nov)</v>
      </c>
      <c r="T1441" s="4" t="str">
        <f aca="false">CHOOSE(O1441,"Jan","Feb","Mar","Apr","May","Jun","Jul","Aug","Sep","Oct","Nov","Dec")</f>
        <v>Oct</v>
      </c>
    </row>
    <row r="1442" customFormat="false" ht="15" hidden="false" customHeight="false" outlineLevel="0" collapsed="false">
      <c r="A1442" s="4" t="s">
        <v>1813</v>
      </c>
      <c r="B1442" s="17" t="n">
        <v>45950</v>
      </c>
      <c r="C1442" s="4" t="n">
        <v>16</v>
      </c>
      <c r="D1442" s="4" t="s">
        <v>70</v>
      </c>
      <c r="E1442" s="4" t="s">
        <v>99</v>
      </c>
      <c r="F1442" s="4" t="s">
        <v>133</v>
      </c>
      <c r="G1442" s="4" t="n">
        <v>2</v>
      </c>
      <c r="H1442" s="34" t="n">
        <v>90</v>
      </c>
      <c r="I1442" s="18" t="n">
        <v>0.2</v>
      </c>
      <c r="J1442" s="4" t="s">
        <v>67</v>
      </c>
      <c r="K1442" s="4" t="s">
        <v>68</v>
      </c>
      <c r="L1442" s="35" t="n">
        <f aca="false">G1442*H1442</f>
        <v>180</v>
      </c>
      <c r="M1442" s="35" t="n">
        <f aca="false">L1442*I1442</f>
        <v>36</v>
      </c>
      <c r="N1442" s="35" t="n">
        <f aca="false">L1442-M1442</f>
        <v>144</v>
      </c>
      <c r="O1442" s="4" t="n">
        <f aca="false">MONTH(B1442)</f>
        <v>10</v>
      </c>
      <c r="P1442" s="4" t="str">
        <f aca="false">CHOOSE(WEEKDAY(B1442,2),"Mon","Tue","Wed","Thu","Fri","Sat","Sun")</f>
        <v>Mon</v>
      </c>
      <c r="Q1442" s="4" t="str">
        <f aca="false">IF(WEEKDAY(B1442,2)&gt;5,"Weekend","Weekday")</f>
        <v>Weekday</v>
      </c>
      <c r="R1442" s="4" t="str">
        <f aca="false">IF(C1442&lt;11,"Morning (7-10)",IF(C1442&lt;14,"Lunch (11-13)",IF(C1442&lt;18,"Afternoon (14-17)","Evening (18-20)")))</f>
        <v>Afternoon (14-17)</v>
      </c>
      <c r="S1442" s="4" t="str">
        <f aca="false">IF(AND(O1442&gt;=3,O1442&lt;=5),"Hot Dry (Mar-May)",IF(AND(O1442&gt;=6,O1442&lt;=11),"Rainy (Jun-Nov)","Cool Dry (Dec-Feb)"))</f>
        <v>Rainy (Jun-Nov)</v>
      </c>
      <c r="T1442" s="4" t="str">
        <f aca="false">CHOOSE(O1442,"Jan","Feb","Mar","Apr","May","Jun","Jul","Aug","Sep","Oct","Nov","Dec")</f>
        <v>Oct</v>
      </c>
    </row>
    <row r="1443" customFormat="false" ht="15" hidden="false" customHeight="false" outlineLevel="0" collapsed="false">
      <c r="A1443" s="4" t="s">
        <v>1815</v>
      </c>
      <c r="B1443" s="17" t="n">
        <v>45951</v>
      </c>
      <c r="C1443" s="4" t="n">
        <v>8</v>
      </c>
      <c r="D1443" s="4" t="s">
        <v>73</v>
      </c>
      <c r="E1443" s="4" t="s">
        <v>99</v>
      </c>
      <c r="F1443" s="4" t="s">
        <v>109</v>
      </c>
      <c r="G1443" s="4" t="n">
        <v>2</v>
      </c>
      <c r="H1443" s="34" t="n">
        <v>130</v>
      </c>
      <c r="I1443" s="18" t="n">
        <v>0</v>
      </c>
      <c r="J1443" s="4" t="s">
        <v>76</v>
      </c>
      <c r="K1443" s="4" t="s">
        <v>68</v>
      </c>
      <c r="L1443" s="35" t="n">
        <f aca="false">G1443*H1443</f>
        <v>260</v>
      </c>
      <c r="M1443" s="35" t="n">
        <f aca="false">L1443*I1443</f>
        <v>0</v>
      </c>
      <c r="N1443" s="35" t="n">
        <f aca="false">L1443-M1443</f>
        <v>260</v>
      </c>
      <c r="O1443" s="4" t="n">
        <f aca="false">MONTH(B1443)</f>
        <v>10</v>
      </c>
      <c r="P1443" s="4" t="str">
        <f aca="false">CHOOSE(WEEKDAY(B1443,2),"Mon","Tue","Wed","Thu","Fri","Sat","Sun")</f>
        <v>Tue</v>
      </c>
      <c r="Q1443" s="4" t="str">
        <f aca="false">IF(WEEKDAY(B1443,2)&gt;5,"Weekend","Weekday")</f>
        <v>Weekday</v>
      </c>
      <c r="R1443" s="4" t="str">
        <f aca="false">IF(C1443&lt;11,"Morning (7-10)",IF(C1443&lt;14,"Lunch (11-13)",IF(C1443&lt;18,"Afternoon (14-17)","Evening (18-20)")))</f>
        <v>Morning (7-10)</v>
      </c>
      <c r="S1443" s="4" t="str">
        <f aca="false">IF(AND(O1443&gt;=3,O1443&lt;=5),"Hot Dry (Mar-May)",IF(AND(O1443&gt;=6,O1443&lt;=11),"Rainy (Jun-Nov)","Cool Dry (Dec-Feb)"))</f>
        <v>Rainy (Jun-Nov)</v>
      </c>
      <c r="T1443" s="4" t="str">
        <f aca="false">CHOOSE(O1443,"Jan","Feb","Mar","Apr","May","Jun","Jul","Aug","Sep","Oct","Nov","Dec")</f>
        <v>Oct</v>
      </c>
    </row>
    <row r="1444" customFormat="false" ht="15" hidden="false" customHeight="false" outlineLevel="0" collapsed="false">
      <c r="A1444" s="4" t="s">
        <v>1816</v>
      </c>
      <c r="B1444" s="17" t="n">
        <v>45951</v>
      </c>
      <c r="C1444" s="4" t="n">
        <v>10</v>
      </c>
      <c r="D1444" s="4" t="s">
        <v>64</v>
      </c>
      <c r="E1444" s="4" t="s">
        <v>74</v>
      </c>
      <c r="F1444" s="4" t="s">
        <v>75</v>
      </c>
      <c r="G1444" s="4" t="n">
        <v>1</v>
      </c>
      <c r="H1444" s="34" t="n">
        <v>220</v>
      </c>
      <c r="I1444" s="18" t="n">
        <v>0</v>
      </c>
      <c r="J1444" s="4" t="s">
        <v>81</v>
      </c>
      <c r="K1444" s="4" t="s">
        <v>68</v>
      </c>
      <c r="L1444" s="35" t="n">
        <f aca="false">G1444*H1444</f>
        <v>220</v>
      </c>
      <c r="M1444" s="35" t="n">
        <f aca="false">L1444*I1444</f>
        <v>0</v>
      </c>
      <c r="N1444" s="35" t="n">
        <f aca="false">L1444-M1444</f>
        <v>220</v>
      </c>
      <c r="O1444" s="4" t="n">
        <f aca="false">MONTH(B1444)</f>
        <v>10</v>
      </c>
      <c r="P1444" s="4" t="str">
        <f aca="false">CHOOSE(WEEKDAY(B1444,2),"Mon","Tue","Wed","Thu","Fri","Sat","Sun")</f>
        <v>Tue</v>
      </c>
      <c r="Q1444" s="4" t="str">
        <f aca="false">IF(WEEKDAY(B1444,2)&gt;5,"Weekend","Weekday")</f>
        <v>Weekday</v>
      </c>
      <c r="R1444" s="4" t="str">
        <f aca="false">IF(C1444&lt;11,"Morning (7-10)",IF(C1444&lt;14,"Lunch (11-13)",IF(C1444&lt;18,"Afternoon (14-17)","Evening (18-20)")))</f>
        <v>Morning (7-10)</v>
      </c>
      <c r="S1444" s="4" t="str">
        <f aca="false">IF(AND(O1444&gt;=3,O1444&lt;=5),"Hot Dry (Mar-May)",IF(AND(O1444&gt;=6,O1444&lt;=11),"Rainy (Jun-Nov)","Cool Dry (Dec-Feb)"))</f>
        <v>Rainy (Jun-Nov)</v>
      </c>
      <c r="T1444" s="4" t="str">
        <f aca="false">CHOOSE(O1444,"Jan","Feb","Mar","Apr","May","Jun","Jul","Aug","Sep","Oct","Nov","Dec")</f>
        <v>Oct</v>
      </c>
    </row>
    <row r="1445" customFormat="false" ht="15" hidden="false" customHeight="false" outlineLevel="0" collapsed="false">
      <c r="A1445" s="4" t="s">
        <v>1817</v>
      </c>
      <c r="B1445" s="17" t="n">
        <v>45951</v>
      </c>
      <c r="C1445" s="4" t="n">
        <v>11</v>
      </c>
      <c r="D1445" s="4" t="s">
        <v>73</v>
      </c>
      <c r="E1445" s="4" t="s">
        <v>84</v>
      </c>
      <c r="F1445" s="4" t="s">
        <v>117</v>
      </c>
      <c r="G1445" s="4" t="n">
        <v>1</v>
      </c>
      <c r="H1445" s="34" t="n">
        <v>95</v>
      </c>
      <c r="I1445" s="18" t="n">
        <v>0</v>
      </c>
      <c r="J1445" s="4" t="s">
        <v>67</v>
      </c>
      <c r="K1445" s="4" t="s">
        <v>77</v>
      </c>
      <c r="L1445" s="35" t="n">
        <f aca="false">G1445*H1445</f>
        <v>95</v>
      </c>
      <c r="M1445" s="35" t="n">
        <f aca="false">L1445*I1445</f>
        <v>0</v>
      </c>
      <c r="N1445" s="35" t="n">
        <f aca="false">L1445-M1445</f>
        <v>95</v>
      </c>
      <c r="O1445" s="4" t="n">
        <f aca="false">MONTH(B1445)</f>
        <v>10</v>
      </c>
      <c r="P1445" s="4" t="str">
        <f aca="false">CHOOSE(WEEKDAY(B1445,2),"Mon","Tue","Wed","Thu","Fri","Sat","Sun")</f>
        <v>Tue</v>
      </c>
      <c r="Q1445" s="4" t="str">
        <f aca="false">IF(WEEKDAY(B1445,2)&gt;5,"Weekend","Weekday")</f>
        <v>Weekday</v>
      </c>
      <c r="R1445" s="4" t="str">
        <f aca="false">IF(C1445&lt;11,"Morning (7-10)",IF(C1445&lt;14,"Lunch (11-13)",IF(C1445&lt;18,"Afternoon (14-17)","Evening (18-20)")))</f>
        <v>Lunch (11-13)</v>
      </c>
      <c r="S1445" s="4" t="str">
        <f aca="false">IF(AND(O1445&gt;=3,O1445&lt;=5),"Hot Dry (Mar-May)",IF(AND(O1445&gt;=6,O1445&lt;=11),"Rainy (Jun-Nov)","Cool Dry (Dec-Feb)"))</f>
        <v>Rainy (Jun-Nov)</v>
      </c>
      <c r="T1445" s="4" t="str">
        <f aca="false">CHOOSE(O1445,"Jan","Feb","Mar","Apr","May","Jun","Jul","Aug","Sep","Oct","Nov","Dec")</f>
        <v>Oct</v>
      </c>
    </row>
    <row r="1446" customFormat="false" ht="15" hidden="false" customHeight="false" outlineLevel="0" collapsed="false">
      <c r="A1446" s="4" t="s">
        <v>1818</v>
      </c>
      <c r="B1446" s="17" t="n">
        <v>45951</v>
      </c>
      <c r="C1446" s="4" t="n">
        <v>12</v>
      </c>
      <c r="D1446" s="4" t="s">
        <v>70</v>
      </c>
      <c r="E1446" s="4" t="s">
        <v>99</v>
      </c>
      <c r="F1446" s="4" t="s">
        <v>102</v>
      </c>
      <c r="G1446" s="4" t="n">
        <v>1</v>
      </c>
      <c r="H1446" s="34" t="n">
        <v>140</v>
      </c>
      <c r="I1446" s="18" t="n">
        <v>0</v>
      </c>
      <c r="J1446" s="4" t="s">
        <v>81</v>
      </c>
      <c r="K1446" s="4" t="s">
        <v>68</v>
      </c>
      <c r="L1446" s="35" t="n">
        <f aca="false">G1446*H1446</f>
        <v>140</v>
      </c>
      <c r="M1446" s="35" t="n">
        <f aca="false">L1446*I1446</f>
        <v>0</v>
      </c>
      <c r="N1446" s="35" t="n">
        <f aca="false">L1446-M1446</f>
        <v>140</v>
      </c>
      <c r="O1446" s="4" t="n">
        <f aca="false">MONTH(B1446)</f>
        <v>10</v>
      </c>
      <c r="P1446" s="4" t="str">
        <f aca="false">CHOOSE(WEEKDAY(B1446,2),"Mon","Tue","Wed","Thu","Fri","Sat","Sun")</f>
        <v>Tue</v>
      </c>
      <c r="Q1446" s="4" t="str">
        <f aca="false">IF(WEEKDAY(B1446,2)&gt;5,"Weekend","Weekday")</f>
        <v>Weekday</v>
      </c>
      <c r="R1446" s="4" t="str">
        <f aca="false">IF(C1446&lt;11,"Morning (7-10)",IF(C1446&lt;14,"Lunch (11-13)",IF(C1446&lt;18,"Afternoon (14-17)","Evening (18-20)")))</f>
        <v>Lunch (11-13)</v>
      </c>
      <c r="S1446" s="4" t="str">
        <f aca="false">IF(AND(O1446&gt;=3,O1446&lt;=5),"Hot Dry (Mar-May)",IF(AND(O1446&gt;=6,O1446&lt;=11),"Rainy (Jun-Nov)","Cool Dry (Dec-Feb)"))</f>
        <v>Rainy (Jun-Nov)</v>
      </c>
      <c r="T1446" s="4" t="str">
        <f aca="false">CHOOSE(O1446,"Jan","Feb","Mar","Apr","May","Jun","Jul","Aug","Sep","Oct","Nov","Dec")</f>
        <v>Oct</v>
      </c>
    </row>
    <row r="1447" customFormat="false" ht="15" hidden="false" customHeight="false" outlineLevel="0" collapsed="false">
      <c r="A1447" s="4" t="s">
        <v>1819</v>
      </c>
      <c r="B1447" s="17" t="n">
        <v>45951</v>
      </c>
      <c r="C1447" s="4" t="n">
        <v>15</v>
      </c>
      <c r="D1447" s="4" t="s">
        <v>64</v>
      </c>
      <c r="E1447" s="4" t="s">
        <v>84</v>
      </c>
      <c r="F1447" s="4" t="s">
        <v>117</v>
      </c>
      <c r="G1447" s="4" t="n">
        <v>1</v>
      </c>
      <c r="H1447" s="34" t="n">
        <v>95</v>
      </c>
      <c r="I1447" s="18" t="n">
        <v>0.05</v>
      </c>
      <c r="J1447" s="4" t="s">
        <v>76</v>
      </c>
      <c r="K1447" s="4" t="s">
        <v>82</v>
      </c>
      <c r="L1447" s="35" t="n">
        <f aca="false">G1447*H1447</f>
        <v>95</v>
      </c>
      <c r="M1447" s="35" t="n">
        <f aca="false">L1447*I1447</f>
        <v>4.75</v>
      </c>
      <c r="N1447" s="35" t="n">
        <f aca="false">L1447-M1447</f>
        <v>90.25</v>
      </c>
      <c r="O1447" s="4" t="n">
        <f aca="false">MONTH(B1447)</f>
        <v>10</v>
      </c>
      <c r="P1447" s="4" t="str">
        <f aca="false">CHOOSE(WEEKDAY(B1447,2),"Mon","Tue","Wed","Thu","Fri","Sat","Sun")</f>
        <v>Tue</v>
      </c>
      <c r="Q1447" s="4" t="str">
        <f aca="false">IF(WEEKDAY(B1447,2)&gt;5,"Weekend","Weekday")</f>
        <v>Weekday</v>
      </c>
      <c r="R1447" s="4" t="str">
        <f aca="false">IF(C1447&lt;11,"Morning (7-10)",IF(C1447&lt;14,"Lunch (11-13)",IF(C1447&lt;18,"Afternoon (14-17)","Evening (18-20)")))</f>
        <v>Afternoon (14-17)</v>
      </c>
      <c r="S1447" s="4" t="str">
        <f aca="false">IF(AND(O1447&gt;=3,O1447&lt;=5),"Hot Dry (Mar-May)",IF(AND(O1447&gt;=6,O1447&lt;=11),"Rainy (Jun-Nov)","Cool Dry (Dec-Feb)"))</f>
        <v>Rainy (Jun-Nov)</v>
      </c>
      <c r="T1447" s="4" t="str">
        <f aca="false">CHOOSE(O1447,"Jan","Feb","Mar","Apr","May","Jun","Jul","Aug","Sep","Oct","Nov","Dec")</f>
        <v>Oct</v>
      </c>
    </row>
    <row r="1448" customFormat="false" ht="15" hidden="false" customHeight="false" outlineLevel="0" collapsed="false">
      <c r="A1448" s="4" t="s">
        <v>1820</v>
      </c>
      <c r="B1448" s="17" t="n">
        <v>45952</v>
      </c>
      <c r="C1448" s="4" t="n">
        <v>8</v>
      </c>
      <c r="D1448" s="4" t="s">
        <v>70</v>
      </c>
      <c r="E1448" s="4" t="s">
        <v>65</v>
      </c>
      <c r="F1448" s="4" t="s">
        <v>66</v>
      </c>
      <c r="G1448" s="4" t="n">
        <v>1</v>
      </c>
      <c r="H1448" s="34" t="n">
        <v>120</v>
      </c>
      <c r="I1448" s="18" t="n">
        <v>0</v>
      </c>
      <c r="J1448" s="4" t="s">
        <v>67</v>
      </c>
      <c r="K1448" s="4" t="s">
        <v>77</v>
      </c>
      <c r="L1448" s="35" t="n">
        <f aca="false">G1448*H1448</f>
        <v>120</v>
      </c>
      <c r="M1448" s="35" t="n">
        <f aca="false">L1448*I1448</f>
        <v>0</v>
      </c>
      <c r="N1448" s="35" t="n">
        <f aca="false">L1448-M1448</f>
        <v>120</v>
      </c>
      <c r="O1448" s="4" t="n">
        <f aca="false">MONTH(B1448)</f>
        <v>10</v>
      </c>
      <c r="P1448" s="4" t="str">
        <f aca="false">CHOOSE(WEEKDAY(B1448,2),"Mon","Tue","Wed","Thu","Fri","Sat","Sun")</f>
        <v>Wed</v>
      </c>
      <c r="Q1448" s="4" t="str">
        <f aca="false">IF(WEEKDAY(B1448,2)&gt;5,"Weekend","Weekday")</f>
        <v>Weekday</v>
      </c>
      <c r="R1448" s="4" t="str">
        <f aca="false">IF(C1448&lt;11,"Morning (7-10)",IF(C1448&lt;14,"Lunch (11-13)",IF(C1448&lt;18,"Afternoon (14-17)","Evening (18-20)")))</f>
        <v>Morning (7-10)</v>
      </c>
      <c r="S1448" s="4" t="str">
        <f aca="false">IF(AND(O1448&gt;=3,O1448&lt;=5),"Hot Dry (Mar-May)",IF(AND(O1448&gt;=6,O1448&lt;=11),"Rainy (Jun-Nov)","Cool Dry (Dec-Feb)"))</f>
        <v>Rainy (Jun-Nov)</v>
      </c>
      <c r="T1448" s="4" t="str">
        <f aca="false">CHOOSE(O1448,"Jan","Feb","Mar","Apr","May","Jun","Jul","Aug","Sep","Oct","Nov","Dec")</f>
        <v>Oct</v>
      </c>
    </row>
    <row r="1449" customFormat="false" ht="15" hidden="false" customHeight="false" outlineLevel="0" collapsed="false">
      <c r="A1449" s="4" t="s">
        <v>1821</v>
      </c>
      <c r="B1449" s="17" t="n">
        <v>45952</v>
      </c>
      <c r="C1449" s="4" t="n">
        <v>9</v>
      </c>
      <c r="D1449" s="4" t="s">
        <v>73</v>
      </c>
      <c r="E1449" s="4" t="s">
        <v>65</v>
      </c>
      <c r="F1449" s="4" t="s">
        <v>121</v>
      </c>
      <c r="G1449" s="4" t="n">
        <v>1</v>
      </c>
      <c r="H1449" s="34" t="n">
        <v>170</v>
      </c>
      <c r="I1449" s="18" t="n">
        <v>0</v>
      </c>
      <c r="J1449" s="4" t="s">
        <v>67</v>
      </c>
      <c r="K1449" s="4" t="s">
        <v>82</v>
      </c>
      <c r="L1449" s="35" t="n">
        <f aca="false">G1449*H1449</f>
        <v>170</v>
      </c>
      <c r="M1449" s="35" t="n">
        <f aca="false">L1449*I1449</f>
        <v>0</v>
      </c>
      <c r="N1449" s="35" t="n">
        <f aca="false">L1449-M1449</f>
        <v>170</v>
      </c>
      <c r="O1449" s="4" t="n">
        <f aca="false">MONTH(B1449)</f>
        <v>10</v>
      </c>
      <c r="P1449" s="4" t="str">
        <f aca="false">CHOOSE(WEEKDAY(B1449,2),"Mon","Tue","Wed","Thu","Fri","Sat","Sun")</f>
        <v>Wed</v>
      </c>
      <c r="Q1449" s="4" t="str">
        <f aca="false">IF(WEEKDAY(B1449,2)&gt;5,"Weekend","Weekday")</f>
        <v>Weekday</v>
      </c>
      <c r="R1449" s="4" t="str">
        <f aca="false">IF(C1449&lt;11,"Morning (7-10)",IF(C1449&lt;14,"Lunch (11-13)",IF(C1449&lt;18,"Afternoon (14-17)","Evening (18-20)")))</f>
        <v>Morning (7-10)</v>
      </c>
      <c r="S1449" s="4" t="str">
        <f aca="false">IF(AND(O1449&gt;=3,O1449&lt;=5),"Hot Dry (Mar-May)",IF(AND(O1449&gt;=6,O1449&lt;=11),"Rainy (Jun-Nov)","Cool Dry (Dec-Feb)"))</f>
        <v>Rainy (Jun-Nov)</v>
      </c>
      <c r="T1449" s="4" t="str">
        <f aca="false">CHOOSE(O1449,"Jan","Feb","Mar","Apr","May","Jun","Jul","Aug","Sep","Oct","Nov","Dec")</f>
        <v>Oct</v>
      </c>
    </row>
    <row r="1450" customFormat="false" ht="15" hidden="false" customHeight="false" outlineLevel="0" collapsed="false">
      <c r="A1450" s="4" t="s">
        <v>1822</v>
      </c>
      <c r="B1450" s="17" t="n">
        <v>45952</v>
      </c>
      <c r="C1450" s="4" t="n">
        <v>12</v>
      </c>
      <c r="D1450" s="4" t="s">
        <v>73</v>
      </c>
      <c r="E1450" s="4" t="s">
        <v>84</v>
      </c>
      <c r="F1450" s="4" t="s">
        <v>114</v>
      </c>
      <c r="G1450" s="4" t="n">
        <v>1</v>
      </c>
      <c r="H1450" s="34" t="n">
        <v>85</v>
      </c>
      <c r="I1450" s="18" t="n">
        <v>0</v>
      </c>
      <c r="J1450" s="4" t="s">
        <v>67</v>
      </c>
      <c r="K1450" s="4" t="s">
        <v>77</v>
      </c>
      <c r="L1450" s="35" t="n">
        <f aca="false">G1450*H1450</f>
        <v>85</v>
      </c>
      <c r="M1450" s="35" t="n">
        <f aca="false">L1450*I1450</f>
        <v>0</v>
      </c>
      <c r="N1450" s="35" t="n">
        <f aca="false">L1450-M1450</f>
        <v>85</v>
      </c>
      <c r="O1450" s="4" t="n">
        <f aca="false">MONTH(B1450)</f>
        <v>10</v>
      </c>
      <c r="P1450" s="4" t="str">
        <f aca="false">CHOOSE(WEEKDAY(B1450,2),"Mon","Tue","Wed","Thu","Fri","Sat","Sun")</f>
        <v>Wed</v>
      </c>
      <c r="Q1450" s="4" t="str">
        <f aca="false">IF(WEEKDAY(B1450,2)&gt;5,"Weekend","Weekday")</f>
        <v>Weekday</v>
      </c>
      <c r="R1450" s="4" t="str">
        <f aca="false">IF(C1450&lt;11,"Morning (7-10)",IF(C1450&lt;14,"Lunch (11-13)",IF(C1450&lt;18,"Afternoon (14-17)","Evening (18-20)")))</f>
        <v>Lunch (11-13)</v>
      </c>
      <c r="S1450" s="4" t="str">
        <f aca="false">IF(AND(O1450&gt;=3,O1450&lt;=5),"Hot Dry (Mar-May)",IF(AND(O1450&gt;=6,O1450&lt;=11),"Rainy (Jun-Nov)","Cool Dry (Dec-Feb)"))</f>
        <v>Rainy (Jun-Nov)</v>
      </c>
      <c r="T1450" s="4" t="str">
        <f aca="false">CHOOSE(O1450,"Jan","Feb","Mar","Apr","May","Jun","Jul","Aug","Sep","Oct","Nov","Dec")</f>
        <v>Oct</v>
      </c>
    </row>
    <row r="1451" customFormat="false" ht="15" hidden="false" customHeight="false" outlineLevel="0" collapsed="false">
      <c r="A1451" s="4" t="s">
        <v>1823</v>
      </c>
      <c r="B1451" s="17" t="n">
        <v>45952</v>
      </c>
      <c r="C1451" s="4" t="n">
        <v>17</v>
      </c>
      <c r="D1451" s="4" t="s">
        <v>64</v>
      </c>
      <c r="E1451" s="4" t="s">
        <v>65</v>
      </c>
      <c r="F1451" s="4" t="s">
        <v>121</v>
      </c>
      <c r="G1451" s="4" t="n">
        <v>2</v>
      </c>
      <c r="H1451" s="34" t="n">
        <v>170</v>
      </c>
      <c r="I1451" s="18" t="n">
        <v>0.15</v>
      </c>
      <c r="J1451" s="4" t="s">
        <v>67</v>
      </c>
      <c r="K1451" s="4" t="s">
        <v>77</v>
      </c>
      <c r="L1451" s="35" t="n">
        <f aca="false">G1451*H1451</f>
        <v>340</v>
      </c>
      <c r="M1451" s="35" t="n">
        <f aca="false">L1451*I1451</f>
        <v>51</v>
      </c>
      <c r="N1451" s="35" t="n">
        <f aca="false">L1451-M1451</f>
        <v>289</v>
      </c>
      <c r="O1451" s="4" t="n">
        <f aca="false">MONTH(B1451)</f>
        <v>10</v>
      </c>
      <c r="P1451" s="4" t="str">
        <f aca="false">CHOOSE(WEEKDAY(B1451,2),"Mon","Tue","Wed","Thu","Fri","Sat","Sun")</f>
        <v>Wed</v>
      </c>
      <c r="Q1451" s="4" t="str">
        <f aca="false">IF(WEEKDAY(B1451,2)&gt;5,"Weekend","Weekday")</f>
        <v>Weekday</v>
      </c>
      <c r="R1451" s="4" t="str">
        <f aca="false">IF(C1451&lt;11,"Morning (7-10)",IF(C1451&lt;14,"Lunch (11-13)",IF(C1451&lt;18,"Afternoon (14-17)","Evening (18-20)")))</f>
        <v>Afternoon (14-17)</v>
      </c>
      <c r="S1451" s="4" t="str">
        <f aca="false">IF(AND(O1451&gt;=3,O1451&lt;=5),"Hot Dry (Mar-May)",IF(AND(O1451&gt;=6,O1451&lt;=11),"Rainy (Jun-Nov)","Cool Dry (Dec-Feb)"))</f>
        <v>Rainy (Jun-Nov)</v>
      </c>
      <c r="T1451" s="4" t="str">
        <f aca="false">CHOOSE(O1451,"Jan","Feb","Mar","Apr","May","Jun","Jul","Aug","Sep","Oct","Nov","Dec")</f>
        <v>Oct</v>
      </c>
    </row>
    <row r="1452" customFormat="false" ht="15" hidden="false" customHeight="false" outlineLevel="0" collapsed="false">
      <c r="A1452" s="4" t="s">
        <v>1824</v>
      </c>
      <c r="B1452" s="17" t="n">
        <v>45952</v>
      </c>
      <c r="C1452" s="4" t="n">
        <v>18</v>
      </c>
      <c r="D1452" s="4" t="s">
        <v>73</v>
      </c>
      <c r="E1452" s="4" t="s">
        <v>99</v>
      </c>
      <c r="F1452" s="4" t="s">
        <v>102</v>
      </c>
      <c r="G1452" s="4" t="n">
        <v>1</v>
      </c>
      <c r="H1452" s="34" t="n">
        <v>140</v>
      </c>
      <c r="I1452" s="18" t="n">
        <v>0.05</v>
      </c>
      <c r="J1452" s="4" t="s">
        <v>76</v>
      </c>
      <c r="K1452" s="4" t="s">
        <v>82</v>
      </c>
      <c r="L1452" s="35" t="n">
        <f aca="false">G1452*H1452</f>
        <v>140</v>
      </c>
      <c r="M1452" s="35" t="n">
        <f aca="false">L1452*I1452</f>
        <v>7</v>
      </c>
      <c r="N1452" s="35" t="n">
        <f aca="false">L1452-M1452</f>
        <v>133</v>
      </c>
      <c r="O1452" s="4" t="n">
        <f aca="false">MONTH(B1452)</f>
        <v>10</v>
      </c>
      <c r="P1452" s="4" t="str">
        <f aca="false">CHOOSE(WEEKDAY(B1452,2),"Mon","Tue","Wed","Thu","Fri","Sat","Sun")</f>
        <v>Wed</v>
      </c>
      <c r="Q1452" s="4" t="str">
        <f aca="false">IF(WEEKDAY(B1452,2)&gt;5,"Weekend","Weekday")</f>
        <v>Weekday</v>
      </c>
      <c r="R1452" s="4" t="str">
        <f aca="false">IF(C1452&lt;11,"Morning (7-10)",IF(C1452&lt;14,"Lunch (11-13)",IF(C1452&lt;18,"Afternoon (14-17)","Evening (18-20)")))</f>
        <v>Evening (18-20)</v>
      </c>
      <c r="S1452" s="4" t="str">
        <f aca="false">IF(AND(O1452&gt;=3,O1452&lt;=5),"Hot Dry (Mar-May)",IF(AND(O1452&gt;=6,O1452&lt;=11),"Rainy (Jun-Nov)","Cool Dry (Dec-Feb)"))</f>
        <v>Rainy (Jun-Nov)</v>
      </c>
      <c r="T1452" s="4" t="str">
        <f aca="false">CHOOSE(O1452,"Jan","Feb","Mar","Apr","May","Jun","Jul","Aug","Sep","Oct","Nov","Dec")</f>
        <v>Oct</v>
      </c>
    </row>
    <row r="1453" customFormat="false" ht="15" hidden="false" customHeight="false" outlineLevel="0" collapsed="false">
      <c r="A1453" s="4" t="s">
        <v>1825</v>
      </c>
      <c r="B1453" s="17" t="n">
        <v>45952</v>
      </c>
      <c r="C1453" s="4" t="n">
        <v>19</v>
      </c>
      <c r="D1453" s="4" t="s">
        <v>64</v>
      </c>
      <c r="E1453" s="4" t="s">
        <v>74</v>
      </c>
      <c r="F1453" s="4" t="s">
        <v>139</v>
      </c>
      <c r="G1453" s="4" t="n">
        <v>1</v>
      </c>
      <c r="H1453" s="34" t="n">
        <v>260</v>
      </c>
      <c r="I1453" s="18" t="n">
        <v>0.1</v>
      </c>
      <c r="J1453" s="4" t="s">
        <v>81</v>
      </c>
      <c r="K1453" s="4" t="s">
        <v>71</v>
      </c>
      <c r="L1453" s="35" t="n">
        <f aca="false">G1453*H1453</f>
        <v>260</v>
      </c>
      <c r="M1453" s="35" t="n">
        <f aca="false">L1453*I1453</f>
        <v>26</v>
      </c>
      <c r="N1453" s="35" t="n">
        <f aca="false">L1453-M1453</f>
        <v>234</v>
      </c>
      <c r="O1453" s="4" t="n">
        <f aca="false">MONTH(B1453)</f>
        <v>10</v>
      </c>
      <c r="P1453" s="4" t="str">
        <f aca="false">CHOOSE(WEEKDAY(B1453,2),"Mon","Tue","Wed","Thu","Fri","Sat","Sun")</f>
        <v>Wed</v>
      </c>
      <c r="Q1453" s="4" t="str">
        <f aca="false">IF(WEEKDAY(B1453,2)&gt;5,"Weekend","Weekday")</f>
        <v>Weekday</v>
      </c>
      <c r="R1453" s="4" t="str">
        <f aca="false">IF(C1453&lt;11,"Morning (7-10)",IF(C1453&lt;14,"Lunch (11-13)",IF(C1453&lt;18,"Afternoon (14-17)","Evening (18-20)")))</f>
        <v>Evening (18-20)</v>
      </c>
      <c r="S1453" s="4" t="str">
        <f aca="false">IF(AND(O1453&gt;=3,O1453&lt;=5),"Hot Dry (Mar-May)",IF(AND(O1453&gt;=6,O1453&lt;=11),"Rainy (Jun-Nov)","Cool Dry (Dec-Feb)"))</f>
        <v>Rainy (Jun-Nov)</v>
      </c>
      <c r="T1453" s="4" t="str">
        <f aca="false">CHOOSE(O1453,"Jan","Feb","Mar","Apr","May","Jun","Jul","Aug","Sep","Oct","Nov","Dec")</f>
        <v>Oct</v>
      </c>
    </row>
    <row r="1454" customFormat="false" ht="15" hidden="false" customHeight="false" outlineLevel="0" collapsed="false">
      <c r="A1454" s="4" t="s">
        <v>1826</v>
      </c>
      <c r="B1454" s="17" t="n">
        <v>45953</v>
      </c>
      <c r="C1454" s="4" t="n">
        <v>8</v>
      </c>
      <c r="D1454" s="4" t="s">
        <v>64</v>
      </c>
      <c r="E1454" s="4" t="s">
        <v>84</v>
      </c>
      <c r="F1454" s="4" t="s">
        <v>106</v>
      </c>
      <c r="G1454" s="4" t="n">
        <v>2</v>
      </c>
      <c r="H1454" s="34" t="n">
        <v>60</v>
      </c>
      <c r="I1454" s="18" t="n">
        <v>0</v>
      </c>
      <c r="J1454" s="4" t="s">
        <v>67</v>
      </c>
      <c r="K1454" s="4" t="s">
        <v>68</v>
      </c>
      <c r="L1454" s="35" t="n">
        <f aca="false">G1454*H1454</f>
        <v>120</v>
      </c>
      <c r="M1454" s="35" t="n">
        <f aca="false">L1454*I1454</f>
        <v>0</v>
      </c>
      <c r="N1454" s="35" t="n">
        <f aca="false">L1454-M1454</f>
        <v>120</v>
      </c>
      <c r="O1454" s="4" t="n">
        <f aca="false">MONTH(B1454)</f>
        <v>10</v>
      </c>
      <c r="P1454" s="4" t="str">
        <f aca="false">CHOOSE(WEEKDAY(B1454,2),"Mon","Tue","Wed","Thu","Fri","Sat","Sun")</f>
        <v>Thu</v>
      </c>
      <c r="Q1454" s="4" t="str">
        <f aca="false">IF(WEEKDAY(B1454,2)&gt;5,"Weekend","Weekday")</f>
        <v>Weekday</v>
      </c>
      <c r="R1454" s="4" t="str">
        <f aca="false">IF(C1454&lt;11,"Morning (7-10)",IF(C1454&lt;14,"Lunch (11-13)",IF(C1454&lt;18,"Afternoon (14-17)","Evening (18-20)")))</f>
        <v>Morning (7-10)</v>
      </c>
      <c r="S1454" s="4" t="str">
        <f aca="false">IF(AND(O1454&gt;=3,O1454&lt;=5),"Hot Dry (Mar-May)",IF(AND(O1454&gt;=6,O1454&lt;=11),"Rainy (Jun-Nov)","Cool Dry (Dec-Feb)"))</f>
        <v>Rainy (Jun-Nov)</v>
      </c>
      <c r="T1454" s="4" t="str">
        <f aca="false">CHOOSE(O1454,"Jan","Feb","Mar","Apr","May","Jun","Jul","Aug","Sep","Oct","Nov","Dec")</f>
        <v>Oct</v>
      </c>
    </row>
    <row r="1455" customFormat="false" ht="15" hidden="false" customHeight="false" outlineLevel="0" collapsed="false">
      <c r="A1455" s="4" t="s">
        <v>1827</v>
      </c>
      <c r="B1455" s="17" t="n">
        <v>45953</v>
      </c>
      <c r="C1455" s="4" t="n">
        <v>12</v>
      </c>
      <c r="D1455" s="4" t="s">
        <v>73</v>
      </c>
      <c r="E1455" s="4" t="s">
        <v>74</v>
      </c>
      <c r="F1455" s="4" t="s">
        <v>139</v>
      </c>
      <c r="G1455" s="4" t="n">
        <v>1</v>
      </c>
      <c r="H1455" s="34" t="n">
        <v>260</v>
      </c>
      <c r="I1455" s="18" t="n">
        <v>0</v>
      </c>
      <c r="J1455" s="4" t="s">
        <v>112</v>
      </c>
      <c r="K1455" s="4" t="s">
        <v>68</v>
      </c>
      <c r="L1455" s="35" t="n">
        <f aca="false">G1455*H1455</f>
        <v>260</v>
      </c>
      <c r="M1455" s="35" t="n">
        <f aca="false">L1455*I1455</f>
        <v>0</v>
      </c>
      <c r="N1455" s="35" t="n">
        <f aca="false">L1455-M1455</f>
        <v>260</v>
      </c>
      <c r="O1455" s="4" t="n">
        <f aca="false">MONTH(B1455)</f>
        <v>10</v>
      </c>
      <c r="P1455" s="4" t="str">
        <f aca="false">CHOOSE(WEEKDAY(B1455,2),"Mon","Tue","Wed","Thu","Fri","Sat","Sun")</f>
        <v>Thu</v>
      </c>
      <c r="Q1455" s="4" t="str">
        <f aca="false">IF(WEEKDAY(B1455,2)&gt;5,"Weekend","Weekday")</f>
        <v>Weekday</v>
      </c>
      <c r="R1455" s="4" t="str">
        <f aca="false">IF(C1455&lt;11,"Morning (7-10)",IF(C1455&lt;14,"Lunch (11-13)",IF(C1455&lt;18,"Afternoon (14-17)","Evening (18-20)")))</f>
        <v>Lunch (11-13)</v>
      </c>
      <c r="S1455" s="4" t="str">
        <f aca="false">IF(AND(O1455&gt;=3,O1455&lt;=5),"Hot Dry (Mar-May)",IF(AND(O1455&gt;=6,O1455&lt;=11),"Rainy (Jun-Nov)","Cool Dry (Dec-Feb)"))</f>
        <v>Rainy (Jun-Nov)</v>
      </c>
      <c r="T1455" s="4" t="str">
        <f aca="false">CHOOSE(O1455,"Jan","Feb","Mar","Apr","May","Jun","Jul","Aug","Sep","Oct","Nov","Dec")</f>
        <v>Oct</v>
      </c>
    </row>
    <row r="1456" customFormat="false" ht="15" hidden="false" customHeight="false" outlineLevel="0" collapsed="false">
      <c r="A1456" s="4" t="s">
        <v>1829</v>
      </c>
      <c r="B1456" s="17" t="n">
        <v>45953</v>
      </c>
      <c r="C1456" s="4" t="n">
        <v>12</v>
      </c>
      <c r="D1456" s="4" t="s">
        <v>64</v>
      </c>
      <c r="E1456" s="4" t="s">
        <v>99</v>
      </c>
      <c r="F1456" s="4" t="s">
        <v>102</v>
      </c>
      <c r="G1456" s="4" t="n">
        <v>1</v>
      </c>
      <c r="H1456" s="34" t="n">
        <v>140</v>
      </c>
      <c r="I1456" s="18" t="n">
        <v>0</v>
      </c>
      <c r="J1456" s="4" t="s">
        <v>76</v>
      </c>
      <c r="K1456" s="4" t="s">
        <v>68</v>
      </c>
      <c r="L1456" s="35" t="n">
        <f aca="false">G1456*H1456</f>
        <v>140</v>
      </c>
      <c r="M1456" s="35" t="n">
        <f aca="false">L1456*I1456</f>
        <v>0</v>
      </c>
      <c r="N1456" s="35" t="n">
        <f aca="false">L1456-M1456</f>
        <v>140</v>
      </c>
      <c r="O1456" s="4" t="n">
        <f aca="false">MONTH(B1456)</f>
        <v>10</v>
      </c>
      <c r="P1456" s="4" t="str">
        <f aca="false">CHOOSE(WEEKDAY(B1456,2),"Mon","Tue","Wed","Thu","Fri","Sat","Sun")</f>
        <v>Thu</v>
      </c>
      <c r="Q1456" s="4" t="str">
        <f aca="false">IF(WEEKDAY(B1456,2)&gt;5,"Weekend","Weekday")</f>
        <v>Weekday</v>
      </c>
      <c r="R1456" s="4" t="str">
        <f aca="false">IF(C1456&lt;11,"Morning (7-10)",IF(C1456&lt;14,"Lunch (11-13)",IF(C1456&lt;18,"Afternoon (14-17)","Evening (18-20)")))</f>
        <v>Lunch (11-13)</v>
      </c>
      <c r="S1456" s="4" t="str">
        <f aca="false">IF(AND(O1456&gt;=3,O1456&lt;=5),"Hot Dry (Mar-May)",IF(AND(O1456&gt;=6,O1456&lt;=11),"Rainy (Jun-Nov)","Cool Dry (Dec-Feb)"))</f>
        <v>Rainy (Jun-Nov)</v>
      </c>
      <c r="T1456" s="4" t="str">
        <f aca="false">CHOOSE(O1456,"Jan","Feb","Mar","Apr","May","Jun","Jul","Aug","Sep","Oct","Nov","Dec")</f>
        <v>Oct</v>
      </c>
    </row>
    <row r="1457" customFormat="false" ht="15" hidden="false" customHeight="false" outlineLevel="0" collapsed="false">
      <c r="A1457" s="4" t="s">
        <v>1830</v>
      </c>
      <c r="B1457" s="17" t="n">
        <v>45953</v>
      </c>
      <c r="C1457" s="4" t="n">
        <v>16</v>
      </c>
      <c r="D1457" s="4" t="s">
        <v>70</v>
      </c>
      <c r="E1457" s="4" t="s">
        <v>79</v>
      </c>
      <c r="F1457" s="4" t="s">
        <v>148</v>
      </c>
      <c r="G1457" s="4" t="n">
        <v>1</v>
      </c>
      <c r="H1457" s="34" t="n">
        <v>120</v>
      </c>
      <c r="I1457" s="18" t="n">
        <v>0</v>
      </c>
      <c r="J1457" s="4" t="s">
        <v>76</v>
      </c>
      <c r="K1457" s="4" t="s">
        <v>68</v>
      </c>
      <c r="L1457" s="35" t="n">
        <f aca="false">G1457*H1457</f>
        <v>120</v>
      </c>
      <c r="M1457" s="35" t="n">
        <f aca="false">L1457*I1457</f>
        <v>0</v>
      </c>
      <c r="N1457" s="35" t="n">
        <f aca="false">L1457-M1457</f>
        <v>120</v>
      </c>
      <c r="O1457" s="4" t="n">
        <f aca="false">MONTH(B1457)</f>
        <v>10</v>
      </c>
      <c r="P1457" s="4" t="str">
        <f aca="false">CHOOSE(WEEKDAY(B1457,2),"Mon","Tue","Wed","Thu","Fri","Sat","Sun")</f>
        <v>Thu</v>
      </c>
      <c r="Q1457" s="4" t="str">
        <f aca="false">IF(WEEKDAY(B1457,2)&gt;5,"Weekend","Weekday")</f>
        <v>Weekday</v>
      </c>
      <c r="R1457" s="4" t="str">
        <f aca="false">IF(C1457&lt;11,"Morning (7-10)",IF(C1457&lt;14,"Lunch (11-13)",IF(C1457&lt;18,"Afternoon (14-17)","Evening (18-20)")))</f>
        <v>Afternoon (14-17)</v>
      </c>
      <c r="S1457" s="4" t="str">
        <f aca="false">IF(AND(O1457&gt;=3,O1457&lt;=5),"Hot Dry (Mar-May)",IF(AND(O1457&gt;=6,O1457&lt;=11),"Rainy (Jun-Nov)","Cool Dry (Dec-Feb)"))</f>
        <v>Rainy (Jun-Nov)</v>
      </c>
      <c r="T1457" s="4" t="str">
        <f aca="false">CHOOSE(O1457,"Jan","Feb","Mar","Apr","May","Jun","Jul","Aug","Sep","Oct","Nov","Dec")</f>
        <v>Oct</v>
      </c>
    </row>
    <row r="1458" customFormat="false" ht="15" hidden="false" customHeight="false" outlineLevel="0" collapsed="false">
      <c r="A1458" s="4" t="s">
        <v>1831</v>
      </c>
      <c r="B1458" s="17" t="n">
        <v>45954</v>
      </c>
      <c r="C1458" s="4" t="n">
        <v>8</v>
      </c>
      <c r="D1458" s="4" t="s">
        <v>98</v>
      </c>
      <c r="E1458" s="4" t="s">
        <v>99</v>
      </c>
      <c r="F1458" s="4" t="s">
        <v>133</v>
      </c>
      <c r="G1458" s="4" t="n">
        <v>2</v>
      </c>
      <c r="H1458" s="34" t="n">
        <v>90</v>
      </c>
      <c r="I1458" s="18" t="n">
        <v>0.1</v>
      </c>
      <c r="J1458" s="4" t="s">
        <v>67</v>
      </c>
      <c r="K1458" s="4" t="s">
        <v>68</v>
      </c>
      <c r="L1458" s="35" t="n">
        <f aca="false">G1458*H1458</f>
        <v>180</v>
      </c>
      <c r="M1458" s="35" t="n">
        <f aca="false">L1458*I1458</f>
        <v>18</v>
      </c>
      <c r="N1458" s="35" t="n">
        <f aca="false">L1458-M1458</f>
        <v>162</v>
      </c>
      <c r="O1458" s="4" t="n">
        <f aca="false">MONTH(B1458)</f>
        <v>10</v>
      </c>
      <c r="P1458" s="4" t="str">
        <f aca="false">CHOOSE(WEEKDAY(B1458,2),"Mon","Tue","Wed","Thu","Fri","Sat","Sun")</f>
        <v>Fri</v>
      </c>
      <c r="Q1458" s="4" t="str">
        <f aca="false">IF(WEEKDAY(B1458,2)&gt;5,"Weekend","Weekday")</f>
        <v>Weekday</v>
      </c>
      <c r="R1458" s="4" t="str">
        <f aca="false">IF(C1458&lt;11,"Morning (7-10)",IF(C1458&lt;14,"Lunch (11-13)",IF(C1458&lt;18,"Afternoon (14-17)","Evening (18-20)")))</f>
        <v>Morning (7-10)</v>
      </c>
      <c r="S1458" s="4" t="str">
        <f aca="false">IF(AND(O1458&gt;=3,O1458&lt;=5),"Hot Dry (Mar-May)",IF(AND(O1458&gt;=6,O1458&lt;=11),"Rainy (Jun-Nov)","Cool Dry (Dec-Feb)"))</f>
        <v>Rainy (Jun-Nov)</v>
      </c>
      <c r="T1458" s="4" t="str">
        <f aca="false">CHOOSE(O1458,"Jan","Feb","Mar","Apr","May","Jun","Jul","Aug","Sep","Oct","Nov","Dec")</f>
        <v>Oct</v>
      </c>
    </row>
    <row r="1459" customFormat="false" ht="15" hidden="false" customHeight="false" outlineLevel="0" collapsed="false">
      <c r="A1459" s="4" t="s">
        <v>1832</v>
      </c>
      <c r="B1459" s="17" t="n">
        <v>45954</v>
      </c>
      <c r="C1459" s="4" t="n">
        <v>13</v>
      </c>
      <c r="D1459" s="4" t="s">
        <v>73</v>
      </c>
      <c r="E1459" s="4" t="s">
        <v>74</v>
      </c>
      <c r="F1459" s="4" t="s">
        <v>91</v>
      </c>
      <c r="G1459" s="4" t="n">
        <v>2</v>
      </c>
      <c r="H1459" s="34" t="n">
        <v>200</v>
      </c>
      <c r="I1459" s="18" t="n">
        <v>0</v>
      </c>
      <c r="J1459" s="4" t="s">
        <v>76</v>
      </c>
      <c r="K1459" s="4" t="s">
        <v>77</v>
      </c>
      <c r="L1459" s="35" t="n">
        <f aca="false">G1459*H1459</f>
        <v>400</v>
      </c>
      <c r="M1459" s="35" t="n">
        <f aca="false">L1459*I1459</f>
        <v>0</v>
      </c>
      <c r="N1459" s="35" t="n">
        <f aca="false">L1459-M1459</f>
        <v>400</v>
      </c>
      <c r="O1459" s="4" t="n">
        <f aca="false">MONTH(B1459)</f>
        <v>10</v>
      </c>
      <c r="P1459" s="4" t="str">
        <f aca="false">CHOOSE(WEEKDAY(B1459,2),"Mon","Tue","Wed","Thu","Fri","Sat","Sun")</f>
        <v>Fri</v>
      </c>
      <c r="Q1459" s="4" t="str">
        <f aca="false">IF(WEEKDAY(B1459,2)&gt;5,"Weekend","Weekday")</f>
        <v>Weekday</v>
      </c>
      <c r="R1459" s="4" t="str">
        <f aca="false">IF(C1459&lt;11,"Morning (7-10)",IF(C1459&lt;14,"Lunch (11-13)",IF(C1459&lt;18,"Afternoon (14-17)","Evening (18-20)")))</f>
        <v>Lunch (11-13)</v>
      </c>
      <c r="S1459" s="4" t="str">
        <f aca="false">IF(AND(O1459&gt;=3,O1459&lt;=5),"Hot Dry (Mar-May)",IF(AND(O1459&gt;=6,O1459&lt;=11),"Rainy (Jun-Nov)","Cool Dry (Dec-Feb)"))</f>
        <v>Rainy (Jun-Nov)</v>
      </c>
      <c r="T1459" s="4" t="str">
        <f aca="false">CHOOSE(O1459,"Jan","Feb","Mar","Apr","May","Jun","Jul","Aug","Sep","Oct","Nov","Dec")</f>
        <v>Oct</v>
      </c>
    </row>
    <row r="1460" customFormat="false" ht="15" hidden="false" customHeight="false" outlineLevel="0" collapsed="false">
      <c r="A1460" s="4" t="s">
        <v>1833</v>
      </c>
      <c r="B1460" s="17" t="n">
        <v>45954</v>
      </c>
      <c r="C1460" s="4" t="n">
        <v>13</v>
      </c>
      <c r="D1460" s="4" t="s">
        <v>98</v>
      </c>
      <c r="E1460" s="4" t="s">
        <v>79</v>
      </c>
      <c r="F1460" s="4" t="s">
        <v>80</v>
      </c>
      <c r="G1460" s="4" t="n">
        <v>1</v>
      </c>
      <c r="H1460" s="34" t="n">
        <v>160</v>
      </c>
      <c r="I1460" s="18" t="n">
        <v>0</v>
      </c>
      <c r="J1460" s="4" t="s">
        <v>81</v>
      </c>
      <c r="K1460" s="4" t="s">
        <v>77</v>
      </c>
      <c r="L1460" s="35" t="n">
        <f aca="false">G1460*H1460</f>
        <v>160</v>
      </c>
      <c r="M1460" s="35" t="n">
        <f aca="false">L1460*I1460</f>
        <v>0</v>
      </c>
      <c r="N1460" s="35" t="n">
        <f aca="false">L1460-M1460</f>
        <v>160</v>
      </c>
      <c r="O1460" s="4" t="n">
        <f aca="false">MONTH(B1460)</f>
        <v>10</v>
      </c>
      <c r="P1460" s="4" t="str">
        <f aca="false">CHOOSE(WEEKDAY(B1460,2),"Mon","Tue","Wed","Thu","Fri","Sat","Sun")</f>
        <v>Fri</v>
      </c>
      <c r="Q1460" s="4" t="str">
        <f aca="false">IF(WEEKDAY(B1460,2)&gt;5,"Weekend","Weekday")</f>
        <v>Weekday</v>
      </c>
      <c r="R1460" s="4" t="str">
        <f aca="false">IF(C1460&lt;11,"Morning (7-10)",IF(C1460&lt;14,"Lunch (11-13)",IF(C1460&lt;18,"Afternoon (14-17)","Evening (18-20)")))</f>
        <v>Lunch (11-13)</v>
      </c>
      <c r="S1460" s="4" t="str">
        <f aca="false">IF(AND(O1460&gt;=3,O1460&lt;=5),"Hot Dry (Mar-May)",IF(AND(O1460&gt;=6,O1460&lt;=11),"Rainy (Jun-Nov)","Cool Dry (Dec-Feb)"))</f>
        <v>Rainy (Jun-Nov)</v>
      </c>
      <c r="T1460" s="4" t="str">
        <f aca="false">CHOOSE(O1460,"Jan","Feb","Mar","Apr","May","Jun","Jul","Aug","Sep","Oct","Nov","Dec")</f>
        <v>Oct</v>
      </c>
    </row>
    <row r="1461" customFormat="false" ht="15" hidden="false" customHeight="false" outlineLevel="0" collapsed="false">
      <c r="A1461" s="4" t="s">
        <v>1834</v>
      </c>
      <c r="B1461" s="17" t="n">
        <v>45954</v>
      </c>
      <c r="C1461" s="4" t="n">
        <v>14</v>
      </c>
      <c r="D1461" s="4" t="s">
        <v>70</v>
      </c>
      <c r="E1461" s="4" t="s">
        <v>99</v>
      </c>
      <c r="F1461" s="4" t="s">
        <v>109</v>
      </c>
      <c r="G1461" s="4" t="n">
        <v>3</v>
      </c>
      <c r="H1461" s="34" t="n">
        <v>130</v>
      </c>
      <c r="I1461" s="18" t="n">
        <v>0.1</v>
      </c>
      <c r="J1461" s="4" t="s">
        <v>81</v>
      </c>
      <c r="K1461" s="4" t="s">
        <v>71</v>
      </c>
      <c r="L1461" s="35" t="n">
        <f aca="false">G1461*H1461</f>
        <v>390</v>
      </c>
      <c r="M1461" s="35" t="n">
        <f aca="false">L1461*I1461</f>
        <v>39</v>
      </c>
      <c r="N1461" s="35" t="n">
        <f aca="false">L1461-M1461</f>
        <v>351</v>
      </c>
      <c r="O1461" s="4" t="n">
        <f aca="false">MONTH(B1461)</f>
        <v>10</v>
      </c>
      <c r="P1461" s="4" t="str">
        <f aca="false">CHOOSE(WEEKDAY(B1461,2),"Mon","Tue","Wed","Thu","Fri","Sat","Sun")</f>
        <v>Fri</v>
      </c>
      <c r="Q1461" s="4" t="str">
        <f aca="false">IF(WEEKDAY(B1461,2)&gt;5,"Weekend","Weekday")</f>
        <v>Weekday</v>
      </c>
      <c r="R1461" s="4" t="str">
        <f aca="false">IF(C1461&lt;11,"Morning (7-10)",IF(C1461&lt;14,"Lunch (11-13)",IF(C1461&lt;18,"Afternoon (14-17)","Evening (18-20)")))</f>
        <v>Afternoon (14-17)</v>
      </c>
      <c r="S1461" s="4" t="str">
        <f aca="false">IF(AND(O1461&gt;=3,O1461&lt;=5),"Hot Dry (Mar-May)",IF(AND(O1461&gt;=6,O1461&lt;=11),"Rainy (Jun-Nov)","Cool Dry (Dec-Feb)"))</f>
        <v>Rainy (Jun-Nov)</v>
      </c>
      <c r="T1461" s="4" t="str">
        <f aca="false">CHOOSE(O1461,"Jan","Feb","Mar","Apr","May","Jun","Jul","Aug","Sep","Oct","Nov","Dec")</f>
        <v>Oct</v>
      </c>
    </row>
    <row r="1462" customFormat="false" ht="15" hidden="false" customHeight="false" outlineLevel="0" collapsed="false">
      <c r="A1462" s="4" t="s">
        <v>1835</v>
      </c>
      <c r="B1462" s="17" t="n">
        <v>45954</v>
      </c>
      <c r="C1462" s="4" t="n">
        <v>17</v>
      </c>
      <c r="D1462" s="4" t="s">
        <v>64</v>
      </c>
      <c r="E1462" s="4" t="s">
        <v>79</v>
      </c>
      <c r="F1462" s="4" t="s">
        <v>148</v>
      </c>
      <c r="G1462" s="4" t="n">
        <v>3</v>
      </c>
      <c r="H1462" s="34" t="n">
        <v>120</v>
      </c>
      <c r="I1462" s="18" t="n">
        <v>0</v>
      </c>
      <c r="J1462" s="4" t="s">
        <v>76</v>
      </c>
      <c r="K1462" s="4" t="s">
        <v>68</v>
      </c>
      <c r="L1462" s="35" t="n">
        <f aca="false">G1462*H1462</f>
        <v>360</v>
      </c>
      <c r="M1462" s="35" t="n">
        <f aca="false">L1462*I1462</f>
        <v>0</v>
      </c>
      <c r="N1462" s="35" t="n">
        <f aca="false">L1462-M1462</f>
        <v>360</v>
      </c>
      <c r="O1462" s="4" t="n">
        <f aca="false">MONTH(B1462)</f>
        <v>10</v>
      </c>
      <c r="P1462" s="4" t="str">
        <f aca="false">CHOOSE(WEEKDAY(B1462,2),"Mon","Tue","Wed","Thu","Fri","Sat","Sun")</f>
        <v>Fri</v>
      </c>
      <c r="Q1462" s="4" t="str">
        <f aca="false">IF(WEEKDAY(B1462,2)&gt;5,"Weekend","Weekday")</f>
        <v>Weekday</v>
      </c>
      <c r="R1462" s="4" t="str">
        <f aca="false">IF(C1462&lt;11,"Morning (7-10)",IF(C1462&lt;14,"Lunch (11-13)",IF(C1462&lt;18,"Afternoon (14-17)","Evening (18-20)")))</f>
        <v>Afternoon (14-17)</v>
      </c>
      <c r="S1462" s="4" t="str">
        <f aca="false">IF(AND(O1462&gt;=3,O1462&lt;=5),"Hot Dry (Mar-May)",IF(AND(O1462&gt;=6,O1462&lt;=11),"Rainy (Jun-Nov)","Cool Dry (Dec-Feb)"))</f>
        <v>Rainy (Jun-Nov)</v>
      </c>
      <c r="T1462" s="4" t="str">
        <f aca="false">CHOOSE(O1462,"Jan","Feb","Mar","Apr","May","Jun","Jul","Aug","Sep","Oct","Nov","Dec")</f>
        <v>Oct</v>
      </c>
    </row>
    <row r="1463" customFormat="false" ht="15" hidden="false" customHeight="false" outlineLevel="0" collapsed="false">
      <c r="A1463" s="4" t="s">
        <v>1836</v>
      </c>
      <c r="B1463" s="17" t="n">
        <v>45954</v>
      </c>
      <c r="C1463" s="4" t="n">
        <v>20</v>
      </c>
      <c r="D1463" s="4" t="s">
        <v>70</v>
      </c>
      <c r="E1463" s="4" t="s">
        <v>65</v>
      </c>
      <c r="F1463" s="4" t="s">
        <v>94</v>
      </c>
      <c r="G1463" s="4" t="n">
        <v>3</v>
      </c>
      <c r="H1463" s="34" t="n">
        <v>150</v>
      </c>
      <c r="I1463" s="18" t="n">
        <v>0</v>
      </c>
      <c r="J1463" s="4" t="s">
        <v>67</v>
      </c>
      <c r="K1463" s="4" t="s">
        <v>77</v>
      </c>
      <c r="L1463" s="35" t="n">
        <f aca="false">G1463*H1463</f>
        <v>450</v>
      </c>
      <c r="M1463" s="35" t="n">
        <f aca="false">L1463*I1463</f>
        <v>0</v>
      </c>
      <c r="N1463" s="35" t="n">
        <f aca="false">L1463-M1463</f>
        <v>450</v>
      </c>
      <c r="O1463" s="4" t="n">
        <f aca="false">MONTH(B1463)</f>
        <v>10</v>
      </c>
      <c r="P1463" s="4" t="str">
        <f aca="false">CHOOSE(WEEKDAY(B1463,2),"Mon","Tue","Wed","Thu","Fri","Sat","Sun")</f>
        <v>Fri</v>
      </c>
      <c r="Q1463" s="4" t="str">
        <f aca="false">IF(WEEKDAY(B1463,2)&gt;5,"Weekend","Weekday")</f>
        <v>Weekday</v>
      </c>
      <c r="R1463" s="4" t="str">
        <f aca="false">IF(C1463&lt;11,"Morning (7-10)",IF(C1463&lt;14,"Lunch (11-13)",IF(C1463&lt;18,"Afternoon (14-17)","Evening (18-20)")))</f>
        <v>Evening (18-20)</v>
      </c>
      <c r="S1463" s="4" t="str">
        <f aca="false">IF(AND(O1463&gt;=3,O1463&lt;=5),"Hot Dry (Mar-May)",IF(AND(O1463&gt;=6,O1463&lt;=11),"Rainy (Jun-Nov)","Cool Dry (Dec-Feb)"))</f>
        <v>Rainy (Jun-Nov)</v>
      </c>
      <c r="T1463" s="4" t="str">
        <f aca="false">CHOOSE(O1463,"Jan","Feb","Mar","Apr","May","Jun","Jul","Aug","Sep","Oct","Nov","Dec")</f>
        <v>Oct</v>
      </c>
    </row>
    <row r="1464" customFormat="false" ht="15" hidden="false" customHeight="false" outlineLevel="0" collapsed="false">
      <c r="A1464" s="4" t="s">
        <v>1838</v>
      </c>
      <c r="B1464" s="17" t="n">
        <v>45955</v>
      </c>
      <c r="C1464" s="4" t="n">
        <v>15</v>
      </c>
      <c r="D1464" s="4" t="s">
        <v>70</v>
      </c>
      <c r="E1464" s="4" t="s">
        <v>99</v>
      </c>
      <c r="F1464" s="4" t="s">
        <v>102</v>
      </c>
      <c r="G1464" s="4" t="n">
        <v>2</v>
      </c>
      <c r="H1464" s="34" t="n">
        <v>140</v>
      </c>
      <c r="I1464" s="18" t="n">
        <v>0.15</v>
      </c>
      <c r="J1464" s="4" t="s">
        <v>67</v>
      </c>
      <c r="K1464" s="4" t="s">
        <v>71</v>
      </c>
      <c r="L1464" s="35" t="n">
        <f aca="false">G1464*H1464</f>
        <v>280</v>
      </c>
      <c r="M1464" s="35" t="n">
        <f aca="false">L1464*I1464</f>
        <v>42</v>
      </c>
      <c r="N1464" s="35" t="n">
        <f aca="false">L1464-M1464</f>
        <v>238</v>
      </c>
      <c r="O1464" s="4" t="n">
        <f aca="false">MONTH(B1464)</f>
        <v>10</v>
      </c>
      <c r="P1464" s="4" t="str">
        <f aca="false">CHOOSE(WEEKDAY(B1464,2),"Mon","Tue","Wed","Thu","Fri","Sat","Sun")</f>
        <v>Sat</v>
      </c>
      <c r="Q1464" s="4" t="str">
        <f aca="false">IF(WEEKDAY(B1464,2)&gt;5,"Weekend","Weekday")</f>
        <v>Weekend</v>
      </c>
      <c r="R1464" s="4" t="str">
        <f aca="false">IF(C1464&lt;11,"Morning (7-10)",IF(C1464&lt;14,"Lunch (11-13)",IF(C1464&lt;18,"Afternoon (14-17)","Evening (18-20)")))</f>
        <v>Afternoon (14-17)</v>
      </c>
      <c r="S1464" s="4" t="str">
        <f aca="false">IF(AND(O1464&gt;=3,O1464&lt;=5),"Hot Dry (Mar-May)",IF(AND(O1464&gt;=6,O1464&lt;=11),"Rainy (Jun-Nov)","Cool Dry (Dec-Feb)"))</f>
        <v>Rainy (Jun-Nov)</v>
      </c>
      <c r="T1464" s="4" t="str">
        <f aca="false">CHOOSE(O1464,"Jan","Feb","Mar","Apr","May","Jun","Jul","Aug","Sep","Oct","Nov","Dec")</f>
        <v>Oct</v>
      </c>
    </row>
    <row r="1465" customFormat="false" ht="15" hidden="false" customHeight="false" outlineLevel="0" collapsed="false">
      <c r="A1465" s="4" t="s">
        <v>1839</v>
      </c>
      <c r="B1465" s="17" t="n">
        <v>45955</v>
      </c>
      <c r="C1465" s="4" t="n">
        <v>15</v>
      </c>
      <c r="D1465" s="4" t="s">
        <v>70</v>
      </c>
      <c r="E1465" s="4" t="s">
        <v>65</v>
      </c>
      <c r="F1465" s="4" t="s">
        <v>121</v>
      </c>
      <c r="G1465" s="4" t="n">
        <v>2</v>
      </c>
      <c r="H1465" s="34" t="n">
        <v>170</v>
      </c>
      <c r="I1465" s="18" t="n">
        <v>0.05</v>
      </c>
      <c r="J1465" s="4" t="s">
        <v>76</v>
      </c>
      <c r="K1465" s="4" t="s">
        <v>82</v>
      </c>
      <c r="L1465" s="35" t="n">
        <f aca="false">G1465*H1465</f>
        <v>340</v>
      </c>
      <c r="M1465" s="35" t="n">
        <f aca="false">L1465*I1465</f>
        <v>17</v>
      </c>
      <c r="N1465" s="35" t="n">
        <f aca="false">L1465-M1465</f>
        <v>323</v>
      </c>
      <c r="O1465" s="4" t="n">
        <f aca="false">MONTH(B1465)</f>
        <v>10</v>
      </c>
      <c r="P1465" s="4" t="str">
        <f aca="false">CHOOSE(WEEKDAY(B1465,2),"Mon","Tue","Wed","Thu","Fri","Sat","Sun")</f>
        <v>Sat</v>
      </c>
      <c r="Q1465" s="4" t="str">
        <f aca="false">IF(WEEKDAY(B1465,2)&gt;5,"Weekend","Weekday")</f>
        <v>Weekend</v>
      </c>
      <c r="R1465" s="4" t="str">
        <f aca="false">IF(C1465&lt;11,"Morning (7-10)",IF(C1465&lt;14,"Lunch (11-13)",IF(C1465&lt;18,"Afternoon (14-17)","Evening (18-20)")))</f>
        <v>Afternoon (14-17)</v>
      </c>
      <c r="S1465" s="4" t="str">
        <f aca="false">IF(AND(O1465&gt;=3,O1465&lt;=5),"Hot Dry (Mar-May)",IF(AND(O1465&gt;=6,O1465&lt;=11),"Rainy (Jun-Nov)","Cool Dry (Dec-Feb)"))</f>
        <v>Rainy (Jun-Nov)</v>
      </c>
      <c r="T1465" s="4" t="str">
        <f aca="false">CHOOSE(O1465,"Jan","Feb","Mar","Apr","May","Jun","Jul","Aug","Sep","Oct","Nov","Dec")</f>
        <v>Oct</v>
      </c>
    </row>
    <row r="1466" customFormat="false" ht="15" hidden="false" customHeight="false" outlineLevel="0" collapsed="false">
      <c r="A1466" s="4" t="s">
        <v>1840</v>
      </c>
      <c r="B1466" s="17" t="n">
        <v>45955</v>
      </c>
      <c r="C1466" s="4" t="n">
        <v>16</v>
      </c>
      <c r="D1466" s="4" t="s">
        <v>70</v>
      </c>
      <c r="E1466" s="4" t="s">
        <v>74</v>
      </c>
      <c r="F1466" s="4" t="s">
        <v>91</v>
      </c>
      <c r="G1466" s="4" t="n">
        <v>1</v>
      </c>
      <c r="H1466" s="34" t="n">
        <v>200</v>
      </c>
      <c r="I1466" s="18" t="n">
        <v>0</v>
      </c>
      <c r="J1466" s="4" t="s">
        <v>76</v>
      </c>
      <c r="K1466" s="4" t="s">
        <v>68</v>
      </c>
      <c r="L1466" s="35" t="n">
        <f aca="false">G1466*H1466</f>
        <v>200</v>
      </c>
      <c r="M1466" s="35" t="n">
        <f aca="false">L1466*I1466</f>
        <v>0</v>
      </c>
      <c r="N1466" s="35" t="n">
        <f aca="false">L1466-M1466</f>
        <v>200</v>
      </c>
      <c r="O1466" s="4" t="n">
        <f aca="false">MONTH(B1466)</f>
        <v>10</v>
      </c>
      <c r="P1466" s="4" t="str">
        <f aca="false">CHOOSE(WEEKDAY(B1466,2),"Mon","Tue","Wed","Thu","Fri","Sat","Sun")</f>
        <v>Sat</v>
      </c>
      <c r="Q1466" s="4" t="str">
        <f aca="false">IF(WEEKDAY(B1466,2)&gt;5,"Weekend","Weekday")</f>
        <v>Weekend</v>
      </c>
      <c r="R1466" s="4" t="str">
        <f aca="false">IF(C1466&lt;11,"Morning (7-10)",IF(C1466&lt;14,"Lunch (11-13)",IF(C1466&lt;18,"Afternoon (14-17)","Evening (18-20)")))</f>
        <v>Afternoon (14-17)</v>
      </c>
      <c r="S1466" s="4" t="str">
        <f aca="false">IF(AND(O1466&gt;=3,O1466&lt;=5),"Hot Dry (Mar-May)",IF(AND(O1466&gt;=6,O1466&lt;=11),"Rainy (Jun-Nov)","Cool Dry (Dec-Feb)"))</f>
        <v>Rainy (Jun-Nov)</v>
      </c>
      <c r="T1466" s="4" t="str">
        <f aca="false">CHOOSE(O1466,"Jan","Feb","Mar","Apr","May","Jun","Jul","Aug","Sep","Oct","Nov","Dec")</f>
        <v>Oct</v>
      </c>
    </row>
    <row r="1467" customFormat="false" ht="15" hidden="false" customHeight="false" outlineLevel="0" collapsed="false">
      <c r="A1467" s="4" t="s">
        <v>1842</v>
      </c>
      <c r="B1467" s="17" t="n">
        <v>45955</v>
      </c>
      <c r="C1467" s="4" t="n">
        <v>18</v>
      </c>
      <c r="D1467" s="4" t="s">
        <v>70</v>
      </c>
      <c r="E1467" s="4" t="s">
        <v>79</v>
      </c>
      <c r="F1467" s="4" t="s">
        <v>80</v>
      </c>
      <c r="G1467" s="4" t="n">
        <v>1</v>
      </c>
      <c r="H1467" s="34" t="n">
        <v>160</v>
      </c>
      <c r="I1467" s="18" t="n">
        <v>0.1</v>
      </c>
      <c r="J1467" s="4" t="s">
        <v>76</v>
      </c>
      <c r="K1467" s="4" t="s">
        <v>71</v>
      </c>
      <c r="L1467" s="35" t="n">
        <f aca="false">G1467*H1467</f>
        <v>160</v>
      </c>
      <c r="M1467" s="35" t="n">
        <f aca="false">L1467*I1467</f>
        <v>16</v>
      </c>
      <c r="N1467" s="35" t="n">
        <f aca="false">L1467-M1467</f>
        <v>144</v>
      </c>
      <c r="O1467" s="4" t="n">
        <f aca="false">MONTH(B1467)</f>
        <v>10</v>
      </c>
      <c r="P1467" s="4" t="str">
        <f aca="false">CHOOSE(WEEKDAY(B1467,2),"Mon","Tue","Wed","Thu","Fri","Sat","Sun")</f>
        <v>Sat</v>
      </c>
      <c r="Q1467" s="4" t="str">
        <f aca="false">IF(WEEKDAY(B1467,2)&gt;5,"Weekend","Weekday")</f>
        <v>Weekend</v>
      </c>
      <c r="R1467" s="4" t="str">
        <f aca="false">IF(C1467&lt;11,"Morning (7-10)",IF(C1467&lt;14,"Lunch (11-13)",IF(C1467&lt;18,"Afternoon (14-17)","Evening (18-20)")))</f>
        <v>Evening (18-20)</v>
      </c>
      <c r="S1467" s="4" t="str">
        <f aca="false">IF(AND(O1467&gt;=3,O1467&lt;=5),"Hot Dry (Mar-May)",IF(AND(O1467&gt;=6,O1467&lt;=11),"Rainy (Jun-Nov)","Cool Dry (Dec-Feb)"))</f>
        <v>Rainy (Jun-Nov)</v>
      </c>
      <c r="T1467" s="4" t="str">
        <f aca="false">CHOOSE(O1467,"Jan","Feb","Mar","Apr","May","Jun","Jul","Aug","Sep","Oct","Nov","Dec")</f>
        <v>Oct</v>
      </c>
    </row>
    <row r="1468" customFormat="false" ht="15" hidden="false" customHeight="false" outlineLevel="0" collapsed="false">
      <c r="A1468" s="4" t="s">
        <v>1843</v>
      </c>
      <c r="B1468" s="17" t="n">
        <v>45956</v>
      </c>
      <c r="C1468" s="4" t="n">
        <v>15</v>
      </c>
      <c r="D1468" s="4" t="s">
        <v>70</v>
      </c>
      <c r="E1468" s="4" t="s">
        <v>99</v>
      </c>
      <c r="F1468" s="4" t="s">
        <v>100</v>
      </c>
      <c r="G1468" s="4" t="n">
        <v>2</v>
      </c>
      <c r="H1468" s="34" t="n">
        <v>110</v>
      </c>
      <c r="I1468" s="18" t="n">
        <v>0.05</v>
      </c>
      <c r="J1468" s="4" t="s">
        <v>76</v>
      </c>
      <c r="K1468" s="4" t="s">
        <v>82</v>
      </c>
      <c r="L1468" s="35" t="n">
        <f aca="false">G1468*H1468</f>
        <v>220</v>
      </c>
      <c r="M1468" s="35" t="n">
        <f aca="false">L1468*I1468</f>
        <v>11</v>
      </c>
      <c r="N1468" s="35" t="n">
        <f aca="false">L1468-M1468</f>
        <v>209</v>
      </c>
      <c r="O1468" s="4" t="n">
        <f aca="false">MONTH(B1468)</f>
        <v>10</v>
      </c>
      <c r="P1468" s="4" t="str">
        <f aca="false">CHOOSE(WEEKDAY(B1468,2),"Mon","Tue","Wed","Thu","Fri","Sat","Sun")</f>
        <v>Sun</v>
      </c>
      <c r="Q1468" s="4" t="str">
        <f aca="false">IF(WEEKDAY(B1468,2)&gt;5,"Weekend","Weekday")</f>
        <v>Weekend</v>
      </c>
      <c r="R1468" s="4" t="str">
        <f aca="false">IF(C1468&lt;11,"Morning (7-10)",IF(C1468&lt;14,"Lunch (11-13)",IF(C1468&lt;18,"Afternoon (14-17)","Evening (18-20)")))</f>
        <v>Afternoon (14-17)</v>
      </c>
      <c r="S1468" s="4" t="str">
        <f aca="false">IF(AND(O1468&gt;=3,O1468&lt;=5),"Hot Dry (Mar-May)",IF(AND(O1468&gt;=6,O1468&lt;=11),"Rainy (Jun-Nov)","Cool Dry (Dec-Feb)"))</f>
        <v>Rainy (Jun-Nov)</v>
      </c>
      <c r="T1468" s="4" t="str">
        <f aca="false">CHOOSE(O1468,"Jan","Feb","Mar","Apr","May","Jun","Jul","Aug","Sep","Oct","Nov","Dec")</f>
        <v>Oct</v>
      </c>
    </row>
    <row r="1469" customFormat="false" ht="15" hidden="false" customHeight="false" outlineLevel="0" collapsed="false">
      <c r="A1469" s="4" t="s">
        <v>1844</v>
      </c>
      <c r="B1469" s="17" t="n">
        <v>45956</v>
      </c>
      <c r="C1469" s="4" t="n">
        <v>19</v>
      </c>
      <c r="D1469" s="4" t="s">
        <v>98</v>
      </c>
      <c r="E1469" s="4" t="s">
        <v>99</v>
      </c>
      <c r="F1469" s="4" t="s">
        <v>100</v>
      </c>
      <c r="G1469" s="4" t="n">
        <v>1</v>
      </c>
      <c r="H1469" s="34" t="n">
        <v>110</v>
      </c>
      <c r="I1469" s="18" t="n">
        <v>0.1</v>
      </c>
      <c r="J1469" s="4" t="s">
        <v>76</v>
      </c>
      <c r="K1469" s="4" t="s">
        <v>71</v>
      </c>
      <c r="L1469" s="35" t="n">
        <f aca="false">G1469*H1469</f>
        <v>110</v>
      </c>
      <c r="M1469" s="35" t="n">
        <f aca="false">L1469*I1469</f>
        <v>11</v>
      </c>
      <c r="N1469" s="35" t="n">
        <f aca="false">L1469-M1469</f>
        <v>99</v>
      </c>
      <c r="O1469" s="4" t="n">
        <f aca="false">MONTH(B1469)</f>
        <v>10</v>
      </c>
      <c r="P1469" s="4" t="str">
        <f aca="false">CHOOSE(WEEKDAY(B1469,2),"Mon","Tue","Wed","Thu","Fri","Sat","Sun")</f>
        <v>Sun</v>
      </c>
      <c r="Q1469" s="4" t="str">
        <f aca="false">IF(WEEKDAY(B1469,2)&gt;5,"Weekend","Weekday")</f>
        <v>Weekend</v>
      </c>
      <c r="R1469" s="4" t="str">
        <f aca="false">IF(C1469&lt;11,"Morning (7-10)",IF(C1469&lt;14,"Lunch (11-13)",IF(C1469&lt;18,"Afternoon (14-17)","Evening (18-20)")))</f>
        <v>Evening (18-20)</v>
      </c>
      <c r="S1469" s="4" t="str">
        <f aca="false">IF(AND(O1469&gt;=3,O1469&lt;=5),"Hot Dry (Mar-May)",IF(AND(O1469&gt;=6,O1469&lt;=11),"Rainy (Jun-Nov)","Cool Dry (Dec-Feb)"))</f>
        <v>Rainy (Jun-Nov)</v>
      </c>
      <c r="T1469" s="4" t="str">
        <f aca="false">CHOOSE(O1469,"Jan","Feb","Mar","Apr","May","Jun","Jul","Aug","Sep","Oct","Nov","Dec")</f>
        <v>Oct</v>
      </c>
    </row>
    <row r="1470" customFormat="false" ht="15" hidden="false" customHeight="false" outlineLevel="0" collapsed="false">
      <c r="A1470" s="4" t="s">
        <v>1845</v>
      </c>
      <c r="B1470" s="17" t="n">
        <v>45957</v>
      </c>
      <c r="C1470" s="4" t="n">
        <v>7</v>
      </c>
      <c r="D1470" s="4" t="s">
        <v>64</v>
      </c>
      <c r="E1470" s="4" t="s">
        <v>99</v>
      </c>
      <c r="F1470" s="4" t="s">
        <v>100</v>
      </c>
      <c r="G1470" s="4" t="n">
        <v>2</v>
      </c>
      <c r="H1470" s="34" t="n">
        <v>110</v>
      </c>
      <c r="I1470" s="18" t="n">
        <v>0.1</v>
      </c>
      <c r="J1470" s="4" t="s">
        <v>81</v>
      </c>
      <c r="K1470" s="4" t="s">
        <v>71</v>
      </c>
      <c r="L1470" s="35" t="n">
        <f aca="false">G1470*H1470</f>
        <v>220</v>
      </c>
      <c r="M1470" s="35" t="n">
        <f aca="false">L1470*I1470</f>
        <v>22</v>
      </c>
      <c r="N1470" s="35" t="n">
        <f aca="false">L1470-M1470</f>
        <v>198</v>
      </c>
      <c r="O1470" s="4" t="n">
        <f aca="false">MONTH(B1470)</f>
        <v>10</v>
      </c>
      <c r="P1470" s="4" t="str">
        <f aca="false">CHOOSE(WEEKDAY(B1470,2),"Mon","Tue","Wed","Thu","Fri","Sat","Sun")</f>
        <v>Mon</v>
      </c>
      <c r="Q1470" s="4" t="str">
        <f aca="false">IF(WEEKDAY(B1470,2)&gt;5,"Weekend","Weekday")</f>
        <v>Weekday</v>
      </c>
      <c r="R1470" s="4" t="str">
        <f aca="false">IF(C1470&lt;11,"Morning (7-10)",IF(C1470&lt;14,"Lunch (11-13)",IF(C1470&lt;18,"Afternoon (14-17)","Evening (18-20)")))</f>
        <v>Morning (7-10)</v>
      </c>
      <c r="S1470" s="4" t="str">
        <f aca="false">IF(AND(O1470&gt;=3,O1470&lt;=5),"Hot Dry (Mar-May)",IF(AND(O1470&gt;=6,O1470&lt;=11),"Rainy (Jun-Nov)","Cool Dry (Dec-Feb)"))</f>
        <v>Rainy (Jun-Nov)</v>
      </c>
      <c r="T1470" s="4" t="str">
        <f aca="false">CHOOSE(O1470,"Jan","Feb","Mar","Apr","May","Jun","Jul","Aug","Sep","Oct","Nov","Dec")</f>
        <v>Oct</v>
      </c>
    </row>
    <row r="1471" customFormat="false" ht="15" hidden="false" customHeight="false" outlineLevel="0" collapsed="false">
      <c r="A1471" s="4" t="s">
        <v>1846</v>
      </c>
      <c r="B1471" s="17" t="n">
        <v>45957</v>
      </c>
      <c r="C1471" s="4" t="n">
        <v>7</v>
      </c>
      <c r="D1471" s="4" t="s">
        <v>70</v>
      </c>
      <c r="E1471" s="4" t="s">
        <v>99</v>
      </c>
      <c r="F1471" s="4" t="s">
        <v>133</v>
      </c>
      <c r="G1471" s="4" t="n">
        <v>1</v>
      </c>
      <c r="H1471" s="34" t="n">
        <v>90</v>
      </c>
      <c r="I1471" s="18" t="n">
        <v>0.05</v>
      </c>
      <c r="J1471" s="4" t="s">
        <v>81</v>
      </c>
      <c r="K1471" s="4" t="s">
        <v>82</v>
      </c>
      <c r="L1471" s="35" t="n">
        <f aca="false">G1471*H1471</f>
        <v>90</v>
      </c>
      <c r="M1471" s="35" t="n">
        <f aca="false">L1471*I1471</f>
        <v>4.5</v>
      </c>
      <c r="N1471" s="35" t="n">
        <f aca="false">L1471-M1471</f>
        <v>85.5</v>
      </c>
      <c r="O1471" s="4" t="n">
        <f aca="false">MONTH(B1471)</f>
        <v>10</v>
      </c>
      <c r="P1471" s="4" t="str">
        <f aca="false">CHOOSE(WEEKDAY(B1471,2),"Mon","Tue","Wed","Thu","Fri","Sat","Sun")</f>
        <v>Mon</v>
      </c>
      <c r="Q1471" s="4" t="str">
        <f aca="false">IF(WEEKDAY(B1471,2)&gt;5,"Weekend","Weekday")</f>
        <v>Weekday</v>
      </c>
      <c r="R1471" s="4" t="str">
        <f aca="false">IF(C1471&lt;11,"Morning (7-10)",IF(C1471&lt;14,"Lunch (11-13)",IF(C1471&lt;18,"Afternoon (14-17)","Evening (18-20)")))</f>
        <v>Morning (7-10)</v>
      </c>
      <c r="S1471" s="4" t="str">
        <f aca="false">IF(AND(O1471&gt;=3,O1471&lt;=5),"Hot Dry (Mar-May)",IF(AND(O1471&gt;=6,O1471&lt;=11),"Rainy (Jun-Nov)","Cool Dry (Dec-Feb)"))</f>
        <v>Rainy (Jun-Nov)</v>
      </c>
      <c r="T1471" s="4" t="str">
        <f aca="false">CHOOSE(O1471,"Jan","Feb","Mar","Apr","May","Jun","Jul","Aug","Sep","Oct","Nov","Dec")</f>
        <v>Oct</v>
      </c>
    </row>
    <row r="1472" customFormat="false" ht="15" hidden="false" customHeight="false" outlineLevel="0" collapsed="false">
      <c r="A1472" s="4" t="s">
        <v>1847</v>
      </c>
      <c r="B1472" s="17" t="n">
        <v>45957</v>
      </c>
      <c r="C1472" s="4" t="n">
        <v>12</v>
      </c>
      <c r="D1472" s="4" t="s">
        <v>70</v>
      </c>
      <c r="E1472" s="4" t="s">
        <v>74</v>
      </c>
      <c r="F1472" s="4" t="s">
        <v>139</v>
      </c>
      <c r="G1472" s="4" t="n">
        <v>1</v>
      </c>
      <c r="H1472" s="34" t="n">
        <v>260</v>
      </c>
      <c r="I1472" s="18" t="n">
        <v>0</v>
      </c>
      <c r="J1472" s="4" t="s">
        <v>112</v>
      </c>
      <c r="K1472" s="4" t="s">
        <v>68</v>
      </c>
      <c r="L1472" s="35" t="n">
        <f aca="false">G1472*H1472</f>
        <v>260</v>
      </c>
      <c r="M1472" s="35" t="n">
        <f aca="false">L1472*I1472</f>
        <v>0</v>
      </c>
      <c r="N1472" s="35" t="n">
        <f aca="false">L1472-M1472</f>
        <v>260</v>
      </c>
      <c r="O1472" s="4" t="n">
        <f aca="false">MONTH(B1472)</f>
        <v>10</v>
      </c>
      <c r="P1472" s="4" t="str">
        <f aca="false">CHOOSE(WEEKDAY(B1472,2),"Mon","Tue","Wed","Thu","Fri","Sat","Sun")</f>
        <v>Mon</v>
      </c>
      <c r="Q1472" s="4" t="str">
        <f aca="false">IF(WEEKDAY(B1472,2)&gt;5,"Weekend","Weekday")</f>
        <v>Weekday</v>
      </c>
      <c r="R1472" s="4" t="str">
        <f aca="false">IF(C1472&lt;11,"Morning (7-10)",IF(C1472&lt;14,"Lunch (11-13)",IF(C1472&lt;18,"Afternoon (14-17)","Evening (18-20)")))</f>
        <v>Lunch (11-13)</v>
      </c>
      <c r="S1472" s="4" t="str">
        <f aca="false">IF(AND(O1472&gt;=3,O1472&lt;=5),"Hot Dry (Mar-May)",IF(AND(O1472&gt;=6,O1472&lt;=11),"Rainy (Jun-Nov)","Cool Dry (Dec-Feb)"))</f>
        <v>Rainy (Jun-Nov)</v>
      </c>
      <c r="T1472" s="4" t="str">
        <f aca="false">CHOOSE(O1472,"Jan","Feb","Mar","Apr","May","Jun","Jul","Aug","Sep","Oct","Nov","Dec")</f>
        <v>Oct</v>
      </c>
    </row>
    <row r="1473" customFormat="false" ht="15" hidden="false" customHeight="false" outlineLevel="0" collapsed="false">
      <c r="A1473" s="4" t="s">
        <v>1848</v>
      </c>
      <c r="B1473" s="17" t="n">
        <v>45957</v>
      </c>
      <c r="C1473" s="4" t="n">
        <v>12</v>
      </c>
      <c r="D1473" s="4" t="s">
        <v>70</v>
      </c>
      <c r="E1473" s="4" t="s">
        <v>79</v>
      </c>
      <c r="F1473" s="4" t="s">
        <v>80</v>
      </c>
      <c r="G1473" s="4" t="n">
        <v>1</v>
      </c>
      <c r="H1473" s="34" t="n">
        <v>160</v>
      </c>
      <c r="I1473" s="18" t="n">
        <v>0</v>
      </c>
      <c r="J1473" s="4" t="s">
        <v>81</v>
      </c>
      <c r="K1473" s="4" t="s">
        <v>68</v>
      </c>
      <c r="L1473" s="35" t="n">
        <f aca="false">G1473*H1473</f>
        <v>160</v>
      </c>
      <c r="M1473" s="35" t="n">
        <f aca="false">L1473*I1473</f>
        <v>0</v>
      </c>
      <c r="N1473" s="35" t="n">
        <f aca="false">L1473-M1473</f>
        <v>160</v>
      </c>
      <c r="O1473" s="4" t="n">
        <f aca="false">MONTH(B1473)</f>
        <v>10</v>
      </c>
      <c r="P1473" s="4" t="str">
        <f aca="false">CHOOSE(WEEKDAY(B1473,2),"Mon","Tue","Wed","Thu","Fri","Sat","Sun")</f>
        <v>Mon</v>
      </c>
      <c r="Q1473" s="4" t="str">
        <f aca="false">IF(WEEKDAY(B1473,2)&gt;5,"Weekend","Weekday")</f>
        <v>Weekday</v>
      </c>
      <c r="R1473" s="4" t="str">
        <f aca="false">IF(C1473&lt;11,"Morning (7-10)",IF(C1473&lt;14,"Lunch (11-13)",IF(C1473&lt;18,"Afternoon (14-17)","Evening (18-20)")))</f>
        <v>Lunch (11-13)</v>
      </c>
      <c r="S1473" s="4" t="str">
        <f aca="false">IF(AND(O1473&gt;=3,O1473&lt;=5),"Hot Dry (Mar-May)",IF(AND(O1473&gt;=6,O1473&lt;=11),"Rainy (Jun-Nov)","Cool Dry (Dec-Feb)"))</f>
        <v>Rainy (Jun-Nov)</v>
      </c>
      <c r="T1473" s="4" t="str">
        <f aca="false">CHOOSE(O1473,"Jan","Feb","Mar","Apr","May","Jun","Jul","Aug","Sep","Oct","Nov","Dec")</f>
        <v>Oct</v>
      </c>
    </row>
    <row r="1474" customFormat="false" ht="15" hidden="false" customHeight="false" outlineLevel="0" collapsed="false">
      <c r="A1474" s="4" t="s">
        <v>1849</v>
      </c>
      <c r="B1474" s="17" t="n">
        <v>45957</v>
      </c>
      <c r="C1474" s="4" t="n">
        <v>12</v>
      </c>
      <c r="D1474" s="4" t="s">
        <v>98</v>
      </c>
      <c r="E1474" s="4" t="s">
        <v>99</v>
      </c>
      <c r="F1474" s="4" t="s">
        <v>109</v>
      </c>
      <c r="G1474" s="4" t="n">
        <v>2</v>
      </c>
      <c r="H1474" s="34" t="n">
        <v>130</v>
      </c>
      <c r="I1474" s="18" t="n">
        <v>0</v>
      </c>
      <c r="J1474" s="4" t="s">
        <v>81</v>
      </c>
      <c r="K1474" s="4" t="s">
        <v>68</v>
      </c>
      <c r="L1474" s="35" t="n">
        <f aca="false">G1474*H1474</f>
        <v>260</v>
      </c>
      <c r="M1474" s="35" t="n">
        <f aca="false">L1474*I1474</f>
        <v>0</v>
      </c>
      <c r="N1474" s="35" t="n">
        <f aca="false">L1474-M1474</f>
        <v>260</v>
      </c>
      <c r="O1474" s="4" t="n">
        <f aca="false">MONTH(B1474)</f>
        <v>10</v>
      </c>
      <c r="P1474" s="4" t="str">
        <f aca="false">CHOOSE(WEEKDAY(B1474,2),"Mon","Tue","Wed","Thu","Fri","Sat","Sun")</f>
        <v>Mon</v>
      </c>
      <c r="Q1474" s="4" t="str">
        <f aca="false">IF(WEEKDAY(B1474,2)&gt;5,"Weekend","Weekday")</f>
        <v>Weekday</v>
      </c>
      <c r="R1474" s="4" t="str">
        <f aca="false">IF(C1474&lt;11,"Morning (7-10)",IF(C1474&lt;14,"Lunch (11-13)",IF(C1474&lt;18,"Afternoon (14-17)","Evening (18-20)")))</f>
        <v>Lunch (11-13)</v>
      </c>
      <c r="S1474" s="4" t="str">
        <f aca="false">IF(AND(O1474&gt;=3,O1474&lt;=5),"Hot Dry (Mar-May)",IF(AND(O1474&gt;=6,O1474&lt;=11),"Rainy (Jun-Nov)","Cool Dry (Dec-Feb)"))</f>
        <v>Rainy (Jun-Nov)</v>
      </c>
      <c r="T1474" s="4" t="str">
        <f aca="false">CHOOSE(O1474,"Jan","Feb","Mar","Apr","May","Jun","Jul","Aug","Sep","Oct","Nov","Dec")</f>
        <v>Oct</v>
      </c>
    </row>
    <row r="1475" customFormat="false" ht="15" hidden="false" customHeight="false" outlineLevel="0" collapsed="false">
      <c r="A1475" s="4" t="s">
        <v>1850</v>
      </c>
      <c r="B1475" s="17" t="n">
        <v>45957</v>
      </c>
      <c r="C1475" s="4" t="n">
        <v>19</v>
      </c>
      <c r="D1475" s="4" t="s">
        <v>73</v>
      </c>
      <c r="E1475" s="4" t="s">
        <v>84</v>
      </c>
      <c r="F1475" s="4" t="s">
        <v>106</v>
      </c>
      <c r="G1475" s="4" t="n">
        <v>1</v>
      </c>
      <c r="H1475" s="34" t="n">
        <v>60</v>
      </c>
      <c r="I1475" s="18" t="n">
        <v>0.1</v>
      </c>
      <c r="J1475" s="4" t="s">
        <v>67</v>
      </c>
      <c r="K1475" s="4" t="s">
        <v>71</v>
      </c>
      <c r="L1475" s="35" t="n">
        <f aca="false">G1475*H1475</f>
        <v>60</v>
      </c>
      <c r="M1475" s="35" t="n">
        <f aca="false">L1475*I1475</f>
        <v>6</v>
      </c>
      <c r="N1475" s="35" t="n">
        <f aca="false">L1475-M1475</f>
        <v>54</v>
      </c>
      <c r="O1475" s="4" t="n">
        <f aca="false">MONTH(B1475)</f>
        <v>10</v>
      </c>
      <c r="P1475" s="4" t="str">
        <f aca="false">CHOOSE(WEEKDAY(B1475,2),"Mon","Tue","Wed","Thu","Fri","Sat","Sun")</f>
        <v>Mon</v>
      </c>
      <c r="Q1475" s="4" t="str">
        <f aca="false">IF(WEEKDAY(B1475,2)&gt;5,"Weekend","Weekday")</f>
        <v>Weekday</v>
      </c>
      <c r="R1475" s="4" t="str">
        <f aca="false">IF(C1475&lt;11,"Morning (7-10)",IF(C1475&lt;14,"Lunch (11-13)",IF(C1475&lt;18,"Afternoon (14-17)","Evening (18-20)")))</f>
        <v>Evening (18-20)</v>
      </c>
      <c r="S1475" s="4" t="str">
        <f aca="false">IF(AND(O1475&gt;=3,O1475&lt;=5),"Hot Dry (Mar-May)",IF(AND(O1475&gt;=6,O1475&lt;=11),"Rainy (Jun-Nov)","Cool Dry (Dec-Feb)"))</f>
        <v>Rainy (Jun-Nov)</v>
      </c>
      <c r="T1475" s="4" t="str">
        <f aca="false">CHOOSE(O1475,"Jan","Feb","Mar","Apr","May","Jun","Jul","Aug","Sep","Oct","Nov","Dec")</f>
        <v>Oct</v>
      </c>
    </row>
    <row r="1476" customFormat="false" ht="15" hidden="false" customHeight="false" outlineLevel="0" collapsed="false">
      <c r="A1476" s="4" t="s">
        <v>1851</v>
      </c>
      <c r="B1476" s="17" t="n">
        <v>45958</v>
      </c>
      <c r="C1476" s="4" t="n">
        <v>8</v>
      </c>
      <c r="D1476" s="4" t="s">
        <v>98</v>
      </c>
      <c r="E1476" s="4" t="s">
        <v>79</v>
      </c>
      <c r="F1476" s="4" t="s">
        <v>135</v>
      </c>
      <c r="G1476" s="4" t="n">
        <v>2</v>
      </c>
      <c r="H1476" s="34" t="n">
        <v>130</v>
      </c>
      <c r="I1476" s="18" t="n">
        <v>0.1</v>
      </c>
      <c r="J1476" s="4" t="s">
        <v>67</v>
      </c>
      <c r="K1476" s="4" t="s">
        <v>71</v>
      </c>
      <c r="L1476" s="35" t="n">
        <f aca="false">G1476*H1476</f>
        <v>260</v>
      </c>
      <c r="M1476" s="35" t="n">
        <f aca="false">L1476*I1476</f>
        <v>26</v>
      </c>
      <c r="N1476" s="35" t="n">
        <f aca="false">L1476-M1476</f>
        <v>234</v>
      </c>
      <c r="O1476" s="4" t="n">
        <f aca="false">MONTH(B1476)</f>
        <v>10</v>
      </c>
      <c r="P1476" s="4" t="str">
        <f aca="false">CHOOSE(WEEKDAY(B1476,2),"Mon","Tue","Wed","Thu","Fri","Sat","Sun")</f>
        <v>Tue</v>
      </c>
      <c r="Q1476" s="4" t="str">
        <f aca="false">IF(WEEKDAY(B1476,2)&gt;5,"Weekend","Weekday")</f>
        <v>Weekday</v>
      </c>
      <c r="R1476" s="4" t="str">
        <f aca="false">IF(C1476&lt;11,"Morning (7-10)",IF(C1476&lt;14,"Lunch (11-13)",IF(C1476&lt;18,"Afternoon (14-17)","Evening (18-20)")))</f>
        <v>Morning (7-10)</v>
      </c>
      <c r="S1476" s="4" t="str">
        <f aca="false">IF(AND(O1476&gt;=3,O1476&lt;=5),"Hot Dry (Mar-May)",IF(AND(O1476&gt;=6,O1476&lt;=11),"Rainy (Jun-Nov)","Cool Dry (Dec-Feb)"))</f>
        <v>Rainy (Jun-Nov)</v>
      </c>
      <c r="T1476" s="4" t="str">
        <f aca="false">CHOOSE(O1476,"Jan","Feb","Mar","Apr","May","Jun","Jul","Aug","Sep","Oct","Nov","Dec")</f>
        <v>Oct</v>
      </c>
    </row>
    <row r="1477" customFormat="false" ht="15" hidden="false" customHeight="false" outlineLevel="0" collapsed="false">
      <c r="A1477" s="4" t="s">
        <v>1852</v>
      </c>
      <c r="B1477" s="17" t="n">
        <v>45958</v>
      </c>
      <c r="C1477" s="4" t="n">
        <v>10</v>
      </c>
      <c r="D1477" s="4" t="s">
        <v>70</v>
      </c>
      <c r="E1477" s="4" t="s">
        <v>99</v>
      </c>
      <c r="F1477" s="4" t="s">
        <v>109</v>
      </c>
      <c r="G1477" s="4" t="n">
        <v>2</v>
      </c>
      <c r="H1477" s="34" t="n">
        <v>130</v>
      </c>
      <c r="I1477" s="18" t="n">
        <v>0</v>
      </c>
      <c r="J1477" s="4" t="s">
        <v>67</v>
      </c>
      <c r="K1477" s="4" t="s">
        <v>68</v>
      </c>
      <c r="L1477" s="35" t="n">
        <f aca="false">G1477*H1477</f>
        <v>260</v>
      </c>
      <c r="M1477" s="35" t="n">
        <f aca="false">L1477*I1477</f>
        <v>0</v>
      </c>
      <c r="N1477" s="35" t="n">
        <f aca="false">L1477-M1477</f>
        <v>260</v>
      </c>
      <c r="O1477" s="4" t="n">
        <f aca="false">MONTH(B1477)</f>
        <v>10</v>
      </c>
      <c r="P1477" s="4" t="str">
        <f aca="false">CHOOSE(WEEKDAY(B1477,2),"Mon","Tue","Wed","Thu","Fri","Sat","Sun")</f>
        <v>Tue</v>
      </c>
      <c r="Q1477" s="4" t="str">
        <f aca="false">IF(WEEKDAY(B1477,2)&gt;5,"Weekend","Weekday")</f>
        <v>Weekday</v>
      </c>
      <c r="R1477" s="4" t="str">
        <f aca="false">IF(C1477&lt;11,"Morning (7-10)",IF(C1477&lt;14,"Lunch (11-13)",IF(C1477&lt;18,"Afternoon (14-17)","Evening (18-20)")))</f>
        <v>Morning (7-10)</v>
      </c>
      <c r="S1477" s="4" t="str">
        <f aca="false">IF(AND(O1477&gt;=3,O1477&lt;=5),"Hot Dry (Mar-May)",IF(AND(O1477&gt;=6,O1477&lt;=11),"Rainy (Jun-Nov)","Cool Dry (Dec-Feb)"))</f>
        <v>Rainy (Jun-Nov)</v>
      </c>
      <c r="T1477" s="4" t="str">
        <f aca="false">CHOOSE(O1477,"Jan","Feb","Mar","Apr","May","Jun","Jul","Aug","Sep","Oct","Nov","Dec")</f>
        <v>Oct</v>
      </c>
    </row>
    <row r="1478" customFormat="false" ht="15" hidden="false" customHeight="false" outlineLevel="0" collapsed="false">
      <c r="A1478" s="4" t="s">
        <v>1853</v>
      </c>
      <c r="B1478" s="17" t="n">
        <v>45958</v>
      </c>
      <c r="C1478" s="4" t="n">
        <v>16</v>
      </c>
      <c r="D1478" s="4" t="s">
        <v>98</v>
      </c>
      <c r="E1478" s="4" t="s">
        <v>79</v>
      </c>
      <c r="F1478" s="4" t="s">
        <v>135</v>
      </c>
      <c r="G1478" s="4" t="n">
        <v>1</v>
      </c>
      <c r="H1478" s="34" t="n">
        <v>130</v>
      </c>
      <c r="I1478" s="18" t="n">
        <v>0.1</v>
      </c>
      <c r="J1478" s="4" t="s">
        <v>76</v>
      </c>
      <c r="K1478" s="4" t="s">
        <v>71</v>
      </c>
      <c r="L1478" s="35" t="n">
        <f aca="false">G1478*H1478</f>
        <v>130</v>
      </c>
      <c r="M1478" s="35" t="n">
        <f aca="false">L1478*I1478</f>
        <v>13</v>
      </c>
      <c r="N1478" s="35" t="n">
        <f aca="false">L1478-M1478</f>
        <v>117</v>
      </c>
      <c r="O1478" s="4" t="n">
        <f aca="false">MONTH(B1478)</f>
        <v>10</v>
      </c>
      <c r="P1478" s="4" t="str">
        <f aca="false">CHOOSE(WEEKDAY(B1478,2),"Mon","Tue","Wed","Thu","Fri","Sat","Sun")</f>
        <v>Tue</v>
      </c>
      <c r="Q1478" s="4" t="str">
        <f aca="false">IF(WEEKDAY(B1478,2)&gt;5,"Weekend","Weekday")</f>
        <v>Weekday</v>
      </c>
      <c r="R1478" s="4" t="str">
        <f aca="false">IF(C1478&lt;11,"Morning (7-10)",IF(C1478&lt;14,"Lunch (11-13)",IF(C1478&lt;18,"Afternoon (14-17)","Evening (18-20)")))</f>
        <v>Afternoon (14-17)</v>
      </c>
      <c r="S1478" s="4" t="str">
        <f aca="false">IF(AND(O1478&gt;=3,O1478&lt;=5),"Hot Dry (Mar-May)",IF(AND(O1478&gt;=6,O1478&lt;=11),"Rainy (Jun-Nov)","Cool Dry (Dec-Feb)"))</f>
        <v>Rainy (Jun-Nov)</v>
      </c>
      <c r="T1478" s="4" t="str">
        <f aca="false">CHOOSE(O1478,"Jan","Feb","Mar","Apr","May","Jun","Jul","Aug","Sep","Oct","Nov","Dec")</f>
        <v>Oct</v>
      </c>
    </row>
    <row r="1479" customFormat="false" ht="15" hidden="false" customHeight="false" outlineLevel="0" collapsed="false">
      <c r="A1479" s="4" t="s">
        <v>1854</v>
      </c>
      <c r="B1479" s="17" t="n">
        <v>45958</v>
      </c>
      <c r="C1479" s="4" t="n">
        <v>17</v>
      </c>
      <c r="D1479" s="4" t="s">
        <v>64</v>
      </c>
      <c r="E1479" s="4" t="s">
        <v>84</v>
      </c>
      <c r="F1479" s="4" t="s">
        <v>106</v>
      </c>
      <c r="G1479" s="4" t="n">
        <v>1</v>
      </c>
      <c r="H1479" s="34" t="n">
        <v>60</v>
      </c>
      <c r="I1479" s="18" t="n">
        <v>0.1</v>
      </c>
      <c r="J1479" s="4" t="s">
        <v>88</v>
      </c>
      <c r="K1479" s="4" t="s">
        <v>71</v>
      </c>
      <c r="L1479" s="35" t="n">
        <f aca="false">G1479*H1479</f>
        <v>60</v>
      </c>
      <c r="M1479" s="35" t="n">
        <f aca="false">L1479*I1479</f>
        <v>6</v>
      </c>
      <c r="N1479" s="35" t="n">
        <f aca="false">L1479-M1479</f>
        <v>54</v>
      </c>
      <c r="O1479" s="4" t="n">
        <f aca="false">MONTH(B1479)</f>
        <v>10</v>
      </c>
      <c r="P1479" s="4" t="str">
        <f aca="false">CHOOSE(WEEKDAY(B1479,2),"Mon","Tue","Wed","Thu","Fri","Sat","Sun")</f>
        <v>Tue</v>
      </c>
      <c r="Q1479" s="4" t="str">
        <f aca="false">IF(WEEKDAY(B1479,2)&gt;5,"Weekend","Weekday")</f>
        <v>Weekday</v>
      </c>
      <c r="R1479" s="4" t="str">
        <f aca="false">IF(C1479&lt;11,"Morning (7-10)",IF(C1479&lt;14,"Lunch (11-13)",IF(C1479&lt;18,"Afternoon (14-17)","Evening (18-20)")))</f>
        <v>Afternoon (14-17)</v>
      </c>
      <c r="S1479" s="4" t="str">
        <f aca="false">IF(AND(O1479&gt;=3,O1479&lt;=5),"Hot Dry (Mar-May)",IF(AND(O1479&gt;=6,O1479&lt;=11),"Rainy (Jun-Nov)","Cool Dry (Dec-Feb)"))</f>
        <v>Rainy (Jun-Nov)</v>
      </c>
      <c r="T1479" s="4" t="str">
        <f aca="false">CHOOSE(O1479,"Jan","Feb","Mar","Apr","May","Jun","Jul","Aug","Sep","Oct","Nov","Dec")</f>
        <v>Oct</v>
      </c>
    </row>
    <row r="1480" customFormat="false" ht="15" hidden="false" customHeight="false" outlineLevel="0" collapsed="false">
      <c r="A1480" s="4" t="s">
        <v>1856</v>
      </c>
      <c r="B1480" s="17" t="n">
        <v>45959</v>
      </c>
      <c r="C1480" s="4" t="n">
        <v>9</v>
      </c>
      <c r="D1480" s="4" t="s">
        <v>64</v>
      </c>
      <c r="E1480" s="4" t="s">
        <v>65</v>
      </c>
      <c r="F1480" s="4" t="s">
        <v>94</v>
      </c>
      <c r="G1480" s="4" t="n">
        <v>1</v>
      </c>
      <c r="H1480" s="34" t="n">
        <v>150</v>
      </c>
      <c r="I1480" s="18" t="n">
        <v>0.05</v>
      </c>
      <c r="J1480" s="4" t="s">
        <v>81</v>
      </c>
      <c r="K1480" s="4" t="s">
        <v>82</v>
      </c>
      <c r="L1480" s="35" t="n">
        <f aca="false">G1480*H1480</f>
        <v>150</v>
      </c>
      <c r="M1480" s="35" t="n">
        <f aca="false">L1480*I1480</f>
        <v>7.5</v>
      </c>
      <c r="N1480" s="35" t="n">
        <f aca="false">L1480-M1480</f>
        <v>142.5</v>
      </c>
      <c r="O1480" s="4" t="n">
        <f aca="false">MONTH(B1480)</f>
        <v>10</v>
      </c>
      <c r="P1480" s="4" t="str">
        <f aca="false">CHOOSE(WEEKDAY(B1480,2),"Mon","Tue","Wed","Thu","Fri","Sat","Sun")</f>
        <v>Wed</v>
      </c>
      <c r="Q1480" s="4" t="str">
        <f aca="false">IF(WEEKDAY(B1480,2)&gt;5,"Weekend","Weekday")</f>
        <v>Weekday</v>
      </c>
      <c r="R1480" s="4" t="str">
        <f aca="false">IF(C1480&lt;11,"Morning (7-10)",IF(C1480&lt;14,"Lunch (11-13)",IF(C1480&lt;18,"Afternoon (14-17)","Evening (18-20)")))</f>
        <v>Morning (7-10)</v>
      </c>
      <c r="S1480" s="4" t="str">
        <f aca="false">IF(AND(O1480&gt;=3,O1480&lt;=5),"Hot Dry (Mar-May)",IF(AND(O1480&gt;=6,O1480&lt;=11),"Rainy (Jun-Nov)","Cool Dry (Dec-Feb)"))</f>
        <v>Rainy (Jun-Nov)</v>
      </c>
      <c r="T1480" s="4" t="str">
        <f aca="false">CHOOSE(O1480,"Jan","Feb","Mar","Apr","May","Jun","Jul","Aug","Sep","Oct","Nov","Dec")</f>
        <v>Oct</v>
      </c>
    </row>
    <row r="1481" customFormat="false" ht="15" hidden="false" customHeight="false" outlineLevel="0" collapsed="false">
      <c r="A1481" s="4" t="s">
        <v>1857</v>
      </c>
      <c r="B1481" s="17" t="n">
        <v>45959</v>
      </c>
      <c r="C1481" s="4" t="n">
        <v>12</v>
      </c>
      <c r="D1481" s="4" t="s">
        <v>64</v>
      </c>
      <c r="E1481" s="4" t="s">
        <v>65</v>
      </c>
      <c r="F1481" s="4" t="s">
        <v>121</v>
      </c>
      <c r="G1481" s="4" t="n">
        <v>1</v>
      </c>
      <c r="H1481" s="34" t="n">
        <v>170</v>
      </c>
      <c r="I1481" s="18" t="n">
        <v>0.15</v>
      </c>
      <c r="J1481" s="4" t="s">
        <v>76</v>
      </c>
      <c r="K1481" s="4" t="s">
        <v>77</v>
      </c>
      <c r="L1481" s="35" t="n">
        <f aca="false">G1481*H1481</f>
        <v>170</v>
      </c>
      <c r="M1481" s="35" t="n">
        <f aca="false">L1481*I1481</f>
        <v>25.5</v>
      </c>
      <c r="N1481" s="35" t="n">
        <f aca="false">L1481-M1481</f>
        <v>144.5</v>
      </c>
      <c r="O1481" s="4" t="n">
        <f aca="false">MONTH(B1481)</f>
        <v>10</v>
      </c>
      <c r="P1481" s="4" t="str">
        <f aca="false">CHOOSE(WEEKDAY(B1481,2),"Mon","Tue","Wed","Thu","Fri","Sat","Sun")</f>
        <v>Wed</v>
      </c>
      <c r="Q1481" s="4" t="str">
        <f aca="false">IF(WEEKDAY(B1481,2)&gt;5,"Weekend","Weekday")</f>
        <v>Weekday</v>
      </c>
      <c r="R1481" s="4" t="str">
        <f aca="false">IF(C1481&lt;11,"Morning (7-10)",IF(C1481&lt;14,"Lunch (11-13)",IF(C1481&lt;18,"Afternoon (14-17)","Evening (18-20)")))</f>
        <v>Lunch (11-13)</v>
      </c>
      <c r="S1481" s="4" t="str">
        <f aca="false">IF(AND(O1481&gt;=3,O1481&lt;=5),"Hot Dry (Mar-May)",IF(AND(O1481&gt;=6,O1481&lt;=11),"Rainy (Jun-Nov)","Cool Dry (Dec-Feb)"))</f>
        <v>Rainy (Jun-Nov)</v>
      </c>
      <c r="T1481" s="4" t="str">
        <f aca="false">CHOOSE(O1481,"Jan","Feb","Mar","Apr","May","Jun","Jul","Aug","Sep","Oct","Nov","Dec")</f>
        <v>Oct</v>
      </c>
    </row>
    <row r="1482" customFormat="false" ht="15" hidden="false" customHeight="false" outlineLevel="0" collapsed="false">
      <c r="A1482" s="4" t="s">
        <v>1858</v>
      </c>
      <c r="B1482" s="17" t="n">
        <v>45959</v>
      </c>
      <c r="C1482" s="4" t="n">
        <v>13</v>
      </c>
      <c r="D1482" s="4" t="s">
        <v>64</v>
      </c>
      <c r="E1482" s="4" t="s">
        <v>79</v>
      </c>
      <c r="F1482" s="4" t="s">
        <v>148</v>
      </c>
      <c r="G1482" s="4" t="n">
        <v>3</v>
      </c>
      <c r="H1482" s="34" t="n">
        <v>120</v>
      </c>
      <c r="I1482" s="18" t="n">
        <v>0.05</v>
      </c>
      <c r="J1482" s="4" t="s">
        <v>76</v>
      </c>
      <c r="K1482" s="4" t="s">
        <v>82</v>
      </c>
      <c r="L1482" s="35" t="n">
        <f aca="false">G1482*H1482</f>
        <v>360</v>
      </c>
      <c r="M1482" s="35" t="n">
        <f aca="false">L1482*I1482</f>
        <v>18</v>
      </c>
      <c r="N1482" s="35" t="n">
        <f aca="false">L1482-M1482</f>
        <v>342</v>
      </c>
      <c r="O1482" s="4" t="n">
        <f aca="false">MONTH(B1482)</f>
        <v>10</v>
      </c>
      <c r="P1482" s="4" t="str">
        <f aca="false">CHOOSE(WEEKDAY(B1482,2),"Mon","Tue","Wed","Thu","Fri","Sat","Sun")</f>
        <v>Wed</v>
      </c>
      <c r="Q1482" s="4" t="str">
        <f aca="false">IF(WEEKDAY(B1482,2)&gt;5,"Weekend","Weekday")</f>
        <v>Weekday</v>
      </c>
      <c r="R1482" s="4" t="str">
        <f aca="false">IF(C1482&lt;11,"Morning (7-10)",IF(C1482&lt;14,"Lunch (11-13)",IF(C1482&lt;18,"Afternoon (14-17)","Evening (18-20)")))</f>
        <v>Lunch (11-13)</v>
      </c>
      <c r="S1482" s="4" t="str">
        <f aca="false">IF(AND(O1482&gt;=3,O1482&lt;=5),"Hot Dry (Mar-May)",IF(AND(O1482&gt;=6,O1482&lt;=11),"Rainy (Jun-Nov)","Cool Dry (Dec-Feb)"))</f>
        <v>Rainy (Jun-Nov)</v>
      </c>
      <c r="T1482" s="4" t="str">
        <f aca="false">CHOOSE(O1482,"Jan","Feb","Mar","Apr","May","Jun","Jul","Aug","Sep","Oct","Nov","Dec")</f>
        <v>Oct</v>
      </c>
    </row>
    <row r="1483" customFormat="false" ht="15" hidden="false" customHeight="false" outlineLevel="0" collapsed="false">
      <c r="A1483" s="4" t="s">
        <v>1859</v>
      </c>
      <c r="B1483" s="17" t="n">
        <v>45959</v>
      </c>
      <c r="C1483" s="4" t="n">
        <v>17</v>
      </c>
      <c r="D1483" s="4" t="s">
        <v>70</v>
      </c>
      <c r="E1483" s="4" t="s">
        <v>99</v>
      </c>
      <c r="F1483" s="4" t="s">
        <v>100</v>
      </c>
      <c r="G1483" s="4" t="n">
        <v>3</v>
      </c>
      <c r="H1483" s="34" t="n">
        <v>110</v>
      </c>
      <c r="I1483" s="18" t="n">
        <v>0.05</v>
      </c>
      <c r="J1483" s="4" t="s">
        <v>81</v>
      </c>
      <c r="K1483" s="4" t="s">
        <v>82</v>
      </c>
      <c r="L1483" s="35" t="n">
        <f aca="false">G1483*H1483</f>
        <v>330</v>
      </c>
      <c r="M1483" s="35" t="n">
        <f aca="false">L1483*I1483</f>
        <v>16.5</v>
      </c>
      <c r="N1483" s="35" t="n">
        <f aca="false">L1483-M1483</f>
        <v>313.5</v>
      </c>
      <c r="O1483" s="4" t="n">
        <f aca="false">MONTH(B1483)</f>
        <v>10</v>
      </c>
      <c r="P1483" s="4" t="str">
        <f aca="false">CHOOSE(WEEKDAY(B1483,2),"Mon","Tue","Wed","Thu","Fri","Sat","Sun")</f>
        <v>Wed</v>
      </c>
      <c r="Q1483" s="4" t="str">
        <f aca="false">IF(WEEKDAY(B1483,2)&gt;5,"Weekend","Weekday")</f>
        <v>Weekday</v>
      </c>
      <c r="R1483" s="4" t="str">
        <f aca="false">IF(C1483&lt;11,"Morning (7-10)",IF(C1483&lt;14,"Lunch (11-13)",IF(C1483&lt;18,"Afternoon (14-17)","Evening (18-20)")))</f>
        <v>Afternoon (14-17)</v>
      </c>
      <c r="S1483" s="4" t="str">
        <f aca="false">IF(AND(O1483&gt;=3,O1483&lt;=5),"Hot Dry (Mar-May)",IF(AND(O1483&gt;=6,O1483&lt;=11),"Rainy (Jun-Nov)","Cool Dry (Dec-Feb)"))</f>
        <v>Rainy (Jun-Nov)</v>
      </c>
      <c r="T1483" s="4" t="str">
        <f aca="false">CHOOSE(O1483,"Jan","Feb","Mar","Apr","May","Jun","Jul","Aug","Sep","Oct","Nov","Dec")</f>
        <v>Oct</v>
      </c>
    </row>
    <row r="1484" customFormat="false" ht="15" hidden="false" customHeight="false" outlineLevel="0" collapsed="false">
      <c r="A1484" s="4" t="s">
        <v>1860</v>
      </c>
      <c r="B1484" s="17" t="n">
        <v>45960</v>
      </c>
      <c r="C1484" s="4" t="n">
        <v>9</v>
      </c>
      <c r="D1484" s="4" t="s">
        <v>64</v>
      </c>
      <c r="E1484" s="4" t="s">
        <v>99</v>
      </c>
      <c r="F1484" s="4" t="s">
        <v>133</v>
      </c>
      <c r="G1484" s="4" t="n">
        <v>2</v>
      </c>
      <c r="H1484" s="34" t="n">
        <v>90</v>
      </c>
      <c r="I1484" s="18" t="n">
        <v>0.1</v>
      </c>
      <c r="J1484" s="4" t="s">
        <v>67</v>
      </c>
      <c r="K1484" s="4" t="s">
        <v>71</v>
      </c>
      <c r="L1484" s="35" t="n">
        <f aca="false">G1484*H1484</f>
        <v>180</v>
      </c>
      <c r="M1484" s="35" t="n">
        <f aca="false">L1484*I1484</f>
        <v>18</v>
      </c>
      <c r="N1484" s="35" t="n">
        <f aca="false">L1484-M1484</f>
        <v>162</v>
      </c>
      <c r="O1484" s="4" t="n">
        <f aca="false">MONTH(B1484)</f>
        <v>10</v>
      </c>
      <c r="P1484" s="4" t="str">
        <f aca="false">CHOOSE(WEEKDAY(B1484,2),"Mon","Tue","Wed","Thu","Fri","Sat","Sun")</f>
        <v>Thu</v>
      </c>
      <c r="Q1484" s="4" t="str">
        <f aca="false">IF(WEEKDAY(B1484,2)&gt;5,"Weekend","Weekday")</f>
        <v>Weekday</v>
      </c>
      <c r="R1484" s="4" t="str">
        <f aca="false">IF(C1484&lt;11,"Morning (7-10)",IF(C1484&lt;14,"Lunch (11-13)",IF(C1484&lt;18,"Afternoon (14-17)","Evening (18-20)")))</f>
        <v>Morning (7-10)</v>
      </c>
      <c r="S1484" s="4" t="str">
        <f aca="false">IF(AND(O1484&gt;=3,O1484&lt;=5),"Hot Dry (Mar-May)",IF(AND(O1484&gt;=6,O1484&lt;=11),"Rainy (Jun-Nov)","Cool Dry (Dec-Feb)"))</f>
        <v>Rainy (Jun-Nov)</v>
      </c>
      <c r="T1484" s="4" t="str">
        <f aca="false">CHOOSE(O1484,"Jan","Feb","Mar","Apr","May","Jun","Jul","Aug","Sep","Oct","Nov","Dec")</f>
        <v>Oct</v>
      </c>
    </row>
    <row r="1485" customFormat="false" ht="15" hidden="false" customHeight="false" outlineLevel="0" collapsed="false">
      <c r="A1485" s="4" t="s">
        <v>1861</v>
      </c>
      <c r="B1485" s="17" t="n">
        <v>45960</v>
      </c>
      <c r="C1485" s="4" t="n">
        <v>15</v>
      </c>
      <c r="D1485" s="4" t="s">
        <v>64</v>
      </c>
      <c r="E1485" s="4" t="s">
        <v>99</v>
      </c>
      <c r="F1485" s="4" t="s">
        <v>109</v>
      </c>
      <c r="G1485" s="4" t="n">
        <v>3</v>
      </c>
      <c r="H1485" s="34" t="n">
        <v>130</v>
      </c>
      <c r="I1485" s="18" t="n">
        <v>0</v>
      </c>
      <c r="J1485" s="4" t="s">
        <v>112</v>
      </c>
      <c r="K1485" s="4" t="s">
        <v>68</v>
      </c>
      <c r="L1485" s="35" t="n">
        <f aca="false">G1485*H1485</f>
        <v>390</v>
      </c>
      <c r="M1485" s="35" t="n">
        <f aca="false">L1485*I1485</f>
        <v>0</v>
      </c>
      <c r="N1485" s="35" t="n">
        <f aca="false">L1485-M1485</f>
        <v>390</v>
      </c>
      <c r="O1485" s="4" t="n">
        <f aca="false">MONTH(B1485)</f>
        <v>10</v>
      </c>
      <c r="P1485" s="4" t="str">
        <f aca="false">CHOOSE(WEEKDAY(B1485,2),"Mon","Tue","Wed","Thu","Fri","Sat","Sun")</f>
        <v>Thu</v>
      </c>
      <c r="Q1485" s="4" t="str">
        <f aca="false">IF(WEEKDAY(B1485,2)&gt;5,"Weekend","Weekday")</f>
        <v>Weekday</v>
      </c>
      <c r="R1485" s="4" t="str">
        <f aca="false">IF(C1485&lt;11,"Morning (7-10)",IF(C1485&lt;14,"Lunch (11-13)",IF(C1485&lt;18,"Afternoon (14-17)","Evening (18-20)")))</f>
        <v>Afternoon (14-17)</v>
      </c>
      <c r="S1485" s="4" t="str">
        <f aca="false">IF(AND(O1485&gt;=3,O1485&lt;=5),"Hot Dry (Mar-May)",IF(AND(O1485&gt;=6,O1485&lt;=11),"Rainy (Jun-Nov)","Cool Dry (Dec-Feb)"))</f>
        <v>Rainy (Jun-Nov)</v>
      </c>
      <c r="T1485" s="4" t="str">
        <f aca="false">CHOOSE(O1485,"Jan","Feb","Mar","Apr","May","Jun","Jul","Aug","Sep","Oct","Nov","Dec")</f>
        <v>Oct</v>
      </c>
    </row>
    <row r="1486" customFormat="false" ht="15" hidden="false" customHeight="false" outlineLevel="0" collapsed="false">
      <c r="A1486" s="4" t="s">
        <v>1862</v>
      </c>
      <c r="B1486" s="17" t="n">
        <v>45961</v>
      </c>
      <c r="C1486" s="4" t="n">
        <v>7</v>
      </c>
      <c r="D1486" s="4" t="s">
        <v>73</v>
      </c>
      <c r="E1486" s="4" t="s">
        <v>65</v>
      </c>
      <c r="F1486" s="4" t="s">
        <v>121</v>
      </c>
      <c r="G1486" s="4" t="n">
        <v>1</v>
      </c>
      <c r="H1486" s="34" t="n">
        <v>170</v>
      </c>
      <c r="I1486" s="18" t="n">
        <v>0</v>
      </c>
      <c r="J1486" s="4" t="s">
        <v>81</v>
      </c>
      <c r="K1486" s="4" t="s">
        <v>77</v>
      </c>
      <c r="L1486" s="35" t="n">
        <f aca="false">G1486*H1486</f>
        <v>170</v>
      </c>
      <c r="M1486" s="35" t="n">
        <f aca="false">L1486*I1486</f>
        <v>0</v>
      </c>
      <c r="N1486" s="35" t="n">
        <f aca="false">L1486-M1486</f>
        <v>170</v>
      </c>
      <c r="O1486" s="4" t="n">
        <f aca="false">MONTH(B1486)</f>
        <v>10</v>
      </c>
      <c r="P1486" s="4" t="str">
        <f aca="false">CHOOSE(WEEKDAY(B1486,2),"Mon","Tue","Wed","Thu","Fri","Sat","Sun")</f>
        <v>Fri</v>
      </c>
      <c r="Q1486" s="4" t="str">
        <f aca="false">IF(WEEKDAY(B1486,2)&gt;5,"Weekend","Weekday")</f>
        <v>Weekday</v>
      </c>
      <c r="R1486" s="4" t="str">
        <f aca="false">IF(C1486&lt;11,"Morning (7-10)",IF(C1486&lt;14,"Lunch (11-13)",IF(C1486&lt;18,"Afternoon (14-17)","Evening (18-20)")))</f>
        <v>Morning (7-10)</v>
      </c>
      <c r="S1486" s="4" t="str">
        <f aca="false">IF(AND(O1486&gt;=3,O1486&lt;=5),"Hot Dry (Mar-May)",IF(AND(O1486&gt;=6,O1486&lt;=11),"Rainy (Jun-Nov)","Cool Dry (Dec-Feb)"))</f>
        <v>Rainy (Jun-Nov)</v>
      </c>
      <c r="T1486" s="4" t="str">
        <f aca="false">CHOOSE(O1486,"Jan","Feb","Mar","Apr","May","Jun","Jul","Aug","Sep","Oct","Nov","Dec")</f>
        <v>Oct</v>
      </c>
    </row>
    <row r="1487" customFormat="false" ht="15" hidden="false" customHeight="false" outlineLevel="0" collapsed="false">
      <c r="A1487" s="4" t="s">
        <v>1863</v>
      </c>
      <c r="B1487" s="17" t="n">
        <v>45961</v>
      </c>
      <c r="C1487" s="4" t="n">
        <v>9</v>
      </c>
      <c r="D1487" s="4" t="s">
        <v>70</v>
      </c>
      <c r="E1487" s="4" t="s">
        <v>65</v>
      </c>
      <c r="F1487" s="4" t="s">
        <v>94</v>
      </c>
      <c r="G1487" s="4" t="n">
        <v>2</v>
      </c>
      <c r="H1487" s="34" t="n">
        <v>150</v>
      </c>
      <c r="I1487" s="18" t="n">
        <v>0.05</v>
      </c>
      <c r="J1487" s="4" t="s">
        <v>81</v>
      </c>
      <c r="K1487" s="4" t="s">
        <v>82</v>
      </c>
      <c r="L1487" s="35" t="n">
        <f aca="false">G1487*H1487</f>
        <v>300</v>
      </c>
      <c r="M1487" s="35" t="n">
        <f aca="false">L1487*I1487</f>
        <v>15</v>
      </c>
      <c r="N1487" s="35" t="n">
        <f aca="false">L1487-M1487</f>
        <v>285</v>
      </c>
      <c r="O1487" s="4" t="n">
        <f aca="false">MONTH(B1487)</f>
        <v>10</v>
      </c>
      <c r="P1487" s="4" t="str">
        <f aca="false">CHOOSE(WEEKDAY(B1487,2),"Mon","Tue","Wed","Thu","Fri","Sat","Sun")</f>
        <v>Fri</v>
      </c>
      <c r="Q1487" s="4" t="str">
        <f aca="false">IF(WEEKDAY(B1487,2)&gt;5,"Weekend","Weekday")</f>
        <v>Weekday</v>
      </c>
      <c r="R1487" s="4" t="str">
        <f aca="false">IF(C1487&lt;11,"Morning (7-10)",IF(C1487&lt;14,"Lunch (11-13)",IF(C1487&lt;18,"Afternoon (14-17)","Evening (18-20)")))</f>
        <v>Morning (7-10)</v>
      </c>
      <c r="S1487" s="4" t="str">
        <f aca="false">IF(AND(O1487&gt;=3,O1487&lt;=5),"Hot Dry (Mar-May)",IF(AND(O1487&gt;=6,O1487&lt;=11),"Rainy (Jun-Nov)","Cool Dry (Dec-Feb)"))</f>
        <v>Rainy (Jun-Nov)</v>
      </c>
      <c r="T1487" s="4" t="str">
        <f aca="false">CHOOSE(O1487,"Jan","Feb","Mar","Apr","May","Jun","Jul","Aug","Sep","Oct","Nov","Dec")</f>
        <v>Oct</v>
      </c>
    </row>
    <row r="1488" customFormat="false" ht="15" hidden="false" customHeight="false" outlineLevel="0" collapsed="false">
      <c r="A1488" s="4" t="s">
        <v>1864</v>
      </c>
      <c r="B1488" s="17" t="n">
        <v>45961</v>
      </c>
      <c r="C1488" s="4" t="n">
        <v>10</v>
      </c>
      <c r="D1488" s="4" t="s">
        <v>70</v>
      </c>
      <c r="E1488" s="4" t="s">
        <v>84</v>
      </c>
      <c r="F1488" s="4" t="s">
        <v>114</v>
      </c>
      <c r="G1488" s="4" t="n">
        <v>1</v>
      </c>
      <c r="H1488" s="34" t="n">
        <v>85</v>
      </c>
      <c r="I1488" s="18" t="n">
        <v>0</v>
      </c>
      <c r="J1488" s="4" t="s">
        <v>76</v>
      </c>
      <c r="K1488" s="4" t="s">
        <v>68</v>
      </c>
      <c r="L1488" s="35" t="n">
        <f aca="false">G1488*H1488</f>
        <v>85</v>
      </c>
      <c r="M1488" s="35" t="n">
        <f aca="false">L1488*I1488</f>
        <v>0</v>
      </c>
      <c r="N1488" s="35" t="n">
        <f aca="false">L1488-M1488</f>
        <v>85</v>
      </c>
      <c r="O1488" s="4" t="n">
        <f aca="false">MONTH(B1488)</f>
        <v>10</v>
      </c>
      <c r="P1488" s="4" t="str">
        <f aca="false">CHOOSE(WEEKDAY(B1488,2),"Mon","Tue","Wed","Thu","Fri","Sat","Sun")</f>
        <v>Fri</v>
      </c>
      <c r="Q1488" s="4" t="str">
        <f aca="false">IF(WEEKDAY(B1488,2)&gt;5,"Weekend","Weekday")</f>
        <v>Weekday</v>
      </c>
      <c r="R1488" s="4" t="str">
        <f aca="false">IF(C1488&lt;11,"Morning (7-10)",IF(C1488&lt;14,"Lunch (11-13)",IF(C1488&lt;18,"Afternoon (14-17)","Evening (18-20)")))</f>
        <v>Morning (7-10)</v>
      </c>
      <c r="S1488" s="4" t="str">
        <f aca="false">IF(AND(O1488&gt;=3,O1488&lt;=5),"Hot Dry (Mar-May)",IF(AND(O1488&gt;=6,O1488&lt;=11),"Rainy (Jun-Nov)","Cool Dry (Dec-Feb)"))</f>
        <v>Rainy (Jun-Nov)</v>
      </c>
      <c r="T1488" s="4" t="str">
        <f aca="false">CHOOSE(O1488,"Jan","Feb","Mar","Apr","May","Jun","Jul","Aug","Sep","Oct","Nov","Dec")</f>
        <v>Oct</v>
      </c>
    </row>
    <row r="1489" customFormat="false" ht="15" hidden="false" customHeight="false" outlineLevel="0" collapsed="false">
      <c r="A1489" s="4" t="s">
        <v>1865</v>
      </c>
      <c r="B1489" s="17" t="n">
        <v>45961</v>
      </c>
      <c r="C1489" s="4" t="n">
        <v>14</v>
      </c>
      <c r="D1489" s="4" t="s">
        <v>73</v>
      </c>
      <c r="E1489" s="4" t="s">
        <v>65</v>
      </c>
      <c r="F1489" s="4" t="s">
        <v>94</v>
      </c>
      <c r="G1489" s="4" t="n">
        <v>2</v>
      </c>
      <c r="H1489" s="34" t="n">
        <v>150</v>
      </c>
      <c r="I1489" s="18" t="n">
        <v>0</v>
      </c>
      <c r="J1489" s="4" t="s">
        <v>67</v>
      </c>
      <c r="K1489" s="4" t="s">
        <v>68</v>
      </c>
      <c r="L1489" s="35" t="n">
        <f aca="false">G1489*H1489</f>
        <v>300</v>
      </c>
      <c r="M1489" s="35" t="n">
        <f aca="false">L1489*I1489</f>
        <v>0</v>
      </c>
      <c r="N1489" s="35" t="n">
        <f aca="false">L1489-M1489</f>
        <v>300</v>
      </c>
      <c r="O1489" s="4" t="n">
        <f aca="false">MONTH(B1489)</f>
        <v>10</v>
      </c>
      <c r="P1489" s="4" t="str">
        <f aca="false">CHOOSE(WEEKDAY(B1489,2),"Mon","Tue","Wed","Thu","Fri","Sat","Sun")</f>
        <v>Fri</v>
      </c>
      <c r="Q1489" s="4" t="str">
        <f aca="false">IF(WEEKDAY(B1489,2)&gt;5,"Weekend","Weekday")</f>
        <v>Weekday</v>
      </c>
      <c r="R1489" s="4" t="str">
        <f aca="false">IF(C1489&lt;11,"Morning (7-10)",IF(C1489&lt;14,"Lunch (11-13)",IF(C1489&lt;18,"Afternoon (14-17)","Evening (18-20)")))</f>
        <v>Afternoon (14-17)</v>
      </c>
      <c r="S1489" s="4" t="str">
        <f aca="false">IF(AND(O1489&gt;=3,O1489&lt;=5),"Hot Dry (Mar-May)",IF(AND(O1489&gt;=6,O1489&lt;=11),"Rainy (Jun-Nov)","Cool Dry (Dec-Feb)"))</f>
        <v>Rainy (Jun-Nov)</v>
      </c>
      <c r="T1489" s="4" t="str">
        <f aca="false">CHOOSE(O1489,"Jan","Feb","Mar","Apr","May","Jun","Jul","Aug","Sep","Oct","Nov","Dec")</f>
        <v>Oct</v>
      </c>
    </row>
    <row r="1490" customFormat="false" ht="15" hidden="false" customHeight="false" outlineLevel="0" collapsed="false">
      <c r="A1490" s="4" t="s">
        <v>1866</v>
      </c>
      <c r="B1490" s="17" t="n">
        <v>45961</v>
      </c>
      <c r="C1490" s="4" t="n">
        <v>15</v>
      </c>
      <c r="D1490" s="4" t="s">
        <v>70</v>
      </c>
      <c r="E1490" s="4" t="s">
        <v>74</v>
      </c>
      <c r="F1490" s="4" t="s">
        <v>75</v>
      </c>
      <c r="G1490" s="4" t="n">
        <v>1</v>
      </c>
      <c r="H1490" s="34" t="n">
        <v>220</v>
      </c>
      <c r="I1490" s="18" t="n">
        <v>0</v>
      </c>
      <c r="J1490" s="4" t="s">
        <v>88</v>
      </c>
      <c r="K1490" s="4" t="s">
        <v>68</v>
      </c>
      <c r="L1490" s="35" t="n">
        <f aca="false">G1490*H1490</f>
        <v>220</v>
      </c>
      <c r="M1490" s="35" t="n">
        <f aca="false">L1490*I1490</f>
        <v>0</v>
      </c>
      <c r="N1490" s="35" t="n">
        <f aca="false">L1490-M1490</f>
        <v>220</v>
      </c>
      <c r="O1490" s="4" t="n">
        <f aca="false">MONTH(B1490)</f>
        <v>10</v>
      </c>
      <c r="P1490" s="4" t="str">
        <f aca="false">CHOOSE(WEEKDAY(B1490,2),"Mon","Tue","Wed","Thu","Fri","Sat","Sun")</f>
        <v>Fri</v>
      </c>
      <c r="Q1490" s="4" t="str">
        <f aca="false">IF(WEEKDAY(B1490,2)&gt;5,"Weekend","Weekday")</f>
        <v>Weekday</v>
      </c>
      <c r="R1490" s="4" t="str">
        <f aca="false">IF(C1490&lt;11,"Morning (7-10)",IF(C1490&lt;14,"Lunch (11-13)",IF(C1490&lt;18,"Afternoon (14-17)","Evening (18-20)")))</f>
        <v>Afternoon (14-17)</v>
      </c>
      <c r="S1490" s="4" t="str">
        <f aca="false">IF(AND(O1490&gt;=3,O1490&lt;=5),"Hot Dry (Mar-May)",IF(AND(O1490&gt;=6,O1490&lt;=11),"Rainy (Jun-Nov)","Cool Dry (Dec-Feb)"))</f>
        <v>Rainy (Jun-Nov)</v>
      </c>
      <c r="T1490" s="4" t="str">
        <f aca="false">CHOOSE(O1490,"Jan","Feb","Mar","Apr","May","Jun","Jul","Aug","Sep","Oct","Nov","Dec")</f>
        <v>Oct</v>
      </c>
    </row>
    <row r="1491" customFormat="false" ht="15" hidden="false" customHeight="false" outlineLevel="0" collapsed="false">
      <c r="A1491" s="4" t="s">
        <v>1867</v>
      </c>
      <c r="B1491" s="17" t="n">
        <v>45961</v>
      </c>
      <c r="C1491" s="4" t="n">
        <v>17</v>
      </c>
      <c r="D1491" s="4" t="s">
        <v>70</v>
      </c>
      <c r="E1491" s="4" t="s">
        <v>84</v>
      </c>
      <c r="F1491" s="4" t="s">
        <v>117</v>
      </c>
      <c r="G1491" s="4" t="n">
        <v>1</v>
      </c>
      <c r="H1491" s="34" t="n">
        <v>95</v>
      </c>
      <c r="I1491" s="18" t="n">
        <v>0</v>
      </c>
      <c r="J1491" s="4" t="s">
        <v>81</v>
      </c>
      <c r="K1491" s="4" t="s">
        <v>68</v>
      </c>
      <c r="L1491" s="35" t="n">
        <f aca="false">G1491*H1491</f>
        <v>95</v>
      </c>
      <c r="M1491" s="35" t="n">
        <f aca="false">L1491*I1491</f>
        <v>0</v>
      </c>
      <c r="N1491" s="35" t="n">
        <f aca="false">L1491-M1491</f>
        <v>95</v>
      </c>
      <c r="O1491" s="4" t="n">
        <f aca="false">MONTH(B1491)</f>
        <v>10</v>
      </c>
      <c r="P1491" s="4" t="str">
        <f aca="false">CHOOSE(WEEKDAY(B1491,2),"Mon","Tue","Wed","Thu","Fri","Sat","Sun")</f>
        <v>Fri</v>
      </c>
      <c r="Q1491" s="4" t="str">
        <f aca="false">IF(WEEKDAY(B1491,2)&gt;5,"Weekend","Weekday")</f>
        <v>Weekday</v>
      </c>
      <c r="R1491" s="4" t="str">
        <f aca="false">IF(C1491&lt;11,"Morning (7-10)",IF(C1491&lt;14,"Lunch (11-13)",IF(C1491&lt;18,"Afternoon (14-17)","Evening (18-20)")))</f>
        <v>Afternoon (14-17)</v>
      </c>
      <c r="S1491" s="4" t="str">
        <f aca="false">IF(AND(O1491&gt;=3,O1491&lt;=5),"Hot Dry (Mar-May)",IF(AND(O1491&gt;=6,O1491&lt;=11),"Rainy (Jun-Nov)","Cool Dry (Dec-Feb)"))</f>
        <v>Rainy (Jun-Nov)</v>
      </c>
      <c r="T1491" s="4" t="str">
        <f aca="false">CHOOSE(O1491,"Jan","Feb","Mar","Apr","May","Jun","Jul","Aug","Sep","Oct","Nov","Dec")</f>
        <v>Oct</v>
      </c>
    </row>
    <row r="1492" customFormat="false" ht="15" hidden="false" customHeight="false" outlineLevel="0" collapsed="false">
      <c r="A1492" s="4" t="s">
        <v>1868</v>
      </c>
      <c r="B1492" s="17" t="n">
        <v>45962</v>
      </c>
      <c r="C1492" s="4" t="n">
        <v>8</v>
      </c>
      <c r="D1492" s="4" t="s">
        <v>70</v>
      </c>
      <c r="E1492" s="4" t="s">
        <v>84</v>
      </c>
      <c r="F1492" s="4" t="s">
        <v>114</v>
      </c>
      <c r="G1492" s="4" t="n">
        <v>2</v>
      </c>
      <c r="H1492" s="34" t="n">
        <v>85</v>
      </c>
      <c r="I1492" s="18" t="n">
        <v>0.05</v>
      </c>
      <c r="J1492" s="4" t="s">
        <v>81</v>
      </c>
      <c r="K1492" s="4" t="s">
        <v>82</v>
      </c>
      <c r="L1492" s="35" t="n">
        <f aca="false">G1492*H1492</f>
        <v>170</v>
      </c>
      <c r="M1492" s="35" t="n">
        <f aca="false">L1492*I1492</f>
        <v>8.5</v>
      </c>
      <c r="N1492" s="35" t="n">
        <f aca="false">L1492-M1492</f>
        <v>161.5</v>
      </c>
      <c r="O1492" s="4" t="n">
        <f aca="false">MONTH(B1492)</f>
        <v>11</v>
      </c>
      <c r="P1492" s="4" t="str">
        <f aca="false">CHOOSE(WEEKDAY(B1492,2),"Mon","Tue","Wed","Thu","Fri","Sat","Sun")</f>
        <v>Sat</v>
      </c>
      <c r="Q1492" s="4" t="str">
        <f aca="false">IF(WEEKDAY(B1492,2)&gt;5,"Weekend","Weekday")</f>
        <v>Weekend</v>
      </c>
      <c r="R1492" s="4" t="str">
        <f aca="false">IF(C1492&lt;11,"Morning (7-10)",IF(C1492&lt;14,"Lunch (11-13)",IF(C1492&lt;18,"Afternoon (14-17)","Evening (18-20)")))</f>
        <v>Morning (7-10)</v>
      </c>
      <c r="S1492" s="4" t="str">
        <f aca="false">IF(AND(O1492&gt;=3,O1492&lt;=5),"Hot Dry (Mar-May)",IF(AND(O1492&gt;=6,O1492&lt;=11),"Rainy (Jun-Nov)","Cool Dry (Dec-Feb)"))</f>
        <v>Rainy (Jun-Nov)</v>
      </c>
      <c r="T1492" s="4" t="str">
        <f aca="false">CHOOSE(O1492,"Jan","Feb","Mar","Apr","May","Jun","Jul","Aug","Sep","Oct","Nov","Dec")</f>
        <v>Nov</v>
      </c>
    </row>
    <row r="1493" customFormat="false" ht="15" hidden="false" customHeight="false" outlineLevel="0" collapsed="false">
      <c r="A1493" s="4" t="s">
        <v>1869</v>
      </c>
      <c r="B1493" s="17" t="n">
        <v>45962</v>
      </c>
      <c r="C1493" s="4" t="n">
        <v>9</v>
      </c>
      <c r="D1493" s="4" t="s">
        <v>70</v>
      </c>
      <c r="E1493" s="4" t="s">
        <v>65</v>
      </c>
      <c r="F1493" s="4" t="s">
        <v>87</v>
      </c>
      <c r="G1493" s="4" t="n">
        <v>1</v>
      </c>
      <c r="H1493" s="34" t="n">
        <v>160</v>
      </c>
      <c r="I1493" s="18" t="n">
        <v>0.1</v>
      </c>
      <c r="J1493" s="4" t="s">
        <v>112</v>
      </c>
      <c r="K1493" s="4" t="s">
        <v>68</v>
      </c>
      <c r="L1493" s="35" t="n">
        <f aca="false">G1493*H1493</f>
        <v>160</v>
      </c>
      <c r="M1493" s="35" t="n">
        <f aca="false">L1493*I1493</f>
        <v>16</v>
      </c>
      <c r="N1493" s="35" t="n">
        <f aca="false">L1493-M1493</f>
        <v>144</v>
      </c>
      <c r="O1493" s="4" t="n">
        <f aca="false">MONTH(B1493)</f>
        <v>11</v>
      </c>
      <c r="P1493" s="4" t="str">
        <f aca="false">CHOOSE(WEEKDAY(B1493,2),"Mon","Tue","Wed","Thu","Fri","Sat","Sun")</f>
        <v>Sat</v>
      </c>
      <c r="Q1493" s="4" t="str">
        <f aca="false">IF(WEEKDAY(B1493,2)&gt;5,"Weekend","Weekday")</f>
        <v>Weekend</v>
      </c>
      <c r="R1493" s="4" t="str">
        <f aca="false">IF(C1493&lt;11,"Morning (7-10)",IF(C1493&lt;14,"Lunch (11-13)",IF(C1493&lt;18,"Afternoon (14-17)","Evening (18-20)")))</f>
        <v>Morning (7-10)</v>
      </c>
      <c r="S1493" s="4" t="str">
        <f aca="false">IF(AND(O1493&gt;=3,O1493&lt;=5),"Hot Dry (Mar-May)",IF(AND(O1493&gt;=6,O1493&lt;=11),"Rainy (Jun-Nov)","Cool Dry (Dec-Feb)"))</f>
        <v>Rainy (Jun-Nov)</v>
      </c>
      <c r="T1493" s="4" t="str">
        <f aca="false">CHOOSE(O1493,"Jan","Feb","Mar","Apr","May","Jun","Jul","Aug","Sep","Oct","Nov","Dec")</f>
        <v>Nov</v>
      </c>
    </row>
    <row r="1494" customFormat="false" ht="15" hidden="false" customHeight="false" outlineLevel="0" collapsed="false">
      <c r="A1494" s="4" t="s">
        <v>1870</v>
      </c>
      <c r="B1494" s="17" t="n">
        <v>45962</v>
      </c>
      <c r="C1494" s="4" t="n">
        <v>9</v>
      </c>
      <c r="D1494" s="4" t="s">
        <v>70</v>
      </c>
      <c r="E1494" s="4" t="s">
        <v>99</v>
      </c>
      <c r="F1494" s="4" t="s">
        <v>109</v>
      </c>
      <c r="G1494" s="4" t="n">
        <v>1</v>
      </c>
      <c r="H1494" s="34" t="n">
        <v>130</v>
      </c>
      <c r="I1494" s="18" t="n">
        <v>0.05</v>
      </c>
      <c r="J1494" s="4" t="s">
        <v>81</v>
      </c>
      <c r="K1494" s="4" t="s">
        <v>82</v>
      </c>
      <c r="L1494" s="35" t="n">
        <f aca="false">G1494*H1494</f>
        <v>130</v>
      </c>
      <c r="M1494" s="35" t="n">
        <f aca="false">L1494*I1494</f>
        <v>6.5</v>
      </c>
      <c r="N1494" s="35" t="n">
        <f aca="false">L1494-M1494</f>
        <v>123.5</v>
      </c>
      <c r="O1494" s="4" t="n">
        <f aca="false">MONTH(B1494)</f>
        <v>11</v>
      </c>
      <c r="P1494" s="4" t="str">
        <f aca="false">CHOOSE(WEEKDAY(B1494,2),"Mon","Tue","Wed","Thu","Fri","Sat","Sun")</f>
        <v>Sat</v>
      </c>
      <c r="Q1494" s="4" t="str">
        <f aca="false">IF(WEEKDAY(B1494,2)&gt;5,"Weekend","Weekday")</f>
        <v>Weekend</v>
      </c>
      <c r="R1494" s="4" t="str">
        <f aca="false">IF(C1494&lt;11,"Morning (7-10)",IF(C1494&lt;14,"Lunch (11-13)",IF(C1494&lt;18,"Afternoon (14-17)","Evening (18-20)")))</f>
        <v>Morning (7-10)</v>
      </c>
      <c r="S1494" s="4" t="str">
        <f aca="false">IF(AND(O1494&gt;=3,O1494&lt;=5),"Hot Dry (Mar-May)",IF(AND(O1494&gt;=6,O1494&lt;=11),"Rainy (Jun-Nov)","Cool Dry (Dec-Feb)"))</f>
        <v>Rainy (Jun-Nov)</v>
      </c>
      <c r="T1494" s="4" t="str">
        <f aca="false">CHOOSE(O1494,"Jan","Feb","Mar","Apr","May","Jun","Jul","Aug","Sep","Oct","Nov","Dec")</f>
        <v>Nov</v>
      </c>
    </row>
    <row r="1495" customFormat="false" ht="15" hidden="false" customHeight="false" outlineLevel="0" collapsed="false">
      <c r="A1495" s="4" t="s">
        <v>1871</v>
      </c>
      <c r="B1495" s="17" t="n">
        <v>45962</v>
      </c>
      <c r="C1495" s="4" t="n">
        <v>15</v>
      </c>
      <c r="D1495" s="4" t="s">
        <v>70</v>
      </c>
      <c r="E1495" s="4" t="s">
        <v>84</v>
      </c>
      <c r="F1495" s="4" t="s">
        <v>114</v>
      </c>
      <c r="G1495" s="4" t="n">
        <v>2</v>
      </c>
      <c r="H1495" s="34" t="n">
        <v>85</v>
      </c>
      <c r="I1495" s="18" t="n">
        <v>0.1</v>
      </c>
      <c r="J1495" s="4" t="s">
        <v>76</v>
      </c>
      <c r="K1495" s="4" t="s">
        <v>71</v>
      </c>
      <c r="L1495" s="35" t="n">
        <f aca="false">G1495*H1495</f>
        <v>170</v>
      </c>
      <c r="M1495" s="35" t="n">
        <f aca="false">L1495*I1495</f>
        <v>17</v>
      </c>
      <c r="N1495" s="35" t="n">
        <f aca="false">L1495-M1495</f>
        <v>153</v>
      </c>
      <c r="O1495" s="4" t="n">
        <f aca="false">MONTH(B1495)</f>
        <v>11</v>
      </c>
      <c r="P1495" s="4" t="str">
        <f aca="false">CHOOSE(WEEKDAY(B1495,2),"Mon","Tue","Wed","Thu","Fri","Sat","Sun")</f>
        <v>Sat</v>
      </c>
      <c r="Q1495" s="4" t="str">
        <f aca="false">IF(WEEKDAY(B1495,2)&gt;5,"Weekend","Weekday")</f>
        <v>Weekend</v>
      </c>
      <c r="R1495" s="4" t="str">
        <f aca="false">IF(C1495&lt;11,"Morning (7-10)",IF(C1495&lt;14,"Lunch (11-13)",IF(C1495&lt;18,"Afternoon (14-17)","Evening (18-20)")))</f>
        <v>Afternoon (14-17)</v>
      </c>
      <c r="S1495" s="4" t="str">
        <f aca="false">IF(AND(O1495&gt;=3,O1495&lt;=5),"Hot Dry (Mar-May)",IF(AND(O1495&gt;=6,O1495&lt;=11),"Rainy (Jun-Nov)","Cool Dry (Dec-Feb)"))</f>
        <v>Rainy (Jun-Nov)</v>
      </c>
      <c r="T1495" s="4" t="str">
        <f aca="false">CHOOSE(O1495,"Jan","Feb","Mar","Apr","May","Jun","Jul","Aug","Sep","Oct","Nov","Dec")</f>
        <v>Nov</v>
      </c>
    </row>
    <row r="1496" customFormat="false" ht="15" hidden="false" customHeight="false" outlineLevel="0" collapsed="false">
      <c r="A1496" s="4" t="s">
        <v>1872</v>
      </c>
      <c r="B1496" s="17" t="n">
        <v>45962</v>
      </c>
      <c r="C1496" s="4" t="n">
        <v>18</v>
      </c>
      <c r="D1496" s="4" t="s">
        <v>98</v>
      </c>
      <c r="E1496" s="4" t="s">
        <v>99</v>
      </c>
      <c r="F1496" s="4" t="s">
        <v>133</v>
      </c>
      <c r="G1496" s="4" t="n">
        <v>1</v>
      </c>
      <c r="H1496" s="34" t="n">
        <v>90</v>
      </c>
      <c r="I1496" s="18" t="n">
        <v>0.1</v>
      </c>
      <c r="J1496" s="4" t="s">
        <v>81</v>
      </c>
      <c r="K1496" s="4" t="s">
        <v>71</v>
      </c>
      <c r="L1496" s="35" t="n">
        <f aca="false">G1496*H1496</f>
        <v>90</v>
      </c>
      <c r="M1496" s="35" t="n">
        <f aca="false">L1496*I1496</f>
        <v>9</v>
      </c>
      <c r="N1496" s="35" t="n">
        <f aca="false">L1496-M1496</f>
        <v>81</v>
      </c>
      <c r="O1496" s="4" t="n">
        <f aca="false">MONTH(B1496)</f>
        <v>11</v>
      </c>
      <c r="P1496" s="4" t="str">
        <f aca="false">CHOOSE(WEEKDAY(B1496,2),"Mon","Tue","Wed","Thu","Fri","Sat","Sun")</f>
        <v>Sat</v>
      </c>
      <c r="Q1496" s="4" t="str">
        <f aca="false">IF(WEEKDAY(B1496,2)&gt;5,"Weekend","Weekday")</f>
        <v>Weekend</v>
      </c>
      <c r="R1496" s="4" t="str">
        <f aca="false">IF(C1496&lt;11,"Morning (7-10)",IF(C1496&lt;14,"Lunch (11-13)",IF(C1496&lt;18,"Afternoon (14-17)","Evening (18-20)")))</f>
        <v>Evening (18-20)</v>
      </c>
      <c r="S1496" s="4" t="str">
        <f aca="false">IF(AND(O1496&gt;=3,O1496&lt;=5),"Hot Dry (Mar-May)",IF(AND(O1496&gt;=6,O1496&lt;=11),"Rainy (Jun-Nov)","Cool Dry (Dec-Feb)"))</f>
        <v>Rainy (Jun-Nov)</v>
      </c>
      <c r="T1496" s="4" t="str">
        <f aca="false">CHOOSE(O1496,"Jan","Feb","Mar","Apr","May","Jun","Jul","Aug","Sep","Oct","Nov","Dec")</f>
        <v>Nov</v>
      </c>
    </row>
    <row r="1497" customFormat="false" ht="15" hidden="false" customHeight="false" outlineLevel="0" collapsed="false">
      <c r="A1497" s="4" t="s">
        <v>1875</v>
      </c>
      <c r="B1497" s="17" t="n">
        <v>45963</v>
      </c>
      <c r="C1497" s="4" t="n">
        <v>7</v>
      </c>
      <c r="D1497" s="4" t="s">
        <v>70</v>
      </c>
      <c r="E1497" s="4" t="s">
        <v>65</v>
      </c>
      <c r="F1497" s="4" t="s">
        <v>121</v>
      </c>
      <c r="G1497" s="4" t="n">
        <v>1</v>
      </c>
      <c r="H1497" s="34" t="n">
        <v>170</v>
      </c>
      <c r="I1497" s="18" t="n">
        <v>0.05</v>
      </c>
      <c r="J1497" s="4" t="s">
        <v>88</v>
      </c>
      <c r="K1497" s="4" t="s">
        <v>82</v>
      </c>
      <c r="L1497" s="35" t="n">
        <f aca="false">G1497*H1497</f>
        <v>170</v>
      </c>
      <c r="M1497" s="35" t="n">
        <f aca="false">L1497*I1497</f>
        <v>8.5</v>
      </c>
      <c r="N1497" s="35" t="n">
        <f aca="false">L1497-M1497</f>
        <v>161.5</v>
      </c>
      <c r="O1497" s="4" t="n">
        <f aca="false">MONTH(B1497)</f>
        <v>11</v>
      </c>
      <c r="P1497" s="4" t="str">
        <f aca="false">CHOOSE(WEEKDAY(B1497,2),"Mon","Tue","Wed","Thu","Fri","Sat","Sun")</f>
        <v>Sun</v>
      </c>
      <c r="Q1497" s="4" t="str">
        <f aca="false">IF(WEEKDAY(B1497,2)&gt;5,"Weekend","Weekday")</f>
        <v>Weekend</v>
      </c>
      <c r="R1497" s="4" t="str">
        <f aca="false">IF(C1497&lt;11,"Morning (7-10)",IF(C1497&lt;14,"Lunch (11-13)",IF(C1497&lt;18,"Afternoon (14-17)","Evening (18-20)")))</f>
        <v>Morning (7-10)</v>
      </c>
      <c r="S1497" s="4" t="str">
        <f aca="false">IF(AND(O1497&gt;=3,O1497&lt;=5),"Hot Dry (Mar-May)",IF(AND(O1497&gt;=6,O1497&lt;=11),"Rainy (Jun-Nov)","Cool Dry (Dec-Feb)"))</f>
        <v>Rainy (Jun-Nov)</v>
      </c>
      <c r="T1497" s="4" t="str">
        <f aca="false">CHOOSE(O1497,"Jan","Feb","Mar","Apr","May","Jun","Jul","Aug","Sep","Oct","Nov","Dec")</f>
        <v>Nov</v>
      </c>
    </row>
    <row r="1498" customFormat="false" ht="15" hidden="false" customHeight="false" outlineLevel="0" collapsed="false">
      <c r="A1498" s="4" t="s">
        <v>1876</v>
      </c>
      <c r="B1498" s="17" t="n">
        <v>45963</v>
      </c>
      <c r="C1498" s="4" t="n">
        <v>8</v>
      </c>
      <c r="D1498" s="4" t="s">
        <v>98</v>
      </c>
      <c r="E1498" s="4" t="s">
        <v>65</v>
      </c>
      <c r="F1498" s="4" t="s">
        <v>87</v>
      </c>
      <c r="G1498" s="4" t="n">
        <v>4</v>
      </c>
      <c r="H1498" s="34" t="n">
        <v>160</v>
      </c>
      <c r="I1498" s="18" t="n">
        <v>0.1</v>
      </c>
      <c r="J1498" s="4" t="s">
        <v>76</v>
      </c>
      <c r="K1498" s="4" t="s">
        <v>71</v>
      </c>
      <c r="L1498" s="35" t="n">
        <f aca="false">G1498*H1498</f>
        <v>640</v>
      </c>
      <c r="M1498" s="35" t="n">
        <f aca="false">L1498*I1498</f>
        <v>64</v>
      </c>
      <c r="N1498" s="35" t="n">
        <f aca="false">L1498-M1498</f>
        <v>576</v>
      </c>
      <c r="O1498" s="4" t="n">
        <f aca="false">MONTH(B1498)</f>
        <v>11</v>
      </c>
      <c r="P1498" s="4" t="str">
        <f aca="false">CHOOSE(WEEKDAY(B1498,2),"Mon","Tue","Wed","Thu","Fri","Sat","Sun")</f>
        <v>Sun</v>
      </c>
      <c r="Q1498" s="4" t="str">
        <f aca="false">IF(WEEKDAY(B1498,2)&gt;5,"Weekend","Weekday")</f>
        <v>Weekend</v>
      </c>
      <c r="R1498" s="4" t="str">
        <f aca="false">IF(C1498&lt;11,"Morning (7-10)",IF(C1498&lt;14,"Lunch (11-13)",IF(C1498&lt;18,"Afternoon (14-17)","Evening (18-20)")))</f>
        <v>Morning (7-10)</v>
      </c>
      <c r="S1498" s="4" t="str">
        <f aca="false">IF(AND(O1498&gt;=3,O1498&lt;=5),"Hot Dry (Mar-May)",IF(AND(O1498&gt;=6,O1498&lt;=11),"Rainy (Jun-Nov)","Cool Dry (Dec-Feb)"))</f>
        <v>Rainy (Jun-Nov)</v>
      </c>
      <c r="T1498" s="4" t="str">
        <f aca="false">CHOOSE(O1498,"Jan","Feb","Mar","Apr","May","Jun","Jul","Aug","Sep","Oct","Nov","Dec")</f>
        <v>Nov</v>
      </c>
    </row>
    <row r="1499" customFormat="false" ht="15" hidden="false" customHeight="false" outlineLevel="0" collapsed="false">
      <c r="A1499" s="4" t="s">
        <v>1878</v>
      </c>
      <c r="B1499" s="17" t="n">
        <v>45963</v>
      </c>
      <c r="C1499" s="4" t="n">
        <v>12</v>
      </c>
      <c r="D1499" s="4" t="s">
        <v>73</v>
      </c>
      <c r="E1499" s="4" t="s">
        <v>74</v>
      </c>
      <c r="F1499" s="4" t="s">
        <v>75</v>
      </c>
      <c r="G1499" s="4" t="n">
        <v>3</v>
      </c>
      <c r="H1499" s="34" t="n">
        <v>220</v>
      </c>
      <c r="I1499" s="18" t="n">
        <v>0</v>
      </c>
      <c r="J1499" s="4" t="s">
        <v>67</v>
      </c>
      <c r="K1499" s="4" t="s">
        <v>68</v>
      </c>
      <c r="L1499" s="35" t="n">
        <f aca="false">G1499*H1499</f>
        <v>660</v>
      </c>
      <c r="M1499" s="35" t="n">
        <f aca="false">L1499*I1499</f>
        <v>0</v>
      </c>
      <c r="N1499" s="35" t="n">
        <f aca="false">L1499-M1499</f>
        <v>660</v>
      </c>
      <c r="O1499" s="4" t="n">
        <f aca="false">MONTH(B1499)</f>
        <v>11</v>
      </c>
      <c r="P1499" s="4" t="str">
        <f aca="false">CHOOSE(WEEKDAY(B1499,2),"Mon","Tue","Wed","Thu","Fri","Sat","Sun")</f>
        <v>Sun</v>
      </c>
      <c r="Q1499" s="4" t="str">
        <f aca="false">IF(WEEKDAY(B1499,2)&gt;5,"Weekend","Weekday")</f>
        <v>Weekend</v>
      </c>
      <c r="R1499" s="4" t="str">
        <f aca="false">IF(C1499&lt;11,"Morning (7-10)",IF(C1499&lt;14,"Lunch (11-13)",IF(C1499&lt;18,"Afternoon (14-17)","Evening (18-20)")))</f>
        <v>Lunch (11-13)</v>
      </c>
      <c r="S1499" s="4" t="str">
        <f aca="false">IF(AND(O1499&gt;=3,O1499&lt;=5),"Hot Dry (Mar-May)",IF(AND(O1499&gt;=6,O1499&lt;=11),"Rainy (Jun-Nov)","Cool Dry (Dec-Feb)"))</f>
        <v>Rainy (Jun-Nov)</v>
      </c>
      <c r="T1499" s="4" t="str">
        <f aca="false">CHOOSE(O1499,"Jan","Feb","Mar","Apr","May","Jun","Jul","Aug","Sep","Oct","Nov","Dec")</f>
        <v>Nov</v>
      </c>
    </row>
    <row r="1500" customFormat="false" ht="15" hidden="false" customHeight="false" outlineLevel="0" collapsed="false">
      <c r="A1500" s="4" t="s">
        <v>1879</v>
      </c>
      <c r="B1500" s="17" t="n">
        <v>45963</v>
      </c>
      <c r="C1500" s="4" t="n">
        <v>12</v>
      </c>
      <c r="D1500" s="4" t="s">
        <v>73</v>
      </c>
      <c r="E1500" s="4" t="s">
        <v>79</v>
      </c>
      <c r="F1500" s="4" t="s">
        <v>80</v>
      </c>
      <c r="G1500" s="4" t="n">
        <v>2</v>
      </c>
      <c r="H1500" s="34" t="n">
        <v>160</v>
      </c>
      <c r="I1500" s="18" t="n">
        <v>0.05</v>
      </c>
      <c r="J1500" s="4" t="s">
        <v>81</v>
      </c>
      <c r="K1500" s="4" t="s">
        <v>82</v>
      </c>
      <c r="L1500" s="35" t="n">
        <f aca="false">G1500*H1500</f>
        <v>320</v>
      </c>
      <c r="M1500" s="35" t="n">
        <f aca="false">L1500*I1500</f>
        <v>16</v>
      </c>
      <c r="N1500" s="35" t="n">
        <f aca="false">L1500-M1500</f>
        <v>304</v>
      </c>
      <c r="O1500" s="4" t="n">
        <f aca="false">MONTH(B1500)</f>
        <v>11</v>
      </c>
      <c r="P1500" s="4" t="str">
        <f aca="false">CHOOSE(WEEKDAY(B1500,2),"Mon","Tue","Wed","Thu","Fri","Sat","Sun")</f>
        <v>Sun</v>
      </c>
      <c r="Q1500" s="4" t="str">
        <f aca="false">IF(WEEKDAY(B1500,2)&gt;5,"Weekend","Weekday")</f>
        <v>Weekend</v>
      </c>
      <c r="R1500" s="4" t="str">
        <f aca="false">IF(C1500&lt;11,"Morning (7-10)",IF(C1500&lt;14,"Lunch (11-13)",IF(C1500&lt;18,"Afternoon (14-17)","Evening (18-20)")))</f>
        <v>Lunch (11-13)</v>
      </c>
      <c r="S1500" s="4" t="str">
        <f aca="false">IF(AND(O1500&gt;=3,O1500&lt;=5),"Hot Dry (Mar-May)",IF(AND(O1500&gt;=6,O1500&lt;=11),"Rainy (Jun-Nov)","Cool Dry (Dec-Feb)"))</f>
        <v>Rainy (Jun-Nov)</v>
      </c>
      <c r="T1500" s="4" t="str">
        <f aca="false">CHOOSE(O1500,"Jan","Feb","Mar","Apr","May","Jun","Jul","Aug","Sep","Oct","Nov","Dec")</f>
        <v>Nov</v>
      </c>
    </row>
    <row r="1501" customFormat="false" ht="15" hidden="false" customHeight="false" outlineLevel="0" collapsed="false">
      <c r="A1501" s="4" t="s">
        <v>1880</v>
      </c>
      <c r="B1501" s="17" t="n">
        <v>45963</v>
      </c>
      <c r="C1501" s="4" t="n">
        <v>15</v>
      </c>
      <c r="D1501" s="4" t="s">
        <v>70</v>
      </c>
      <c r="E1501" s="4" t="s">
        <v>65</v>
      </c>
      <c r="F1501" s="4" t="s">
        <v>94</v>
      </c>
      <c r="G1501" s="4" t="n">
        <v>1</v>
      </c>
      <c r="H1501" s="34" t="n">
        <v>150</v>
      </c>
      <c r="I1501" s="18" t="n">
        <v>0.05</v>
      </c>
      <c r="J1501" s="4" t="s">
        <v>112</v>
      </c>
      <c r="K1501" s="4" t="s">
        <v>82</v>
      </c>
      <c r="L1501" s="35" t="n">
        <f aca="false">G1501*H1501</f>
        <v>150</v>
      </c>
      <c r="M1501" s="35" t="n">
        <f aca="false">L1501*I1501</f>
        <v>7.5</v>
      </c>
      <c r="N1501" s="35" t="n">
        <f aca="false">L1501-M1501</f>
        <v>142.5</v>
      </c>
      <c r="O1501" s="4" t="n">
        <f aca="false">MONTH(B1501)</f>
        <v>11</v>
      </c>
      <c r="P1501" s="4" t="str">
        <f aca="false">CHOOSE(WEEKDAY(B1501,2),"Mon","Tue","Wed","Thu","Fri","Sat","Sun")</f>
        <v>Sun</v>
      </c>
      <c r="Q1501" s="4" t="str">
        <f aca="false">IF(WEEKDAY(B1501,2)&gt;5,"Weekend","Weekday")</f>
        <v>Weekend</v>
      </c>
      <c r="R1501" s="4" t="str">
        <f aca="false">IF(C1501&lt;11,"Morning (7-10)",IF(C1501&lt;14,"Lunch (11-13)",IF(C1501&lt;18,"Afternoon (14-17)","Evening (18-20)")))</f>
        <v>Afternoon (14-17)</v>
      </c>
      <c r="S1501" s="4" t="str">
        <f aca="false">IF(AND(O1501&gt;=3,O1501&lt;=5),"Hot Dry (Mar-May)",IF(AND(O1501&gt;=6,O1501&lt;=11),"Rainy (Jun-Nov)","Cool Dry (Dec-Feb)"))</f>
        <v>Rainy (Jun-Nov)</v>
      </c>
      <c r="T1501" s="4" t="str">
        <f aca="false">CHOOSE(O1501,"Jan","Feb","Mar","Apr","May","Jun","Jul","Aug","Sep","Oct","Nov","Dec")</f>
        <v>Nov</v>
      </c>
    </row>
    <row r="1502" customFormat="false" ht="15" hidden="false" customHeight="false" outlineLevel="0" collapsed="false">
      <c r="A1502" s="4" t="s">
        <v>1881</v>
      </c>
      <c r="B1502" s="17" t="n">
        <v>45963</v>
      </c>
      <c r="C1502" s="4" t="n">
        <v>17</v>
      </c>
      <c r="D1502" s="4" t="s">
        <v>64</v>
      </c>
      <c r="E1502" s="4" t="s">
        <v>79</v>
      </c>
      <c r="F1502" s="4" t="s">
        <v>80</v>
      </c>
      <c r="G1502" s="4" t="n">
        <v>1</v>
      </c>
      <c r="H1502" s="34" t="n">
        <v>160</v>
      </c>
      <c r="I1502" s="18" t="n">
        <v>0.05</v>
      </c>
      <c r="J1502" s="4" t="s">
        <v>81</v>
      </c>
      <c r="K1502" s="4" t="s">
        <v>82</v>
      </c>
      <c r="L1502" s="35" t="n">
        <f aca="false">G1502*H1502</f>
        <v>160</v>
      </c>
      <c r="M1502" s="35" t="n">
        <f aca="false">L1502*I1502</f>
        <v>8</v>
      </c>
      <c r="N1502" s="35" t="n">
        <f aca="false">L1502-M1502</f>
        <v>152</v>
      </c>
      <c r="O1502" s="4" t="n">
        <f aca="false">MONTH(B1502)</f>
        <v>11</v>
      </c>
      <c r="P1502" s="4" t="str">
        <f aca="false">CHOOSE(WEEKDAY(B1502,2),"Mon","Tue","Wed","Thu","Fri","Sat","Sun")</f>
        <v>Sun</v>
      </c>
      <c r="Q1502" s="4" t="str">
        <f aca="false">IF(WEEKDAY(B1502,2)&gt;5,"Weekend","Weekday")</f>
        <v>Weekend</v>
      </c>
      <c r="R1502" s="4" t="str">
        <f aca="false">IF(C1502&lt;11,"Morning (7-10)",IF(C1502&lt;14,"Lunch (11-13)",IF(C1502&lt;18,"Afternoon (14-17)","Evening (18-20)")))</f>
        <v>Afternoon (14-17)</v>
      </c>
      <c r="S1502" s="4" t="str">
        <f aca="false">IF(AND(O1502&gt;=3,O1502&lt;=5),"Hot Dry (Mar-May)",IF(AND(O1502&gt;=6,O1502&lt;=11),"Rainy (Jun-Nov)","Cool Dry (Dec-Feb)"))</f>
        <v>Rainy (Jun-Nov)</v>
      </c>
      <c r="T1502" s="4" t="str">
        <f aca="false">CHOOSE(O1502,"Jan","Feb","Mar","Apr","May","Jun","Jul","Aug","Sep","Oct","Nov","Dec")</f>
        <v>Nov</v>
      </c>
    </row>
    <row r="1503" customFormat="false" ht="15" hidden="false" customHeight="false" outlineLevel="0" collapsed="false">
      <c r="A1503" s="4" t="s">
        <v>1883</v>
      </c>
      <c r="B1503" s="17" t="n">
        <v>45963</v>
      </c>
      <c r="C1503" s="4" t="n">
        <v>17</v>
      </c>
      <c r="D1503" s="4" t="s">
        <v>98</v>
      </c>
      <c r="E1503" s="4" t="s">
        <v>74</v>
      </c>
      <c r="F1503" s="4" t="s">
        <v>91</v>
      </c>
      <c r="G1503" s="4" t="n">
        <v>1</v>
      </c>
      <c r="H1503" s="34" t="n">
        <v>200</v>
      </c>
      <c r="I1503" s="18" t="n">
        <v>0</v>
      </c>
      <c r="J1503" s="4" t="s">
        <v>67</v>
      </c>
      <c r="K1503" s="4" t="s">
        <v>77</v>
      </c>
      <c r="L1503" s="35" t="n">
        <f aca="false">G1503*H1503</f>
        <v>200</v>
      </c>
      <c r="M1503" s="35" t="n">
        <f aca="false">L1503*I1503</f>
        <v>0</v>
      </c>
      <c r="N1503" s="35" t="n">
        <f aca="false">L1503-M1503</f>
        <v>200</v>
      </c>
      <c r="O1503" s="4" t="n">
        <f aca="false">MONTH(B1503)</f>
        <v>11</v>
      </c>
      <c r="P1503" s="4" t="str">
        <f aca="false">CHOOSE(WEEKDAY(B1503,2),"Mon","Tue","Wed","Thu","Fri","Sat","Sun")</f>
        <v>Sun</v>
      </c>
      <c r="Q1503" s="4" t="str">
        <f aca="false">IF(WEEKDAY(B1503,2)&gt;5,"Weekend","Weekday")</f>
        <v>Weekend</v>
      </c>
      <c r="R1503" s="4" t="str">
        <f aca="false">IF(C1503&lt;11,"Morning (7-10)",IF(C1503&lt;14,"Lunch (11-13)",IF(C1503&lt;18,"Afternoon (14-17)","Evening (18-20)")))</f>
        <v>Afternoon (14-17)</v>
      </c>
      <c r="S1503" s="4" t="str">
        <f aca="false">IF(AND(O1503&gt;=3,O1503&lt;=5),"Hot Dry (Mar-May)",IF(AND(O1503&gt;=6,O1503&lt;=11),"Rainy (Jun-Nov)","Cool Dry (Dec-Feb)"))</f>
        <v>Rainy (Jun-Nov)</v>
      </c>
      <c r="T1503" s="4" t="str">
        <f aca="false">CHOOSE(O1503,"Jan","Feb","Mar","Apr","May","Jun","Jul","Aug","Sep","Oct","Nov","Dec")</f>
        <v>Nov</v>
      </c>
    </row>
    <row r="1504" customFormat="false" ht="15" hidden="false" customHeight="false" outlineLevel="0" collapsed="false">
      <c r="A1504" s="4" t="s">
        <v>1884</v>
      </c>
      <c r="B1504" s="17" t="n">
        <v>45963</v>
      </c>
      <c r="C1504" s="4" t="n">
        <v>19</v>
      </c>
      <c r="D1504" s="4" t="s">
        <v>70</v>
      </c>
      <c r="E1504" s="4" t="s">
        <v>65</v>
      </c>
      <c r="F1504" s="4" t="s">
        <v>121</v>
      </c>
      <c r="G1504" s="4" t="n">
        <v>1</v>
      </c>
      <c r="H1504" s="34" t="n">
        <v>170</v>
      </c>
      <c r="I1504" s="18" t="n">
        <v>0.05</v>
      </c>
      <c r="J1504" s="4" t="s">
        <v>67</v>
      </c>
      <c r="K1504" s="4" t="s">
        <v>82</v>
      </c>
      <c r="L1504" s="35" t="n">
        <f aca="false">G1504*H1504</f>
        <v>170</v>
      </c>
      <c r="M1504" s="35" t="n">
        <f aca="false">L1504*I1504</f>
        <v>8.5</v>
      </c>
      <c r="N1504" s="35" t="n">
        <f aca="false">L1504-M1504</f>
        <v>161.5</v>
      </c>
      <c r="O1504" s="4" t="n">
        <f aca="false">MONTH(B1504)</f>
        <v>11</v>
      </c>
      <c r="P1504" s="4" t="str">
        <f aca="false">CHOOSE(WEEKDAY(B1504,2),"Mon","Tue","Wed","Thu","Fri","Sat","Sun")</f>
        <v>Sun</v>
      </c>
      <c r="Q1504" s="4" t="str">
        <f aca="false">IF(WEEKDAY(B1504,2)&gt;5,"Weekend","Weekday")</f>
        <v>Weekend</v>
      </c>
      <c r="R1504" s="4" t="str">
        <f aca="false">IF(C1504&lt;11,"Morning (7-10)",IF(C1504&lt;14,"Lunch (11-13)",IF(C1504&lt;18,"Afternoon (14-17)","Evening (18-20)")))</f>
        <v>Evening (18-20)</v>
      </c>
      <c r="S1504" s="4" t="str">
        <f aca="false">IF(AND(O1504&gt;=3,O1504&lt;=5),"Hot Dry (Mar-May)",IF(AND(O1504&gt;=6,O1504&lt;=11),"Rainy (Jun-Nov)","Cool Dry (Dec-Feb)"))</f>
        <v>Rainy (Jun-Nov)</v>
      </c>
      <c r="T1504" s="4" t="str">
        <f aca="false">CHOOSE(O1504,"Jan","Feb","Mar","Apr","May","Jun","Jul","Aug","Sep","Oct","Nov","Dec")</f>
        <v>Nov</v>
      </c>
    </row>
    <row r="1505" customFormat="false" ht="15" hidden="false" customHeight="false" outlineLevel="0" collapsed="false">
      <c r="A1505" s="4" t="s">
        <v>1885</v>
      </c>
      <c r="B1505" s="17" t="n">
        <v>45964</v>
      </c>
      <c r="C1505" s="4" t="n">
        <v>9</v>
      </c>
      <c r="D1505" s="4" t="s">
        <v>70</v>
      </c>
      <c r="E1505" s="4" t="s">
        <v>65</v>
      </c>
      <c r="F1505" s="4" t="s">
        <v>121</v>
      </c>
      <c r="G1505" s="4" t="n">
        <v>1</v>
      </c>
      <c r="H1505" s="34" t="n">
        <v>170</v>
      </c>
      <c r="I1505" s="18" t="n">
        <v>0</v>
      </c>
      <c r="J1505" s="4" t="s">
        <v>81</v>
      </c>
      <c r="K1505" s="4" t="s">
        <v>77</v>
      </c>
      <c r="L1505" s="35" t="n">
        <f aca="false">G1505*H1505</f>
        <v>170</v>
      </c>
      <c r="M1505" s="35" t="n">
        <f aca="false">L1505*I1505</f>
        <v>0</v>
      </c>
      <c r="N1505" s="35" t="n">
        <f aca="false">L1505-M1505</f>
        <v>170</v>
      </c>
      <c r="O1505" s="4" t="n">
        <f aca="false">MONTH(B1505)</f>
        <v>11</v>
      </c>
      <c r="P1505" s="4" t="str">
        <f aca="false">CHOOSE(WEEKDAY(B1505,2),"Mon","Tue","Wed","Thu","Fri","Sat","Sun")</f>
        <v>Mon</v>
      </c>
      <c r="Q1505" s="4" t="str">
        <f aca="false">IF(WEEKDAY(B1505,2)&gt;5,"Weekend","Weekday")</f>
        <v>Weekday</v>
      </c>
      <c r="R1505" s="4" t="str">
        <f aca="false">IF(C1505&lt;11,"Morning (7-10)",IF(C1505&lt;14,"Lunch (11-13)",IF(C1505&lt;18,"Afternoon (14-17)","Evening (18-20)")))</f>
        <v>Morning (7-10)</v>
      </c>
      <c r="S1505" s="4" t="str">
        <f aca="false">IF(AND(O1505&gt;=3,O1505&lt;=5),"Hot Dry (Mar-May)",IF(AND(O1505&gt;=6,O1505&lt;=11),"Rainy (Jun-Nov)","Cool Dry (Dec-Feb)"))</f>
        <v>Rainy (Jun-Nov)</v>
      </c>
      <c r="T1505" s="4" t="str">
        <f aca="false">CHOOSE(O1505,"Jan","Feb","Mar","Apr","May","Jun","Jul","Aug","Sep","Oct","Nov","Dec")</f>
        <v>Nov</v>
      </c>
    </row>
    <row r="1506" customFormat="false" ht="15" hidden="false" customHeight="false" outlineLevel="0" collapsed="false">
      <c r="A1506" s="4" t="s">
        <v>1887</v>
      </c>
      <c r="B1506" s="17" t="n">
        <v>45964</v>
      </c>
      <c r="C1506" s="4" t="n">
        <v>12</v>
      </c>
      <c r="D1506" s="4" t="s">
        <v>98</v>
      </c>
      <c r="E1506" s="4" t="s">
        <v>79</v>
      </c>
      <c r="F1506" s="4" t="s">
        <v>148</v>
      </c>
      <c r="G1506" s="4" t="n">
        <v>1</v>
      </c>
      <c r="H1506" s="34" t="n">
        <v>120</v>
      </c>
      <c r="I1506" s="18" t="n">
        <v>0.05</v>
      </c>
      <c r="J1506" s="4" t="s">
        <v>2289</v>
      </c>
      <c r="K1506" s="4" t="s">
        <v>82</v>
      </c>
      <c r="L1506" s="35" t="n">
        <f aca="false">G1506*H1506</f>
        <v>120</v>
      </c>
      <c r="M1506" s="35" t="n">
        <f aca="false">L1506*I1506</f>
        <v>6</v>
      </c>
      <c r="N1506" s="35" t="n">
        <f aca="false">L1506-M1506</f>
        <v>114</v>
      </c>
      <c r="O1506" s="4" t="n">
        <f aca="false">MONTH(B1506)</f>
        <v>11</v>
      </c>
      <c r="P1506" s="4" t="str">
        <f aca="false">CHOOSE(WEEKDAY(B1506,2),"Mon","Tue","Wed","Thu","Fri","Sat","Sun")</f>
        <v>Mon</v>
      </c>
      <c r="Q1506" s="4" t="str">
        <f aca="false">IF(WEEKDAY(B1506,2)&gt;5,"Weekend","Weekday")</f>
        <v>Weekday</v>
      </c>
      <c r="R1506" s="4" t="str">
        <f aca="false">IF(C1506&lt;11,"Morning (7-10)",IF(C1506&lt;14,"Lunch (11-13)",IF(C1506&lt;18,"Afternoon (14-17)","Evening (18-20)")))</f>
        <v>Lunch (11-13)</v>
      </c>
      <c r="S1506" s="4" t="str">
        <f aca="false">IF(AND(O1506&gt;=3,O1506&lt;=5),"Hot Dry (Mar-May)",IF(AND(O1506&gt;=6,O1506&lt;=11),"Rainy (Jun-Nov)","Cool Dry (Dec-Feb)"))</f>
        <v>Rainy (Jun-Nov)</v>
      </c>
      <c r="T1506" s="4" t="str">
        <f aca="false">CHOOSE(O1506,"Jan","Feb","Mar","Apr","May","Jun","Jul","Aug","Sep","Oct","Nov","Dec")</f>
        <v>Nov</v>
      </c>
    </row>
    <row r="1507" customFormat="false" ht="15" hidden="false" customHeight="false" outlineLevel="0" collapsed="false">
      <c r="A1507" s="4" t="s">
        <v>1888</v>
      </c>
      <c r="B1507" s="17" t="n">
        <v>45965</v>
      </c>
      <c r="C1507" s="4" t="n">
        <v>8</v>
      </c>
      <c r="D1507" s="4" t="s">
        <v>73</v>
      </c>
      <c r="E1507" s="4" t="s">
        <v>74</v>
      </c>
      <c r="F1507" s="4" t="s">
        <v>75</v>
      </c>
      <c r="G1507" s="4" t="n">
        <v>4</v>
      </c>
      <c r="H1507" s="34" t="n">
        <v>220</v>
      </c>
      <c r="I1507" s="18" t="n">
        <v>0.1</v>
      </c>
      <c r="J1507" s="4" t="s">
        <v>67</v>
      </c>
      <c r="K1507" s="4" t="s">
        <v>68</v>
      </c>
      <c r="L1507" s="35" t="n">
        <f aca="false">G1507*H1507</f>
        <v>880</v>
      </c>
      <c r="M1507" s="35" t="n">
        <f aca="false">L1507*I1507</f>
        <v>88</v>
      </c>
      <c r="N1507" s="35" t="n">
        <f aca="false">L1507-M1507</f>
        <v>792</v>
      </c>
      <c r="O1507" s="4" t="n">
        <f aca="false">MONTH(B1507)</f>
        <v>11</v>
      </c>
      <c r="P1507" s="4" t="str">
        <f aca="false">CHOOSE(WEEKDAY(B1507,2),"Mon","Tue","Wed","Thu","Fri","Sat","Sun")</f>
        <v>Tue</v>
      </c>
      <c r="Q1507" s="4" t="str">
        <f aca="false">IF(WEEKDAY(B1507,2)&gt;5,"Weekend","Weekday")</f>
        <v>Weekday</v>
      </c>
      <c r="R1507" s="4" t="str">
        <f aca="false">IF(C1507&lt;11,"Morning (7-10)",IF(C1507&lt;14,"Lunch (11-13)",IF(C1507&lt;18,"Afternoon (14-17)","Evening (18-20)")))</f>
        <v>Morning (7-10)</v>
      </c>
      <c r="S1507" s="4" t="str">
        <f aca="false">IF(AND(O1507&gt;=3,O1507&lt;=5),"Hot Dry (Mar-May)",IF(AND(O1507&gt;=6,O1507&lt;=11),"Rainy (Jun-Nov)","Cool Dry (Dec-Feb)"))</f>
        <v>Rainy (Jun-Nov)</v>
      </c>
      <c r="T1507" s="4" t="str">
        <f aca="false">CHOOSE(O1507,"Jan","Feb","Mar","Apr","May","Jun","Jul","Aug","Sep","Oct","Nov","Dec")</f>
        <v>Nov</v>
      </c>
    </row>
    <row r="1508" customFormat="false" ht="15" hidden="false" customHeight="false" outlineLevel="0" collapsed="false">
      <c r="A1508" s="4" t="s">
        <v>1889</v>
      </c>
      <c r="B1508" s="17" t="n">
        <v>45965</v>
      </c>
      <c r="C1508" s="4" t="n">
        <v>9</v>
      </c>
      <c r="D1508" s="4" t="s">
        <v>64</v>
      </c>
      <c r="E1508" s="4" t="s">
        <v>65</v>
      </c>
      <c r="F1508" s="4" t="s">
        <v>66</v>
      </c>
      <c r="G1508" s="4" t="n">
        <v>2</v>
      </c>
      <c r="H1508" s="34" t="n">
        <v>120</v>
      </c>
      <c r="I1508" s="18" t="n">
        <v>0.2</v>
      </c>
      <c r="J1508" s="4" t="s">
        <v>81</v>
      </c>
      <c r="K1508" s="4" t="s">
        <v>68</v>
      </c>
      <c r="L1508" s="35" t="n">
        <f aca="false">G1508*H1508</f>
        <v>240</v>
      </c>
      <c r="M1508" s="35" t="n">
        <f aca="false">L1508*I1508</f>
        <v>48</v>
      </c>
      <c r="N1508" s="35" t="n">
        <f aca="false">L1508-M1508</f>
        <v>192</v>
      </c>
      <c r="O1508" s="4" t="n">
        <f aca="false">MONTH(B1508)</f>
        <v>11</v>
      </c>
      <c r="P1508" s="4" t="str">
        <f aca="false">CHOOSE(WEEKDAY(B1508,2),"Mon","Tue","Wed","Thu","Fri","Sat","Sun")</f>
        <v>Tue</v>
      </c>
      <c r="Q1508" s="4" t="str">
        <f aca="false">IF(WEEKDAY(B1508,2)&gt;5,"Weekend","Weekday")</f>
        <v>Weekday</v>
      </c>
      <c r="R1508" s="4" t="str">
        <f aca="false">IF(C1508&lt;11,"Morning (7-10)",IF(C1508&lt;14,"Lunch (11-13)",IF(C1508&lt;18,"Afternoon (14-17)","Evening (18-20)")))</f>
        <v>Morning (7-10)</v>
      </c>
      <c r="S1508" s="4" t="str">
        <f aca="false">IF(AND(O1508&gt;=3,O1508&lt;=5),"Hot Dry (Mar-May)",IF(AND(O1508&gt;=6,O1508&lt;=11),"Rainy (Jun-Nov)","Cool Dry (Dec-Feb)"))</f>
        <v>Rainy (Jun-Nov)</v>
      </c>
      <c r="T1508" s="4" t="str">
        <f aca="false">CHOOSE(O1508,"Jan","Feb","Mar","Apr","May","Jun","Jul","Aug","Sep","Oct","Nov","Dec")</f>
        <v>Nov</v>
      </c>
    </row>
    <row r="1509" customFormat="false" ht="15" hidden="false" customHeight="false" outlineLevel="0" collapsed="false">
      <c r="A1509" s="4" t="s">
        <v>1890</v>
      </c>
      <c r="B1509" s="17" t="n">
        <v>45965</v>
      </c>
      <c r="C1509" s="4" t="n">
        <v>10</v>
      </c>
      <c r="D1509" s="4" t="s">
        <v>70</v>
      </c>
      <c r="E1509" s="4" t="s">
        <v>65</v>
      </c>
      <c r="F1509" s="4" t="s">
        <v>121</v>
      </c>
      <c r="G1509" s="4" t="n">
        <v>4</v>
      </c>
      <c r="H1509" s="34" t="n">
        <v>170</v>
      </c>
      <c r="I1509" s="18" t="n">
        <v>0.2</v>
      </c>
      <c r="J1509" s="4" t="s">
        <v>76</v>
      </c>
      <c r="K1509" s="4" t="s">
        <v>68</v>
      </c>
      <c r="L1509" s="35" t="n">
        <f aca="false">G1509*H1509</f>
        <v>680</v>
      </c>
      <c r="M1509" s="35" t="n">
        <f aca="false">L1509*I1509</f>
        <v>136</v>
      </c>
      <c r="N1509" s="35" t="n">
        <f aca="false">L1509-M1509</f>
        <v>544</v>
      </c>
      <c r="O1509" s="4" t="n">
        <f aca="false">MONTH(B1509)</f>
        <v>11</v>
      </c>
      <c r="P1509" s="4" t="str">
        <f aca="false">CHOOSE(WEEKDAY(B1509,2),"Mon","Tue","Wed","Thu","Fri","Sat","Sun")</f>
        <v>Tue</v>
      </c>
      <c r="Q1509" s="4" t="str">
        <f aca="false">IF(WEEKDAY(B1509,2)&gt;5,"Weekend","Weekday")</f>
        <v>Weekday</v>
      </c>
      <c r="R1509" s="4" t="str">
        <f aca="false">IF(C1509&lt;11,"Morning (7-10)",IF(C1509&lt;14,"Lunch (11-13)",IF(C1509&lt;18,"Afternoon (14-17)","Evening (18-20)")))</f>
        <v>Morning (7-10)</v>
      </c>
      <c r="S1509" s="4" t="str">
        <f aca="false">IF(AND(O1509&gt;=3,O1509&lt;=5),"Hot Dry (Mar-May)",IF(AND(O1509&gt;=6,O1509&lt;=11),"Rainy (Jun-Nov)","Cool Dry (Dec-Feb)"))</f>
        <v>Rainy (Jun-Nov)</v>
      </c>
      <c r="T1509" s="4" t="str">
        <f aca="false">CHOOSE(O1509,"Jan","Feb","Mar","Apr","May","Jun","Jul","Aug","Sep","Oct","Nov","Dec")</f>
        <v>Nov</v>
      </c>
    </row>
    <row r="1510" customFormat="false" ht="15" hidden="false" customHeight="false" outlineLevel="0" collapsed="false">
      <c r="A1510" s="4" t="s">
        <v>1891</v>
      </c>
      <c r="B1510" s="17" t="n">
        <v>45965</v>
      </c>
      <c r="C1510" s="4" t="n">
        <v>13</v>
      </c>
      <c r="D1510" s="4" t="s">
        <v>70</v>
      </c>
      <c r="E1510" s="4" t="s">
        <v>84</v>
      </c>
      <c r="F1510" s="4" t="s">
        <v>106</v>
      </c>
      <c r="G1510" s="4" t="n">
        <v>2</v>
      </c>
      <c r="H1510" s="34" t="n">
        <v>60</v>
      </c>
      <c r="I1510" s="18" t="n">
        <v>0</v>
      </c>
      <c r="J1510" s="4" t="s">
        <v>112</v>
      </c>
      <c r="K1510" s="4" t="s">
        <v>77</v>
      </c>
      <c r="L1510" s="35" t="n">
        <f aca="false">G1510*H1510</f>
        <v>120</v>
      </c>
      <c r="M1510" s="35" t="n">
        <f aca="false">L1510*I1510</f>
        <v>0</v>
      </c>
      <c r="N1510" s="35" t="n">
        <f aca="false">L1510-M1510</f>
        <v>120</v>
      </c>
      <c r="O1510" s="4" t="n">
        <f aca="false">MONTH(B1510)</f>
        <v>11</v>
      </c>
      <c r="P1510" s="4" t="str">
        <f aca="false">CHOOSE(WEEKDAY(B1510,2),"Mon","Tue","Wed","Thu","Fri","Sat","Sun")</f>
        <v>Tue</v>
      </c>
      <c r="Q1510" s="4" t="str">
        <f aca="false">IF(WEEKDAY(B1510,2)&gt;5,"Weekend","Weekday")</f>
        <v>Weekday</v>
      </c>
      <c r="R1510" s="4" t="str">
        <f aca="false">IF(C1510&lt;11,"Morning (7-10)",IF(C1510&lt;14,"Lunch (11-13)",IF(C1510&lt;18,"Afternoon (14-17)","Evening (18-20)")))</f>
        <v>Lunch (11-13)</v>
      </c>
      <c r="S1510" s="4" t="str">
        <f aca="false">IF(AND(O1510&gt;=3,O1510&lt;=5),"Hot Dry (Mar-May)",IF(AND(O1510&gt;=6,O1510&lt;=11),"Rainy (Jun-Nov)","Cool Dry (Dec-Feb)"))</f>
        <v>Rainy (Jun-Nov)</v>
      </c>
      <c r="T1510" s="4" t="str">
        <f aca="false">CHOOSE(O1510,"Jan","Feb","Mar","Apr","May","Jun","Jul","Aug","Sep","Oct","Nov","Dec")</f>
        <v>Nov</v>
      </c>
    </row>
    <row r="1511" customFormat="false" ht="15" hidden="false" customHeight="false" outlineLevel="0" collapsed="false">
      <c r="A1511" s="4" t="s">
        <v>1892</v>
      </c>
      <c r="B1511" s="17" t="n">
        <v>45965</v>
      </c>
      <c r="C1511" s="4" t="n">
        <v>13</v>
      </c>
      <c r="D1511" s="4" t="s">
        <v>98</v>
      </c>
      <c r="E1511" s="4" t="s">
        <v>65</v>
      </c>
      <c r="F1511" s="4" t="s">
        <v>87</v>
      </c>
      <c r="G1511" s="4" t="n">
        <v>3</v>
      </c>
      <c r="H1511" s="34" t="n">
        <v>160</v>
      </c>
      <c r="I1511" s="18" t="n">
        <v>0.05</v>
      </c>
      <c r="J1511" s="4" t="s">
        <v>67</v>
      </c>
      <c r="K1511" s="4" t="s">
        <v>82</v>
      </c>
      <c r="L1511" s="35" t="n">
        <f aca="false">G1511*H1511</f>
        <v>480</v>
      </c>
      <c r="M1511" s="35" t="n">
        <f aca="false">L1511*I1511</f>
        <v>24</v>
      </c>
      <c r="N1511" s="35" t="n">
        <f aca="false">L1511-M1511</f>
        <v>456</v>
      </c>
      <c r="O1511" s="4" t="n">
        <f aca="false">MONTH(B1511)</f>
        <v>11</v>
      </c>
      <c r="P1511" s="4" t="str">
        <f aca="false">CHOOSE(WEEKDAY(B1511,2),"Mon","Tue","Wed","Thu","Fri","Sat","Sun")</f>
        <v>Tue</v>
      </c>
      <c r="Q1511" s="4" t="str">
        <f aca="false">IF(WEEKDAY(B1511,2)&gt;5,"Weekend","Weekday")</f>
        <v>Weekday</v>
      </c>
      <c r="R1511" s="4" t="str">
        <f aca="false">IF(C1511&lt;11,"Morning (7-10)",IF(C1511&lt;14,"Lunch (11-13)",IF(C1511&lt;18,"Afternoon (14-17)","Evening (18-20)")))</f>
        <v>Lunch (11-13)</v>
      </c>
      <c r="S1511" s="4" t="str">
        <f aca="false">IF(AND(O1511&gt;=3,O1511&lt;=5),"Hot Dry (Mar-May)",IF(AND(O1511&gt;=6,O1511&lt;=11),"Rainy (Jun-Nov)","Cool Dry (Dec-Feb)"))</f>
        <v>Rainy (Jun-Nov)</v>
      </c>
      <c r="T1511" s="4" t="str">
        <f aca="false">CHOOSE(O1511,"Jan","Feb","Mar","Apr","May","Jun","Jul","Aug","Sep","Oct","Nov","Dec")</f>
        <v>Nov</v>
      </c>
    </row>
    <row r="1512" customFormat="false" ht="15" hidden="false" customHeight="false" outlineLevel="0" collapsed="false">
      <c r="A1512" s="4" t="s">
        <v>1893</v>
      </c>
      <c r="B1512" s="17" t="n">
        <v>45965</v>
      </c>
      <c r="C1512" s="4" t="n">
        <v>16</v>
      </c>
      <c r="D1512" s="4" t="s">
        <v>98</v>
      </c>
      <c r="E1512" s="4" t="s">
        <v>65</v>
      </c>
      <c r="F1512" s="4" t="s">
        <v>66</v>
      </c>
      <c r="G1512" s="4" t="n">
        <v>2</v>
      </c>
      <c r="H1512" s="34" t="n">
        <v>120</v>
      </c>
      <c r="I1512" s="18" t="n">
        <v>0</v>
      </c>
      <c r="J1512" s="4" t="s">
        <v>81</v>
      </c>
      <c r="K1512" s="4" t="s">
        <v>68</v>
      </c>
      <c r="L1512" s="35" t="n">
        <f aca="false">G1512*H1512</f>
        <v>240</v>
      </c>
      <c r="M1512" s="35" t="n">
        <f aca="false">L1512*I1512</f>
        <v>0</v>
      </c>
      <c r="N1512" s="35" t="n">
        <f aca="false">L1512-M1512</f>
        <v>240</v>
      </c>
      <c r="O1512" s="4" t="n">
        <f aca="false">MONTH(B1512)</f>
        <v>11</v>
      </c>
      <c r="P1512" s="4" t="str">
        <f aca="false">CHOOSE(WEEKDAY(B1512,2),"Mon","Tue","Wed","Thu","Fri","Sat","Sun")</f>
        <v>Tue</v>
      </c>
      <c r="Q1512" s="4" t="str">
        <f aca="false">IF(WEEKDAY(B1512,2)&gt;5,"Weekend","Weekday")</f>
        <v>Weekday</v>
      </c>
      <c r="R1512" s="4" t="str">
        <f aca="false">IF(C1512&lt;11,"Morning (7-10)",IF(C1512&lt;14,"Lunch (11-13)",IF(C1512&lt;18,"Afternoon (14-17)","Evening (18-20)")))</f>
        <v>Afternoon (14-17)</v>
      </c>
      <c r="S1512" s="4" t="str">
        <f aca="false">IF(AND(O1512&gt;=3,O1512&lt;=5),"Hot Dry (Mar-May)",IF(AND(O1512&gt;=6,O1512&lt;=11),"Rainy (Jun-Nov)","Cool Dry (Dec-Feb)"))</f>
        <v>Rainy (Jun-Nov)</v>
      </c>
      <c r="T1512" s="4" t="str">
        <f aca="false">CHOOSE(O1512,"Jan","Feb","Mar","Apr","May","Jun","Jul","Aug","Sep","Oct","Nov","Dec")</f>
        <v>Nov</v>
      </c>
    </row>
    <row r="1513" customFormat="false" ht="15" hidden="false" customHeight="false" outlineLevel="0" collapsed="false">
      <c r="A1513" s="4" t="s">
        <v>1894</v>
      </c>
      <c r="B1513" s="17" t="n">
        <v>45965</v>
      </c>
      <c r="C1513" s="4" t="n">
        <v>17</v>
      </c>
      <c r="D1513" s="4" t="s">
        <v>64</v>
      </c>
      <c r="E1513" s="4" t="s">
        <v>99</v>
      </c>
      <c r="F1513" s="4" t="s">
        <v>109</v>
      </c>
      <c r="G1513" s="4" t="n">
        <v>1</v>
      </c>
      <c r="H1513" s="34" t="n">
        <v>130</v>
      </c>
      <c r="I1513" s="18" t="n">
        <v>0.05</v>
      </c>
      <c r="J1513" s="4" t="s">
        <v>67</v>
      </c>
      <c r="K1513" s="4" t="s">
        <v>82</v>
      </c>
      <c r="L1513" s="35" t="n">
        <f aca="false">G1513*H1513</f>
        <v>130</v>
      </c>
      <c r="M1513" s="35" t="n">
        <f aca="false">L1513*I1513</f>
        <v>6.5</v>
      </c>
      <c r="N1513" s="35" t="n">
        <f aca="false">L1513-M1513</f>
        <v>123.5</v>
      </c>
      <c r="O1513" s="4" t="n">
        <f aca="false">MONTH(B1513)</f>
        <v>11</v>
      </c>
      <c r="P1513" s="4" t="str">
        <f aca="false">CHOOSE(WEEKDAY(B1513,2),"Mon","Tue","Wed","Thu","Fri","Sat","Sun")</f>
        <v>Tue</v>
      </c>
      <c r="Q1513" s="4" t="str">
        <f aca="false">IF(WEEKDAY(B1513,2)&gt;5,"Weekend","Weekday")</f>
        <v>Weekday</v>
      </c>
      <c r="R1513" s="4" t="str">
        <f aca="false">IF(C1513&lt;11,"Morning (7-10)",IF(C1513&lt;14,"Lunch (11-13)",IF(C1513&lt;18,"Afternoon (14-17)","Evening (18-20)")))</f>
        <v>Afternoon (14-17)</v>
      </c>
      <c r="S1513" s="4" t="str">
        <f aca="false">IF(AND(O1513&gt;=3,O1513&lt;=5),"Hot Dry (Mar-May)",IF(AND(O1513&gt;=6,O1513&lt;=11),"Rainy (Jun-Nov)","Cool Dry (Dec-Feb)"))</f>
        <v>Rainy (Jun-Nov)</v>
      </c>
      <c r="T1513" s="4" t="str">
        <f aca="false">CHOOSE(O1513,"Jan","Feb","Mar","Apr","May","Jun","Jul","Aug","Sep","Oct","Nov","Dec")</f>
        <v>Nov</v>
      </c>
    </row>
    <row r="1514" customFormat="false" ht="15" hidden="false" customHeight="false" outlineLevel="0" collapsed="false">
      <c r="A1514" s="4" t="s">
        <v>1895</v>
      </c>
      <c r="B1514" s="17" t="n">
        <v>45966</v>
      </c>
      <c r="C1514" s="4" t="n">
        <v>8</v>
      </c>
      <c r="D1514" s="4" t="s">
        <v>98</v>
      </c>
      <c r="E1514" s="4" t="s">
        <v>99</v>
      </c>
      <c r="F1514" s="4" t="s">
        <v>102</v>
      </c>
      <c r="G1514" s="4" t="n">
        <v>2</v>
      </c>
      <c r="H1514" s="34" t="n">
        <v>140</v>
      </c>
      <c r="I1514" s="18" t="n">
        <v>0.1</v>
      </c>
      <c r="J1514" s="4" t="s">
        <v>112</v>
      </c>
      <c r="K1514" s="4" t="s">
        <v>71</v>
      </c>
      <c r="L1514" s="35" t="n">
        <f aca="false">G1514*H1514</f>
        <v>280</v>
      </c>
      <c r="M1514" s="35" t="n">
        <f aca="false">L1514*I1514</f>
        <v>28</v>
      </c>
      <c r="N1514" s="35" t="n">
        <f aca="false">L1514-M1514</f>
        <v>252</v>
      </c>
      <c r="O1514" s="4" t="n">
        <f aca="false">MONTH(B1514)</f>
        <v>11</v>
      </c>
      <c r="P1514" s="4" t="str">
        <f aca="false">CHOOSE(WEEKDAY(B1514,2),"Mon","Tue","Wed","Thu","Fri","Sat","Sun")</f>
        <v>Wed</v>
      </c>
      <c r="Q1514" s="4" t="str">
        <f aca="false">IF(WEEKDAY(B1514,2)&gt;5,"Weekend","Weekday")</f>
        <v>Weekday</v>
      </c>
      <c r="R1514" s="4" t="str">
        <f aca="false">IF(C1514&lt;11,"Morning (7-10)",IF(C1514&lt;14,"Lunch (11-13)",IF(C1514&lt;18,"Afternoon (14-17)","Evening (18-20)")))</f>
        <v>Morning (7-10)</v>
      </c>
      <c r="S1514" s="4" t="str">
        <f aca="false">IF(AND(O1514&gt;=3,O1514&lt;=5),"Hot Dry (Mar-May)",IF(AND(O1514&gt;=6,O1514&lt;=11),"Rainy (Jun-Nov)","Cool Dry (Dec-Feb)"))</f>
        <v>Rainy (Jun-Nov)</v>
      </c>
      <c r="T1514" s="4" t="str">
        <f aca="false">CHOOSE(O1514,"Jan","Feb","Mar","Apr","May","Jun","Jul","Aug","Sep","Oct","Nov","Dec")</f>
        <v>Nov</v>
      </c>
    </row>
    <row r="1515" customFormat="false" ht="15" hidden="false" customHeight="false" outlineLevel="0" collapsed="false">
      <c r="A1515" s="4" t="s">
        <v>1896</v>
      </c>
      <c r="B1515" s="17" t="n">
        <v>45966</v>
      </c>
      <c r="C1515" s="4" t="n">
        <v>9</v>
      </c>
      <c r="D1515" s="4" t="s">
        <v>70</v>
      </c>
      <c r="E1515" s="4" t="s">
        <v>84</v>
      </c>
      <c r="F1515" s="4" t="s">
        <v>106</v>
      </c>
      <c r="G1515" s="4" t="n">
        <v>2</v>
      </c>
      <c r="H1515" s="34" t="n">
        <v>60</v>
      </c>
      <c r="I1515" s="18" t="n">
        <v>0.1</v>
      </c>
      <c r="J1515" s="4" t="s">
        <v>81</v>
      </c>
      <c r="K1515" s="4" t="s">
        <v>71</v>
      </c>
      <c r="L1515" s="35" t="n">
        <f aca="false">G1515*H1515</f>
        <v>120</v>
      </c>
      <c r="M1515" s="35" t="n">
        <f aca="false">L1515*I1515</f>
        <v>12</v>
      </c>
      <c r="N1515" s="35" t="n">
        <f aca="false">L1515-M1515</f>
        <v>108</v>
      </c>
      <c r="O1515" s="4" t="n">
        <f aca="false">MONTH(B1515)</f>
        <v>11</v>
      </c>
      <c r="P1515" s="4" t="str">
        <f aca="false">CHOOSE(WEEKDAY(B1515,2),"Mon","Tue","Wed","Thu","Fri","Sat","Sun")</f>
        <v>Wed</v>
      </c>
      <c r="Q1515" s="4" t="str">
        <f aca="false">IF(WEEKDAY(B1515,2)&gt;5,"Weekend","Weekday")</f>
        <v>Weekday</v>
      </c>
      <c r="R1515" s="4" t="str">
        <f aca="false">IF(C1515&lt;11,"Morning (7-10)",IF(C1515&lt;14,"Lunch (11-13)",IF(C1515&lt;18,"Afternoon (14-17)","Evening (18-20)")))</f>
        <v>Morning (7-10)</v>
      </c>
      <c r="S1515" s="4" t="str">
        <f aca="false">IF(AND(O1515&gt;=3,O1515&lt;=5),"Hot Dry (Mar-May)",IF(AND(O1515&gt;=6,O1515&lt;=11),"Rainy (Jun-Nov)","Cool Dry (Dec-Feb)"))</f>
        <v>Rainy (Jun-Nov)</v>
      </c>
      <c r="T1515" s="4" t="str">
        <f aca="false">CHOOSE(O1515,"Jan","Feb","Mar","Apr","May","Jun","Jul","Aug","Sep","Oct","Nov","Dec")</f>
        <v>Nov</v>
      </c>
    </row>
    <row r="1516" customFormat="false" ht="15" hidden="false" customHeight="false" outlineLevel="0" collapsed="false">
      <c r="A1516" s="4" t="s">
        <v>1898</v>
      </c>
      <c r="B1516" s="17" t="n">
        <v>45966</v>
      </c>
      <c r="C1516" s="4" t="n">
        <v>12</v>
      </c>
      <c r="D1516" s="4" t="s">
        <v>73</v>
      </c>
      <c r="E1516" s="4" t="s">
        <v>65</v>
      </c>
      <c r="F1516" s="4" t="s">
        <v>66</v>
      </c>
      <c r="G1516" s="4" t="n">
        <v>2</v>
      </c>
      <c r="H1516" s="34" t="n">
        <v>120</v>
      </c>
      <c r="I1516" s="18" t="n">
        <v>0</v>
      </c>
      <c r="J1516" s="4" t="s">
        <v>76</v>
      </c>
      <c r="K1516" s="4" t="s">
        <v>77</v>
      </c>
      <c r="L1516" s="35" t="n">
        <f aca="false">G1516*H1516</f>
        <v>240</v>
      </c>
      <c r="M1516" s="35" t="n">
        <f aca="false">L1516*I1516</f>
        <v>0</v>
      </c>
      <c r="N1516" s="35" t="n">
        <f aca="false">L1516-M1516</f>
        <v>240</v>
      </c>
      <c r="O1516" s="4" t="n">
        <f aca="false">MONTH(B1516)</f>
        <v>11</v>
      </c>
      <c r="P1516" s="4" t="str">
        <f aca="false">CHOOSE(WEEKDAY(B1516,2),"Mon","Tue","Wed","Thu","Fri","Sat","Sun")</f>
        <v>Wed</v>
      </c>
      <c r="Q1516" s="4" t="str">
        <f aca="false">IF(WEEKDAY(B1516,2)&gt;5,"Weekend","Weekday")</f>
        <v>Weekday</v>
      </c>
      <c r="R1516" s="4" t="str">
        <f aca="false">IF(C1516&lt;11,"Morning (7-10)",IF(C1516&lt;14,"Lunch (11-13)",IF(C1516&lt;18,"Afternoon (14-17)","Evening (18-20)")))</f>
        <v>Lunch (11-13)</v>
      </c>
      <c r="S1516" s="4" t="str">
        <f aca="false">IF(AND(O1516&gt;=3,O1516&lt;=5),"Hot Dry (Mar-May)",IF(AND(O1516&gt;=6,O1516&lt;=11),"Rainy (Jun-Nov)","Cool Dry (Dec-Feb)"))</f>
        <v>Rainy (Jun-Nov)</v>
      </c>
      <c r="T1516" s="4" t="str">
        <f aca="false">CHOOSE(O1516,"Jan","Feb","Mar","Apr","May","Jun","Jul","Aug","Sep","Oct","Nov","Dec")</f>
        <v>Nov</v>
      </c>
    </row>
    <row r="1517" customFormat="false" ht="15" hidden="false" customHeight="false" outlineLevel="0" collapsed="false">
      <c r="A1517" s="4" t="s">
        <v>1899</v>
      </c>
      <c r="B1517" s="17" t="n">
        <v>45966</v>
      </c>
      <c r="C1517" s="4" t="n">
        <v>14</v>
      </c>
      <c r="D1517" s="4" t="s">
        <v>64</v>
      </c>
      <c r="E1517" s="4" t="s">
        <v>99</v>
      </c>
      <c r="F1517" s="4" t="s">
        <v>109</v>
      </c>
      <c r="G1517" s="4" t="n">
        <v>2</v>
      </c>
      <c r="H1517" s="34" t="n">
        <v>130</v>
      </c>
      <c r="I1517" s="18" t="n">
        <v>0.15</v>
      </c>
      <c r="J1517" s="4" t="s">
        <v>76</v>
      </c>
      <c r="K1517" s="4" t="s">
        <v>71</v>
      </c>
      <c r="L1517" s="35" t="n">
        <f aca="false">G1517*H1517</f>
        <v>260</v>
      </c>
      <c r="M1517" s="35" t="n">
        <f aca="false">L1517*I1517</f>
        <v>39</v>
      </c>
      <c r="N1517" s="35" t="n">
        <f aca="false">L1517-M1517</f>
        <v>221</v>
      </c>
      <c r="O1517" s="4" t="n">
        <f aca="false">MONTH(B1517)</f>
        <v>11</v>
      </c>
      <c r="P1517" s="4" t="str">
        <f aca="false">CHOOSE(WEEKDAY(B1517,2),"Mon","Tue","Wed","Thu","Fri","Sat","Sun")</f>
        <v>Wed</v>
      </c>
      <c r="Q1517" s="4" t="str">
        <f aca="false">IF(WEEKDAY(B1517,2)&gt;5,"Weekend","Weekday")</f>
        <v>Weekday</v>
      </c>
      <c r="R1517" s="4" t="str">
        <f aca="false">IF(C1517&lt;11,"Morning (7-10)",IF(C1517&lt;14,"Lunch (11-13)",IF(C1517&lt;18,"Afternoon (14-17)","Evening (18-20)")))</f>
        <v>Afternoon (14-17)</v>
      </c>
      <c r="S1517" s="4" t="str">
        <f aca="false">IF(AND(O1517&gt;=3,O1517&lt;=5),"Hot Dry (Mar-May)",IF(AND(O1517&gt;=6,O1517&lt;=11),"Rainy (Jun-Nov)","Cool Dry (Dec-Feb)"))</f>
        <v>Rainy (Jun-Nov)</v>
      </c>
      <c r="T1517" s="4" t="str">
        <f aca="false">CHOOSE(O1517,"Jan","Feb","Mar","Apr","May","Jun","Jul","Aug","Sep","Oct","Nov","Dec")</f>
        <v>Nov</v>
      </c>
    </row>
    <row r="1518" customFormat="false" ht="15" hidden="false" customHeight="false" outlineLevel="0" collapsed="false">
      <c r="A1518" s="4" t="s">
        <v>1900</v>
      </c>
      <c r="B1518" s="17" t="n">
        <v>45966</v>
      </c>
      <c r="C1518" s="4" t="n">
        <v>14</v>
      </c>
      <c r="D1518" s="4" t="s">
        <v>64</v>
      </c>
      <c r="E1518" s="4" t="s">
        <v>99</v>
      </c>
      <c r="F1518" s="4" t="s">
        <v>100</v>
      </c>
      <c r="G1518" s="4" t="n">
        <v>2</v>
      </c>
      <c r="H1518" s="34" t="n">
        <v>110</v>
      </c>
      <c r="I1518" s="18" t="n">
        <v>0</v>
      </c>
      <c r="J1518" s="4" t="s">
        <v>67</v>
      </c>
      <c r="K1518" s="4" t="s">
        <v>68</v>
      </c>
      <c r="L1518" s="35" t="n">
        <f aca="false">G1518*H1518</f>
        <v>220</v>
      </c>
      <c r="M1518" s="35" t="n">
        <f aca="false">L1518*I1518</f>
        <v>0</v>
      </c>
      <c r="N1518" s="35" t="n">
        <f aca="false">L1518-M1518</f>
        <v>220</v>
      </c>
      <c r="O1518" s="4" t="n">
        <f aca="false">MONTH(B1518)</f>
        <v>11</v>
      </c>
      <c r="P1518" s="4" t="str">
        <f aca="false">CHOOSE(WEEKDAY(B1518,2),"Mon","Tue","Wed","Thu","Fri","Sat","Sun")</f>
        <v>Wed</v>
      </c>
      <c r="Q1518" s="4" t="str">
        <f aca="false">IF(WEEKDAY(B1518,2)&gt;5,"Weekend","Weekday")</f>
        <v>Weekday</v>
      </c>
      <c r="R1518" s="4" t="str">
        <f aca="false">IF(C1518&lt;11,"Morning (7-10)",IF(C1518&lt;14,"Lunch (11-13)",IF(C1518&lt;18,"Afternoon (14-17)","Evening (18-20)")))</f>
        <v>Afternoon (14-17)</v>
      </c>
      <c r="S1518" s="4" t="str">
        <f aca="false">IF(AND(O1518&gt;=3,O1518&lt;=5),"Hot Dry (Mar-May)",IF(AND(O1518&gt;=6,O1518&lt;=11),"Rainy (Jun-Nov)","Cool Dry (Dec-Feb)"))</f>
        <v>Rainy (Jun-Nov)</v>
      </c>
      <c r="T1518" s="4" t="str">
        <f aca="false">CHOOSE(O1518,"Jan","Feb","Mar","Apr","May","Jun","Jul","Aug","Sep","Oct","Nov","Dec")</f>
        <v>Nov</v>
      </c>
    </row>
    <row r="1519" customFormat="false" ht="15" hidden="false" customHeight="false" outlineLevel="0" collapsed="false">
      <c r="A1519" s="4" t="s">
        <v>1901</v>
      </c>
      <c r="B1519" s="17" t="n">
        <v>45967</v>
      </c>
      <c r="C1519" s="4" t="n">
        <v>9</v>
      </c>
      <c r="D1519" s="4" t="s">
        <v>64</v>
      </c>
      <c r="E1519" s="4" t="s">
        <v>99</v>
      </c>
      <c r="F1519" s="4" t="s">
        <v>109</v>
      </c>
      <c r="G1519" s="4" t="n">
        <v>1</v>
      </c>
      <c r="H1519" s="34" t="n">
        <v>130</v>
      </c>
      <c r="I1519" s="18" t="n">
        <v>0</v>
      </c>
      <c r="J1519" s="4" t="s">
        <v>76</v>
      </c>
      <c r="K1519" s="4" t="s">
        <v>77</v>
      </c>
      <c r="L1519" s="35" t="n">
        <f aca="false">G1519*H1519</f>
        <v>130</v>
      </c>
      <c r="M1519" s="35" t="n">
        <f aca="false">L1519*I1519</f>
        <v>0</v>
      </c>
      <c r="N1519" s="35" t="n">
        <f aca="false">L1519-M1519</f>
        <v>130</v>
      </c>
      <c r="O1519" s="4" t="n">
        <f aca="false">MONTH(B1519)</f>
        <v>11</v>
      </c>
      <c r="P1519" s="4" t="str">
        <f aca="false">CHOOSE(WEEKDAY(B1519,2),"Mon","Tue","Wed","Thu","Fri","Sat","Sun")</f>
        <v>Thu</v>
      </c>
      <c r="Q1519" s="4" t="str">
        <f aca="false">IF(WEEKDAY(B1519,2)&gt;5,"Weekend","Weekday")</f>
        <v>Weekday</v>
      </c>
      <c r="R1519" s="4" t="str">
        <f aca="false">IF(C1519&lt;11,"Morning (7-10)",IF(C1519&lt;14,"Lunch (11-13)",IF(C1519&lt;18,"Afternoon (14-17)","Evening (18-20)")))</f>
        <v>Morning (7-10)</v>
      </c>
      <c r="S1519" s="4" t="str">
        <f aca="false">IF(AND(O1519&gt;=3,O1519&lt;=5),"Hot Dry (Mar-May)",IF(AND(O1519&gt;=6,O1519&lt;=11),"Rainy (Jun-Nov)","Cool Dry (Dec-Feb)"))</f>
        <v>Rainy (Jun-Nov)</v>
      </c>
      <c r="T1519" s="4" t="str">
        <f aca="false">CHOOSE(O1519,"Jan","Feb","Mar","Apr","May","Jun","Jul","Aug","Sep","Oct","Nov","Dec")</f>
        <v>Nov</v>
      </c>
    </row>
    <row r="1520" customFormat="false" ht="15" hidden="false" customHeight="false" outlineLevel="0" collapsed="false">
      <c r="A1520" s="4" t="s">
        <v>1902</v>
      </c>
      <c r="B1520" s="17" t="n">
        <v>45967</v>
      </c>
      <c r="C1520" s="4" t="n">
        <v>11</v>
      </c>
      <c r="D1520" s="4" t="s">
        <v>98</v>
      </c>
      <c r="E1520" s="4" t="s">
        <v>65</v>
      </c>
      <c r="F1520" s="4" t="s">
        <v>94</v>
      </c>
      <c r="G1520" s="4" t="n">
        <v>1</v>
      </c>
      <c r="H1520" s="34" t="n">
        <v>150</v>
      </c>
      <c r="I1520" s="18" t="n">
        <v>0.1</v>
      </c>
      <c r="J1520" s="4" t="s">
        <v>112</v>
      </c>
      <c r="K1520" s="4" t="s">
        <v>71</v>
      </c>
      <c r="L1520" s="35" t="n">
        <f aca="false">G1520*H1520</f>
        <v>150</v>
      </c>
      <c r="M1520" s="35" t="n">
        <f aca="false">L1520*I1520</f>
        <v>15</v>
      </c>
      <c r="N1520" s="35" t="n">
        <f aca="false">L1520-M1520</f>
        <v>135</v>
      </c>
      <c r="O1520" s="4" t="n">
        <f aca="false">MONTH(B1520)</f>
        <v>11</v>
      </c>
      <c r="P1520" s="4" t="str">
        <f aca="false">CHOOSE(WEEKDAY(B1520,2),"Mon","Tue","Wed","Thu","Fri","Sat","Sun")</f>
        <v>Thu</v>
      </c>
      <c r="Q1520" s="4" t="str">
        <f aca="false">IF(WEEKDAY(B1520,2)&gt;5,"Weekend","Weekday")</f>
        <v>Weekday</v>
      </c>
      <c r="R1520" s="4" t="str">
        <f aca="false">IF(C1520&lt;11,"Morning (7-10)",IF(C1520&lt;14,"Lunch (11-13)",IF(C1520&lt;18,"Afternoon (14-17)","Evening (18-20)")))</f>
        <v>Lunch (11-13)</v>
      </c>
      <c r="S1520" s="4" t="str">
        <f aca="false">IF(AND(O1520&gt;=3,O1520&lt;=5),"Hot Dry (Mar-May)",IF(AND(O1520&gt;=6,O1520&lt;=11),"Rainy (Jun-Nov)","Cool Dry (Dec-Feb)"))</f>
        <v>Rainy (Jun-Nov)</v>
      </c>
      <c r="T1520" s="4" t="str">
        <f aca="false">CHOOSE(O1520,"Jan","Feb","Mar","Apr","May","Jun","Jul","Aug","Sep","Oct","Nov","Dec")</f>
        <v>Nov</v>
      </c>
    </row>
    <row r="1521" customFormat="false" ht="15" hidden="false" customHeight="false" outlineLevel="0" collapsed="false">
      <c r="A1521" s="4" t="s">
        <v>1903</v>
      </c>
      <c r="B1521" s="17" t="n">
        <v>45967</v>
      </c>
      <c r="C1521" s="4" t="n">
        <v>12</v>
      </c>
      <c r="D1521" s="4" t="s">
        <v>64</v>
      </c>
      <c r="E1521" s="4" t="s">
        <v>84</v>
      </c>
      <c r="F1521" s="4" t="s">
        <v>117</v>
      </c>
      <c r="G1521" s="4" t="n">
        <v>2</v>
      </c>
      <c r="H1521" s="34" t="n">
        <v>95</v>
      </c>
      <c r="I1521" s="18" t="n">
        <v>0.1</v>
      </c>
      <c r="J1521" s="4" t="s">
        <v>67</v>
      </c>
      <c r="K1521" s="4" t="s">
        <v>71</v>
      </c>
      <c r="L1521" s="35" t="n">
        <f aca="false">G1521*H1521</f>
        <v>190</v>
      </c>
      <c r="M1521" s="35" t="n">
        <f aca="false">L1521*I1521</f>
        <v>19</v>
      </c>
      <c r="N1521" s="35" t="n">
        <f aca="false">L1521-M1521</f>
        <v>171</v>
      </c>
      <c r="O1521" s="4" t="n">
        <f aca="false">MONTH(B1521)</f>
        <v>11</v>
      </c>
      <c r="P1521" s="4" t="str">
        <f aca="false">CHOOSE(WEEKDAY(B1521,2),"Mon","Tue","Wed","Thu","Fri","Sat","Sun")</f>
        <v>Thu</v>
      </c>
      <c r="Q1521" s="4" t="str">
        <f aca="false">IF(WEEKDAY(B1521,2)&gt;5,"Weekend","Weekday")</f>
        <v>Weekday</v>
      </c>
      <c r="R1521" s="4" t="str">
        <f aca="false">IF(C1521&lt;11,"Morning (7-10)",IF(C1521&lt;14,"Lunch (11-13)",IF(C1521&lt;18,"Afternoon (14-17)","Evening (18-20)")))</f>
        <v>Lunch (11-13)</v>
      </c>
      <c r="S1521" s="4" t="str">
        <f aca="false">IF(AND(O1521&gt;=3,O1521&lt;=5),"Hot Dry (Mar-May)",IF(AND(O1521&gt;=6,O1521&lt;=11),"Rainy (Jun-Nov)","Cool Dry (Dec-Feb)"))</f>
        <v>Rainy (Jun-Nov)</v>
      </c>
      <c r="T1521" s="4" t="str">
        <f aca="false">CHOOSE(O1521,"Jan","Feb","Mar","Apr","May","Jun","Jul","Aug","Sep","Oct","Nov","Dec")</f>
        <v>Nov</v>
      </c>
    </row>
    <row r="1522" customFormat="false" ht="15" hidden="false" customHeight="false" outlineLevel="0" collapsed="false">
      <c r="A1522" s="4" t="s">
        <v>1904</v>
      </c>
      <c r="B1522" s="17" t="n">
        <v>45967</v>
      </c>
      <c r="C1522" s="4" t="n">
        <v>13</v>
      </c>
      <c r="D1522" s="4" t="s">
        <v>70</v>
      </c>
      <c r="E1522" s="4" t="s">
        <v>84</v>
      </c>
      <c r="F1522" s="4" t="s">
        <v>117</v>
      </c>
      <c r="G1522" s="4" t="n">
        <v>3</v>
      </c>
      <c r="H1522" s="34" t="n">
        <v>95</v>
      </c>
      <c r="I1522" s="18" t="n">
        <v>0</v>
      </c>
      <c r="J1522" s="4" t="s">
        <v>81</v>
      </c>
      <c r="K1522" s="4" t="s">
        <v>77</v>
      </c>
      <c r="L1522" s="35" t="n">
        <f aca="false">G1522*H1522</f>
        <v>285</v>
      </c>
      <c r="M1522" s="35" t="n">
        <f aca="false">L1522*I1522</f>
        <v>0</v>
      </c>
      <c r="N1522" s="35" t="n">
        <f aca="false">L1522-M1522</f>
        <v>285</v>
      </c>
      <c r="O1522" s="4" t="n">
        <f aca="false">MONTH(B1522)</f>
        <v>11</v>
      </c>
      <c r="P1522" s="4" t="str">
        <f aca="false">CHOOSE(WEEKDAY(B1522,2),"Mon","Tue","Wed","Thu","Fri","Sat","Sun")</f>
        <v>Thu</v>
      </c>
      <c r="Q1522" s="4" t="str">
        <f aca="false">IF(WEEKDAY(B1522,2)&gt;5,"Weekend","Weekday")</f>
        <v>Weekday</v>
      </c>
      <c r="R1522" s="4" t="str">
        <f aca="false">IF(C1522&lt;11,"Morning (7-10)",IF(C1522&lt;14,"Lunch (11-13)",IF(C1522&lt;18,"Afternoon (14-17)","Evening (18-20)")))</f>
        <v>Lunch (11-13)</v>
      </c>
      <c r="S1522" s="4" t="str">
        <f aca="false">IF(AND(O1522&gt;=3,O1522&lt;=5),"Hot Dry (Mar-May)",IF(AND(O1522&gt;=6,O1522&lt;=11),"Rainy (Jun-Nov)","Cool Dry (Dec-Feb)"))</f>
        <v>Rainy (Jun-Nov)</v>
      </c>
      <c r="T1522" s="4" t="str">
        <f aca="false">CHOOSE(O1522,"Jan","Feb","Mar","Apr","May","Jun","Jul","Aug","Sep","Oct","Nov","Dec")</f>
        <v>Nov</v>
      </c>
    </row>
    <row r="1523" customFormat="false" ht="15" hidden="false" customHeight="false" outlineLevel="0" collapsed="false">
      <c r="A1523" s="4" t="s">
        <v>1905</v>
      </c>
      <c r="B1523" s="17" t="n">
        <v>45968</v>
      </c>
      <c r="C1523" s="4" t="n">
        <v>9</v>
      </c>
      <c r="D1523" s="4" t="s">
        <v>98</v>
      </c>
      <c r="E1523" s="4" t="s">
        <v>99</v>
      </c>
      <c r="F1523" s="4" t="s">
        <v>109</v>
      </c>
      <c r="G1523" s="4" t="n">
        <v>2</v>
      </c>
      <c r="H1523" s="34" t="n">
        <v>130</v>
      </c>
      <c r="I1523" s="18" t="n">
        <v>0.1</v>
      </c>
      <c r="J1523" s="4" t="s">
        <v>67</v>
      </c>
      <c r="K1523" s="4" t="s">
        <v>2289</v>
      </c>
      <c r="L1523" s="35" t="n">
        <f aca="false">G1523*H1523</f>
        <v>260</v>
      </c>
      <c r="M1523" s="35" t="n">
        <f aca="false">L1523*I1523</f>
        <v>26</v>
      </c>
      <c r="N1523" s="35" t="n">
        <f aca="false">L1523-M1523</f>
        <v>234</v>
      </c>
      <c r="O1523" s="4" t="n">
        <f aca="false">MONTH(B1523)</f>
        <v>11</v>
      </c>
      <c r="P1523" s="4" t="str">
        <f aca="false">CHOOSE(WEEKDAY(B1523,2),"Mon","Tue","Wed","Thu","Fri","Sat","Sun")</f>
        <v>Fri</v>
      </c>
      <c r="Q1523" s="4" t="str">
        <f aca="false">IF(WEEKDAY(B1523,2)&gt;5,"Weekend","Weekday")</f>
        <v>Weekday</v>
      </c>
      <c r="R1523" s="4" t="str">
        <f aca="false">IF(C1523&lt;11,"Morning (7-10)",IF(C1523&lt;14,"Lunch (11-13)",IF(C1523&lt;18,"Afternoon (14-17)","Evening (18-20)")))</f>
        <v>Morning (7-10)</v>
      </c>
      <c r="S1523" s="4" t="str">
        <f aca="false">IF(AND(O1523&gt;=3,O1523&lt;=5),"Hot Dry (Mar-May)",IF(AND(O1523&gt;=6,O1523&lt;=11),"Rainy (Jun-Nov)","Cool Dry (Dec-Feb)"))</f>
        <v>Rainy (Jun-Nov)</v>
      </c>
      <c r="T1523" s="4" t="str">
        <f aca="false">CHOOSE(O1523,"Jan","Feb","Mar","Apr","May","Jun","Jul","Aug","Sep","Oct","Nov","Dec")</f>
        <v>Nov</v>
      </c>
    </row>
    <row r="1524" customFormat="false" ht="15" hidden="false" customHeight="false" outlineLevel="0" collapsed="false">
      <c r="A1524" s="4" t="s">
        <v>1906</v>
      </c>
      <c r="B1524" s="17" t="n">
        <v>45968</v>
      </c>
      <c r="C1524" s="4" t="n">
        <v>12</v>
      </c>
      <c r="D1524" s="4" t="s">
        <v>70</v>
      </c>
      <c r="E1524" s="4" t="s">
        <v>99</v>
      </c>
      <c r="F1524" s="4" t="s">
        <v>102</v>
      </c>
      <c r="G1524" s="4" t="n">
        <v>1</v>
      </c>
      <c r="H1524" s="34" t="n">
        <v>140</v>
      </c>
      <c r="I1524" s="18" t="n">
        <v>0</v>
      </c>
      <c r="J1524" s="4" t="s">
        <v>76</v>
      </c>
      <c r="K1524" s="4" t="s">
        <v>68</v>
      </c>
      <c r="L1524" s="35" t="n">
        <f aca="false">G1524*H1524</f>
        <v>140</v>
      </c>
      <c r="M1524" s="35" t="n">
        <f aca="false">L1524*I1524</f>
        <v>0</v>
      </c>
      <c r="N1524" s="35" t="n">
        <f aca="false">L1524-M1524</f>
        <v>140</v>
      </c>
      <c r="O1524" s="4" t="n">
        <f aca="false">MONTH(B1524)</f>
        <v>11</v>
      </c>
      <c r="P1524" s="4" t="str">
        <f aca="false">CHOOSE(WEEKDAY(B1524,2),"Mon","Tue","Wed","Thu","Fri","Sat","Sun")</f>
        <v>Fri</v>
      </c>
      <c r="Q1524" s="4" t="str">
        <f aca="false">IF(WEEKDAY(B1524,2)&gt;5,"Weekend","Weekday")</f>
        <v>Weekday</v>
      </c>
      <c r="R1524" s="4" t="str">
        <f aca="false">IF(C1524&lt;11,"Morning (7-10)",IF(C1524&lt;14,"Lunch (11-13)",IF(C1524&lt;18,"Afternoon (14-17)","Evening (18-20)")))</f>
        <v>Lunch (11-13)</v>
      </c>
      <c r="S1524" s="4" t="str">
        <f aca="false">IF(AND(O1524&gt;=3,O1524&lt;=5),"Hot Dry (Mar-May)",IF(AND(O1524&gt;=6,O1524&lt;=11),"Rainy (Jun-Nov)","Cool Dry (Dec-Feb)"))</f>
        <v>Rainy (Jun-Nov)</v>
      </c>
      <c r="T1524" s="4" t="str">
        <f aca="false">CHOOSE(O1524,"Jan","Feb","Mar","Apr","May","Jun","Jul","Aug","Sep","Oct","Nov","Dec")</f>
        <v>Nov</v>
      </c>
    </row>
    <row r="1525" customFormat="false" ht="15" hidden="false" customHeight="false" outlineLevel="0" collapsed="false">
      <c r="A1525" s="4" t="s">
        <v>1907</v>
      </c>
      <c r="B1525" s="17" t="n">
        <v>45968</v>
      </c>
      <c r="C1525" s="4" t="n">
        <v>13</v>
      </c>
      <c r="D1525" s="4" t="s">
        <v>64</v>
      </c>
      <c r="E1525" s="4" t="s">
        <v>74</v>
      </c>
      <c r="F1525" s="4" t="s">
        <v>75</v>
      </c>
      <c r="G1525" s="4" t="n">
        <v>1</v>
      </c>
      <c r="H1525" s="34" t="n">
        <v>220</v>
      </c>
      <c r="I1525" s="18" t="n">
        <v>0</v>
      </c>
      <c r="J1525" s="4" t="s">
        <v>76</v>
      </c>
      <c r="K1525" s="4" t="s">
        <v>77</v>
      </c>
      <c r="L1525" s="35" t="n">
        <f aca="false">G1525*H1525</f>
        <v>220</v>
      </c>
      <c r="M1525" s="35" t="n">
        <f aca="false">L1525*I1525</f>
        <v>0</v>
      </c>
      <c r="N1525" s="35" t="n">
        <f aca="false">L1525-M1525</f>
        <v>220</v>
      </c>
      <c r="O1525" s="4" t="n">
        <f aca="false">MONTH(B1525)</f>
        <v>11</v>
      </c>
      <c r="P1525" s="4" t="str">
        <f aca="false">CHOOSE(WEEKDAY(B1525,2),"Mon","Tue","Wed","Thu","Fri","Sat","Sun")</f>
        <v>Fri</v>
      </c>
      <c r="Q1525" s="4" t="str">
        <f aca="false">IF(WEEKDAY(B1525,2)&gt;5,"Weekend","Weekday")</f>
        <v>Weekday</v>
      </c>
      <c r="R1525" s="4" t="str">
        <f aca="false">IF(C1525&lt;11,"Morning (7-10)",IF(C1525&lt;14,"Lunch (11-13)",IF(C1525&lt;18,"Afternoon (14-17)","Evening (18-20)")))</f>
        <v>Lunch (11-13)</v>
      </c>
      <c r="S1525" s="4" t="str">
        <f aca="false">IF(AND(O1525&gt;=3,O1525&lt;=5),"Hot Dry (Mar-May)",IF(AND(O1525&gt;=6,O1525&lt;=11),"Rainy (Jun-Nov)","Cool Dry (Dec-Feb)"))</f>
        <v>Rainy (Jun-Nov)</v>
      </c>
      <c r="T1525" s="4" t="str">
        <f aca="false">CHOOSE(O1525,"Jan","Feb","Mar","Apr","May","Jun","Jul","Aug","Sep","Oct","Nov","Dec")</f>
        <v>Nov</v>
      </c>
    </row>
    <row r="1526" customFormat="false" ht="15" hidden="false" customHeight="false" outlineLevel="0" collapsed="false">
      <c r="A1526" s="4" t="s">
        <v>1908</v>
      </c>
      <c r="B1526" s="17" t="n">
        <v>45968</v>
      </c>
      <c r="C1526" s="4" t="n">
        <v>16</v>
      </c>
      <c r="D1526" s="4" t="s">
        <v>98</v>
      </c>
      <c r="E1526" s="4" t="s">
        <v>65</v>
      </c>
      <c r="F1526" s="4" t="s">
        <v>94</v>
      </c>
      <c r="G1526" s="4" t="n">
        <v>1</v>
      </c>
      <c r="H1526" s="34" t="n">
        <v>150</v>
      </c>
      <c r="I1526" s="18" t="n">
        <v>0.1</v>
      </c>
      <c r="J1526" s="4" t="s">
        <v>67</v>
      </c>
      <c r="K1526" s="4" t="s">
        <v>71</v>
      </c>
      <c r="L1526" s="35" t="n">
        <f aca="false">G1526*H1526</f>
        <v>150</v>
      </c>
      <c r="M1526" s="35" t="n">
        <f aca="false">L1526*I1526</f>
        <v>15</v>
      </c>
      <c r="N1526" s="35" t="n">
        <f aca="false">L1526-M1526</f>
        <v>135</v>
      </c>
      <c r="O1526" s="4" t="n">
        <f aca="false">MONTH(B1526)</f>
        <v>11</v>
      </c>
      <c r="P1526" s="4" t="str">
        <f aca="false">CHOOSE(WEEKDAY(B1526,2),"Mon","Tue","Wed","Thu","Fri","Sat","Sun")</f>
        <v>Fri</v>
      </c>
      <c r="Q1526" s="4" t="str">
        <f aca="false">IF(WEEKDAY(B1526,2)&gt;5,"Weekend","Weekday")</f>
        <v>Weekday</v>
      </c>
      <c r="R1526" s="4" t="str">
        <f aca="false">IF(C1526&lt;11,"Morning (7-10)",IF(C1526&lt;14,"Lunch (11-13)",IF(C1526&lt;18,"Afternoon (14-17)","Evening (18-20)")))</f>
        <v>Afternoon (14-17)</v>
      </c>
      <c r="S1526" s="4" t="str">
        <f aca="false">IF(AND(O1526&gt;=3,O1526&lt;=5),"Hot Dry (Mar-May)",IF(AND(O1526&gt;=6,O1526&lt;=11),"Rainy (Jun-Nov)","Cool Dry (Dec-Feb)"))</f>
        <v>Rainy (Jun-Nov)</v>
      </c>
      <c r="T1526" s="4" t="str">
        <f aca="false">CHOOSE(O1526,"Jan","Feb","Mar","Apr","May","Jun","Jul","Aug","Sep","Oct","Nov","Dec")</f>
        <v>Nov</v>
      </c>
    </row>
    <row r="1527" customFormat="false" ht="15" hidden="false" customHeight="false" outlineLevel="0" collapsed="false">
      <c r="A1527" s="4" t="s">
        <v>1910</v>
      </c>
      <c r="B1527" s="17" t="n">
        <v>45970</v>
      </c>
      <c r="C1527" s="4" t="n">
        <v>8</v>
      </c>
      <c r="D1527" s="4" t="s">
        <v>98</v>
      </c>
      <c r="E1527" s="4" t="s">
        <v>65</v>
      </c>
      <c r="F1527" s="4" t="s">
        <v>94</v>
      </c>
      <c r="G1527" s="4" t="n">
        <v>1</v>
      </c>
      <c r="H1527" s="34" t="n">
        <v>150</v>
      </c>
      <c r="I1527" s="18" t="n">
        <v>0</v>
      </c>
      <c r="J1527" s="4" t="s">
        <v>67</v>
      </c>
      <c r="K1527" s="4" t="s">
        <v>77</v>
      </c>
      <c r="L1527" s="35" t="n">
        <f aca="false">G1527*H1527</f>
        <v>150</v>
      </c>
      <c r="M1527" s="35" t="n">
        <f aca="false">L1527*I1527</f>
        <v>0</v>
      </c>
      <c r="N1527" s="35" t="n">
        <f aca="false">L1527-M1527</f>
        <v>150</v>
      </c>
      <c r="O1527" s="4" t="n">
        <f aca="false">MONTH(B1527)</f>
        <v>11</v>
      </c>
      <c r="P1527" s="4" t="str">
        <f aca="false">CHOOSE(WEEKDAY(B1527,2),"Mon","Tue","Wed","Thu","Fri","Sat","Sun")</f>
        <v>Sun</v>
      </c>
      <c r="Q1527" s="4" t="str">
        <f aca="false">IF(WEEKDAY(B1527,2)&gt;5,"Weekend","Weekday")</f>
        <v>Weekend</v>
      </c>
      <c r="R1527" s="4" t="str">
        <f aca="false">IF(C1527&lt;11,"Morning (7-10)",IF(C1527&lt;14,"Lunch (11-13)",IF(C1527&lt;18,"Afternoon (14-17)","Evening (18-20)")))</f>
        <v>Morning (7-10)</v>
      </c>
      <c r="S1527" s="4" t="str">
        <f aca="false">IF(AND(O1527&gt;=3,O1527&lt;=5),"Hot Dry (Mar-May)",IF(AND(O1527&gt;=6,O1527&lt;=11),"Rainy (Jun-Nov)","Cool Dry (Dec-Feb)"))</f>
        <v>Rainy (Jun-Nov)</v>
      </c>
      <c r="T1527" s="4" t="str">
        <f aca="false">CHOOSE(O1527,"Jan","Feb","Mar","Apr","May","Jun","Jul","Aug","Sep","Oct","Nov","Dec")</f>
        <v>Nov</v>
      </c>
    </row>
    <row r="1528" customFormat="false" ht="15" hidden="false" customHeight="false" outlineLevel="0" collapsed="false">
      <c r="A1528" s="4" t="s">
        <v>1911</v>
      </c>
      <c r="B1528" s="17" t="n">
        <v>45970</v>
      </c>
      <c r="C1528" s="4" t="n">
        <v>9</v>
      </c>
      <c r="D1528" s="4" t="s">
        <v>70</v>
      </c>
      <c r="E1528" s="4" t="s">
        <v>99</v>
      </c>
      <c r="F1528" s="4" t="s">
        <v>109</v>
      </c>
      <c r="G1528" s="4" t="n">
        <v>1</v>
      </c>
      <c r="H1528" s="34" t="n">
        <v>130</v>
      </c>
      <c r="I1528" s="18" t="n">
        <v>0</v>
      </c>
      <c r="J1528" s="4" t="s">
        <v>112</v>
      </c>
      <c r="K1528" s="4" t="s">
        <v>77</v>
      </c>
      <c r="L1528" s="35" t="n">
        <f aca="false">G1528*H1528</f>
        <v>130</v>
      </c>
      <c r="M1528" s="35" t="n">
        <f aca="false">L1528*I1528</f>
        <v>0</v>
      </c>
      <c r="N1528" s="35" t="n">
        <f aca="false">L1528-M1528</f>
        <v>130</v>
      </c>
      <c r="O1528" s="4" t="n">
        <f aca="false">MONTH(B1528)</f>
        <v>11</v>
      </c>
      <c r="P1528" s="4" t="str">
        <f aca="false">CHOOSE(WEEKDAY(B1528,2),"Mon","Tue","Wed","Thu","Fri","Sat","Sun")</f>
        <v>Sun</v>
      </c>
      <c r="Q1528" s="4" t="str">
        <f aca="false">IF(WEEKDAY(B1528,2)&gt;5,"Weekend","Weekday")</f>
        <v>Weekend</v>
      </c>
      <c r="R1528" s="4" t="str">
        <f aca="false">IF(C1528&lt;11,"Morning (7-10)",IF(C1528&lt;14,"Lunch (11-13)",IF(C1528&lt;18,"Afternoon (14-17)","Evening (18-20)")))</f>
        <v>Morning (7-10)</v>
      </c>
      <c r="S1528" s="4" t="str">
        <f aca="false">IF(AND(O1528&gt;=3,O1528&lt;=5),"Hot Dry (Mar-May)",IF(AND(O1528&gt;=6,O1528&lt;=11),"Rainy (Jun-Nov)","Cool Dry (Dec-Feb)"))</f>
        <v>Rainy (Jun-Nov)</v>
      </c>
      <c r="T1528" s="4" t="str">
        <f aca="false">CHOOSE(O1528,"Jan","Feb","Mar","Apr","May","Jun","Jul","Aug","Sep","Oct","Nov","Dec")</f>
        <v>Nov</v>
      </c>
    </row>
    <row r="1529" customFormat="false" ht="15" hidden="false" customHeight="false" outlineLevel="0" collapsed="false">
      <c r="A1529" s="4" t="s">
        <v>1912</v>
      </c>
      <c r="B1529" s="17" t="n">
        <v>45970</v>
      </c>
      <c r="C1529" s="4" t="n">
        <v>12</v>
      </c>
      <c r="D1529" s="4" t="s">
        <v>70</v>
      </c>
      <c r="E1529" s="4" t="s">
        <v>65</v>
      </c>
      <c r="F1529" s="4" t="s">
        <v>66</v>
      </c>
      <c r="G1529" s="4" t="n">
        <v>1</v>
      </c>
      <c r="H1529" s="34" t="n">
        <v>120</v>
      </c>
      <c r="I1529" s="18" t="n">
        <v>0</v>
      </c>
      <c r="J1529" s="4" t="s">
        <v>76</v>
      </c>
      <c r="K1529" s="4" t="s">
        <v>77</v>
      </c>
      <c r="L1529" s="35" t="n">
        <f aca="false">G1529*H1529</f>
        <v>120</v>
      </c>
      <c r="M1529" s="35" t="n">
        <f aca="false">L1529*I1529</f>
        <v>0</v>
      </c>
      <c r="N1529" s="35" t="n">
        <f aca="false">L1529-M1529</f>
        <v>120</v>
      </c>
      <c r="O1529" s="4" t="n">
        <f aca="false">MONTH(B1529)</f>
        <v>11</v>
      </c>
      <c r="P1529" s="4" t="str">
        <f aca="false">CHOOSE(WEEKDAY(B1529,2),"Mon","Tue","Wed","Thu","Fri","Sat","Sun")</f>
        <v>Sun</v>
      </c>
      <c r="Q1529" s="4" t="str">
        <f aca="false">IF(WEEKDAY(B1529,2)&gt;5,"Weekend","Weekday")</f>
        <v>Weekend</v>
      </c>
      <c r="R1529" s="4" t="str">
        <f aca="false">IF(C1529&lt;11,"Morning (7-10)",IF(C1529&lt;14,"Lunch (11-13)",IF(C1529&lt;18,"Afternoon (14-17)","Evening (18-20)")))</f>
        <v>Lunch (11-13)</v>
      </c>
      <c r="S1529" s="4" t="str">
        <f aca="false">IF(AND(O1529&gt;=3,O1529&lt;=5),"Hot Dry (Mar-May)",IF(AND(O1529&gt;=6,O1529&lt;=11),"Rainy (Jun-Nov)","Cool Dry (Dec-Feb)"))</f>
        <v>Rainy (Jun-Nov)</v>
      </c>
      <c r="T1529" s="4" t="str">
        <f aca="false">CHOOSE(O1529,"Jan","Feb","Mar","Apr","May","Jun","Jul","Aug","Sep","Oct","Nov","Dec")</f>
        <v>Nov</v>
      </c>
    </row>
    <row r="1530" customFormat="false" ht="15" hidden="false" customHeight="false" outlineLevel="0" collapsed="false">
      <c r="A1530" s="4" t="s">
        <v>1913</v>
      </c>
      <c r="B1530" s="17" t="n">
        <v>45971</v>
      </c>
      <c r="C1530" s="4" t="n">
        <v>17</v>
      </c>
      <c r="D1530" s="4" t="s">
        <v>70</v>
      </c>
      <c r="E1530" s="4" t="s">
        <v>99</v>
      </c>
      <c r="F1530" s="4" t="s">
        <v>102</v>
      </c>
      <c r="G1530" s="4" t="n">
        <v>2</v>
      </c>
      <c r="H1530" s="34" t="n">
        <v>140</v>
      </c>
      <c r="I1530" s="18" t="n">
        <v>0.1</v>
      </c>
      <c r="J1530" s="4" t="s">
        <v>81</v>
      </c>
      <c r="K1530" s="4" t="s">
        <v>71</v>
      </c>
      <c r="L1530" s="35" t="n">
        <f aca="false">G1530*H1530</f>
        <v>280</v>
      </c>
      <c r="M1530" s="35" t="n">
        <f aca="false">L1530*I1530</f>
        <v>28</v>
      </c>
      <c r="N1530" s="35" t="n">
        <f aca="false">L1530-M1530</f>
        <v>252</v>
      </c>
      <c r="O1530" s="4" t="n">
        <f aca="false">MONTH(B1530)</f>
        <v>11</v>
      </c>
      <c r="P1530" s="4" t="str">
        <f aca="false">CHOOSE(WEEKDAY(B1530,2),"Mon","Tue","Wed","Thu","Fri","Sat","Sun")</f>
        <v>Mon</v>
      </c>
      <c r="Q1530" s="4" t="str">
        <f aca="false">IF(WEEKDAY(B1530,2)&gt;5,"Weekend","Weekday")</f>
        <v>Weekday</v>
      </c>
      <c r="R1530" s="4" t="str">
        <f aca="false">IF(C1530&lt;11,"Morning (7-10)",IF(C1530&lt;14,"Lunch (11-13)",IF(C1530&lt;18,"Afternoon (14-17)","Evening (18-20)")))</f>
        <v>Afternoon (14-17)</v>
      </c>
      <c r="S1530" s="4" t="str">
        <f aca="false">IF(AND(O1530&gt;=3,O1530&lt;=5),"Hot Dry (Mar-May)",IF(AND(O1530&gt;=6,O1530&lt;=11),"Rainy (Jun-Nov)","Cool Dry (Dec-Feb)"))</f>
        <v>Rainy (Jun-Nov)</v>
      </c>
      <c r="T1530" s="4" t="str">
        <f aca="false">CHOOSE(O1530,"Jan","Feb","Mar","Apr","May","Jun","Jul","Aug","Sep","Oct","Nov","Dec")</f>
        <v>Nov</v>
      </c>
    </row>
    <row r="1531" customFormat="false" ht="15" hidden="false" customHeight="false" outlineLevel="0" collapsed="false">
      <c r="A1531" s="4" t="s">
        <v>1914</v>
      </c>
      <c r="B1531" s="17" t="n">
        <v>45971</v>
      </c>
      <c r="C1531" s="4" t="n">
        <v>18</v>
      </c>
      <c r="D1531" s="4" t="s">
        <v>64</v>
      </c>
      <c r="E1531" s="4" t="s">
        <v>84</v>
      </c>
      <c r="F1531" s="4" t="s">
        <v>114</v>
      </c>
      <c r="G1531" s="4" t="n">
        <v>2</v>
      </c>
      <c r="H1531" s="34" t="n">
        <v>85</v>
      </c>
      <c r="I1531" s="18" t="n">
        <v>0.2</v>
      </c>
      <c r="J1531" s="4" t="s">
        <v>81</v>
      </c>
      <c r="K1531" s="4" t="s">
        <v>82</v>
      </c>
      <c r="L1531" s="35" t="n">
        <f aca="false">G1531*H1531</f>
        <v>170</v>
      </c>
      <c r="M1531" s="35" t="n">
        <f aca="false">L1531*I1531</f>
        <v>34</v>
      </c>
      <c r="N1531" s="35" t="n">
        <f aca="false">L1531-M1531</f>
        <v>136</v>
      </c>
      <c r="O1531" s="4" t="n">
        <f aca="false">MONTH(B1531)</f>
        <v>11</v>
      </c>
      <c r="P1531" s="4" t="str">
        <f aca="false">CHOOSE(WEEKDAY(B1531,2),"Mon","Tue","Wed","Thu","Fri","Sat","Sun")</f>
        <v>Mon</v>
      </c>
      <c r="Q1531" s="4" t="str">
        <f aca="false">IF(WEEKDAY(B1531,2)&gt;5,"Weekend","Weekday")</f>
        <v>Weekday</v>
      </c>
      <c r="R1531" s="4" t="str">
        <f aca="false">IF(C1531&lt;11,"Morning (7-10)",IF(C1531&lt;14,"Lunch (11-13)",IF(C1531&lt;18,"Afternoon (14-17)","Evening (18-20)")))</f>
        <v>Evening (18-20)</v>
      </c>
      <c r="S1531" s="4" t="str">
        <f aca="false">IF(AND(O1531&gt;=3,O1531&lt;=5),"Hot Dry (Mar-May)",IF(AND(O1531&gt;=6,O1531&lt;=11),"Rainy (Jun-Nov)","Cool Dry (Dec-Feb)"))</f>
        <v>Rainy (Jun-Nov)</v>
      </c>
      <c r="T1531" s="4" t="str">
        <f aca="false">CHOOSE(O1531,"Jan","Feb","Mar","Apr","May","Jun","Jul","Aug","Sep","Oct","Nov","Dec")</f>
        <v>Nov</v>
      </c>
    </row>
    <row r="1532" customFormat="false" ht="15" hidden="false" customHeight="false" outlineLevel="0" collapsed="false">
      <c r="A1532" s="4" t="s">
        <v>1916</v>
      </c>
      <c r="B1532" s="17" t="n">
        <v>45972</v>
      </c>
      <c r="C1532" s="4" t="n">
        <v>9</v>
      </c>
      <c r="D1532" s="4" t="s">
        <v>73</v>
      </c>
      <c r="E1532" s="4" t="s">
        <v>79</v>
      </c>
      <c r="F1532" s="4" t="s">
        <v>148</v>
      </c>
      <c r="G1532" s="4" t="n">
        <v>1</v>
      </c>
      <c r="H1532" s="34" t="n">
        <v>120</v>
      </c>
      <c r="I1532" s="18" t="n">
        <v>0</v>
      </c>
      <c r="J1532" s="4" t="s">
        <v>81</v>
      </c>
      <c r="K1532" s="4" t="s">
        <v>77</v>
      </c>
      <c r="L1532" s="35" t="n">
        <f aca="false">G1532*H1532</f>
        <v>120</v>
      </c>
      <c r="M1532" s="35" t="n">
        <f aca="false">L1532*I1532</f>
        <v>0</v>
      </c>
      <c r="N1532" s="35" t="n">
        <f aca="false">L1532-M1532</f>
        <v>120</v>
      </c>
      <c r="O1532" s="4" t="n">
        <f aca="false">MONTH(B1532)</f>
        <v>11</v>
      </c>
      <c r="P1532" s="4" t="str">
        <f aca="false">CHOOSE(WEEKDAY(B1532,2),"Mon","Tue","Wed","Thu","Fri","Sat","Sun")</f>
        <v>Tue</v>
      </c>
      <c r="Q1532" s="4" t="str">
        <f aca="false">IF(WEEKDAY(B1532,2)&gt;5,"Weekend","Weekday")</f>
        <v>Weekday</v>
      </c>
      <c r="R1532" s="4" t="str">
        <f aca="false">IF(C1532&lt;11,"Morning (7-10)",IF(C1532&lt;14,"Lunch (11-13)",IF(C1532&lt;18,"Afternoon (14-17)","Evening (18-20)")))</f>
        <v>Morning (7-10)</v>
      </c>
      <c r="S1532" s="4" t="str">
        <f aca="false">IF(AND(O1532&gt;=3,O1532&lt;=5),"Hot Dry (Mar-May)",IF(AND(O1532&gt;=6,O1532&lt;=11),"Rainy (Jun-Nov)","Cool Dry (Dec-Feb)"))</f>
        <v>Rainy (Jun-Nov)</v>
      </c>
      <c r="T1532" s="4" t="str">
        <f aca="false">CHOOSE(O1532,"Jan","Feb","Mar","Apr","May","Jun","Jul","Aug","Sep","Oct","Nov","Dec")</f>
        <v>Nov</v>
      </c>
    </row>
    <row r="1533" customFormat="false" ht="15" hidden="false" customHeight="false" outlineLevel="0" collapsed="false">
      <c r="A1533" s="4" t="s">
        <v>1917</v>
      </c>
      <c r="B1533" s="17" t="n">
        <v>45972</v>
      </c>
      <c r="C1533" s="4" t="n">
        <v>13</v>
      </c>
      <c r="D1533" s="4" t="s">
        <v>70</v>
      </c>
      <c r="E1533" s="4" t="s">
        <v>65</v>
      </c>
      <c r="F1533" s="4" t="s">
        <v>121</v>
      </c>
      <c r="G1533" s="4" t="n">
        <v>1</v>
      </c>
      <c r="H1533" s="34" t="n">
        <v>170</v>
      </c>
      <c r="I1533" s="18" t="n">
        <v>0.1</v>
      </c>
      <c r="J1533" s="4" t="s">
        <v>81</v>
      </c>
      <c r="K1533" s="4" t="s">
        <v>71</v>
      </c>
      <c r="L1533" s="35" t="n">
        <f aca="false">G1533*H1533</f>
        <v>170</v>
      </c>
      <c r="M1533" s="35" t="n">
        <f aca="false">L1533*I1533</f>
        <v>17</v>
      </c>
      <c r="N1533" s="35" t="n">
        <f aca="false">L1533-M1533</f>
        <v>153</v>
      </c>
      <c r="O1533" s="4" t="n">
        <f aca="false">MONTH(B1533)</f>
        <v>11</v>
      </c>
      <c r="P1533" s="4" t="str">
        <f aca="false">CHOOSE(WEEKDAY(B1533,2),"Mon","Tue","Wed","Thu","Fri","Sat","Sun")</f>
        <v>Tue</v>
      </c>
      <c r="Q1533" s="4" t="str">
        <f aca="false">IF(WEEKDAY(B1533,2)&gt;5,"Weekend","Weekday")</f>
        <v>Weekday</v>
      </c>
      <c r="R1533" s="4" t="str">
        <f aca="false">IF(C1533&lt;11,"Morning (7-10)",IF(C1533&lt;14,"Lunch (11-13)",IF(C1533&lt;18,"Afternoon (14-17)","Evening (18-20)")))</f>
        <v>Lunch (11-13)</v>
      </c>
      <c r="S1533" s="4" t="str">
        <f aca="false">IF(AND(O1533&gt;=3,O1533&lt;=5),"Hot Dry (Mar-May)",IF(AND(O1533&gt;=6,O1533&lt;=11),"Rainy (Jun-Nov)","Cool Dry (Dec-Feb)"))</f>
        <v>Rainy (Jun-Nov)</v>
      </c>
      <c r="T1533" s="4" t="str">
        <f aca="false">CHOOSE(O1533,"Jan","Feb","Mar","Apr","May","Jun","Jul","Aug","Sep","Oct","Nov","Dec")</f>
        <v>Nov</v>
      </c>
    </row>
    <row r="1534" customFormat="false" ht="15" hidden="false" customHeight="false" outlineLevel="0" collapsed="false">
      <c r="A1534" s="4" t="s">
        <v>1918</v>
      </c>
      <c r="B1534" s="17" t="n">
        <v>45972</v>
      </c>
      <c r="C1534" s="4" t="n">
        <v>13</v>
      </c>
      <c r="D1534" s="4" t="s">
        <v>70</v>
      </c>
      <c r="E1534" s="4" t="s">
        <v>79</v>
      </c>
      <c r="F1534" s="4" t="s">
        <v>135</v>
      </c>
      <c r="G1534" s="4" t="n">
        <v>1</v>
      </c>
      <c r="H1534" s="34" t="n">
        <v>130</v>
      </c>
      <c r="I1534" s="18" t="n">
        <v>0</v>
      </c>
      <c r="J1534" s="4" t="s">
        <v>112</v>
      </c>
      <c r="K1534" s="4" t="s">
        <v>68</v>
      </c>
      <c r="L1534" s="35" t="n">
        <f aca="false">G1534*H1534</f>
        <v>130</v>
      </c>
      <c r="M1534" s="35" t="n">
        <f aca="false">L1534*I1534</f>
        <v>0</v>
      </c>
      <c r="N1534" s="35" t="n">
        <f aca="false">L1534-M1534</f>
        <v>130</v>
      </c>
      <c r="O1534" s="4" t="n">
        <f aca="false">MONTH(B1534)</f>
        <v>11</v>
      </c>
      <c r="P1534" s="4" t="str">
        <f aca="false">CHOOSE(WEEKDAY(B1534,2),"Mon","Tue","Wed","Thu","Fri","Sat","Sun")</f>
        <v>Tue</v>
      </c>
      <c r="Q1534" s="4" t="str">
        <f aca="false">IF(WEEKDAY(B1534,2)&gt;5,"Weekend","Weekday")</f>
        <v>Weekday</v>
      </c>
      <c r="R1534" s="4" t="str">
        <f aca="false">IF(C1534&lt;11,"Morning (7-10)",IF(C1534&lt;14,"Lunch (11-13)",IF(C1534&lt;18,"Afternoon (14-17)","Evening (18-20)")))</f>
        <v>Lunch (11-13)</v>
      </c>
      <c r="S1534" s="4" t="str">
        <f aca="false">IF(AND(O1534&gt;=3,O1534&lt;=5),"Hot Dry (Mar-May)",IF(AND(O1534&gt;=6,O1534&lt;=11),"Rainy (Jun-Nov)","Cool Dry (Dec-Feb)"))</f>
        <v>Rainy (Jun-Nov)</v>
      </c>
      <c r="T1534" s="4" t="str">
        <f aca="false">CHOOSE(O1534,"Jan","Feb","Mar","Apr","May","Jun","Jul","Aug","Sep","Oct","Nov","Dec")</f>
        <v>Nov</v>
      </c>
    </row>
    <row r="1535" customFormat="false" ht="15" hidden="false" customHeight="false" outlineLevel="0" collapsed="false">
      <c r="A1535" s="4" t="s">
        <v>1919</v>
      </c>
      <c r="B1535" s="17" t="n">
        <v>45973</v>
      </c>
      <c r="C1535" s="4" t="n">
        <v>8</v>
      </c>
      <c r="D1535" s="4" t="s">
        <v>70</v>
      </c>
      <c r="E1535" s="4" t="s">
        <v>65</v>
      </c>
      <c r="F1535" s="4" t="s">
        <v>121</v>
      </c>
      <c r="G1535" s="4" t="n">
        <v>1</v>
      </c>
      <c r="H1535" s="34" t="n">
        <v>170</v>
      </c>
      <c r="I1535" s="18" t="n">
        <v>0</v>
      </c>
      <c r="J1535" s="4" t="s">
        <v>67</v>
      </c>
      <c r="K1535" s="4" t="s">
        <v>68</v>
      </c>
      <c r="L1535" s="35" t="n">
        <f aca="false">G1535*H1535</f>
        <v>170</v>
      </c>
      <c r="M1535" s="35" t="n">
        <f aca="false">L1535*I1535</f>
        <v>0</v>
      </c>
      <c r="N1535" s="35" t="n">
        <f aca="false">L1535-M1535</f>
        <v>170</v>
      </c>
      <c r="O1535" s="4" t="n">
        <f aca="false">MONTH(B1535)</f>
        <v>11</v>
      </c>
      <c r="P1535" s="4" t="str">
        <f aca="false">CHOOSE(WEEKDAY(B1535,2),"Mon","Tue","Wed","Thu","Fri","Sat","Sun")</f>
        <v>Wed</v>
      </c>
      <c r="Q1535" s="4" t="str">
        <f aca="false">IF(WEEKDAY(B1535,2)&gt;5,"Weekend","Weekday")</f>
        <v>Weekday</v>
      </c>
      <c r="R1535" s="4" t="str">
        <f aca="false">IF(C1535&lt;11,"Morning (7-10)",IF(C1535&lt;14,"Lunch (11-13)",IF(C1535&lt;18,"Afternoon (14-17)","Evening (18-20)")))</f>
        <v>Morning (7-10)</v>
      </c>
      <c r="S1535" s="4" t="str">
        <f aca="false">IF(AND(O1535&gt;=3,O1535&lt;=5),"Hot Dry (Mar-May)",IF(AND(O1535&gt;=6,O1535&lt;=11),"Rainy (Jun-Nov)","Cool Dry (Dec-Feb)"))</f>
        <v>Rainy (Jun-Nov)</v>
      </c>
      <c r="T1535" s="4" t="str">
        <f aca="false">CHOOSE(O1535,"Jan","Feb","Mar","Apr","May","Jun","Jul","Aug","Sep","Oct","Nov","Dec")</f>
        <v>Nov</v>
      </c>
    </row>
    <row r="1536" customFormat="false" ht="15" hidden="false" customHeight="false" outlineLevel="0" collapsed="false">
      <c r="A1536" s="4" t="s">
        <v>1920</v>
      </c>
      <c r="B1536" s="17" t="n">
        <v>45973</v>
      </c>
      <c r="C1536" s="4" t="n">
        <v>9</v>
      </c>
      <c r="D1536" s="4" t="s">
        <v>70</v>
      </c>
      <c r="E1536" s="4" t="s">
        <v>65</v>
      </c>
      <c r="F1536" s="4" t="s">
        <v>121</v>
      </c>
      <c r="G1536" s="4" t="n">
        <v>1</v>
      </c>
      <c r="H1536" s="34" t="n">
        <v>170</v>
      </c>
      <c r="I1536" s="18" t="n">
        <v>0.05</v>
      </c>
      <c r="J1536" s="4" t="s">
        <v>88</v>
      </c>
      <c r="K1536" s="4" t="s">
        <v>82</v>
      </c>
      <c r="L1536" s="35" t="n">
        <f aca="false">G1536*H1536</f>
        <v>170</v>
      </c>
      <c r="M1536" s="35" t="n">
        <f aca="false">L1536*I1536</f>
        <v>8.5</v>
      </c>
      <c r="N1536" s="35" t="n">
        <f aca="false">L1536-M1536</f>
        <v>161.5</v>
      </c>
      <c r="O1536" s="4" t="n">
        <f aca="false">MONTH(B1536)</f>
        <v>11</v>
      </c>
      <c r="P1536" s="4" t="str">
        <f aca="false">CHOOSE(WEEKDAY(B1536,2),"Mon","Tue","Wed","Thu","Fri","Sat","Sun")</f>
        <v>Wed</v>
      </c>
      <c r="Q1536" s="4" t="str">
        <f aca="false">IF(WEEKDAY(B1536,2)&gt;5,"Weekend","Weekday")</f>
        <v>Weekday</v>
      </c>
      <c r="R1536" s="4" t="str">
        <f aca="false">IF(C1536&lt;11,"Morning (7-10)",IF(C1536&lt;14,"Lunch (11-13)",IF(C1536&lt;18,"Afternoon (14-17)","Evening (18-20)")))</f>
        <v>Morning (7-10)</v>
      </c>
      <c r="S1536" s="4" t="str">
        <f aca="false">IF(AND(O1536&gt;=3,O1536&lt;=5),"Hot Dry (Mar-May)",IF(AND(O1536&gt;=6,O1536&lt;=11),"Rainy (Jun-Nov)","Cool Dry (Dec-Feb)"))</f>
        <v>Rainy (Jun-Nov)</v>
      </c>
      <c r="T1536" s="4" t="str">
        <f aca="false">CHOOSE(O1536,"Jan","Feb","Mar","Apr","May","Jun","Jul","Aug","Sep","Oct","Nov","Dec")</f>
        <v>Nov</v>
      </c>
    </row>
    <row r="1537" customFormat="false" ht="15" hidden="false" customHeight="false" outlineLevel="0" collapsed="false">
      <c r="A1537" s="4" t="s">
        <v>1921</v>
      </c>
      <c r="B1537" s="17" t="n">
        <v>45973</v>
      </c>
      <c r="C1537" s="4" t="n">
        <v>19</v>
      </c>
      <c r="D1537" s="4" t="s">
        <v>70</v>
      </c>
      <c r="E1537" s="4" t="s">
        <v>74</v>
      </c>
      <c r="F1537" s="4" t="s">
        <v>139</v>
      </c>
      <c r="G1537" s="4" t="n">
        <v>1</v>
      </c>
      <c r="H1537" s="34" t="n">
        <v>260</v>
      </c>
      <c r="I1537" s="18" t="n">
        <v>0.15</v>
      </c>
      <c r="J1537" s="4" t="s">
        <v>67</v>
      </c>
      <c r="K1537" s="4" t="s">
        <v>82</v>
      </c>
      <c r="L1537" s="35" t="n">
        <f aca="false">G1537*H1537</f>
        <v>260</v>
      </c>
      <c r="M1537" s="35" t="n">
        <f aca="false">L1537*I1537</f>
        <v>39</v>
      </c>
      <c r="N1537" s="35" t="n">
        <f aca="false">L1537-M1537</f>
        <v>221</v>
      </c>
      <c r="O1537" s="4" t="n">
        <f aca="false">MONTH(B1537)</f>
        <v>11</v>
      </c>
      <c r="P1537" s="4" t="str">
        <f aca="false">CHOOSE(WEEKDAY(B1537,2),"Mon","Tue","Wed","Thu","Fri","Sat","Sun")</f>
        <v>Wed</v>
      </c>
      <c r="Q1537" s="4" t="str">
        <f aca="false">IF(WEEKDAY(B1537,2)&gt;5,"Weekend","Weekday")</f>
        <v>Weekday</v>
      </c>
      <c r="R1537" s="4" t="str">
        <f aca="false">IF(C1537&lt;11,"Morning (7-10)",IF(C1537&lt;14,"Lunch (11-13)",IF(C1537&lt;18,"Afternoon (14-17)","Evening (18-20)")))</f>
        <v>Evening (18-20)</v>
      </c>
      <c r="S1537" s="4" t="str">
        <f aca="false">IF(AND(O1537&gt;=3,O1537&lt;=5),"Hot Dry (Mar-May)",IF(AND(O1537&gt;=6,O1537&lt;=11),"Rainy (Jun-Nov)","Cool Dry (Dec-Feb)"))</f>
        <v>Rainy (Jun-Nov)</v>
      </c>
      <c r="T1537" s="4" t="str">
        <f aca="false">CHOOSE(O1537,"Jan","Feb","Mar","Apr","May","Jun","Jul","Aug","Sep","Oct","Nov","Dec")</f>
        <v>Nov</v>
      </c>
    </row>
    <row r="1538" customFormat="false" ht="15" hidden="false" customHeight="false" outlineLevel="0" collapsed="false">
      <c r="A1538" s="4" t="s">
        <v>1922</v>
      </c>
      <c r="B1538" s="17" t="n">
        <v>45974</v>
      </c>
      <c r="C1538" s="4" t="n">
        <v>9</v>
      </c>
      <c r="D1538" s="4" t="s">
        <v>64</v>
      </c>
      <c r="E1538" s="4" t="s">
        <v>79</v>
      </c>
      <c r="F1538" s="4" t="s">
        <v>148</v>
      </c>
      <c r="G1538" s="4" t="n">
        <v>1</v>
      </c>
      <c r="H1538" s="34" t="n">
        <v>120</v>
      </c>
      <c r="I1538" s="18" t="n">
        <v>0</v>
      </c>
      <c r="J1538" s="4" t="s">
        <v>81</v>
      </c>
      <c r="K1538" s="4" t="s">
        <v>77</v>
      </c>
      <c r="L1538" s="35" t="n">
        <f aca="false">G1538*H1538</f>
        <v>120</v>
      </c>
      <c r="M1538" s="35" t="n">
        <f aca="false">L1538*I1538</f>
        <v>0</v>
      </c>
      <c r="N1538" s="35" t="n">
        <f aca="false">L1538-M1538</f>
        <v>120</v>
      </c>
      <c r="O1538" s="4" t="n">
        <f aca="false">MONTH(B1538)</f>
        <v>11</v>
      </c>
      <c r="P1538" s="4" t="str">
        <f aca="false">CHOOSE(WEEKDAY(B1538,2),"Mon","Tue","Wed","Thu","Fri","Sat","Sun")</f>
        <v>Thu</v>
      </c>
      <c r="Q1538" s="4" t="str">
        <f aca="false">IF(WEEKDAY(B1538,2)&gt;5,"Weekend","Weekday")</f>
        <v>Weekday</v>
      </c>
      <c r="R1538" s="4" t="str">
        <f aca="false">IF(C1538&lt;11,"Morning (7-10)",IF(C1538&lt;14,"Lunch (11-13)",IF(C1538&lt;18,"Afternoon (14-17)","Evening (18-20)")))</f>
        <v>Morning (7-10)</v>
      </c>
      <c r="S1538" s="4" t="str">
        <f aca="false">IF(AND(O1538&gt;=3,O1538&lt;=5),"Hot Dry (Mar-May)",IF(AND(O1538&gt;=6,O1538&lt;=11),"Rainy (Jun-Nov)","Cool Dry (Dec-Feb)"))</f>
        <v>Rainy (Jun-Nov)</v>
      </c>
      <c r="T1538" s="4" t="str">
        <f aca="false">CHOOSE(O1538,"Jan","Feb","Mar","Apr","May","Jun","Jul","Aug","Sep","Oct","Nov","Dec")</f>
        <v>Nov</v>
      </c>
    </row>
    <row r="1539" customFormat="false" ht="15" hidden="false" customHeight="false" outlineLevel="0" collapsed="false">
      <c r="A1539" s="4" t="s">
        <v>1923</v>
      </c>
      <c r="B1539" s="17" t="n">
        <v>45974</v>
      </c>
      <c r="C1539" s="4" t="n">
        <v>9</v>
      </c>
      <c r="D1539" s="4" t="s">
        <v>70</v>
      </c>
      <c r="E1539" s="4" t="s">
        <v>84</v>
      </c>
      <c r="F1539" s="4" t="s">
        <v>117</v>
      </c>
      <c r="G1539" s="4" t="n">
        <v>1</v>
      </c>
      <c r="H1539" s="34" t="n">
        <v>95</v>
      </c>
      <c r="I1539" s="18" t="n">
        <v>0</v>
      </c>
      <c r="J1539" s="4" t="s">
        <v>76</v>
      </c>
      <c r="K1539" s="4" t="s">
        <v>77</v>
      </c>
      <c r="L1539" s="35" t="n">
        <f aca="false">G1539*H1539</f>
        <v>95</v>
      </c>
      <c r="M1539" s="35" t="n">
        <f aca="false">L1539*I1539</f>
        <v>0</v>
      </c>
      <c r="N1539" s="35" t="n">
        <f aca="false">L1539-M1539</f>
        <v>95</v>
      </c>
      <c r="O1539" s="4" t="n">
        <f aca="false">MONTH(B1539)</f>
        <v>11</v>
      </c>
      <c r="P1539" s="4" t="str">
        <f aca="false">CHOOSE(WEEKDAY(B1539,2),"Mon","Tue","Wed","Thu","Fri","Sat","Sun")</f>
        <v>Thu</v>
      </c>
      <c r="Q1539" s="4" t="str">
        <f aca="false">IF(WEEKDAY(B1539,2)&gt;5,"Weekend","Weekday")</f>
        <v>Weekday</v>
      </c>
      <c r="R1539" s="4" t="str">
        <f aca="false">IF(C1539&lt;11,"Morning (7-10)",IF(C1539&lt;14,"Lunch (11-13)",IF(C1539&lt;18,"Afternoon (14-17)","Evening (18-20)")))</f>
        <v>Morning (7-10)</v>
      </c>
      <c r="S1539" s="4" t="str">
        <f aca="false">IF(AND(O1539&gt;=3,O1539&lt;=5),"Hot Dry (Mar-May)",IF(AND(O1539&gt;=6,O1539&lt;=11),"Rainy (Jun-Nov)","Cool Dry (Dec-Feb)"))</f>
        <v>Rainy (Jun-Nov)</v>
      </c>
      <c r="T1539" s="4" t="str">
        <f aca="false">CHOOSE(O1539,"Jan","Feb","Mar","Apr","May","Jun","Jul","Aug","Sep","Oct","Nov","Dec")</f>
        <v>Nov</v>
      </c>
    </row>
    <row r="1540" customFormat="false" ht="15" hidden="false" customHeight="false" outlineLevel="0" collapsed="false">
      <c r="A1540" s="4" t="s">
        <v>1924</v>
      </c>
      <c r="B1540" s="17" t="n">
        <v>45974</v>
      </c>
      <c r="C1540" s="4" t="n">
        <v>13</v>
      </c>
      <c r="D1540" s="4" t="s">
        <v>64</v>
      </c>
      <c r="E1540" s="4" t="s">
        <v>99</v>
      </c>
      <c r="F1540" s="4" t="s">
        <v>102</v>
      </c>
      <c r="G1540" s="4" t="n">
        <v>1</v>
      </c>
      <c r="H1540" s="34" t="n">
        <v>140</v>
      </c>
      <c r="I1540" s="18" t="n">
        <v>0</v>
      </c>
      <c r="J1540" s="4" t="s">
        <v>67</v>
      </c>
      <c r="K1540" s="4" t="s">
        <v>68</v>
      </c>
      <c r="L1540" s="35" t="n">
        <f aca="false">G1540*H1540</f>
        <v>140</v>
      </c>
      <c r="M1540" s="35" t="n">
        <f aca="false">L1540*I1540</f>
        <v>0</v>
      </c>
      <c r="N1540" s="35" t="n">
        <f aca="false">L1540-M1540</f>
        <v>140</v>
      </c>
      <c r="O1540" s="4" t="n">
        <f aca="false">MONTH(B1540)</f>
        <v>11</v>
      </c>
      <c r="P1540" s="4" t="str">
        <f aca="false">CHOOSE(WEEKDAY(B1540,2),"Mon","Tue","Wed","Thu","Fri","Sat","Sun")</f>
        <v>Thu</v>
      </c>
      <c r="Q1540" s="4" t="str">
        <f aca="false">IF(WEEKDAY(B1540,2)&gt;5,"Weekend","Weekday")</f>
        <v>Weekday</v>
      </c>
      <c r="R1540" s="4" t="str">
        <f aca="false">IF(C1540&lt;11,"Morning (7-10)",IF(C1540&lt;14,"Lunch (11-13)",IF(C1540&lt;18,"Afternoon (14-17)","Evening (18-20)")))</f>
        <v>Lunch (11-13)</v>
      </c>
      <c r="S1540" s="4" t="str">
        <f aca="false">IF(AND(O1540&gt;=3,O1540&lt;=5),"Hot Dry (Mar-May)",IF(AND(O1540&gt;=6,O1540&lt;=11),"Rainy (Jun-Nov)","Cool Dry (Dec-Feb)"))</f>
        <v>Rainy (Jun-Nov)</v>
      </c>
      <c r="T1540" s="4" t="str">
        <f aca="false">CHOOSE(O1540,"Jan","Feb","Mar","Apr","May","Jun","Jul","Aug","Sep","Oct","Nov","Dec")</f>
        <v>Nov</v>
      </c>
    </row>
    <row r="1541" customFormat="false" ht="15" hidden="false" customHeight="false" outlineLevel="0" collapsed="false">
      <c r="A1541" s="4" t="s">
        <v>1926</v>
      </c>
      <c r="B1541" s="17" t="n">
        <v>45974</v>
      </c>
      <c r="C1541" s="4" t="n">
        <v>19</v>
      </c>
      <c r="D1541" s="4" t="s">
        <v>73</v>
      </c>
      <c r="E1541" s="4" t="s">
        <v>99</v>
      </c>
      <c r="F1541" s="4" t="s">
        <v>109</v>
      </c>
      <c r="G1541" s="4" t="n">
        <v>1</v>
      </c>
      <c r="H1541" s="34" t="n">
        <v>130</v>
      </c>
      <c r="I1541" s="18" t="n">
        <v>0.05</v>
      </c>
      <c r="J1541" s="4" t="s">
        <v>67</v>
      </c>
      <c r="K1541" s="4" t="s">
        <v>82</v>
      </c>
      <c r="L1541" s="35" t="n">
        <f aca="false">G1541*H1541</f>
        <v>130</v>
      </c>
      <c r="M1541" s="35" t="n">
        <f aca="false">L1541*I1541</f>
        <v>6.5</v>
      </c>
      <c r="N1541" s="35" t="n">
        <f aca="false">L1541-M1541</f>
        <v>123.5</v>
      </c>
      <c r="O1541" s="4" t="n">
        <f aca="false">MONTH(B1541)</f>
        <v>11</v>
      </c>
      <c r="P1541" s="4" t="str">
        <f aca="false">CHOOSE(WEEKDAY(B1541,2),"Mon","Tue","Wed","Thu","Fri","Sat","Sun")</f>
        <v>Thu</v>
      </c>
      <c r="Q1541" s="4" t="str">
        <f aca="false">IF(WEEKDAY(B1541,2)&gt;5,"Weekend","Weekday")</f>
        <v>Weekday</v>
      </c>
      <c r="R1541" s="4" t="str">
        <f aca="false">IF(C1541&lt;11,"Morning (7-10)",IF(C1541&lt;14,"Lunch (11-13)",IF(C1541&lt;18,"Afternoon (14-17)","Evening (18-20)")))</f>
        <v>Evening (18-20)</v>
      </c>
      <c r="S1541" s="4" t="str">
        <f aca="false">IF(AND(O1541&gt;=3,O1541&lt;=5),"Hot Dry (Mar-May)",IF(AND(O1541&gt;=6,O1541&lt;=11),"Rainy (Jun-Nov)","Cool Dry (Dec-Feb)"))</f>
        <v>Rainy (Jun-Nov)</v>
      </c>
      <c r="T1541" s="4" t="str">
        <f aca="false">CHOOSE(O1541,"Jan","Feb","Mar","Apr","May","Jun","Jul","Aug","Sep","Oct","Nov","Dec")</f>
        <v>Nov</v>
      </c>
    </row>
    <row r="1542" customFormat="false" ht="15" hidden="false" customHeight="false" outlineLevel="0" collapsed="false">
      <c r="A1542" s="4" t="s">
        <v>1927</v>
      </c>
      <c r="B1542" s="17" t="n">
        <v>45974</v>
      </c>
      <c r="C1542" s="4" t="n">
        <v>19</v>
      </c>
      <c r="D1542" s="4" t="s">
        <v>98</v>
      </c>
      <c r="E1542" s="4" t="s">
        <v>84</v>
      </c>
      <c r="F1542" s="4" t="s">
        <v>106</v>
      </c>
      <c r="G1542" s="4" t="n">
        <v>1</v>
      </c>
      <c r="H1542" s="34" t="n">
        <v>60</v>
      </c>
      <c r="I1542" s="18" t="n">
        <v>0.05</v>
      </c>
      <c r="J1542" s="4" t="s">
        <v>67</v>
      </c>
      <c r="K1542" s="4" t="s">
        <v>82</v>
      </c>
      <c r="L1542" s="35" t="n">
        <f aca="false">G1542*H1542</f>
        <v>60</v>
      </c>
      <c r="M1542" s="35" t="n">
        <f aca="false">L1542*I1542</f>
        <v>3</v>
      </c>
      <c r="N1542" s="35" t="n">
        <f aca="false">L1542-M1542</f>
        <v>57</v>
      </c>
      <c r="O1542" s="4" t="n">
        <f aca="false">MONTH(B1542)</f>
        <v>11</v>
      </c>
      <c r="P1542" s="4" t="str">
        <f aca="false">CHOOSE(WEEKDAY(B1542,2),"Mon","Tue","Wed","Thu","Fri","Sat","Sun")</f>
        <v>Thu</v>
      </c>
      <c r="Q1542" s="4" t="str">
        <f aca="false">IF(WEEKDAY(B1542,2)&gt;5,"Weekend","Weekday")</f>
        <v>Weekday</v>
      </c>
      <c r="R1542" s="4" t="str">
        <f aca="false">IF(C1542&lt;11,"Morning (7-10)",IF(C1542&lt;14,"Lunch (11-13)",IF(C1542&lt;18,"Afternoon (14-17)","Evening (18-20)")))</f>
        <v>Evening (18-20)</v>
      </c>
      <c r="S1542" s="4" t="str">
        <f aca="false">IF(AND(O1542&gt;=3,O1542&lt;=5),"Hot Dry (Mar-May)",IF(AND(O1542&gt;=6,O1542&lt;=11),"Rainy (Jun-Nov)","Cool Dry (Dec-Feb)"))</f>
        <v>Rainy (Jun-Nov)</v>
      </c>
      <c r="T1542" s="4" t="str">
        <f aca="false">CHOOSE(O1542,"Jan","Feb","Mar","Apr","May","Jun","Jul","Aug","Sep","Oct","Nov","Dec")</f>
        <v>Nov</v>
      </c>
    </row>
    <row r="1543" customFormat="false" ht="15" hidden="false" customHeight="false" outlineLevel="0" collapsed="false">
      <c r="A1543" s="4" t="s">
        <v>1928</v>
      </c>
      <c r="B1543" s="17" t="n">
        <v>45975</v>
      </c>
      <c r="C1543" s="4" t="n">
        <v>9</v>
      </c>
      <c r="D1543" s="4" t="s">
        <v>70</v>
      </c>
      <c r="E1543" s="4" t="s">
        <v>99</v>
      </c>
      <c r="F1543" s="4" t="s">
        <v>133</v>
      </c>
      <c r="G1543" s="4" t="n">
        <v>1</v>
      </c>
      <c r="H1543" s="34" t="n">
        <v>90</v>
      </c>
      <c r="I1543" s="18" t="n">
        <v>0.1</v>
      </c>
      <c r="J1543" s="4" t="s">
        <v>112</v>
      </c>
      <c r="K1543" s="4" t="s">
        <v>68</v>
      </c>
      <c r="L1543" s="35" t="n">
        <f aca="false">G1543*H1543</f>
        <v>90</v>
      </c>
      <c r="M1543" s="35" t="n">
        <f aca="false">L1543*I1543</f>
        <v>9</v>
      </c>
      <c r="N1543" s="35" t="n">
        <f aca="false">L1543-M1543</f>
        <v>81</v>
      </c>
      <c r="O1543" s="4" t="n">
        <f aca="false">MONTH(B1543)</f>
        <v>11</v>
      </c>
      <c r="P1543" s="4" t="str">
        <f aca="false">CHOOSE(WEEKDAY(B1543,2),"Mon","Tue","Wed","Thu","Fri","Sat","Sun")</f>
        <v>Fri</v>
      </c>
      <c r="Q1543" s="4" t="str">
        <f aca="false">IF(WEEKDAY(B1543,2)&gt;5,"Weekend","Weekday")</f>
        <v>Weekday</v>
      </c>
      <c r="R1543" s="4" t="str">
        <f aca="false">IF(C1543&lt;11,"Morning (7-10)",IF(C1543&lt;14,"Lunch (11-13)",IF(C1543&lt;18,"Afternoon (14-17)","Evening (18-20)")))</f>
        <v>Morning (7-10)</v>
      </c>
      <c r="S1543" s="4" t="str">
        <f aca="false">IF(AND(O1543&gt;=3,O1543&lt;=5),"Hot Dry (Mar-May)",IF(AND(O1543&gt;=6,O1543&lt;=11),"Rainy (Jun-Nov)","Cool Dry (Dec-Feb)"))</f>
        <v>Rainy (Jun-Nov)</v>
      </c>
      <c r="T1543" s="4" t="str">
        <f aca="false">CHOOSE(O1543,"Jan","Feb","Mar","Apr","May","Jun","Jul","Aug","Sep","Oct","Nov","Dec")</f>
        <v>Nov</v>
      </c>
    </row>
    <row r="1544" customFormat="false" ht="15" hidden="false" customHeight="false" outlineLevel="0" collapsed="false">
      <c r="A1544" s="4" t="s">
        <v>1929</v>
      </c>
      <c r="B1544" s="17" t="n">
        <v>45975</v>
      </c>
      <c r="C1544" s="4" t="n">
        <v>10</v>
      </c>
      <c r="D1544" s="4" t="s">
        <v>73</v>
      </c>
      <c r="E1544" s="4" t="s">
        <v>84</v>
      </c>
      <c r="F1544" s="4" t="s">
        <v>117</v>
      </c>
      <c r="G1544" s="4" t="n">
        <v>3</v>
      </c>
      <c r="H1544" s="34" t="n">
        <v>95</v>
      </c>
      <c r="I1544" s="18" t="n">
        <v>0.05</v>
      </c>
      <c r="J1544" s="4" t="s">
        <v>112</v>
      </c>
      <c r="K1544" s="4" t="s">
        <v>82</v>
      </c>
      <c r="L1544" s="35" t="n">
        <f aca="false">G1544*H1544</f>
        <v>285</v>
      </c>
      <c r="M1544" s="35" t="n">
        <f aca="false">L1544*I1544</f>
        <v>14.25</v>
      </c>
      <c r="N1544" s="35" t="n">
        <f aca="false">L1544-M1544</f>
        <v>270.75</v>
      </c>
      <c r="O1544" s="4" t="n">
        <f aca="false">MONTH(B1544)</f>
        <v>11</v>
      </c>
      <c r="P1544" s="4" t="str">
        <f aca="false">CHOOSE(WEEKDAY(B1544,2),"Mon","Tue","Wed","Thu","Fri","Sat","Sun")</f>
        <v>Fri</v>
      </c>
      <c r="Q1544" s="4" t="str">
        <f aca="false">IF(WEEKDAY(B1544,2)&gt;5,"Weekend","Weekday")</f>
        <v>Weekday</v>
      </c>
      <c r="R1544" s="4" t="str">
        <f aca="false">IF(C1544&lt;11,"Morning (7-10)",IF(C1544&lt;14,"Lunch (11-13)",IF(C1544&lt;18,"Afternoon (14-17)","Evening (18-20)")))</f>
        <v>Morning (7-10)</v>
      </c>
      <c r="S1544" s="4" t="str">
        <f aca="false">IF(AND(O1544&gt;=3,O1544&lt;=5),"Hot Dry (Mar-May)",IF(AND(O1544&gt;=6,O1544&lt;=11),"Rainy (Jun-Nov)","Cool Dry (Dec-Feb)"))</f>
        <v>Rainy (Jun-Nov)</v>
      </c>
      <c r="T1544" s="4" t="str">
        <f aca="false">CHOOSE(O1544,"Jan","Feb","Mar","Apr","May","Jun","Jul","Aug","Sep","Oct","Nov","Dec")</f>
        <v>Nov</v>
      </c>
    </row>
    <row r="1545" customFormat="false" ht="15" hidden="false" customHeight="false" outlineLevel="0" collapsed="false">
      <c r="A1545" s="4" t="s">
        <v>1930</v>
      </c>
      <c r="B1545" s="17" t="n">
        <v>45975</v>
      </c>
      <c r="C1545" s="4" t="n">
        <v>12</v>
      </c>
      <c r="D1545" s="4" t="s">
        <v>70</v>
      </c>
      <c r="E1545" s="4" t="s">
        <v>65</v>
      </c>
      <c r="F1545" s="4" t="s">
        <v>94</v>
      </c>
      <c r="G1545" s="4" t="n">
        <v>1</v>
      </c>
      <c r="H1545" s="34" t="n">
        <v>150</v>
      </c>
      <c r="I1545" s="18" t="n">
        <v>0.05</v>
      </c>
      <c r="J1545" s="4" t="s">
        <v>81</v>
      </c>
      <c r="K1545" s="4" t="s">
        <v>82</v>
      </c>
      <c r="L1545" s="35" t="n">
        <f aca="false">G1545*H1545</f>
        <v>150</v>
      </c>
      <c r="M1545" s="35" t="n">
        <f aca="false">L1545*I1545</f>
        <v>7.5</v>
      </c>
      <c r="N1545" s="35" t="n">
        <f aca="false">L1545-M1545</f>
        <v>142.5</v>
      </c>
      <c r="O1545" s="4" t="n">
        <f aca="false">MONTH(B1545)</f>
        <v>11</v>
      </c>
      <c r="P1545" s="4" t="str">
        <f aca="false">CHOOSE(WEEKDAY(B1545,2),"Mon","Tue","Wed","Thu","Fri","Sat","Sun")</f>
        <v>Fri</v>
      </c>
      <c r="Q1545" s="4" t="str">
        <f aca="false">IF(WEEKDAY(B1545,2)&gt;5,"Weekend","Weekday")</f>
        <v>Weekday</v>
      </c>
      <c r="R1545" s="4" t="str">
        <f aca="false">IF(C1545&lt;11,"Morning (7-10)",IF(C1545&lt;14,"Lunch (11-13)",IF(C1545&lt;18,"Afternoon (14-17)","Evening (18-20)")))</f>
        <v>Lunch (11-13)</v>
      </c>
      <c r="S1545" s="4" t="str">
        <f aca="false">IF(AND(O1545&gt;=3,O1545&lt;=5),"Hot Dry (Mar-May)",IF(AND(O1545&gt;=6,O1545&lt;=11),"Rainy (Jun-Nov)","Cool Dry (Dec-Feb)"))</f>
        <v>Rainy (Jun-Nov)</v>
      </c>
      <c r="T1545" s="4" t="str">
        <f aca="false">CHOOSE(O1545,"Jan","Feb","Mar","Apr","May","Jun","Jul","Aug","Sep","Oct","Nov","Dec")</f>
        <v>Nov</v>
      </c>
    </row>
    <row r="1546" customFormat="false" ht="15" hidden="false" customHeight="false" outlineLevel="0" collapsed="false">
      <c r="A1546" s="4" t="s">
        <v>1932</v>
      </c>
      <c r="B1546" s="17" t="n">
        <v>45975</v>
      </c>
      <c r="C1546" s="4" t="n">
        <v>13</v>
      </c>
      <c r="D1546" s="4" t="s">
        <v>73</v>
      </c>
      <c r="E1546" s="4" t="s">
        <v>65</v>
      </c>
      <c r="F1546" s="4" t="s">
        <v>94</v>
      </c>
      <c r="G1546" s="4" t="n">
        <v>2</v>
      </c>
      <c r="H1546" s="34" t="n">
        <v>150</v>
      </c>
      <c r="I1546" s="18" t="n">
        <v>0</v>
      </c>
      <c r="J1546" s="4" t="s">
        <v>112</v>
      </c>
      <c r="K1546" s="4" t="s">
        <v>77</v>
      </c>
      <c r="L1546" s="35" t="n">
        <f aca="false">G1546*H1546</f>
        <v>300</v>
      </c>
      <c r="M1546" s="35" t="n">
        <f aca="false">L1546*I1546</f>
        <v>0</v>
      </c>
      <c r="N1546" s="35" t="n">
        <f aca="false">L1546-M1546</f>
        <v>300</v>
      </c>
      <c r="O1546" s="4" t="n">
        <f aca="false">MONTH(B1546)</f>
        <v>11</v>
      </c>
      <c r="P1546" s="4" t="str">
        <f aca="false">CHOOSE(WEEKDAY(B1546,2),"Mon","Tue","Wed","Thu","Fri","Sat","Sun")</f>
        <v>Fri</v>
      </c>
      <c r="Q1546" s="4" t="str">
        <f aca="false">IF(WEEKDAY(B1546,2)&gt;5,"Weekend","Weekday")</f>
        <v>Weekday</v>
      </c>
      <c r="R1546" s="4" t="str">
        <f aca="false">IF(C1546&lt;11,"Morning (7-10)",IF(C1546&lt;14,"Lunch (11-13)",IF(C1546&lt;18,"Afternoon (14-17)","Evening (18-20)")))</f>
        <v>Lunch (11-13)</v>
      </c>
      <c r="S1546" s="4" t="str">
        <f aca="false">IF(AND(O1546&gt;=3,O1546&lt;=5),"Hot Dry (Mar-May)",IF(AND(O1546&gt;=6,O1546&lt;=11),"Rainy (Jun-Nov)","Cool Dry (Dec-Feb)"))</f>
        <v>Rainy (Jun-Nov)</v>
      </c>
      <c r="T1546" s="4" t="str">
        <f aca="false">CHOOSE(O1546,"Jan","Feb","Mar","Apr","May","Jun","Jul","Aug","Sep","Oct","Nov","Dec")</f>
        <v>Nov</v>
      </c>
    </row>
    <row r="1547" customFormat="false" ht="15" hidden="false" customHeight="false" outlineLevel="0" collapsed="false">
      <c r="A1547" s="4" t="s">
        <v>1934</v>
      </c>
      <c r="B1547" s="17" t="n">
        <v>45975</v>
      </c>
      <c r="C1547" s="4" t="n">
        <v>14</v>
      </c>
      <c r="D1547" s="4" t="s">
        <v>64</v>
      </c>
      <c r="E1547" s="4" t="s">
        <v>65</v>
      </c>
      <c r="F1547" s="4" t="s">
        <v>94</v>
      </c>
      <c r="G1547" s="4" t="n">
        <v>1</v>
      </c>
      <c r="H1547" s="34" t="n">
        <v>150</v>
      </c>
      <c r="I1547" s="18" t="n">
        <v>0.05</v>
      </c>
      <c r="J1547" s="4" t="s">
        <v>67</v>
      </c>
      <c r="K1547" s="4" t="s">
        <v>82</v>
      </c>
      <c r="L1547" s="35" t="n">
        <f aca="false">G1547*H1547</f>
        <v>150</v>
      </c>
      <c r="M1547" s="35" t="n">
        <f aca="false">L1547*I1547</f>
        <v>7.5</v>
      </c>
      <c r="N1547" s="35" t="n">
        <f aca="false">L1547-M1547</f>
        <v>142.5</v>
      </c>
      <c r="O1547" s="4" t="n">
        <f aca="false">MONTH(B1547)</f>
        <v>11</v>
      </c>
      <c r="P1547" s="4" t="str">
        <f aca="false">CHOOSE(WEEKDAY(B1547,2),"Mon","Tue","Wed","Thu","Fri","Sat","Sun")</f>
        <v>Fri</v>
      </c>
      <c r="Q1547" s="4" t="str">
        <f aca="false">IF(WEEKDAY(B1547,2)&gt;5,"Weekend","Weekday")</f>
        <v>Weekday</v>
      </c>
      <c r="R1547" s="4" t="str">
        <f aca="false">IF(C1547&lt;11,"Morning (7-10)",IF(C1547&lt;14,"Lunch (11-13)",IF(C1547&lt;18,"Afternoon (14-17)","Evening (18-20)")))</f>
        <v>Afternoon (14-17)</v>
      </c>
      <c r="S1547" s="4" t="str">
        <f aca="false">IF(AND(O1547&gt;=3,O1547&lt;=5),"Hot Dry (Mar-May)",IF(AND(O1547&gt;=6,O1547&lt;=11),"Rainy (Jun-Nov)","Cool Dry (Dec-Feb)"))</f>
        <v>Rainy (Jun-Nov)</v>
      </c>
      <c r="T1547" s="4" t="str">
        <f aca="false">CHOOSE(O1547,"Jan","Feb","Mar","Apr","May","Jun","Jul","Aug","Sep","Oct","Nov","Dec")</f>
        <v>Nov</v>
      </c>
    </row>
    <row r="1548" customFormat="false" ht="15" hidden="false" customHeight="false" outlineLevel="0" collapsed="false">
      <c r="A1548" s="4" t="s">
        <v>1935</v>
      </c>
      <c r="B1548" s="17" t="n">
        <v>45975</v>
      </c>
      <c r="C1548" s="4" t="n">
        <v>14</v>
      </c>
      <c r="D1548" s="4" t="s">
        <v>98</v>
      </c>
      <c r="E1548" s="4" t="s">
        <v>99</v>
      </c>
      <c r="F1548" s="4" t="s">
        <v>100</v>
      </c>
      <c r="G1548" s="4" t="n">
        <v>1</v>
      </c>
      <c r="H1548" s="34" t="n">
        <v>110</v>
      </c>
      <c r="I1548" s="18" t="n">
        <v>0.15</v>
      </c>
      <c r="J1548" s="4" t="s">
        <v>67</v>
      </c>
      <c r="K1548" s="4" t="s">
        <v>82</v>
      </c>
      <c r="L1548" s="35" t="n">
        <f aca="false">G1548*H1548</f>
        <v>110</v>
      </c>
      <c r="M1548" s="35" t="n">
        <f aca="false">L1548*I1548</f>
        <v>16.5</v>
      </c>
      <c r="N1548" s="35" t="n">
        <f aca="false">L1548-M1548</f>
        <v>93.5</v>
      </c>
      <c r="O1548" s="4" t="n">
        <f aca="false">MONTH(B1548)</f>
        <v>11</v>
      </c>
      <c r="P1548" s="4" t="str">
        <f aca="false">CHOOSE(WEEKDAY(B1548,2),"Mon","Tue","Wed","Thu","Fri","Sat","Sun")</f>
        <v>Fri</v>
      </c>
      <c r="Q1548" s="4" t="str">
        <f aca="false">IF(WEEKDAY(B1548,2)&gt;5,"Weekend","Weekday")</f>
        <v>Weekday</v>
      </c>
      <c r="R1548" s="4" t="str">
        <f aca="false">IF(C1548&lt;11,"Morning (7-10)",IF(C1548&lt;14,"Lunch (11-13)",IF(C1548&lt;18,"Afternoon (14-17)","Evening (18-20)")))</f>
        <v>Afternoon (14-17)</v>
      </c>
      <c r="S1548" s="4" t="str">
        <f aca="false">IF(AND(O1548&gt;=3,O1548&lt;=5),"Hot Dry (Mar-May)",IF(AND(O1548&gt;=6,O1548&lt;=11),"Rainy (Jun-Nov)","Cool Dry (Dec-Feb)"))</f>
        <v>Rainy (Jun-Nov)</v>
      </c>
      <c r="T1548" s="4" t="str">
        <f aca="false">CHOOSE(O1548,"Jan","Feb","Mar","Apr","May","Jun","Jul","Aug","Sep","Oct","Nov","Dec")</f>
        <v>Nov</v>
      </c>
    </row>
    <row r="1549" customFormat="false" ht="15" hidden="false" customHeight="false" outlineLevel="0" collapsed="false">
      <c r="A1549" s="4" t="s">
        <v>1936</v>
      </c>
      <c r="B1549" s="17" t="n">
        <v>45975</v>
      </c>
      <c r="C1549" s="4" t="n">
        <v>19</v>
      </c>
      <c r="D1549" s="4" t="s">
        <v>64</v>
      </c>
      <c r="E1549" s="4" t="s">
        <v>84</v>
      </c>
      <c r="F1549" s="4" t="s">
        <v>117</v>
      </c>
      <c r="G1549" s="4" t="n">
        <v>2</v>
      </c>
      <c r="H1549" s="34" t="n">
        <v>95</v>
      </c>
      <c r="I1549" s="18" t="n">
        <v>0.05</v>
      </c>
      <c r="J1549" s="4" t="s">
        <v>81</v>
      </c>
      <c r="K1549" s="4" t="s">
        <v>82</v>
      </c>
      <c r="L1549" s="35" t="n">
        <f aca="false">G1549*H1549</f>
        <v>190</v>
      </c>
      <c r="M1549" s="35" t="n">
        <f aca="false">L1549*I1549</f>
        <v>9.5</v>
      </c>
      <c r="N1549" s="35" t="n">
        <f aca="false">L1549-M1549</f>
        <v>180.5</v>
      </c>
      <c r="O1549" s="4" t="n">
        <f aca="false">MONTH(B1549)</f>
        <v>11</v>
      </c>
      <c r="P1549" s="4" t="str">
        <f aca="false">CHOOSE(WEEKDAY(B1549,2),"Mon","Tue","Wed","Thu","Fri","Sat","Sun")</f>
        <v>Fri</v>
      </c>
      <c r="Q1549" s="4" t="str">
        <f aca="false">IF(WEEKDAY(B1549,2)&gt;5,"Weekend","Weekday")</f>
        <v>Weekday</v>
      </c>
      <c r="R1549" s="4" t="str">
        <f aca="false">IF(C1549&lt;11,"Morning (7-10)",IF(C1549&lt;14,"Lunch (11-13)",IF(C1549&lt;18,"Afternoon (14-17)","Evening (18-20)")))</f>
        <v>Evening (18-20)</v>
      </c>
      <c r="S1549" s="4" t="str">
        <f aca="false">IF(AND(O1549&gt;=3,O1549&lt;=5),"Hot Dry (Mar-May)",IF(AND(O1549&gt;=6,O1549&lt;=11),"Rainy (Jun-Nov)","Cool Dry (Dec-Feb)"))</f>
        <v>Rainy (Jun-Nov)</v>
      </c>
      <c r="T1549" s="4" t="str">
        <f aca="false">CHOOSE(O1549,"Jan","Feb","Mar","Apr","May","Jun","Jul","Aug","Sep","Oct","Nov","Dec")</f>
        <v>Nov</v>
      </c>
    </row>
    <row r="1550" customFormat="false" ht="15" hidden="false" customHeight="false" outlineLevel="0" collapsed="false">
      <c r="A1550" s="4" t="s">
        <v>1937</v>
      </c>
      <c r="B1550" s="17" t="n">
        <v>45976</v>
      </c>
      <c r="C1550" s="4" t="n">
        <v>8</v>
      </c>
      <c r="D1550" s="4" t="s">
        <v>64</v>
      </c>
      <c r="E1550" s="4" t="s">
        <v>99</v>
      </c>
      <c r="F1550" s="4" t="s">
        <v>102</v>
      </c>
      <c r="G1550" s="4" t="n">
        <v>4</v>
      </c>
      <c r="H1550" s="34" t="n">
        <v>140</v>
      </c>
      <c r="I1550" s="18" t="n">
        <v>0.2</v>
      </c>
      <c r="J1550" s="4" t="s">
        <v>81</v>
      </c>
      <c r="K1550" s="4" t="s">
        <v>71</v>
      </c>
      <c r="L1550" s="35" t="n">
        <f aca="false">G1550*H1550</f>
        <v>560</v>
      </c>
      <c r="M1550" s="35" t="n">
        <f aca="false">L1550*I1550</f>
        <v>112</v>
      </c>
      <c r="N1550" s="35" t="n">
        <f aca="false">L1550-M1550</f>
        <v>448</v>
      </c>
      <c r="O1550" s="4" t="n">
        <f aca="false">MONTH(B1550)</f>
        <v>11</v>
      </c>
      <c r="P1550" s="4" t="str">
        <f aca="false">CHOOSE(WEEKDAY(B1550,2),"Mon","Tue","Wed","Thu","Fri","Sat","Sun")</f>
        <v>Sat</v>
      </c>
      <c r="Q1550" s="4" t="str">
        <f aca="false">IF(WEEKDAY(B1550,2)&gt;5,"Weekend","Weekday")</f>
        <v>Weekend</v>
      </c>
      <c r="R1550" s="4" t="str">
        <f aca="false">IF(C1550&lt;11,"Morning (7-10)",IF(C1550&lt;14,"Lunch (11-13)",IF(C1550&lt;18,"Afternoon (14-17)","Evening (18-20)")))</f>
        <v>Morning (7-10)</v>
      </c>
      <c r="S1550" s="4" t="str">
        <f aca="false">IF(AND(O1550&gt;=3,O1550&lt;=5),"Hot Dry (Mar-May)",IF(AND(O1550&gt;=6,O1550&lt;=11),"Rainy (Jun-Nov)","Cool Dry (Dec-Feb)"))</f>
        <v>Rainy (Jun-Nov)</v>
      </c>
      <c r="T1550" s="4" t="str">
        <f aca="false">CHOOSE(O1550,"Jan","Feb","Mar","Apr","May","Jun","Jul","Aug","Sep","Oct","Nov","Dec")</f>
        <v>Nov</v>
      </c>
    </row>
    <row r="1551" customFormat="false" ht="15" hidden="false" customHeight="false" outlineLevel="0" collapsed="false">
      <c r="A1551" s="4" t="s">
        <v>1938</v>
      </c>
      <c r="B1551" s="17" t="n">
        <v>45976</v>
      </c>
      <c r="C1551" s="4" t="n">
        <v>12</v>
      </c>
      <c r="D1551" s="4" t="s">
        <v>98</v>
      </c>
      <c r="E1551" s="4" t="s">
        <v>79</v>
      </c>
      <c r="F1551" s="4" t="s">
        <v>80</v>
      </c>
      <c r="G1551" s="4" t="n">
        <v>1</v>
      </c>
      <c r="H1551" s="34" t="n">
        <v>160</v>
      </c>
      <c r="I1551" s="18" t="n">
        <v>0.2</v>
      </c>
      <c r="J1551" s="4" t="s">
        <v>67</v>
      </c>
      <c r="K1551" s="4" t="s">
        <v>82</v>
      </c>
      <c r="L1551" s="35" t="n">
        <f aca="false">G1551*H1551</f>
        <v>160</v>
      </c>
      <c r="M1551" s="35" t="n">
        <f aca="false">L1551*I1551</f>
        <v>32</v>
      </c>
      <c r="N1551" s="35" t="n">
        <f aca="false">L1551-M1551</f>
        <v>128</v>
      </c>
      <c r="O1551" s="4" t="n">
        <f aca="false">MONTH(B1551)</f>
        <v>11</v>
      </c>
      <c r="P1551" s="4" t="str">
        <f aca="false">CHOOSE(WEEKDAY(B1551,2),"Mon","Tue","Wed","Thu","Fri","Sat","Sun")</f>
        <v>Sat</v>
      </c>
      <c r="Q1551" s="4" t="str">
        <f aca="false">IF(WEEKDAY(B1551,2)&gt;5,"Weekend","Weekday")</f>
        <v>Weekend</v>
      </c>
      <c r="R1551" s="4" t="str">
        <f aca="false">IF(C1551&lt;11,"Morning (7-10)",IF(C1551&lt;14,"Lunch (11-13)",IF(C1551&lt;18,"Afternoon (14-17)","Evening (18-20)")))</f>
        <v>Lunch (11-13)</v>
      </c>
      <c r="S1551" s="4" t="str">
        <f aca="false">IF(AND(O1551&gt;=3,O1551&lt;=5),"Hot Dry (Mar-May)",IF(AND(O1551&gt;=6,O1551&lt;=11),"Rainy (Jun-Nov)","Cool Dry (Dec-Feb)"))</f>
        <v>Rainy (Jun-Nov)</v>
      </c>
      <c r="T1551" s="4" t="str">
        <f aca="false">CHOOSE(O1551,"Jan","Feb","Mar","Apr","May","Jun","Jul","Aug","Sep","Oct","Nov","Dec")</f>
        <v>Nov</v>
      </c>
    </row>
    <row r="1552" customFormat="false" ht="15" hidden="false" customHeight="false" outlineLevel="0" collapsed="false">
      <c r="A1552" s="4" t="s">
        <v>1939</v>
      </c>
      <c r="B1552" s="17" t="n">
        <v>45976</v>
      </c>
      <c r="C1552" s="4" t="n">
        <v>17</v>
      </c>
      <c r="D1552" s="4" t="s">
        <v>70</v>
      </c>
      <c r="E1552" s="4" t="s">
        <v>65</v>
      </c>
      <c r="F1552" s="4" t="s">
        <v>121</v>
      </c>
      <c r="G1552" s="4" t="n">
        <v>2</v>
      </c>
      <c r="H1552" s="34" t="n">
        <v>170</v>
      </c>
      <c r="I1552" s="18" t="n">
        <v>0.1</v>
      </c>
      <c r="J1552" s="4" t="s">
        <v>112</v>
      </c>
      <c r="K1552" s="4" t="s">
        <v>77</v>
      </c>
      <c r="L1552" s="35" t="n">
        <f aca="false">G1552*H1552</f>
        <v>340</v>
      </c>
      <c r="M1552" s="35" t="n">
        <f aca="false">L1552*I1552</f>
        <v>34</v>
      </c>
      <c r="N1552" s="35" t="n">
        <f aca="false">L1552-M1552</f>
        <v>306</v>
      </c>
      <c r="O1552" s="4" t="n">
        <f aca="false">MONTH(B1552)</f>
        <v>11</v>
      </c>
      <c r="P1552" s="4" t="str">
        <f aca="false">CHOOSE(WEEKDAY(B1552,2),"Mon","Tue","Wed","Thu","Fri","Sat","Sun")</f>
        <v>Sat</v>
      </c>
      <c r="Q1552" s="4" t="str">
        <f aca="false">IF(WEEKDAY(B1552,2)&gt;5,"Weekend","Weekday")</f>
        <v>Weekend</v>
      </c>
      <c r="R1552" s="4" t="str">
        <f aca="false">IF(C1552&lt;11,"Morning (7-10)",IF(C1552&lt;14,"Lunch (11-13)",IF(C1552&lt;18,"Afternoon (14-17)","Evening (18-20)")))</f>
        <v>Afternoon (14-17)</v>
      </c>
      <c r="S1552" s="4" t="str">
        <f aca="false">IF(AND(O1552&gt;=3,O1552&lt;=5),"Hot Dry (Mar-May)",IF(AND(O1552&gt;=6,O1552&lt;=11),"Rainy (Jun-Nov)","Cool Dry (Dec-Feb)"))</f>
        <v>Rainy (Jun-Nov)</v>
      </c>
      <c r="T1552" s="4" t="str">
        <f aca="false">CHOOSE(O1552,"Jan","Feb","Mar","Apr","May","Jun","Jul","Aug","Sep","Oct","Nov","Dec")</f>
        <v>Nov</v>
      </c>
    </row>
    <row r="1553" customFormat="false" ht="15" hidden="false" customHeight="false" outlineLevel="0" collapsed="false">
      <c r="A1553" s="4" t="s">
        <v>1940</v>
      </c>
      <c r="B1553" s="17" t="n">
        <v>45977</v>
      </c>
      <c r="C1553" s="4" t="n">
        <v>9</v>
      </c>
      <c r="D1553" s="4" t="s">
        <v>70</v>
      </c>
      <c r="E1553" s="4" t="s">
        <v>99</v>
      </c>
      <c r="F1553" s="4" t="s">
        <v>100</v>
      </c>
      <c r="G1553" s="4" t="n">
        <v>1</v>
      </c>
      <c r="H1553" s="34" t="n">
        <v>110</v>
      </c>
      <c r="I1553" s="18" t="n">
        <v>0</v>
      </c>
      <c r="J1553" s="4" t="s">
        <v>88</v>
      </c>
      <c r="K1553" s="4" t="s">
        <v>77</v>
      </c>
      <c r="L1553" s="35" t="n">
        <f aca="false">G1553*H1553</f>
        <v>110</v>
      </c>
      <c r="M1553" s="35" t="n">
        <f aca="false">L1553*I1553</f>
        <v>0</v>
      </c>
      <c r="N1553" s="35" t="n">
        <f aca="false">L1553-M1553</f>
        <v>110</v>
      </c>
      <c r="O1553" s="4" t="n">
        <f aca="false">MONTH(B1553)</f>
        <v>11</v>
      </c>
      <c r="P1553" s="4" t="str">
        <f aca="false">CHOOSE(WEEKDAY(B1553,2),"Mon","Tue","Wed","Thu","Fri","Sat","Sun")</f>
        <v>Sun</v>
      </c>
      <c r="Q1553" s="4" t="str">
        <f aca="false">IF(WEEKDAY(B1553,2)&gt;5,"Weekend","Weekday")</f>
        <v>Weekend</v>
      </c>
      <c r="R1553" s="4" t="str">
        <f aca="false">IF(C1553&lt;11,"Morning (7-10)",IF(C1553&lt;14,"Lunch (11-13)",IF(C1553&lt;18,"Afternoon (14-17)","Evening (18-20)")))</f>
        <v>Morning (7-10)</v>
      </c>
      <c r="S1553" s="4" t="str">
        <f aca="false">IF(AND(O1553&gt;=3,O1553&lt;=5),"Hot Dry (Mar-May)",IF(AND(O1553&gt;=6,O1553&lt;=11),"Rainy (Jun-Nov)","Cool Dry (Dec-Feb)"))</f>
        <v>Rainy (Jun-Nov)</v>
      </c>
      <c r="T1553" s="4" t="str">
        <f aca="false">CHOOSE(O1553,"Jan","Feb","Mar","Apr","May","Jun","Jul","Aug","Sep","Oct","Nov","Dec")</f>
        <v>Nov</v>
      </c>
    </row>
    <row r="1554" customFormat="false" ht="15" hidden="false" customHeight="false" outlineLevel="0" collapsed="false">
      <c r="A1554" s="4" t="s">
        <v>1941</v>
      </c>
      <c r="B1554" s="17" t="n">
        <v>45977</v>
      </c>
      <c r="C1554" s="4" t="n">
        <v>10</v>
      </c>
      <c r="D1554" s="4" t="s">
        <v>70</v>
      </c>
      <c r="E1554" s="4" t="s">
        <v>65</v>
      </c>
      <c r="F1554" s="4" t="s">
        <v>94</v>
      </c>
      <c r="G1554" s="4" t="n">
        <v>1</v>
      </c>
      <c r="H1554" s="34" t="n">
        <v>150</v>
      </c>
      <c r="I1554" s="18" t="n">
        <v>0</v>
      </c>
      <c r="J1554" s="4" t="s">
        <v>76</v>
      </c>
      <c r="K1554" s="4" t="s">
        <v>77</v>
      </c>
      <c r="L1554" s="35" t="n">
        <f aca="false">G1554*H1554</f>
        <v>150</v>
      </c>
      <c r="M1554" s="35" t="n">
        <f aca="false">L1554*I1554</f>
        <v>0</v>
      </c>
      <c r="N1554" s="35" t="n">
        <f aca="false">L1554-M1554</f>
        <v>150</v>
      </c>
      <c r="O1554" s="4" t="n">
        <f aca="false">MONTH(B1554)</f>
        <v>11</v>
      </c>
      <c r="P1554" s="4" t="str">
        <f aca="false">CHOOSE(WEEKDAY(B1554,2),"Mon","Tue","Wed","Thu","Fri","Sat","Sun")</f>
        <v>Sun</v>
      </c>
      <c r="Q1554" s="4" t="str">
        <f aca="false">IF(WEEKDAY(B1554,2)&gt;5,"Weekend","Weekday")</f>
        <v>Weekend</v>
      </c>
      <c r="R1554" s="4" t="str">
        <f aca="false">IF(C1554&lt;11,"Morning (7-10)",IF(C1554&lt;14,"Lunch (11-13)",IF(C1554&lt;18,"Afternoon (14-17)","Evening (18-20)")))</f>
        <v>Morning (7-10)</v>
      </c>
      <c r="S1554" s="4" t="str">
        <f aca="false">IF(AND(O1554&gt;=3,O1554&lt;=5),"Hot Dry (Mar-May)",IF(AND(O1554&gt;=6,O1554&lt;=11),"Rainy (Jun-Nov)","Cool Dry (Dec-Feb)"))</f>
        <v>Rainy (Jun-Nov)</v>
      </c>
      <c r="T1554" s="4" t="str">
        <f aca="false">CHOOSE(O1554,"Jan","Feb","Mar","Apr","May","Jun","Jul","Aug","Sep","Oct","Nov","Dec")</f>
        <v>Nov</v>
      </c>
    </row>
    <row r="1555" customFormat="false" ht="15" hidden="false" customHeight="false" outlineLevel="0" collapsed="false">
      <c r="A1555" s="4" t="s">
        <v>1942</v>
      </c>
      <c r="B1555" s="17" t="n">
        <v>45977</v>
      </c>
      <c r="C1555" s="4" t="n">
        <v>10</v>
      </c>
      <c r="D1555" s="4" t="s">
        <v>73</v>
      </c>
      <c r="E1555" s="4" t="s">
        <v>65</v>
      </c>
      <c r="F1555" s="4" t="s">
        <v>87</v>
      </c>
      <c r="G1555" s="4" t="n">
        <v>2</v>
      </c>
      <c r="H1555" s="34" t="n">
        <v>160</v>
      </c>
      <c r="I1555" s="18" t="n">
        <v>0</v>
      </c>
      <c r="J1555" s="4" t="s">
        <v>81</v>
      </c>
      <c r="K1555" s="4" t="s">
        <v>68</v>
      </c>
      <c r="L1555" s="35" t="n">
        <f aca="false">G1555*H1555</f>
        <v>320</v>
      </c>
      <c r="M1555" s="35" t="n">
        <f aca="false">L1555*I1555</f>
        <v>0</v>
      </c>
      <c r="N1555" s="35" t="n">
        <f aca="false">L1555-M1555</f>
        <v>320</v>
      </c>
      <c r="O1555" s="4" t="n">
        <f aca="false">MONTH(B1555)</f>
        <v>11</v>
      </c>
      <c r="P1555" s="4" t="str">
        <f aca="false">CHOOSE(WEEKDAY(B1555,2),"Mon","Tue","Wed","Thu","Fri","Sat","Sun")</f>
        <v>Sun</v>
      </c>
      <c r="Q1555" s="4" t="str">
        <f aca="false">IF(WEEKDAY(B1555,2)&gt;5,"Weekend","Weekday")</f>
        <v>Weekend</v>
      </c>
      <c r="R1555" s="4" t="str">
        <f aca="false">IF(C1555&lt;11,"Morning (7-10)",IF(C1555&lt;14,"Lunch (11-13)",IF(C1555&lt;18,"Afternoon (14-17)","Evening (18-20)")))</f>
        <v>Morning (7-10)</v>
      </c>
      <c r="S1555" s="4" t="str">
        <f aca="false">IF(AND(O1555&gt;=3,O1555&lt;=5),"Hot Dry (Mar-May)",IF(AND(O1555&gt;=6,O1555&lt;=11),"Rainy (Jun-Nov)","Cool Dry (Dec-Feb)"))</f>
        <v>Rainy (Jun-Nov)</v>
      </c>
      <c r="T1555" s="4" t="str">
        <f aca="false">CHOOSE(O1555,"Jan","Feb","Mar","Apr","May","Jun","Jul","Aug","Sep","Oct","Nov","Dec")</f>
        <v>Nov</v>
      </c>
    </row>
    <row r="1556" customFormat="false" ht="15" hidden="false" customHeight="false" outlineLevel="0" collapsed="false">
      <c r="A1556" s="4" t="s">
        <v>1943</v>
      </c>
      <c r="B1556" s="17" t="n">
        <v>45977</v>
      </c>
      <c r="C1556" s="4" t="n">
        <v>14</v>
      </c>
      <c r="D1556" s="4" t="s">
        <v>70</v>
      </c>
      <c r="E1556" s="4" t="s">
        <v>99</v>
      </c>
      <c r="F1556" s="4" t="s">
        <v>133</v>
      </c>
      <c r="G1556" s="4" t="n">
        <v>2</v>
      </c>
      <c r="H1556" s="34" t="n">
        <v>90</v>
      </c>
      <c r="I1556" s="18" t="n">
        <v>0</v>
      </c>
      <c r="J1556" s="4" t="s">
        <v>88</v>
      </c>
      <c r="K1556" s="4" t="s">
        <v>77</v>
      </c>
      <c r="L1556" s="35" t="n">
        <f aca="false">G1556*H1556</f>
        <v>180</v>
      </c>
      <c r="M1556" s="35" t="n">
        <f aca="false">L1556*I1556</f>
        <v>0</v>
      </c>
      <c r="N1556" s="35" t="n">
        <f aca="false">L1556-M1556</f>
        <v>180</v>
      </c>
      <c r="O1556" s="4" t="n">
        <f aca="false">MONTH(B1556)</f>
        <v>11</v>
      </c>
      <c r="P1556" s="4" t="str">
        <f aca="false">CHOOSE(WEEKDAY(B1556,2),"Mon","Tue","Wed","Thu","Fri","Sat","Sun")</f>
        <v>Sun</v>
      </c>
      <c r="Q1556" s="4" t="str">
        <f aca="false">IF(WEEKDAY(B1556,2)&gt;5,"Weekend","Weekday")</f>
        <v>Weekend</v>
      </c>
      <c r="R1556" s="4" t="str">
        <f aca="false">IF(C1556&lt;11,"Morning (7-10)",IF(C1556&lt;14,"Lunch (11-13)",IF(C1556&lt;18,"Afternoon (14-17)","Evening (18-20)")))</f>
        <v>Afternoon (14-17)</v>
      </c>
      <c r="S1556" s="4" t="str">
        <f aca="false">IF(AND(O1556&gt;=3,O1556&lt;=5),"Hot Dry (Mar-May)",IF(AND(O1556&gt;=6,O1556&lt;=11),"Rainy (Jun-Nov)","Cool Dry (Dec-Feb)"))</f>
        <v>Rainy (Jun-Nov)</v>
      </c>
      <c r="T1556" s="4" t="str">
        <f aca="false">CHOOSE(O1556,"Jan","Feb","Mar","Apr","May","Jun","Jul","Aug","Sep","Oct","Nov","Dec")</f>
        <v>Nov</v>
      </c>
    </row>
    <row r="1557" customFormat="false" ht="15" hidden="false" customHeight="false" outlineLevel="0" collapsed="false">
      <c r="A1557" s="4" t="s">
        <v>1944</v>
      </c>
      <c r="B1557" s="17" t="n">
        <v>45978</v>
      </c>
      <c r="C1557" s="4" t="n">
        <v>7</v>
      </c>
      <c r="D1557" s="4" t="s">
        <v>64</v>
      </c>
      <c r="E1557" s="4" t="s">
        <v>65</v>
      </c>
      <c r="F1557" s="4" t="s">
        <v>94</v>
      </c>
      <c r="G1557" s="4" t="n">
        <v>2</v>
      </c>
      <c r="H1557" s="34" t="n">
        <v>150</v>
      </c>
      <c r="I1557" s="18" t="n">
        <v>0.05</v>
      </c>
      <c r="J1557" s="4" t="s">
        <v>67</v>
      </c>
      <c r="K1557" s="4" t="s">
        <v>82</v>
      </c>
      <c r="L1557" s="35" t="n">
        <f aca="false">G1557*H1557</f>
        <v>300</v>
      </c>
      <c r="M1557" s="35" t="n">
        <f aca="false">L1557*I1557</f>
        <v>15</v>
      </c>
      <c r="N1557" s="35" t="n">
        <f aca="false">L1557-M1557</f>
        <v>285</v>
      </c>
      <c r="O1557" s="4" t="n">
        <f aca="false">MONTH(B1557)</f>
        <v>11</v>
      </c>
      <c r="P1557" s="4" t="str">
        <f aca="false">CHOOSE(WEEKDAY(B1557,2),"Mon","Tue","Wed","Thu","Fri","Sat","Sun")</f>
        <v>Mon</v>
      </c>
      <c r="Q1557" s="4" t="str">
        <f aca="false">IF(WEEKDAY(B1557,2)&gt;5,"Weekend","Weekday")</f>
        <v>Weekday</v>
      </c>
      <c r="R1557" s="4" t="str">
        <f aca="false">IF(C1557&lt;11,"Morning (7-10)",IF(C1557&lt;14,"Lunch (11-13)",IF(C1557&lt;18,"Afternoon (14-17)","Evening (18-20)")))</f>
        <v>Morning (7-10)</v>
      </c>
      <c r="S1557" s="4" t="str">
        <f aca="false">IF(AND(O1557&gt;=3,O1557&lt;=5),"Hot Dry (Mar-May)",IF(AND(O1557&gt;=6,O1557&lt;=11),"Rainy (Jun-Nov)","Cool Dry (Dec-Feb)"))</f>
        <v>Rainy (Jun-Nov)</v>
      </c>
      <c r="T1557" s="4" t="str">
        <f aca="false">CHOOSE(O1557,"Jan","Feb","Mar","Apr","May","Jun","Jul","Aug","Sep","Oct","Nov","Dec")</f>
        <v>Nov</v>
      </c>
    </row>
    <row r="1558" customFormat="false" ht="15" hidden="false" customHeight="false" outlineLevel="0" collapsed="false">
      <c r="A1558" s="4" t="s">
        <v>1946</v>
      </c>
      <c r="B1558" s="17" t="n">
        <v>45978</v>
      </c>
      <c r="C1558" s="4" t="n">
        <v>9</v>
      </c>
      <c r="D1558" s="4" t="s">
        <v>98</v>
      </c>
      <c r="E1558" s="4" t="s">
        <v>99</v>
      </c>
      <c r="F1558" s="4" t="s">
        <v>109</v>
      </c>
      <c r="G1558" s="4" t="n">
        <v>2</v>
      </c>
      <c r="H1558" s="34" t="n">
        <v>130</v>
      </c>
      <c r="I1558" s="18" t="n">
        <v>0</v>
      </c>
      <c r="J1558" s="4" t="s">
        <v>67</v>
      </c>
      <c r="K1558" s="4" t="s">
        <v>68</v>
      </c>
      <c r="L1558" s="35" t="n">
        <f aca="false">G1558*H1558</f>
        <v>260</v>
      </c>
      <c r="M1558" s="35" t="n">
        <f aca="false">L1558*I1558</f>
        <v>0</v>
      </c>
      <c r="N1558" s="35" t="n">
        <f aca="false">L1558-M1558</f>
        <v>260</v>
      </c>
      <c r="O1558" s="4" t="n">
        <f aca="false">MONTH(B1558)</f>
        <v>11</v>
      </c>
      <c r="P1558" s="4" t="str">
        <f aca="false">CHOOSE(WEEKDAY(B1558,2),"Mon","Tue","Wed","Thu","Fri","Sat","Sun")</f>
        <v>Mon</v>
      </c>
      <c r="Q1558" s="4" t="str">
        <f aca="false">IF(WEEKDAY(B1558,2)&gt;5,"Weekend","Weekday")</f>
        <v>Weekday</v>
      </c>
      <c r="R1558" s="4" t="str">
        <f aca="false">IF(C1558&lt;11,"Morning (7-10)",IF(C1558&lt;14,"Lunch (11-13)",IF(C1558&lt;18,"Afternoon (14-17)","Evening (18-20)")))</f>
        <v>Morning (7-10)</v>
      </c>
      <c r="S1558" s="4" t="str">
        <f aca="false">IF(AND(O1558&gt;=3,O1558&lt;=5),"Hot Dry (Mar-May)",IF(AND(O1558&gt;=6,O1558&lt;=11),"Rainy (Jun-Nov)","Cool Dry (Dec-Feb)"))</f>
        <v>Rainy (Jun-Nov)</v>
      </c>
      <c r="T1558" s="4" t="str">
        <f aca="false">CHOOSE(O1558,"Jan","Feb","Mar","Apr","May","Jun","Jul","Aug","Sep","Oct","Nov","Dec")</f>
        <v>Nov</v>
      </c>
    </row>
    <row r="1559" customFormat="false" ht="15" hidden="false" customHeight="false" outlineLevel="0" collapsed="false">
      <c r="A1559" s="4" t="s">
        <v>1947</v>
      </c>
      <c r="B1559" s="17" t="n">
        <v>45978</v>
      </c>
      <c r="C1559" s="4" t="n">
        <v>13</v>
      </c>
      <c r="D1559" s="4" t="s">
        <v>70</v>
      </c>
      <c r="E1559" s="4" t="s">
        <v>65</v>
      </c>
      <c r="F1559" s="4" t="s">
        <v>94</v>
      </c>
      <c r="G1559" s="4" t="n">
        <v>1</v>
      </c>
      <c r="H1559" s="34" t="n">
        <v>150</v>
      </c>
      <c r="I1559" s="18" t="n">
        <v>0</v>
      </c>
      <c r="J1559" s="4" t="s">
        <v>81</v>
      </c>
      <c r="K1559" s="4" t="s">
        <v>77</v>
      </c>
      <c r="L1559" s="35" t="n">
        <f aca="false">G1559*H1559</f>
        <v>150</v>
      </c>
      <c r="M1559" s="35" t="n">
        <f aca="false">L1559*I1559</f>
        <v>0</v>
      </c>
      <c r="N1559" s="35" t="n">
        <f aca="false">L1559-M1559</f>
        <v>150</v>
      </c>
      <c r="O1559" s="4" t="n">
        <f aca="false">MONTH(B1559)</f>
        <v>11</v>
      </c>
      <c r="P1559" s="4" t="str">
        <f aca="false">CHOOSE(WEEKDAY(B1559,2),"Mon","Tue","Wed","Thu","Fri","Sat","Sun")</f>
        <v>Mon</v>
      </c>
      <c r="Q1559" s="4" t="str">
        <f aca="false">IF(WEEKDAY(B1559,2)&gt;5,"Weekend","Weekday")</f>
        <v>Weekday</v>
      </c>
      <c r="R1559" s="4" t="str">
        <f aca="false">IF(C1559&lt;11,"Morning (7-10)",IF(C1559&lt;14,"Lunch (11-13)",IF(C1559&lt;18,"Afternoon (14-17)","Evening (18-20)")))</f>
        <v>Lunch (11-13)</v>
      </c>
      <c r="S1559" s="4" t="str">
        <f aca="false">IF(AND(O1559&gt;=3,O1559&lt;=5),"Hot Dry (Mar-May)",IF(AND(O1559&gt;=6,O1559&lt;=11),"Rainy (Jun-Nov)","Cool Dry (Dec-Feb)"))</f>
        <v>Rainy (Jun-Nov)</v>
      </c>
      <c r="T1559" s="4" t="str">
        <f aca="false">CHOOSE(O1559,"Jan","Feb","Mar","Apr","May","Jun","Jul","Aug","Sep","Oct","Nov","Dec")</f>
        <v>Nov</v>
      </c>
    </row>
    <row r="1560" customFormat="false" ht="15" hidden="false" customHeight="false" outlineLevel="0" collapsed="false">
      <c r="A1560" s="4" t="s">
        <v>1949</v>
      </c>
      <c r="B1560" s="17" t="n">
        <v>45979</v>
      </c>
      <c r="C1560" s="4" t="n">
        <v>11</v>
      </c>
      <c r="D1560" s="4" t="s">
        <v>70</v>
      </c>
      <c r="E1560" s="4" t="s">
        <v>79</v>
      </c>
      <c r="F1560" s="4" t="s">
        <v>80</v>
      </c>
      <c r="G1560" s="4" t="n">
        <v>2</v>
      </c>
      <c r="H1560" s="34" t="n">
        <v>160</v>
      </c>
      <c r="I1560" s="18" t="n">
        <v>0</v>
      </c>
      <c r="J1560" s="4" t="s">
        <v>67</v>
      </c>
      <c r="K1560" s="4" t="s">
        <v>77</v>
      </c>
      <c r="L1560" s="35" t="n">
        <f aca="false">G1560*H1560</f>
        <v>320</v>
      </c>
      <c r="M1560" s="35" t="n">
        <f aca="false">L1560*I1560</f>
        <v>0</v>
      </c>
      <c r="N1560" s="35" t="n">
        <f aca="false">L1560-M1560</f>
        <v>320</v>
      </c>
      <c r="O1560" s="4" t="n">
        <f aca="false">MONTH(B1560)</f>
        <v>11</v>
      </c>
      <c r="P1560" s="4" t="str">
        <f aca="false">CHOOSE(WEEKDAY(B1560,2),"Mon","Tue","Wed","Thu","Fri","Sat","Sun")</f>
        <v>Tue</v>
      </c>
      <c r="Q1560" s="4" t="str">
        <f aca="false">IF(WEEKDAY(B1560,2)&gt;5,"Weekend","Weekday")</f>
        <v>Weekday</v>
      </c>
      <c r="R1560" s="4" t="str">
        <f aca="false">IF(C1560&lt;11,"Morning (7-10)",IF(C1560&lt;14,"Lunch (11-13)",IF(C1560&lt;18,"Afternoon (14-17)","Evening (18-20)")))</f>
        <v>Lunch (11-13)</v>
      </c>
      <c r="S1560" s="4" t="str">
        <f aca="false">IF(AND(O1560&gt;=3,O1560&lt;=5),"Hot Dry (Mar-May)",IF(AND(O1560&gt;=6,O1560&lt;=11),"Rainy (Jun-Nov)","Cool Dry (Dec-Feb)"))</f>
        <v>Rainy (Jun-Nov)</v>
      </c>
      <c r="T1560" s="4" t="str">
        <f aca="false">CHOOSE(O1560,"Jan","Feb","Mar","Apr","May","Jun","Jul","Aug","Sep","Oct","Nov","Dec")</f>
        <v>Nov</v>
      </c>
    </row>
    <row r="1561" customFormat="false" ht="15" hidden="false" customHeight="false" outlineLevel="0" collapsed="false">
      <c r="A1561" s="4" t="s">
        <v>1950</v>
      </c>
      <c r="B1561" s="17" t="n">
        <v>45979</v>
      </c>
      <c r="C1561" s="4" t="n">
        <v>12</v>
      </c>
      <c r="D1561" s="4" t="s">
        <v>70</v>
      </c>
      <c r="E1561" s="4" t="s">
        <v>65</v>
      </c>
      <c r="F1561" s="4" t="s">
        <v>87</v>
      </c>
      <c r="G1561" s="4" t="n">
        <v>2</v>
      </c>
      <c r="H1561" s="34" t="n">
        <v>160</v>
      </c>
      <c r="I1561" s="18" t="n">
        <v>0</v>
      </c>
      <c r="J1561" s="4" t="s">
        <v>81</v>
      </c>
      <c r="K1561" s="4" t="s">
        <v>68</v>
      </c>
      <c r="L1561" s="35" t="n">
        <f aca="false">G1561*H1561</f>
        <v>320</v>
      </c>
      <c r="M1561" s="35" t="n">
        <f aca="false">L1561*I1561</f>
        <v>0</v>
      </c>
      <c r="N1561" s="35" t="n">
        <f aca="false">L1561-M1561</f>
        <v>320</v>
      </c>
      <c r="O1561" s="4" t="n">
        <f aca="false">MONTH(B1561)</f>
        <v>11</v>
      </c>
      <c r="P1561" s="4" t="str">
        <f aca="false">CHOOSE(WEEKDAY(B1561,2),"Mon","Tue","Wed","Thu","Fri","Sat","Sun")</f>
        <v>Tue</v>
      </c>
      <c r="Q1561" s="4" t="str">
        <f aca="false">IF(WEEKDAY(B1561,2)&gt;5,"Weekend","Weekday")</f>
        <v>Weekday</v>
      </c>
      <c r="R1561" s="4" t="str">
        <f aca="false">IF(C1561&lt;11,"Morning (7-10)",IF(C1561&lt;14,"Lunch (11-13)",IF(C1561&lt;18,"Afternoon (14-17)","Evening (18-20)")))</f>
        <v>Lunch (11-13)</v>
      </c>
      <c r="S1561" s="4" t="str">
        <f aca="false">IF(AND(O1561&gt;=3,O1561&lt;=5),"Hot Dry (Mar-May)",IF(AND(O1561&gt;=6,O1561&lt;=11),"Rainy (Jun-Nov)","Cool Dry (Dec-Feb)"))</f>
        <v>Rainy (Jun-Nov)</v>
      </c>
      <c r="T1561" s="4" t="str">
        <f aca="false">CHOOSE(O1561,"Jan","Feb","Mar","Apr","May","Jun","Jul","Aug","Sep","Oct","Nov","Dec")</f>
        <v>Nov</v>
      </c>
    </row>
    <row r="1562" customFormat="false" ht="15" hidden="false" customHeight="false" outlineLevel="0" collapsed="false">
      <c r="A1562" s="4" t="s">
        <v>1951</v>
      </c>
      <c r="B1562" s="17" t="n">
        <v>45979</v>
      </c>
      <c r="C1562" s="4" t="n">
        <v>15</v>
      </c>
      <c r="D1562" s="4" t="s">
        <v>70</v>
      </c>
      <c r="E1562" s="4" t="s">
        <v>99</v>
      </c>
      <c r="F1562" s="4" t="s">
        <v>100</v>
      </c>
      <c r="G1562" s="4" t="n">
        <v>2</v>
      </c>
      <c r="H1562" s="34" t="n">
        <v>110</v>
      </c>
      <c r="I1562" s="18" t="n">
        <v>0.2</v>
      </c>
      <c r="J1562" s="4" t="s">
        <v>67</v>
      </c>
      <c r="K1562" s="4" t="s">
        <v>68</v>
      </c>
      <c r="L1562" s="35" t="n">
        <f aca="false">G1562*H1562</f>
        <v>220</v>
      </c>
      <c r="M1562" s="35" t="n">
        <f aca="false">L1562*I1562</f>
        <v>44</v>
      </c>
      <c r="N1562" s="35" t="n">
        <f aca="false">L1562-M1562</f>
        <v>176</v>
      </c>
      <c r="O1562" s="4" t="n">
        <f aca="false">MONTH(B1562)</f>
        <v>11</v>
      </c>
      <c r="P1562" s="4" t="str">
        <f aca="false">CHOOSE(WEEKDAY(B1562,2),"Mon","Tue","Wed","Thu","Fri","Sat","Sun")</f>
        <v>Tue</v>
      </c>
      <c r="Q1562" s="4" t="str">
        <f aca="false">IF(WEEKDAY(B1562,2)&gt;5,"Weekend","Weekday")</f>
        <v>Weekday</v>
      </c>
      <c r="R1562" s="4" t="str">
        <f aca="false">IF(C1562&lt;11,"Morning (7-10)",IF(C1562&lt;14,"Lunch (11-13)",IF(C1562&lt;18,"Afternoon (14-17)","Evening (18-20)")))</f>
        <v>Afternoon (14-17)</v>
      </c>
      <c r="S1562" s="4" t="str">
        <f aca="false">IF(AND(O1562&gt;=3,O1562&lt;=5),"Hot Dry (Mar-May)",IF(AND(O1562&gt;=6,O1562&lt;=11),"Rainy (Jun-Nov)","Cool Dry (Dec-Feb)"))</f>
        <v>Rainy (Jun-Nov)</v>
      </c>
      <c r="T1562" s="4" t="str">
        <f aca="false">CHOOSE(O1562,"Jan","Feb","Mar","Apr","May","Jun","Jul","Aug","Sep","Oct","Nov","Dec")</f>
        <v>Nov</v>
      </c>
    </row>
    <row r="1563" customFormat="false" ht="15" hidden="false" customHeight="false" outlineLevel="0" collapsed="false">
      <c r="A1563" s="4" t="s">
        <v>1952</v>
      </c>
      <c r="B1563" s="17" t="n">
        <v>45979</v>
      </c>
      <c r="C1563" s="4" t="n">
        <v>16</v>
      </c>
      <c r="D1563" s="4" t="s">
        <v>64</v>
      </c>
      <c r="E1563" s="4" t="s">
        <v>65</v>
      </c>
      <c r="F1563" s="4" t="s">
        <v>121</v>
      </c>
      <c r="G1563" s="4" t="n">
        <v>1</v>
      </c>
      <c r="H1563" s="34" t="n">
        <v>170</v>
      </c>
      <c r="I1563" s="18" t="n">
        <v>0</v>
      </c>
      <c r="J1563" s="4" t="s">
        <v>112</v>
      </c>
      <c r="K1563" s="4" t="s">
        <v>68</v>
      </c>
      <c r="L1563" s="35" t="n">
        <f aca="false">G1563*H1563</f>
        <v>170</v>
      </c>
      <c r="M1563" s="35" t="n">
        <f aca="false">L1563*I1563</f>
        <v>0</v>
      </c>
      <c r="N1563" s="35" t="n">
        <f aca="false">L1563-M1563</f>
        <v>170</v>
      </c>
      <c r="O1563" s="4" t="n">
        <f aca="false">MONTH(B1563)</f>
        <v>11</v>
      </c>
      <c r="P1563" s="4" t="str">
        <f aca="false">CHOOSE(WEEKDAY(B1563,2),"Mon","Tue","Wed","Thu","Fri","Sat","Sun")</f>
        <v>Tue</v>
      </c>
      <c r="Q1563" s="4" t="str">
        <f aca="false">IF(WEEKDAY(B1563,2)&gt;5,"Weekend","Weekday")</f>
        <v>Weekday</v>
      </c>
      <c r="R1563" s="4" t="str">
        <f aca="false">IF(C1563&lt;11,"Morning (7-10)",IF(C1563&lt;14,"Lunch (11-13)",IF(C1563&lt;18,"Afternoon (14-17)","Evening (18-20)")))</f>
        <v>Afternoon (14-17)</v>
      </c>
      <c r="S1563" s="4" t="str">
        <f aca="false">IF(AND(O1563&gt;=3,O1563&lt;=5),"Hot Dry (Mar-May)",IF(AND(O1563&gt;=6,O1563&lt;=11),"Rainy (Jun-Nov)","Cool Dry (Dec-Feb)"))</f>
        <v>Rainy (Jun-Nov)</v>
      </c>
      <c r="T1563" s="4" t="str">
        <f aca="false">CHOOSE(O1563,"Jan","Feb","Mar","Apr","May","Jun","Jul","Aug","Sep","Oct","Nov","Dec")</f>
        <v>Nov</v>
      </c>
    </row>
    <row r="1564" customFormat="false" ht="15" hidden="false" customHeight="false" outlineLevel="0" collapsed="false">
      <c r="A1564" s="4" t="s">
        <v>1954</v>
      </c>
      <c r="B1564" s="17" t="n">
        <v>45979</v>
      </c>
      <c r="C1564" s="4" t="n">
        <v>17</v>
      </c>
      <c r="D1564" s="4" t="s">
        <v>70</v>
      </c>
      <c r="E1564" s="4" t="s">
        <v>65</v>
      </c>
      <c r="F1564" s="4" t="s">
        <v>94</v>
      </c>
      <c r="G1564" s="4" t="n">
        <v>1</v>
      </c>
      <c r="H1564" s="34" t="n">
        <v>150</v>
      </c>
      <c r="I1564" s="18" t="n">
        <v>0</v>
      </c>
      <c r="J1564" s="4" t="s">
        <v>67</v>
      </c>
      <c r="K1564" s="4" t="s">
        <v>77</v>
      </c>
      <c r="L1564" s="35" t="n">
        <f aca="false">G1564*H1564</f>
        <v>150</v>
      </c>
      <c r="M1564" s="35" t="n">
        <f aca="false">L1564*I1564</f>
        <v>0</v>
      </c>
      <c r="N1564" s="35" t="n">
        <f aca="false">L1564-M1564</f>
        <v>150</v>
      </c>
      <c r="O1564" s="4" t="n">
        <f aca="false">MONTH(B1564)</f>
        <v>11</v>
      </c>
      <c r="P1564" s="4" t="str">
        <f aca="false">CHOOSE(WEEKDAY(B1564,2),"Mon","Tue","Wed","Thu","Fri","Sat","Sun")</f>
        <v>Tue</v>
      </c>
      <c r="Q1564" s="4" t="str">
        <f aca="false">IF(WEEKDAY(B1564,2)&gt;5,"Weekend","Weekday")</f>
        <v>Weekday</v>
      </c>
      <c r="R1564" s="4" t="str">
        <f aca="false">IF(C1564&lt;11,"Morning (7-10)",IF(C1564&lt;14,"Lunch (11-13)",IF(C1564&lt;18,"Afternoon (14-17)","Evening (18-20)")))</f>
        <v>Afternoon (14-17)</v>
      </c>
      <c r="S1564" s="4" t="str">
        <f aca="false">IF(AND(O1564&gt;=3,O1564&lt;=5),"Hot Dry (Mar-May)",IF(AND(O1564&gt;=6,O1564&lt;=11),"Rainy (Jun-Nov)","Cool Dry (Dec-Feb)"))</f>
        <v>Rainy (Jun-Nov)</v>
      </c>
      <c r="T1564" s="4" t="str">
        <f aca="false">CHOOSE(O1564,"Jan","Feb","Mar","Apr","May","Jun","Jul","Aug","Sep","Oct","Nov","Dec")</f>
        <v>Nov</v>
      </c>
    </row>
    <row r="1565" customFormat="false" ht="15" hidden="false" customHeight="false" outlineLevel="0" collapsed="false">
      <c r="A1565" s="4" t="s">
        <v>1955</v>
      </c>
      <c r="B1565" s="17" t="n">
        <v>45979</v>
      </c>
      <c r="C1565" s="4" t="n">
        <v>18</v>
      </c>
      <c r="D1565" s="4" t="s">
        <v>64</v>
      </c>
      <c r="E1565" s="4" t="s">
        <v>84</v>
      </c>
      <c r="F1565" s="4" t="s">
        <v>114</v>
      </c>
      <c r="G1565" s="4" t="n">
        <v>3</v>
      </c>
      <c r="H1565" s="34" t="n">
        <v>85</v>
      </c>
      <c r="I1565" s="18" t="n">
        <v>0.1</v>
      </c>
      <c r="J1565" s="4" t="s">
        <v>67</v>
      </c>
      <c r="K1565" s="4" t="s">
        <v>71</v>
      </c>
      <c r="L1565" s="35" t="n">
        <f aca="false">G1565*H1565</f>
        <v>255</v>
      </c>
      <c r="M1565" s="35" t="n">
        <f aca="false">L1565*I1565</f>
        <v>25.5</v>
      </c>
      <c r="N1565" s="35" t="n">
        <f aca="false">L1565-M1565</f>
        <v>229.5</v>
      </c>
      <c r="O1565" s="4" t="n">
        <f aca="false">MONTH(B1565)</f>
        <v>11</v>
      </c>
      <c r="P1565" s="4" t="str">
        <f aca="false">CHOOSE(WEEKDAY(B1565,2),"Mon","Tue","Wed","Thu","Fri","Sat","Sun")</f>
        <v>Tue</v>
      </c>
      <c r="Q1565" s="4" t="str">
        <f aca="false">IF(WEEKDAY(B1565,2)&gt;5,"Weekend","Weekday")</f>
        <v>Weekday</v>
      </c>
      <c r="R1565" s="4" t="str">
        <f aca="false">IF(C1565&lt;11,"Morning (7-10)",IF(C1565&lt;14,"Lunch (11-13)",IF(C1565&lt;18,"Afternoon (14-17)","Evening (18-20)")))</f>
        <v>Evening (18-20)</v>
      </c>
      <c r="S1565" s="4" t="str">
        <f aca="false">IF(AND(O1565&gt;=3,O1565&lt;=5),"Hot Dry (Mar-May)",IF(AND(O1565&gt;=6,O1565&lt;=11),"Rainy (Jun-Nov)","Cool Dry (Dec-Feb)"))</f>
        <v>Rainy (Jun-Nov)</v>
      </c>
      <c r="T1565" s="4" t="str">
        <f aca="false">CHOOSE(O1565,"Jan","Feb","Mar","Apr","May","Jun","Jul","Aug","Sep","Oct","Nov","Dec")</f>
        <v>Nov</v>
      </c>
    </row>
    <row r="1566" customFormat="false" ht="15" hidden="false" customHeight="false" outlineLevel="0" collapsed="false">
      <c r="A1566" s="4" t="s">
        <v>1956</v>
      </c>
      <c r="B1566" s="17" t="n">
        <v>45980</v>
      </c>
      <c r="C1566" s="4" t="n">
        <v>9</v>
      </c>
      <c r="D1566" s="4" t="s">
        <v>98</v>
      </c>
      <c r="E1566" s="4" t="s">
        <v>84</v>
      </c>
      <c r="F1566" s="4" t="s">
        <v>106</v>
      </c>
      <c r="G1566" s="4" t="n">
        <v>2</v>
      </c>
      <c r="H1566" s="34" t="n">
        <v>60</v>
      </c>
      <c r="I1566" s="18" t="n">
        <v>0.15</v>
      </c>
      <c r="J1566" s="4" t="s">
        <v>67</v>
      </c>
      <c r="K1566" s="4" t="s">
        <v>68</v>
      </c>
      <c r="L1566" s="35" t="n">
        <f aca="false">G1566*H1566</f>
        <v>120</v>
      </c>
      <c r="M1566" s="35" t="n">
        <f aca="false">L1566*I1566</f>
        <v>18</v>
      </c>
      <c r="N1566" s="35" t="n">
        <f aca="false">L1566-M1566</f>
        <v>102</v>
      </c>
      <c r="O1566" s="4" t="n">
        <f aca="false">MONTH(B1566)</f>
        <v>11</v>
      </c>
      <c r="P1566" s="4" t="str">
        <f aca="false">CHOOSE(WEEKDAY(B1566,2),"Mon","Tue","Wed","Thu","Fri","Sat","Sun")</f>
        <v>Wed</v>
      </c>
      <c r="Q1566" s="4" t="str">
        <f aca="false">IF(WEEKDAY(B1566,2)&gt;5,"Weekend","Weekday")</f>
        <v>Weekday</v>
      </c>
      <c r="R1566" s="4" t="str">
        <f aca="false">IF(C1566&lt;11,"Morning (7-10)",IF(C1566&lt;14,"Lunch (11-13)",IF(C1566&lt;18,"Afternoon (14-17)","Evening (18-20)")))</f>
        <v>Morning (7-10)</v>
      </c>
      <c r="S1566" s="4" t="str">
        <f aca="false">IF(AND(O1566&gt;=3,O1566&lt;=5),"Hot Dry (Mar-May)",IF(AND(O1566&gt;=6,O1566&lt;=11),"Rainy (Jun-Nov)","Cool Dry (Dec-Feb)"))</f>
        <v>Rainy (Jun-Nov)</v>
      </c>
      <c r="T1566" s="4" t="str">
        <f aca="false">CHOOSE(O1566,"Jan","Feb","Mar","Apr","May","Jun","Jul","Aug","Sep","Oct","Nov","Dec")</f>
        <v>Nov</v>
      </c>
    </row>
    <row r="1567" customFormat="false" ht="15" hidden="false" customHeight="false" outlineLevel="0" collapsed="false">
      <c r="A1567" s="4" t="s">
        <v>1957</v>
      </c>
      <c r="B1567" s="17" t="n">
        <v>45980</v>
      </c>
      <c r="C1567" s="4" t="n">
        <v>10</v>
      </c>
      <c r="D1567" s="4" t="s">
        <v>98</v>
      </c>
      <c r="E1567" s="4" t="s">
        <v>99</v>
      </c>
      <c r="F1567" s="4" t="s">
        <v>109</v>
      </c>
      <c r="G1567" s="4" t="n">
        <v>2</v>
      </c>
      <c r="H1567" s="34" t="n">
        <v>130</v>
      </c>
      <c r="I1567" s="18" t="n">
        <v>0.1</v>
      </c>
      <c r="J1567" s="4" t="s">
        <v>112</v>
      </c>
      <c r="K1567" s="4" t="s">
        <v>71</v>
      </c>
      <c r="L1567" s="35" t="n">
        <f aca="false">G1567*H1567</f>
        <v>260</v>
      </c>
      <c r="M1567" s="35" t="n">
        <f aca="false">L1567*I1567</f>
        <v>26</v>
      </c>
      <c r="N1567" s="35" t="n">
        <f aca="false">L1567-M1567</f>
        <v>234</v>
      </c>
      <c r="O1567" s="4" t="n">
        <f aca="false">MONTH(B1567)</f>
        <v>11</v>
      </c>
      <c r="P1567" s="4" t="str">
        <f aca="false">CHOOSE(WEEKDAY(B1567,2),"Mon","Tue","Wed","Thu","Fri","Sat","Sun")</f>
        <v>Wed</v>
      </c>
      <c r="Q1567" s="4" t="str">
        <f aca="false">IF(WEEKDAY(B1567,2)&gt;5,"Weekend","Weekday")</f>
        <v>Weekday</v>
      </c>
      <c r="R1567" s="4" t="str">
        <f aca="false">IF(C1567&lt;11,"Morning (7-10)",IF(C1567&lt;14,"Lunch (11-13)",IF(C1567&lt;18,"Afternoon (14-17)","Evening (18-20)")))</f>
        <v>Morning (7-10)</v>
      </c>
      <c r="S1567" s="4" t="str">
        <f aca="false">IF(AND(O1567&gt;=3,O1567&lt;=5),"Hot Dry (Mar-May)",IF(AND(O1567&gt;=6,O1567&lt;=11),"Rainy (Jun-Nov)","Cool Dry (Dec-Feb)"))</f>
        <v>Rainy (Jun-Nov)</v>
      </c>
      <c r="T1567" s="4" t="str">
        <f aca="false">CHOOSE(O1567,"Jan","Feb","Mar","Apr","May","Jun","Jul","Aug","Sep","Oct","Nov","Dec")</f>
        <v>Nov</v>
      </c>
    </row>
    <row r="1568" customFormat="false" ht="15" hidden="false" customHeight="false" outlineLevel="0" collapsed="false">
      <c r="A1568" s="4" t="s">
        <v>1958</v>
      </c>
      <c r="B1568" s="17" t="n">
        <v>45980</v>
      </c>
      <c r="C1568" s="4" t="n">
        <v>13</v>
      </c>
      <c r="D1568" s="4" t="s">
        <v>70</v>
      </c>
      <c r="E1568" s="4" t="s">
        <v>65</v>
      </c>
      <c r="F1568" s="4" t="s">
        <v>66</v>
      </c>
      <c r="G1568" s="4" t="n">
        <v>1</v>
      </c>
      <c r="H1568" s="34" t="n">
        <v>120</v>
      </c>
      <c r="I1568" s="18" t="n">
        <v>0</v>
      </c>
      <c r="J1568" s="4" t="s">
        <v>81</v>
      </c>
      <c r="K1568" s="4" t="s">
        <v>68</v>
      </c>
      <c r="L1568" s="35" t="n">
        <f aca="false">G1568*H1568</f>
        <v>120</v>
      </c>
      <c r="M1568" s="35" t="n">
        <f aca="false">L1568*I1568</f>
        <v>0</v>
      </c>
      <c r="N1568" s="35" t="n">
        <f aca="false">L1568-M1568</f>
        <v>120</v>
      </c>
      <c r="O1568" s="4" t="n">
        <f aca="false">MONTH(B1568)</f>
        <v>11</v>
      </c>
      <c r="P1568" s="4" t="str">
        <f aca="false">CHOOSE(WEEKDAY(B1568,2),"Mon","Tue","Wed","Thu","Fri","Sat","Sun")</f>
        <v>Wed</v>
      </c>
      <c r="Q1568" s="4" t="str">
        <f aca="false">IF(WEEKDAY(B1568,2)&gt;5,"Weekend","Weekday")</f>
        <v>Weekday</v>
      </c>
      <c r="R1568" s="4" t="str">
        <f aca="false">IF(C1568&lt;11,"Morning (7-10)",IF(C1568&lt;14,"Lunch (11-13)",IF(C1568&lt;18,"Afternoon (14-17)","Evening (18-20)")))</f>
        <v>Lunch (11-13)</v>
      </c>
      <c r="S1568" s="4" t="str">
        <f aca="false">IF(AND(O1568&gt;=3,O1568&lt;=5),"Hot Dry (Mar-May)",IF(AND(O1568&gt;=6,O1568&lt;=11),"Rainy (Jun-Nov)","Cool Dry (Dec-Feb)"))</f>
        <v>Rainy (Jun-Nov)</v>
      </c>
      <c r="T1568" s="4" t="str">
        <f aca="false">CHOOSE(O1568,"Jan","Feb","Mar","Apr","May","Jun","Jul","Aug","Sep","Oct","Nov","Dec")</f>
        <v>Nov</v>
      </c>
    </row>
    <row r="1569" customFormat="false" ht="15" hidden="false" customHeight="false" outlineLevel="0" collapsed="false">
      <c r="A1569" s="4" t="s">
        <v>1959</v>
      </c>
      <c r="B1569" s="17" t="n">
        <v>45980</v>
      </c>
      <c r="C1569" s="4" t="n">
        <v>13</v>
      </c>
      <c r="D1569" s="4" t="s">
        <v>70</v>
      </c>
      <c r="E1569" s="4" t="s">
        <v>99</v>
      </c>
      <c r="F1569" s="4" t="s">
        <v>109</v>
      </c>
      <c r="G1569" s="4" t="n">
        <v>3</v>
      </c>
      <c r="H1569" s="34" t="n">
        <v>130</v>
      </c>
      <c r="I1569" s="18" t="n">
        <v>0.05</v>
      </c>
      <c r="J1569" s="4" t="s">
        <v>67</v>
      </c>
      <c r="K1569" s="4" t="s">
        <v>82</v>
      </c>
      <c r="L1569" s="35" t="n">
        <f aca="false">G1569*H1569</f>
        <v>390</v>
      </c>
      <c r="M1569" s="35" t="n">
        <f aca="false">L1569*I1569</f>
        <v>19.5</v>
      </c>
      <c r="N1569" s="35" t="n">
        <f aca="false">L1569-M1569</f>
        <v>370.5</v>
      </c>
      <c r="O1569" s="4" t="n">
        <f aca="false">MONTH(B1569)</f>
        <v>11</v>
      </c>
      <c r="P1569" s="4" t="str">
        <f aca="false">CHOOSE(WEEKDAY(B1569,2),"Mon","Tue","Wed","Thu","Fri","Sat","Sun")</f>
        <v>Wed</v>
      </c>
      <c r="Q1569" s="4" t="str">
        <f aca="false">IF(WEEKDAY(B1569,2)&gt;5,"Weekend","Weekday")</f>
        <v>Weekday</v>
      </c>
      <c r="R1569" s="4" t="str">
        <f aca="false">IF(C1569&lt;11,"Morning (7-10)",IF(C1569&lt;14,"Lunch (11-13)",IF(C1569&lt;18,"Afternoon (14-17)","Evening (18-20)")))</f>
        <v>Lunch (11-13)</v>
      </c>
      <c r="S1569" s="4" t="str">
        <f aca="false">IF(AND(O1569&gt;=3,O1569&lt;=5),"Hot Dry (Mar-May)",IF(AND(O1569&gt;=6,O1569&lt;=11),"Rainy (Jun-Nov)","Cool Dry (Dec-Feb)"))</f>
        <v>Rainy (Jun-Nov)</v>
      </c>
      <c r="T1569" s="4" t="str">
        <f aca="false">CHOOSE(O1569,"Jan","Feb","Mar","Apr","May","Jun","Jul","Aug","Sep","Oct","Nov","Dec")</f>
        <v>Nov</v>
      </c>
    </row>
    <row r="1570" customFormat="false" ht="15" hidden="false" customHeight="false" outlineLevel="0" collapsed="false">
      <c r="A1570" s="4" t="s">
        <v>1960</v>
      </c>
      <c r="B1570" s="17" t="n">
        <v>45981</v>
      </c>
      <c r="C1570" s="4" t="n">
        <v>7</v>
      </c>
      <c r="D1570" s="4" t="s">
        <v>73</v>
      </c>
      <c r="E1570" s="4" t="s">
        <v>79</v>
      </c>
      <c r="F1570" s="4" t="s">
        <v>148</v>
      </c>
      <c r="G1570" s="4" t="n">
        <v>4</v>
      </c>
      <c r="H1570" s="34" t="n">
        <v>120</v>
      </c>
      <c r="I1570" s="18" t="n">
        <v>0</v>
      </c>
      <c r="J1570" s="4" t="s">
        <v>81</v>
      </c>
      <c r="K1570" s="4" t="s">
        <v>68</v>
      </c>
      <c r="L1570" s="35" t="n">
        <f aca="false">G1570*H1570</f>
        <v>480</v>
      </c>
      <c r="M1570" s="35" t="n">
        <f aca="false">L1570*I1570</f>
        <v>0</v>
      </c>
      <c r="N1570" s="35" t="n">
        <f aca="false">L1570-M1570</f>
        <v>480</v>
      </c>
      <c r="O1570" s="4" t="n">
        <f aca="false">MONTH(B1570)</f>
        <v>11</v>
      </c>
      <c r="P1570" s="4" t="str">
        <f aca="false">CHOOSE(WEEKDAY(B1570,2),"Mon","Tue","Wed","Thu","Fri","Sat","Sun")</f>
        <v>Thu</v>
      </c>
      <c r="Q1570" s="4" t="str">
        <f aca="false">IF(WEEKDAY(B1570,2)&gt;5,"Weekend","Weekday")</f>
        <v>Weekday</v>
      </c>
      <c r="R1570" s="4" t="str">
        <f aca="false">IF(C1570&lt;11,"Morning (7-10)",IF(C1570&lt;14,"Lunch (11-13)",IF(C1570&lt;18,"Afternoon (14-17)","Evening (18-20)")))</f>
        <v>Morning (7-10)</v>
      </c>
      <c r="S1570" s="4" t="str">
        <f aca="false">IF(AND(O1570&gt;=3,O1570&lt;=5),"Hot Dry (Mar-May)",IF(AND(O1570&gt;=6,O1570&lt;=11),"Rainy (Jun-Nov)","Cool Dry (Dec-Feb)"))</f>
        <v>Rainy (Jun-Nov)</v>
      </c>
      <c r="T1570" s="4" t="str">
        <f aca="false">CHOOSE(O1570,"Jan","Feb","Mar","Apr","May","Jun","Jul","Aug","Sep","Oct","Nov","Dec")</f>
        <v>Nov</v>
      </c>
    </row>
    <row r="1571" customFormat="false" ht="15" hidden="false" customHeight="false" outlineLevel="0" collapsed="false">
      <c r="A1571" s="4" t="s">
        <v>1962</v>
      </c>
      <c r="B1571" s="17" t="n">
        <v>45981</v>
      </c>
      <c r="C1571" s="4" t="n">
        <v>8</v>
      </c>
      <c r="D1571" s="4" t="s">
        <v>64</v>
      </c>
      <c r="E1571" s="4" t="s">
        <v>65</v>
      </c>
      <c r="F1571" s="4" t="s">
        <v>121</v>
      </c>
      <c r="G1571" s="4" t="n">
        <v>1</v>
      </c>
      <c r="H1571" s="34" t="n">
        <v>170</v>
      </c>
      <c r="I1571" s="18" t="n">
        <v>0.2</v>
      </c>
      <c r="J1571" s="4" t="s">
        <v>76</v>
      </c>
      <c r="K1571" s="4" t="s">
        <v>71</v>
      </c>
      <c r="L1571" s="35" t="n">
        <f aca="false">G1571*H1571</f>
        <v>170</v>
      </c>
      <c r="M1571" s="35" t="n">
        <f aca="false">L1571*I1571</f>
        <v>34</v>
      </c>
      <c r="N1571" s="35" t="n">
        <f aca="false">L1571-M1571</f>
        <v>136</v>
      </c>
      <c r="O1571" s="4" t="n">
        <f aca="false">MONTH(B1571)</f>
        <v>11</v>
      </c>
      <c r="P1571" s="4" t="str">
        <f aca="false">CHOOSE(WEEKDAY(B1571,2),"Mon","Tue","Wed","Thu","Fri","Sat","Sun")</f>
        <v>Thu</v>
      </c>
      <c r="Q1571" s="4" t="str">
        <f aca="false">IF(WEEKDAY(B1571,2)&gt;5,"Weekend","Weekday")</f>
        <v>Weekday</v>
      </c>
      <c r="R1571" s="4" t="str">
        <f aca="false">IF(C1571&lt;11,"Morning (7-10)",IF(C1571&lt;14,"Lunch (11-13)",IF(C1571&lt;18,"Afternoon (14-17)","Evening (18-20)")))</f>
        <v>Morning (7-10)</v>
      </c>
      <c r="S1571" s="4" t="str">
        <f aca="false">IF(AND(O1571&gt;=3,O1571&lt;=5),"Hot Dry (Mar-May)",IF(AND(O1571&gt;=6,O1571&lt;=11),"Rainy (Jun-Nov)","Cool Dry (Dec-Feb)"))</f>
        <v>Rainy (Jun-Nov)</v>
      </c>
      <c r="T1571" s="4" t="str">
        <f aca="false">CHOOSE(O1571,"Jan","Feb","Mar","Apr","May","Jun","Jul","Aug","Sep","Oct","Nov","Dec")</f>
        <v>Nov</v>
      </c>
    </row>
    <row r="1572" customFormat="false" ht="15" hidden="false" customHeight="false" outlineLevel="0" collapsed="false">
      <c r="A1572" s="4" t="s">
        <v>1963</v>
      </c>
      <c r="B1572" s="17" t="n">
        <v>45981</v>
      </c>
      <c r="C1572" s="4" t="n">
        <v>9</v>
      </c>
      <c r="D1572" s="4" t="s">
        <v>64</v>
      </c>
      <c r="E1572" s="4" t="s">
        <v>84</v>
      </c>
      <c r="F1572" s="4" t="s">
        <v>114</v>
      </c>
      <c r="G1572" s="4" t="n">
        <v>4</v>
      </c>
      <c r="H1572" s="34" t="n">
        <v>85</v>
      </c>
      <c r="I1572" s="18" t="n">
        <v>0</v>
      </c>
      <c r="J1572" s="4" t="s">
        <v>81</v>
      </c>
      <c r="K1572" s="4" t="s">
        <v>77</v>
      </c>
      <c r="L1572" s="35" t="n">
        <f aca="false">G1572*H1572</f>
        <v>340</v>
      </c>
      <c r="M1572" s="35" t="n">
        <f aca="false">L1572*I1572</f>
        <v>0</v>
      </c>
      <c r="N1572" s="35" t="n">
        <f aca="false">L1572-M1572</f>
        <v>340</v>
      </c>
      <c r="O1572" s="4" t="n">
        <f aca="false">MONTH(B1572)</f>
        <v>11</v>
      </c>
      <c r="P1572" s="4" t="str">
        <f aca="false">CHOOSE(WEEKDAY(B1572,2),"Mon","Tue","Wed","Thu","Fri","Sat","Sun")</f>
        <v>Thu</v>
      </c>
      <c r="Q1572" s="4" t="str">
        <f aca="false">IF(WEEKDAY(B1572,2)&gt;5,"Weekend","Weekday")</f>
        <v>Weekday</v>
      </c>
      <c r="R1572" s="4" t="str">
        <f aca="false">IF(C1572&lt;11,"Morning (7-10)",IF(C1572&lt;14,"Lunch (11-13)",IF(C1572&lt;18,"Afternoon (14-17)","Evening (18-20)")))</f>
        <v>Morning (7-10)</v>
      </c>
      <c r="S1572" s="4" t="str">
        <f aca="false">IF(AND(O1572&gt;=3,O1572&lt;=5),"Hot Dry (Mar-May)",IF(AND(O1572&gt;=6,O1572&lt;=11),"Rainy (Jun-Nov)","Cool Dry (Dec-Feb)"))</f>
        <v>Rainy (Jun-Nov)</v>
      </c>
      <c r="T1572" s="4" t="str">
        <f aca="false">CHOOSE(O1572,"Jan","Feb","Mar","Apr","May","Jun","Jul","Aug","Sep","Oct","Nov","Dec")</f>
        <v>Nov</v>
      </c>
    </row>
    <row r="1573" customFormat="false" ht="15" hidden="false" customHeight="false" outlineLevel="0" collapsed="false">
      <c r="A1573" s="4" t="s">
        <v>1964</v>
      </c>
      <c r="B1573" s="17" t="n">
        <v>45981</v>
      </c>
      <c r="C1573" s="4" t="n">
        <v>11</v>
      </c>
      <c r="D1573" s="4" t="s">
        <v>70</v>
      </c>
      <c r="E1573" s="4" t="s">
        <v>65</v>
      </c>
      <c r="F1573" s="4" t="s">
        <v>121</v>
      </c>
      <c r="G1573" s="4" t="n">
        <v>1</v>
      </c>
      <c r="H1573" s="34" t="n">
        <v>170</v>
      </c>
      <c r="I1573" s="18" t="n">
        <v>0.05</v>
      </c>
      <c r="J1573" s="4" t="s">
        <v>67</v>
      </c>
      <c r="K1573" s="4" t="s">
        <v>82</v>
      </c>
      <c r="L1573" s="35" t="n">
        <f aca="false">G1573*H1573</f>
        <v>170</v>
      </c>
      <c r="M1573" s="35" t="n">
        <f aca="false">L1573*I1573</f>
        <v>8.5</v>
      </c>
      <c r="N1573" s="35" t="n">
        <f aca="false">L1573-M1573</f>
        <v>161.5</v>
      </c>
      <c r="O1573" s="4" t="n">
        <f aca="false">MONTH(B1573)</f>
        <v>11</v>
      </c>
      <c r="P1573" s="4" t="str">
        <f aca="false">CHOOSE(WEEKDAY(B1573,2),"Mon","Tue","Wed","Thu","Fri","Sat","Sun")</f>
        <v>Thu</v>
      </c>
      <c r="Q1573" s="4" t="str">
        <f aca="false">IF(WEEKDAY(B1573,2)&gt;5,"Weekend","Weekday")</f>
        <v>Weekday</v>
      </c>
      <c r="R1573" s="4" t="str">
        <f aca="false">IF(C1573&lt;11,"Morning (7-10)",IF(C1573&lt;14,"Lunch (11-13)",IF(C1573&lt;18,"Afternoon (14-17)","Evening (18-20)")))</f>
        <v>Lunch (11-13)</v>
      </c>
      <c r="S1573" s="4" t="str">
        <f aca="false">IF(AND(O1573&gt;=3,O1573&lt;=5),"Hot Dry (Mar-May)",IF(AND(O1573&gt;=6,O1573&lt;=11),"Rainy (Jun-Nov)","Cool Dry (Dec-Feb)"))</f>
        <v>Rainy (Jun-Nov)</v>
      </c>
      <c r="T1573" s="4" t="str">
        <f aca="false">CHOOSE(O1573,"Jan","Feb","Mar","Apr","May","Jun","Jul","Aug","Sep","Oct","Nov","Dec")</f>
        <v>Nov</v>
      </c>
    </row>
    <row r="1574" customFormat="false" ht="15" hidden="false" customHeight="false" outlineLevel="0" collapsed="false">
      <c r="A1574" s="4" t="s">
        <v>1965</v>
      </c>
      <c r="B1574" s="17" t="n">
        <v>45981</v>
      </c>
      <c r="C1574" s="4" t="n">
        <v>13</v>
      </c>
      <c r="D1574" s="4" t="s">
        <v>64</v>
      </c>
      <c r="E1574" s="4" t="s">
        <v>99</v>
      </c>
      <c r="F1574" s="4" t="s">
        <v>100</v>
      </c>
      <c r="G1574" s="4" t="n">
        <v>2</v>
      </c>
      <c r="H1574" s="34" t="n">
        <v>110</v>
      </c>
      <c r="I1574" s="18" t="n">
        <v>0</v>
      </c>
      <c r="J1574" s="4" t="s">
        <v>76</v>
      </c>
      <c r="K1574" s="4" t="s">
        <v>68</v>
      </c>
      <c r="L1574" s="35" t="n">
        <f aca="false">G1574*H1574</f>
        <v>220</v>
      </c>
      <c r="M1574" s="35" t="n">
        <f aca="false">L1574*I1574</f>
        <v>0</v>
      </c>
      <c r="N1574" s="35" t="n">
        <f aca="false">L1574-M1574</f>
        <v>220</v>
      </c>
      <c r="O1574" s="4" t="n">
        <f aca="false">MONTH(B1574)</f>
        <v>11</v>
      </c>
      <c r="P1574" s="4" t="str">
        <f aca="false">CHOOSE(WEEKDAY(B1574,2),"Mon","Tue","Wed","Thu","Fri","Sat","Sun")</f>
        <v>Thu</v>
      </c>
      <c r="Q1574" s="4" t="str">
        <f aca="false">IF(WEEKDAY(B1574,2)&gt;5,"Weekend","Weekday")</f>
        <v>Weekday</v>
      </c>
      <c r="R1574" s="4" t="str">
        <f aca="false">IF(C1574&lt;11,"Morning (7-10)",IF(C1574&lt;14,"Lunch (11-13)",IF(C1574&lt;18,"Afternoon (14-17)","Evening (18-20)")))</f>
        <v>Lunch (11-13)</v>
      </c>
      <c r="S1574" s="4" t="str">
        <f aca="false">IF(AND(O1574&gt;=3,O1574&lt;=5),"Hot Dry (Mar-May)",IF(AND(O1574&gt;=6,O1574&lt;=11),"Rainy (Jun-Nov)","Cool Dry (Dec-Feb)"))</f>
        <v>Rainy (Jun-Nov)</v>
      </c>
      <c r="T1574" s="4" t="str">
        <f aca="false">CHOOSE(O1574,"Jan","Feb","Mar","Apr","May","Jun","Jul","Aug","Sep","Oct","Nov","Dec")</f>
        <v>Nov</v>
      </c>
    </row>
    <row r="1575" customFormat="false" ht="15" hidden="false" customHeight="false" outlineLevel="0" collapsed="false">
      <c r="A1575" s="4" t="s">
        <v>1966</v>
      </c>
      <c r="B1575" s="17" t="n">
        <v>45982</v>
      </c>
      <c r="C1575" s="4" t="n">
        <v>8</v>
      </c>
      <c r="D1575" s="4" t="s">
        <v>73</v>
      </c>
      <c r="E1575" s="4" t="s">
        <v>74</v>
      </c>
      <c r="F1575" s="4" t="s">
        <v>91</v>
      </c>
      <c r="G1575" s="4" t="n">
        <v>2</v>
      </c>
      <c r="H1575" s="34" t="n">
        <v>200</v>
      </c>
      <c r="I1575" s="18" t="n">
        <v>0.1</v>
      </c>
      <c r="J1575" s="4" t="s">
        <v>76</v>
      </c>
      <c r="K1575" s="4" t="s">
        <v>68</v>
      </c>
      <c r="L1575" s="35" t="n">
        <f aca="false">G1575*H1575</f>
        <v>400</v>
      </c>
      <c r="M1575" s="35" t="n">
        <f aca="false">L1575*I1575</f>
        <v>40</v>
      </c>
      <c r="N1575" s="35" t="n">
        <f aca="false">L1575-M1575</f>
        <v>360</v>
      </c>
      <c r="O1575" s="4" t="n">
        <f aca="false">MONTH(B1575)</f>
        <v>11</v>
      </c>
      <c r="P1575" s="4" t="str">
        <f aca="false">CHOOSE(WEEKDAY(B1575,2),"Mon","Tue","Wed","Thu","Fri","Sat","Sun")</f>
        <v>Fri</v>
      </c>
      <c r="Q1575" s="4" t="str">
        <f aca="false">IF(WEEKDAY(B1575,2)&gt;5,"Weekend","Weekday")</f>
        <v>Weekday</v>
      </c>
      <c r="R1575" s="4" t="str">
        <f aca="false">IF(C1575&lt;11,"Morning (7-10)",IF(C1575&lt;14,"Lunch (11-13)",IF(C1575&lt;18,"Afternoon (14-17)","Evening (18-20)")))</f>
        <v>Morning (7-10)</v>
      </c>
      <c r="S1575" s="4" t="str">
        <f aca="false">IF(AND(O1575&gt;=3,O1575&lt;=5),"Hot Dry (Mar-May)",IF(AND(O1575&gt;=6,O1575&lt;=11),"Rainy (Jun-Nov)","Cool Dry (Dec-Feb)"))</f>
        <v>Rainy (Jun-Nov)</v>
      </c>
      <c r="T1575" s="4" t="str">
        <f aca="false">CHOOSE(O1575,"Jan","Feb","Mar","Apr","May","Jun","Jul","Aug","Sep","Oct","Nov","Dec")</f>
        <v>Nov</v>
      </c>
    </row>
    <row r="1576" customFormat="false" ht="15" hidden="false" customHeight="false" outlineLevel="0" collapsed="false">
      <c r="A1576" s="4" t="s">
        <v>1967</v>
      </c>
      <c r="B1576" s="17" t="n">
        <v>45982</v>
      </c>
      <c r="C1576" s="4" t="n">
        <v>9</v>
      </c>
      <c r="D1576" s="4" t="s">
        <v>64</v>
      </c>
      <c r="E1576" s="4" t="s">
        <v>74</v>
      </c>
      <c r="F1576" s="4" t="s">
        <v>75</v>
      </c>
      <c r="G1576" s="4" t="n">
        <v>2</v>
      </c>
      <c r="H1576" s="34" t="n">
        <v>220</v>
      </c>
      <c r="I1576" s="18" t="n">
        <v>0</v>
      </c>
      <c r="J1576" s="4" t="s">
        <v>81</v>
      </c>
      <c r="K1576" s="4" t="s">
        <v>77</v>
      </c>
      <c r="L1576" s="35" t="n">
        <f aca="false">G1576*H1576</f>
        <v>440</v>
      </c>
      <c r="M1576" s="35" t="n">
        <f aca="false">L1576*I1576</f>
        <v>0</v>
      </c>
      <c r="N1576" s="35" t="n">
        <f aca="false">L1576-M1576</f>
        <v>440</v>
      </c>
      <c r="O1576" s="4" t="n">
        <f aca="false">MONTH(B1576)</f>
        <v>11</v>
      </c>
      <c r="P1576" s="4" t="str">
        <f aca="false">CHOOSE(WEEKDAY(B1576,2),"Mon","Tue","Wed","Thu","Fri","Sat","Sun")</f>
        <v>Fri</v>
      </c>
      <c r="Q1576" s="4" t="str">
        <f aca="false">IF(WEEKDAY(B1576,2)&gt;5,"Weekend","Weekday")</f>
        <v>Weekday</v>
      </c>
      <c r="R1576" s="4" t="str">
        <f aca="false">IF(C1576&lt;11,"Morning (7-10)",IF(C1576&lt;14,"Lunch (11-13)",IF(C1576&lt;18,"Afternoon (14-17)","Evening (18-20)")))</f>
        <v>Morning (7-10)</v>
      </c>
      <c r="S1576" s="4" t="str">
        <f aca="false">IF(AND(O1576&gt;=3,O1576&lt;=5),"Hot Dry (Mar-May)",IF(AND(O1576&gt;=6,O1576&lt;=11),"Rainy (Jun-Nov)","Cool Dry (Dec-Feb)"))</f>
        <v>Rainy (Jun-Nov)</v>
      </c>
      <c r="T1576" s="4" t="str">
        <f aca="false">CHOOSE(O1576,"Jan","Feb","Mar","Apr","May","Jun","Jul","Aug","Sep","Oct","Nov","Dec")</f>
        <v>Nov</v>
      </c>
    </row>
    <row r="1577" customFormat="false" ht="15" hidden="false" customHeight="false" outlineLevel="0" collapsed="false">
      <c r="A1577" s="4" t="s">
        <v>1968</v>
      </c>
      <c r="B1577" s="17" t="n">
        <v>45982</v>
      </c>
      <c r="C1577" s="4" t="n">
        <v>14</v>
      </c>
      <c r="D1577" s="4" t="s">
        <v>70</v>
      </c>
      <c r="E1577" s="4" t="s">
        <v>79</v>
      </c>
      <c r="F1577" s="4" t="s">
        <v>135</v>
      </c>
      <c r="G1577" s="4" t="n">
        <v>2</v>
      </c>
      <c r="H1577" s="34" t="n">
        <v>130</v>
      </c>
      <c r="I1577" s="18" t="n">
        <v>0.1</v>
      </c>
      <c r="J1577" s="4" t="s">
        <v>81</v>
      </c>
      <c r="K1577" s="4" t="s">
        <v>71</v>
      </c>
      <c r="L1577" s="35" t="n">
        <f aca="false">G1577*H1577</f>
        <v>260</v>
      </c>
      <c r="M1577" s="35" t="n">
        <f aca="false">L1577*I1577</f>
        <v>26</v>
      </c>
      <c r="N1577" s="35" t="n">
        <f aca="false">L1577-M1577</f>
        <v>234</v>
      </c>
      <c r="O1577" s="4" t="n">
        <f aca="false">MONTH(B1577)</f>
        <v>11</v>
      </c>
      <c r="P1577" s="4" t="str">
        <f aca="false">CHOOSE(WEEKDAY(B1577,2),"Mon","Tue","Wed","Thu","Fri","Sat","Sun")</f>
        <v>Fri</v>
      </c>
      <c r="Q1577" s="4" t="str">
        <f aca="false">IF(WEEKDAY(B1577,2)&gt;5,"Weekend","Weekday")</f>
        <v>Weekday</v>
      </c>
      <c r="R1577" s="4" t="str">
        <f aca="false">IF(C1577&lt;11,"Morning (7-10)",IF(C1577&lt;14,"Lunch (11-13)",IF(C1577&lt;18,"Afternoon (14-17)","Evening (18-20)")))</f>
        <v>Afternoon (14-17)</v>
      </c>
      <c r="S1577" s="4" t="str">
        <f aca="false">IF(AND(O1577&gt;=3,O1577&lt;=5),"Hot Dry (Mar-May)",IF(AND(O1577&gt;=6,O1577&lt;=11),"Rainy (Jun-Nov)","Cool Dry (Dec-Feb)"))</f>
        <v>Rainy (Jun-Nov)</v>
      </c>
      <c r="T1577" s="4" t="str">
        <f aca="false">CHOOSE(O1577,"Jan","Feb","Mar","Apr","May","Jun","Jul","Aug","Sep","Oct","Nov","Dec")</f>
        <v>Nov</v>
      </c>
    </row>
    <row r="1578" customFormat="false" ht="15" hidden="false" customHeight="false" outlineLevel="0" collapsed="false">
      <c r="A1578" s="4" t="s">
        <v>1969</v>
      </c>
      <c r="B1578" s="17" t="n">
        <v>45982</v>
      </c>
      <c r="C1578" s="4" t="n">
        <v>14</v>
      </c>
      <c r="D1578" s="4" t="s">
        <v>64</v>
      </c>
      <c r="E1578" s="4" t="s">
        <v>99</v>
      </c>
      <c r="F1578" s="4" t="s">
        <v>102</v>
      </c>
      <c r="G1578" s="4" t="n">
        <v>4</v>
      </c>
      <c r="H1578" s="34" t="n">
        <v>140</v>
      </c>
      <c r="I1578" s="18" t="n">
        <v>0</v>
      </c>
      <c r="J1578" s="4" t="s">
        <v>76</v>
      </c>
      <c r="K1578" s="4" t="s">
        <v>77</v>
      </c>
      <c r="L1578" s="35" t="n">
        <f aca="false">G1578*H1578</f>
        <v>560</v>
      </c>
      <c r="M1578" s="35" t="n">
        <f aca="false">L1578*I1578</f>
        <v>0</v>
      </c>
      <c r="N1578" s="35" t="n">
        <f aca="false">L1578-M1578</f>
        <v>560</v>
      </c>
      <c r="O1578" s="4" t="n">
        <f aca="false">MONTH(B1578)</f>
        <v>11</v>
      </c>
      <c r="P1578" s="4" t="str">
        <f aca="false">CHOOSE(WEEKDAY(B1578,2),"Mon","Tue","Wed","Thu","Fri","Sat","Sun")</f>
        <v>Fri</v>
      </c>
      <c r="Q1578" s="4" t="str">
        <f aca="false">IF(WEEKDAY(B1578,2)&gt;5,"Weekend","Weekday")</f>
        <v>Weekday</v>
      </c>
      <c r="R1578" s="4" t="str">
        <f aca="false">IF(C1578&lt;11,"Morning (7-10)",IF(C1578&lt;14,"Lunch (11-13)",IF(C1578&lt;18,"Afternoon (14-17)","Evening (18-20)")))</f>
        <v>Afternoon (14-17)</v>
      </c>
      <c r="S1578" s="4" t="str">
        <f aca="false">IF(AND(O1578&gt;=3,O1578&lt;=5),"Hot Dry (Mar-May)",IF(AND(O1578&gt;=6,O1578&lt;=11),"Rainy (Jun-Nov)","Cool Dry (Dec-Feb)"))</f>
        <v>Rainy (Jun-Nov)</v>
      </c>
      <c r="T1578" s="4" t="str">
        <f aca="false">CHOOSE(O1578,"Jan","Feb","Mar","Apr","May","Jun","Jul","Aug","Sep","Oct","Nov","Dec")</f>
        <v>Nov</v>
      </c>
    </row>
    <row r="1579" customFormat="false" ht="15" hidden="false" customHeight="false" outlineLevel="0" collapsed="false">
      <c r="A1579" s="4" t="s">
        <v>1970</v>
      </c>
      <c r="B1579" s="17" t="n">
        <v>45983</v>
      </c>
      <c r="C1579" s="4" t="n">
        <v>9</v>
      </c>
      <c r="D1579" s="4" t="s">
        <v>64</v>
      </c>
      <c r="E1579" s="4" t="s">
        <v>99</v>
      </c>
      <c r="F1579" s="4" t="s">
        <v>102</v>
      </c>
      <c r="G1579" s="4" t="n">
        <v>1</v>
      </c>
      <c r="H1579" s="34" t="n">
        <v>140</v>
      </c>
      <c r="I1579" s="18" t="n">
        <v>0.05</v>
      </c>
      <c r="J1579" s="4" t="s">
        <v>67</v>
      </c>
      <c r="K1579" s="4" t="s">
        <v>82</v>
      </c>
      <c r="L1579" s="35" t="n">
        <f aca="false">G1579*H1579</f>
        <v>140</v>
      </c>
      <c r="M1579" s="35" t="n">
        <f aca="false">L1579*I1579</f>
        <v>7</v>
      </c>
      <c r="N1579" s="35" t="n">
        <f aca="false">L1579-M1579</f>
        <v>133</v>
      </c>
      <c r="O1579" s="4" t="n">
        <f aca="false">MONTH(B1579)</f>
        <v>11</v>
      </c>
      <c r="P1579" s="4" t="str">
        <f aca="false">CHOOSE(WEEKDAY(B1579,2),"Mon","Tue","Wed","Thu","Fri","Sat","Sun")</f>
        <v>Sat</v>
      </c>
      <c r="Q1579" s="4" t="str">
        <f aca="false">IF(WEEKDAY(B1579,2)&gt;5,"Weekend","Weekday")</f>
        <v>Weekend</v>
      </c>
      <c r="R1579" s="4" t="str">
        <f aca="false">IF(C1579&lt;11,"Morning (7-10)",IF(C1579&lt;14,"Lunch (11-13)",IF(C1579&lt;18,"Afternoon (14-17)","Evening (18-20)")))</f>
        <v>Morning (7-10)</v>
      </c>
      <c r="S1579" s="4" t="str">
        <f aca="false">IF(AND(O1579&gt;=3,O1579&lt;=5),"Hot Dry (Mar-May)",IF(AND(O1579&gt;=6,O1579&lt;=11),"Rainy (Jun-Nov)","Cool Dry (Dec-Feb)"))</f>
        <v>Rainy (Jun-Nov)</v>
      </c>
      <c r="T1579" s="4" t="str">
        <f aca="false">CHOOSE(O1579,"Jan","Feb","Mar","Apr","May","Jun","Jul","Aug","Sep","Oct","Nov","Dec")</f>
        <v>Nov</v>
      </c>
    </row>
    <row r="1580" customFormat="false" ht="15" hidden="false" customHeight="false" outlineLevel="0" collapsed="false">
      <c r="A1580" s="4" t="s">
        <v>1971</v>
      </c>
      <c r="B1580" s="17" t="n">
        <v>45983</v>
      </c>
      <c r="C1580" s="4" t="n">
        <v>11</v>
      </c>
      <c r="D1580" s="4" t="s">
        <v>70</v>
      </c>
      <c r="E1580" s="4" t="s">
        <v>84</v>
      </c>
      <c r="F1580" s="4" t="s">
        <v>114</v>
      </c>
      <c r="G1580" s="4" t="n">
        <v>2</v>
      </c>
      <c r="H1580" s="34" t="n">
        <v>85</v>
      </c>
      <c r="I1580" s="18" t="n">
        <v>0</v>
      </c>
      <c r="J1580" s="4" t="s">
        <v>112</v>
      </c>
      <c r="K1580" s="4" t="s">
        <v>2289</v>
      </c>
      <c r="L1580" s="35" t="n">
        <f aca="false">G1580*H1580</f>
        <v>170</v>
      </c>
      <c r="M1580" s="35" t="n">
        <f aca="false">L1580*I1580</f>
        <v>0</v>
      </c>
      <c r="N1580" s="35" t="n">
        <f aca="false">L1580-M1580</f>
        <v>170</v>
      </c>
      <c r="O1580" s="4" t="n">
        <f aca="false">MONTH(B1580)</f>
        <v>11</v>
      </c>
      <c r="P1580" s="4" t="str">
        <f aca="false">CHOOSE(WEEKDAY(B1580,2),"Mon","Tue","Wed","Thu","Fri","Sat","Sun")</f>
        <v>Sat</v>
      </c>
      <c r="Q1580" s="4" t="str">
        <f aca="false">IF(WEEKDAY(B1580,2)&gt;5,"Weekend","Weekday")</f>
        <v>Weekend</v>
      </c>
      <c r="R1580" s="4" t="str">
        <f aca="false">IF(C1580&lt;11,"Morning (7-10)",IF(C1580&lt;14,"Lunch (11-13)",IF(C1580&lt;18,"Afternoon (14-17)","Evening (18-20)")))</f>
        <v>Lunch (11-13)</v>
      </c>
      <c r="S1580" s="4" t="str">
        <f aca="false">IF(AND(O1580&gt;=3,O1580&lt;=5),"Hot Dry (Mar-May)",IF(AND(O1580&gt;=6,O1580&lt;=11),"Rainy (Jun-Nov)","Cool Dry (Dec-Feb)"))</f>
        <v>Rainy (Jun-Nov)</v>
      </c>
      <c r="T1580" s="4" t="str">
        <f aca="false">CHOOSE(O1580,"Jan","Feb","Mar","Apr","May","Jun","Jul","Aug","Sep","Oct","Nov","Dec")</f>
        <v>Nov</v>
      </c>
    </row>
    <row r="1581" customFormat="false" ht="15" hidden="false" customHeight="false" outlineLevel="0" collapsed="false">
      <c r="A1581" s="4" t="s">
        <v>1972</v>
      </c>
      <c r="B1581" s="17" t="n">
        <v>45983</v>
      </c>
      <c r="C1581" s="4" t="n">
        <v>11</v>
      </c>
      <c r="D1581" s="4" t="s">
        <v>98</v>
      </c>
      <c r="E1581" s="4" t="s">
        <v>74</v>
      </c>
      <c r="F1581" s="4" t="s">
        <v>139</v>
      </c>
      <c r="G1581" s="4" t="n">
        <v>1</v>
      </c>
      <c r="H1581" s="34" t="n">
        <v>260</v>
      </c>
      <c r="I1581" s="18" t="n">
        <v>0.1</v>
      </c>
      <c r="J1581" s="4" t="s">
        <v>76</v>
      </c>
      <c r="K1581" s="4" t="s">
        <v>71</v>
      </c>
      <c r="L1581" s="35" t="n">
        <f aca="false">G1581*H1581</f>
        <v>260</v>
      </c>
      <c r="M1581" s="35" t="n">
        <f aca="false">L1581*I1581</f>
        <v>26</v>
      </c>
      <c r="N1581" s="35" t="n">
        <f aca="false">L1581-M1581</f>
        <v>234</v>
      </c>
      <c r="O1581" s="4" t="n">
        <f aca="false">MONTH(B1581)</f>
        <v>11</v>
      </c>
      <c r="P1581" s="4" t="str">
        <f aca="false">CHOOSE(WEEKDAY(B1581,2),"Mon","Tue","Wed","Thu","Fri","Sat","Sun")</f>
        <v>Sat</v>
      </c>
      <c r="Q1581" s="4" t="str">
        <f aca="false">IF(WEEKDAY(B1581,2)&gt;5,"Weekend","Weekday")</f>
        <v>Weekend</v>
      </c>
      <c r="R1581" s="4" t="str">
        <f aca="false">IF(C1581&lt;11,"Morning (7-10)",IF(C1581&lt;14,"Lunch (11-13)",IF(C1581&lt;18,"Afternoon (14-17)","Evening (18-20)")))</f>
        <v>Lunch (11-13)</v>
      </c>
      <c r="S1581" s="4" t="str">
        <f aca="false">IF(AND(O1581&gt;=3,O1581&lt;=5),"Hot Dry (Mar-May)",IF(AND(O1581&gt;=6,O1581&lt;=11),"Rainy (Jun-Nov)","Cool Dry (Dec-Feb)"))</f>
        <v>Rainy (Jun-Nov)</v>
      </c>
      <c r="T1581" s="4" t="str">
        <f aca="false">CHOOSE(O1581,"Jan","Feb","Mar","Apr","May","Jun","Jul","Aug","Sep","Oct","Nov","Dec")</f>
        <v>Nov</v>
      </c>
    </row>
    <row r="1582" customFormat="false" ht="15" hidden="false" customHeight="false" outlineLevel="0" collapsed="false">
      <c r="A1582" s="4" t="s">
        <v>1973</v>
      </c>
      <c r="B1582" s="17" t="n">
        <v>45983</v>
      </c>
      <c r="C1582" s="4" t="n">
        <v>12</v>
      </c>
      <c r="D1582" s="4" t="s">
        <v>73</v>
      </c>
      <c r="E1582" s="4" t="s">
        <v>65</v>
      </c>
      <c r="F1582" s="4" t="s">
        <v>94</v>
      </c>
      <c r="G1582" s="4" t="n">
        <v>2</v>
      </c>
      <c r="H1582" s="34" t="n">
        <v>150</v>
      </c>
      <c r="I1582" s="18" t="n">
        <v>0</v>
      </c>
      <c r="J1582" s="4" t="s">
        <v>81</v>
      </c>
      <c r="K1582" s="4" t="s">
        <v>68</v>
      </c>
      <c r="L1582" s="35" t="n">
        <f aca="false">G1582*H1582</f>
        <v>300</v>
      </c>
      <c r="M1582" s="35" t="n">
        <f aca="false">L1582*I1582</f>
        <v>0</v>
      </c>
      <c r="N1582" s="35" t="n">
        <f aca="false">L1582-M1582</f>
        <v>300</v>
      </c>
      <c r="O1582" s="4" t="n">
        <f aca="false">MONTH(B1582)</f>
        <v>11</v>
      </c>
      <c r="P1582" s="4" t="str">
        <f aca="false">CHOOSE(WEEKDAY(B1582,2),"Mon","Tue","Wed","Thu","Fri","Sat","Sun")</f>
        <v>Sat</v>
      </c>
      <c r="Q1582" s="4" t="str">
        <f aca="false">IF(WEEKDAY(B1582,2)&gt;5,"Weekend","Weekday")</f>
        <v>Weekend</v>
      </c>
      <c r="R1582" s="4" t="str">
        <f aca="false">IF(C1582&lt;11,"Morning (7-10)",IF(C1582&lt;14,"Lunch (11-13)",IF(C1582&lt;18,"Afternoon (14-17)","Evening (18-20)")))</f>
        <v>Lunch (11-13)</v>
      </c>
      <c r="S1582" s="4" t="str">
        <f aca="false">IF(AND(O1582&gt;=3,O1582&lt;=5),"Hot Dry (Mar-May)",IF(AND(O1582&gt;=6,O1582&lt;=11),"Rainy (Jun-Nov)","Cool Dry (Dec-Feb)"))</f>
        <v>Rainy (Jun-Nov)</v>
      </c>
      <c r="T1582" s="4" t="str">
        <f aca="false">CHOOSE(O1582,"Jan","Feb","Mar","Apr","May","Jun","Jul","Aug","Sep","Oct","Nov","Dec")</f>
        <v>Nov</v>
      </c>
    </row>
    <row r="1583" customFormat="false" ht="15" hidden="false" customHeight="false" outlineLevel="0" collapsed="false">
      <c r="A1583" s="4" t="s">
        <v>1974</v>
      </c>
      <c r="B1583" s="17" t="n">
        <v>45983</v>
      </c>
      <c r="C1583" s="4" t="n">
        <v>15</v>
      </c>
      <c r="D1583" s="4" t="s">
        <v>98</v>
      </c>
      <c r="E1583" s="4" t="s">
        <v>65</v>
      </c>
      <c r="F1583" s="4" t="s">
        <v>87</v>
      </c>
      <c r="G1583" s="4" t="n">
        <v>1</v>
      </c>
      <c r="H1583" s="34" t="n">
        <v>160</v>
      </c>
      <c r="I1583" s="18" t="n">
        <v>0</v>
      </c>
      <c r="J1583" s="4" t="s">
        <v>76</v>
      </c>
      <c r="K1583" s="4" t="s">
        <v>68</v>
      </c>
      <c r="L1583" s="35" t="n">
        <f aca="false">G1583*H1583</f>
        <v>160</v>
      </c>
      <c r="M1583" s="35" t="n">
        <f aca="false">L1583*I1583</f>
        <v>0</v>
      </c>
      <c r="N1583" s="35" t="n">
        <f aca="false">L1583-M1583</f>
        <v>160</v>
      </c>
      <c r="O1583" s="4" t="n">
        <f aca="false">MONTH(B1583)</f>
        <v>11</v>
      </c>
      <c r="P1583" s="4" t="str">
        <f aca="false">CHOOSE(WEEKDAY(B1583,2),"Mon","Tue","Wed","Thu","Fri","Sat","Sun")</f>
        <v>Sat</v>
      </c>
      <c r="Q1583" s="4" t="str">
        <f aca="false">IF(WEEKDAY(B1583,2)&gt;5,"Weekend","Weekday")</f>
        <v>Weekend</v>
      </c>
      <c r="R1583" s="4" t="str">
        <f aca="false">IF(C1583&lt;11,"Morning (7-10)",IF(C1583&lt;14,"Lunch (11-13)",IF(C1583&lt;18,"Afternoon (14-17)","Evening (18-20)")))</f>
        <v>Afternoon (14-17)</v>
      </c>
      <c r="S1583" s="4" t="str">
        <f aca="false">IF(AND(O1583&gt;=3,O1583&lt;=5),"Hot Dry (Mar-May)",IF(AND(O1583&gt;=6,O1583&lt;=11),"Rainy (Jun-Nov)","Cool Dry (Dec-Feb)"))</f>
        <v>Rainy (Jun-Nov)</v>
      </c>
      <c r="T1583" s="4" t="str">
        <f aca="false">CHOOSE(O1583,"Jan","Feb","Mar","Apr","May","Jun","Jul","Aug","Sep","Oct","Nov","Dec")</f>
        <v>Nov</v>
      </c>
    </row>
    <row r="1584" customFormat="false" ht="15" hidden="false" customHeight="false" outlineLevel="0" collapsed="false">
      <c r="A1584" s="4" t="s">
        <v>1975</v>
      </c>
      <c r="B1584" s="17" t="n">
        <v>45983</v>
      </c>
      <c r="C1584" s="4" t="n">
        <v>16</v>
      </c>
      <c r="D1584" s="4" t="s">
        <v>98</v>
      </c>
      <c r="E1584" s="4" t="s">
        <v>84</v>
      </c>
      <c r="F1584" s="4" t="s">
        <v>106</v>
      </c>
      <c r="G1584" s="4" t="n">
        <v>3</v>
      </c>
      <c r="H1584" s="34" t="n">
        <v>60</v>
      </c>
      <c r="I1584" s="18" t="n">
        <v>0.1</v>
      </c>
      <c r="J1584" s="4" t="s">
        <v>76</v>
      </c>
      <c r="K1584" s="4" t="s">
        <v>71</v>
      </c>
      <c r="L1584" s="35" t="n">
        <f aca="false">G1584*H1584</f>
        <v>180</v>
      </c>
      <c r="M1584" s="35" t="n">
        <f aca="false">L1584*I1584</f>
        <v>18</v>
      </c>
      <c r="N1584" s="35" t="n">
        <f aca="false">L1584-M1584</f>
        <v>162</v>
      </c>
      <c r="O1584" s="4" t="n">
        <f aca="false">MONTH(B1584)</f>
        <v>11</v>
      </c>
      <c r="P1584" s="4" t="str">
        <f aca="false">CHOOSE(WEEKDAY(B1584,2),"Mon","Tue","Wed","Thu","Fri","Sat","Sun")</f>
        <v>Sat</v>
      </c>
      <c r="Q1584" s="4" t="str">
        <f aca="false">IF(WEEKDAY(B1584,2)&gt;5,"Weekend","Weekday")</f>
        <v>Weekend</v>
      </c>
      <c r="R1584" s="4" t="str">
        <f aca="false">IF(C1584&lt;11,"Morning (7-10)",IF(C1584&lt;14,"Lunch (11-13)",IF(C1584&lt;18,"Afternoon (14-17)","Evening (18-20)")))</f>
        <v>Afternoon (14-17)</v>
      </c>
      <c r="S1584" s="4" t="str">
        <f aca="false">IF(AND(O1584&gt;=3,O1584&lt;=5),"Hot Dry (Mar-May)",IF(AND(O1584&gt;=6,O1584&lt;=11),"Rainy (Jun-Nov)","Cool Dry (Dec-Feb)"))</f>
        <v>Rainy (Jun-Nov)</v>
      </c>
      <c r="T1584" s="4" t="str">
        <f aca="false">CHOOSE(O1584,"Jan","Feb","Mar","Apr","May","Jun","Jul","Aug","Sep","Oct","Nov","Dec")</f>
        <v>Nov</v>
      </c>
    </row>
    <row r="1585" customFormat="false" ht="15" hidden="false" customHeight="false" outlineLevel="0" collapsed="false">
      <c r="A1585" s="4" t="s">
        <v>1976</v>
      </c>
      <c r="B1585" s="17" t="n">
        <v>45983</v>
      </c>
      <c r="C1585" s="4" t="n">
        <v>18</v>
      </c>
      <c r="D1585" s="4" t="s">
        <v>64</v>
      </c>
      <c r="E1585" s="4" t="s">
        <v>99</v>
      </c>
      <c r="F1585" s="4" t="s">
        <v>109</v>
      </c>
      <c r="G1585" s="4" t="n">
        <v>1</v>
      </c>
      <c r="H1585" s="34" t="n">
        <v>130</v>
      </c>
      <c r="I1585" s="18" t="n">
        <v>0</v>
      </c>
      <c r="J1585" s="4" t="s">
        <v>67</v>
      </c>
      <c r="K1585" s="4" t="s">
        <v>68</v>
      </c>
      <c r="L1585" s="35" t="n">
        <f aca="false">G1585*H1585</f>
        <v>130</v>
      </c>
      <c r="M1585" s="35" t="n">
        <f aca="false">L1585*I1585</f>
        <v>0</v>
      </c>
      <c r="N1585" s="35" t="n">
        <f aca="false">L1585-M1585</f>
        <v>130</v>
      </c>
      <c r="O1585" s="4" t="n">
        <f aca="false">MONTH(B1585)</f>
        <v>11</v>
      </c>
      <c r="P1585" s="4" t="str">
        <f aca="false">CHOOSE(WEEKDAY(B1585,2),"Mon","Tue","Wed","Thu","Fri","Sat","Sun")</f>
        <v>Sat</v>
      </c>
      <c r="Q1585" s="4" t="str">
        <f aca="false">IF(WEEKDAY(B1585,2)&gt;5,"Weekend","Weekday")</f>
        <v>Weekend</v>
      </c>
      <c r="R1585" s="4" t="str">
        <f aca="false">IF(C1585&lt;11,"Morning (7-10)",IF(C1585&lt;14,"Lunch (11-13)",IF(C1585&lt;18,"Afternoon (14-17)","Evening (18-20)")))</f>
        <v>Evening (18-20)</v>
      </c>
      <c r="S1585" s="4" t="str">
        <f aca="false">IF(AND(O1585&gt;=3,O1585&lt;=5),"Hot Dry (Mar-May)",IF(AND(O1585&gt;=6,O1585&lt;=11),"Rainy (Jun-Nov)","Cool Dry (Dec-Feb)"))</f>
        <v>Rainy (Jun-Nov)</v>
      </c>
      <c r="T1585" s="4" t="str">
        <f aca="false">CHOOSE(O1585,"Jan","Feb","Mar","Apr","May","Jun","Jul","Aug","Sep","Oct","Nov","Dec")</f>
        <v>Nov</v>
      </c>
    </row>
    <row r="1586" customFormat="false" ht="15" hidden="false" customHeight="false" outlineLevel="0" collapsed="false">
      <c r="A1586" s="4" t="s">
        <v>1977</v>
      </c>
      <c r="B1586" s="17" t="n">
        <v>45983</v>
      </c>
      <c r="C1586" s="4" t="n">
        <v>19</v>
      </c>
      <c r="D1586" s="4" t="s">
        <v>64</v>
      </c>
      <c r="E1586" s="4" t="s">
        <v>99</v>
      </c>
      <c r="F1586" s="4" t="s">
        <v>100</v>
      </c>
      <c r="G1586" s="4" t="n">
        <v>2</v>
      </c>
      <c r="H1586" s="34" t="n">
        <v>110</v>
      </c>
      <c r="I1586" s="18" t="n">
        <v>0.15</v>
      </c>
      <c r="J1586" s="4" t="s">
        <v>67</v>
      </c>
      <c r="K1586" s="4" t="s">
        <v>77</v>
      </c>
      <c r="L1586" s="35" t="n">
        <f aca="false">G1586*H1586</f>
        <v>220</v>
      </c>
      <c r="M1586" s="35" t="n">
        <f aca="false">L1586*I1586</f>
        <v>33</v>
      </c>
      <c r="N1586" s="35" t="n">
        <f aca="false">L1586-M1586</f>
        <v>187</v>
      </c>
      <c r="O1586" s="4" t="n">
        <f aca="false">MONTH(B1586)</f>
        <v>11</v>
      </c>
      <c r="P1586" s="4" t="str">
        <f aca="false">CHOOSE(WEEKDAY(B1586,2),"Mon","Tue","Wed","Thu","Fri","Sat","Sun")</f>
        <v>Sat</v>
      </c>
      <c r="Q1586" s="4" t="str">
        <f aca="false">IF(WEEKDAY(B1586,2)&gt;5,"Weekend","Weekday")</f>
        <v>Weekend</v>
      </c>
      <c r="R1586" s="4" t="str">
        <f aca="false">IF(C1586&lt;11,"Morning (7-10)",IF(C1586&lt;14,"Lunch (11-13)",IF(C1586&lt;18,"Afternoon (14-17)","Evening (18-20)")))</f>
        <v>Evening (18-20)</v>
      </c>
      <c r="S1586" s="4" t="str">
        <f aca="false">IF(AND(O1586&gt;=3,O1586&lt;=5),"Hot Dry (Mar-May)",IF(AND(O1586&gt;=6,O1586&lt;=11),"Rainy (Jun-Nov)","Cool Dry (Dec-Feb)"))</f>
        <v>Rainy (Jun-Nov)</v>
      </c>
      <c r="T1586" s="4" t="str">
        <f aca="false">CHOOSE(O1586,"Jan","Feb","Mar","Apr","May","Jun","Jul","Aug","Sep","Oct","Nov","Dec")</f>
        <v>Nov</v>
      </c>
    </row>
    <row r="1587" customFormat="false" ht="15" hidden="false" customHeight="false" outlineLevel="0" collapsed="false">
      <c r="A1587" s="4" t="s">
        <v>1978</v>
      </c>
      <c r="B1587" s="17" t="n">
        <v>45984</v>
      </c>
      <c r="C1587" s="4" t="n">
        <v>9</v>
      </c>
      <c r="D1587" s="4" t="s">
        <v>64</v>
      </c>
      <c r="E1587" s="4" t="s">
        <v>99</v>
      </c>
      <c r="F1587" s="4" t="s">
        <v>109</v>
      </c>
      <c r="G1587" s="4" t="n">
        <v>2</v>
      </c>
      <c r="H1587" s="34" t="n">
        <v>130</v>
      </c>
      <c r="I1587" s="18" t="n">
        <v>0.15</v>
      </c>
      <c r="J1587" s="4" t="s">
        <v>88</v>
      </c>
      <c r="K1587" s="4" t="s">
        <v>77</v>
      </c>
      <c r="L1587" s="35" t="n">
        <f aca="false">G1587*H1587</f>
        <v>260</v>
      </c>
      <c r="M1587" s="35" t="n">
        <f aca="false">L1587*I1587</f>
        <v>39</v>
      </c>
      <c r="N1587" s="35" t="n">
        <f aca="false">L1587-M1587</f>
        <v>221</v>
      </c>
      <c r="O1587" s="4" t="n">
        <f aca="false">MONTH(B1587)</f>
        <v>11</v>
      </c>
      <c r="P1587" s="4" t="str">
        <f aca="false">CHOOSE(WEEKDAY(B1587,2),"Mon","Tue","Wed","Thu","Fri","Sat","Sun")</f>
        <v>Sun</v>
      </c>
      <c r="Q1587" s="4" t="str">
        <f aca="false">IF(WEEKDAY(B1587,2)&gt;5,"Weekend","Weekday")</f>
        <v>Weekend</v>
      </c>
      <c r="R1587" s="4" t="str">
        <f aca="false">IF(C1587&lt;11,"Morning (7-10)",IF(C1587&lt;14,"Lunch (11-13)",IF(C1587&lt;18,"Afternoon (14-17)","Evening (18-20)")))</f>
        <v>Morning (7-10)</v>
      </c>
      <c r="S1587" s="4" t="str">
        <f aca="false">IF(AND(O1587&gt;=3,O1587&lt;=5),"Hot Dry (Mar-May)",IF(AND(O1587&gt;=6,O1587&lt;=11),"Rainy (Jun-Nov)","Cool Dry (Dec-Feb)"))</f>
        <v>Rainy (Jun-Nov)</v>
      </c>
      <c r="T1587" s="4" t="str">
        <f aca="false">CHOOSE(O1587,"Jan","Feb","Mar","Apr","May","Jun","Jul","Aug","Sep","Oct","Nov","Dec")</f>
        <v>Nov</v>
      </c>
    </row>
    <row r="1588" customFormat="false" ht="15" hidden="false" customHeight="false" outlineLevel="0" collapsed="false">
      <c r="A1588" s="4" t="s">
        <v>1980</v>
      </c>
      <c r="B1588" s="17" t="n">
        <v>45984</v>
      </c>
      <c r="C1588" s="4" t="n">
        <v>14</v>
      </c>
      <c r="D1588" s="4" t="s">
        <v>73</v>
      </c>
      <c r="E1588" s="4" t="s">
        <v>65</v>
      </c>
      <c r="F1588" s="4" t="s">
        <v>94</v>
      </c>
      <c r="G1588" s="4" t="n">
        <v>1</v>
      </c>
      <c r="H1588" s="34" t="n">
        <v>150</v>
      </c>
      <c r="I1588" s="18" t="n">
        <v>0</v>
      </c>
      <c r="J1588" s="4" t="s">
        <v>76</v>
      </c>
      <c r="K1588" s="4" t="s">
        <v>68</v>
      </c>
      <c r="L1588" s="35" t="n">
        <f aca="false">G1588*H1588</f>
        <v>150</v>
      </c>
      <c r="M1588" s="35" t="n">
        <f aca="false">L1588*I1588</f>
        <v>0</v>
      </c>
      <c r="N1588" s="35" t="n">
        <f aca="false">L1588-M1588</f>
        <v>150</v>
      </c>
      <c r="O1588" s="4" t="n">
        <f aca="false">MONTH(B1588)</f>
        <v>11</v>
      </c>
      <c r="P1588" s="4" t="str">
        <f aca="false">CHOOSE(WEEKDAY(B1588,2),"Mon","Tue","Wed","Thu","Fri","Sat","Sun")</f>
        <v>Sun</v>
      </c>
      <c r="Q1588" s="4" t="str">
        <f aca="false">IF(WEEKDAY(B1588,2)&gt;5,"Weekend","Weekday")</f>
        <v>Weekend</v>
      </c>
      <c r="R1588" s="4" t="str">
        <f aca="false">IF(C1588&lt;11,"Morning (7-10)",IF(C1588&lt;14,"Lunch (11-13)",IF(C1588&lt;18,"Afternoon (14-17)","Evening (18-20)")))</f>
        <v>Afternoon (14-17)</v>
      </c>
      <c r="S1588" s="4" t="str">
        <f aca="false">IF(AND(O1588&gt;=3,O1588&lt;=5),"Hot Dry (Mar-May)",IF(AND(O1588&gt;=6,O1588&lt;=11),"Rainy (Jun-Nov)","Cool Dry (Dec-Feb)"))</f>
        <v>Rainy (Jun-Nov)</v>
      </c>
      <c r="T1588" s="4" t="str">
        <f aca="false">CHOOSE(O1588,"Jan","Feb","Mar","Apr","May","Jun","Jul","Aug","Sep","Oct","Nov","Dec")</f>
        <v>Nov</v>
      </c>
    </row>
    <row r="1589" customFormat="false" ht="15" hidden="false" customHeight="false" outlineLevel="0" collapsed="false">
      <c r="A1589" s="4" t="s">
        <v>1981</v>
      </c>
      <c r="B1589" s="17" t="n">
        <v>45985</v>
      </c>
      <c r="C1589" s="4" t="n">
        <v>7</v>
      </c>
      <c r="D1589" s="4" t="s">
        <v>70</v>
      </c>
      <c r="E1589" s="4" t="s">
        <v>65</v>
      </c>
      <c r="F1589" s="4" t="s">
        <v>94</v>
      </c>
      <c r="G1589" s="4" t="n">
        <v>1</v>
      </c>
      <c r="H1589" s="34" t="n">
        <v>150</v>
      </c>
      <c r="I1589" s="18" t="n">
        <v>0</v>
      </c>
      <c r="J1589" s="4" t="s">
        <v>112</v>
      </c>
      <c r="K1589" s="4" t="s">
        <v>68</v>
      </c>
      <c r="L1589" s="35" t="n">
        <f aca="false">G1589*H1589</f>
        <v>150</v>
      </c>
      <c r="M1589" s="35" t="n">
        <f aca="false">L1589*I1589</f>
        <v>0</v>
      </c>
      <c r="N1589" s="35" t="n">
        <f aca="false">L1589-M1589</f>
        <v>150</v>
      </c>
      <c r="O1589" s="4" t="n">
        <f aca="false">MONTH(B1589)</f>
        <v>11</v>
      </c>
      <c r="P1589" s="4" t="str">
        <f aca="false">CHOOSE(WEEKDAY(B1589,2),"Mon","Tue","Wed","Thu","Fri","Sat","Sun")</f>
        <v>Mon</v>
      </c>
      <c r="Q1589" s="4" t="str">
        <f aca="false">IF(WEEKDAY(B1589,2)&gt;5,"Weekend","Weekday")</f>
        <v>Weekday</v>
      </c>
      <c r="R1589" s="4" t="str">
        <f aca="false">IF(C1589&lt;11,"Morning (7-10)",IF(C1589&lt;14,"Lunch (11-13)",IF(C1589&lt;18,"Afternoon (14-17)","Evening (18-20)")))</f>
        <v>Morning (7-10)</v>
      </c>
      <c r="S1589" s="4" t="str">
        <f aca="false">IF(AND(O1589&gt;=3,O1589&lt;=5),"Hot Dry (Mar-May)",IF(AND(O1589&gt;=6,O1589&lt;=11),"Rainy (Jun-Nov)","Cool Dry (Dec-Feb)"))</f>
        <v>Rainy (Jun-Nov)</v>
      </c>
      <c r="T1589" s="4" t="str">
        <f aca="false">CHOOSE(O1589,"Jan","Feb","Mar","Apr","May","Jun","Jul","Aug","Sep","Oct","Nov","Dec")</f>
        <v>Nov</v>
      </c>
    </row>
    <row r="1590" customFormat="false" ht="15" hidden="false" customHeight="false" outlineLevel="0" collapsed="false">
      <c r="A1590" s="4" t="s">
        <v>1982</v>
      </c>
      <c r="B1590" s="17" t="n">
        <v>45985</v>
      </c>
      <c r="C1590" s="4" t="n">
        <v>9</v>
      </c>
      <c r="D1590" s="4" t="s">
        <v>64</v>
      </c>
      <c r="E1590" s="4" t="s">
        <v>99</v>
      </c>
      <c r="F1590" s="4" t="s">
        <v>102</v>
      </c>
      <c r="G1590" s="4" t="n">
        <v>4</v>
      </c>
      <c r="H1590" s="34" t="n">
        <v>140</v>
      </c>
      <c r="I1590" s="18" t="n">
        <v>0</v>
      </c>
      <c r="J1590" s="4" t="s">
        <v>81</v>
      </c>
      <c r="K1590" s="4" t="s">
        <v>71</v>
      </c>
      <c r="L1590" s="35" t="n">
        <f aca="false">G1590*H1590</f>
        <v>560</v>
      </c>
      <c r="M1590" s="35" t="n">
        <f aca="false">L1590*I1590</f>
        <v>0</v>
      </c>
      <c r="N1590" s="35" t="n">
        <f aca="false">L1590-M1590</f>
        <v>560</v>
      </c>
      <c r="O1590" s="4" t="n">
        <f aca="false">MONTH(B1590)</f>
        <v>11</v>
      </c>
      <c r="P1590" s="4" t="str">
        <f aca="false">CHOOSE(WEEKDAY(B1590,2),"Mon","Tue","Wed","Thu","Fri","Sat","Sun")</f>
        <v>Mon</v>
      </c>
      <c r="Q1590" s="4" t="str">
        <f aca="false">IF(WEEKDAY(B1590,2)&gt;5,"Weekend","Weekday")</f>
        <v>Weekday</v>
      </c>
      <c r="R1590" s="4" t="str">
        <f aca="false">IF(C1590&lt;11,"Morning (7-10)",IF(C1590&lt;14,"Lunch (11-13)",IF(C1590&lt;18,"Afternoon (14-17)","Evening (18-20)")))</f>
        <v>Morning (7-10)</v>
      </c>
      <c r="S1590" s="4" t="str">
        <f aca="false">IF(AND(O1590&gt;=3,O1590&lt;=5),"Hot Dry (Mar-May)",IF(AND(O1590&gt;=6,O1590&lt;=11),"Rainy (Jun-Nov)","Cool Dry (Dec-Feb)"))</f>
        <v>Rainy (Jun-Nov)</v>
      </c>
      <c r="T1590" s="4" t="str">
        <f aca="false">CHOOSE(O1590,"Jan","Feb","Mar","Apr","May","Jun","Jul","Aug","Sep","Oct","Nov","Dec")</f>
        <v>Nov</v>
      </c>
    </row>
    <row r="1591" customFormat="false" ht="15" hidden="false" customHeight="false" outlineLevel="0" collapsed="false">
      <c r="A1591" s="4" t="s">
        <v>1984</v>
      </c>
      <c r="B1591" s="17" t="n">
        <v>45985</v>
      </c>
      <c r="C1591" s="4" t="n">
        <v>14</v>
      </c>
      <c r="D1591" s="4" t="s">
        <v>98</v>
      </c>
      <c r="E1591" s="4" t="s">
        <v>99</v>
      </c>
      <c r="F1591" s="4" t="s">
        <v>109</v>
      </c>
      <c r="G1591" s="4" t="n">
        <v>1</v>
      </c>
      <c r="H1591" s="34" t="n">
        <v>130</v>
      </c>
      <c r="I1591" s="18" t="n">
        <v>0.05</v>
      </c>
      <c r="J1591" s="4" t="s">
        <v>76</v>
      </c>
      <c r="K1591" s="4" t="s">
        <v>82</v>
      </c>
      <c r="L1591" s="35" t="n">
        <f aca="false">G1591*H1591</f>
        <v>130</v>
      </c>
      <c r="M1591" s="35" t="n">
        <f aca="false">L1591*I1591</f>
        <v>6.5</v>
      </c>
      <c r="N1591" s="35" t="n">
        <f aca="false">L1591-M1591</f>
        <v>123.5</v>
      </c>
      <c r="O1591" s="4" t="n">
        <f aca="false">MONTH(B1591)</f>
        <v>11</v>
      </c>
      <c r="P1591" s="4" t="str">
        <f aca="false">CHOOSE(WEEKDAY(B1591,2),"Mon","Tue","Wed","Thu","Fri","Sat","Sun")</f>
        <v>Mon</v>
      </c>
      <c r="Q1591" s="4" t="str">
        <f aca="false">IF(WEEKDAY(B1591,2)&gt;5,"Weekend","Weekday")</f>
        <v>Weekday</v>
      </c>
      <c r="R1591" s="4" t="str">
        <f aca="false">IF(C1591&lt;11,"Morning (7-10)",IF(C1591&lt;14,"Lunch (11-13)",IF(C1591&lt;18,"Afternoon (14-17)","Evening (18-20)")))</f>
        <v>Afternoon (14-17)</v>
      </c>
      <c r="S1591" s="4" t="str">
        <f aca="false">IF(AND(O1591&gt;=3,O1591&lt;=5),"Hot Dry (Mar-May)",IF(AND(O1591&gt;=6,O1591&lt;=11),"Rainy (Jun-Nov)","Cool Dry (Dec-Feb)"))</f>
        <v>Rainy (Jun-Nov)</v>
      </c>
      <c r="T1591" s="4" t="str">
        <f aca="false">CHOOSE(O1591,"Jan","Feb","Mar","Apr","May","Jun","Jul","Aug","Sep","Oct","Nov","Dec")</f>
        <v>Nov</v>
      </c>
    </row>
    <row r="1592" customFormat="false" ht="15" hidden="false" customHeight="false" outlineLevel="0" collapsed="false">
      <c r="A1592" s="4" t="s">
        <v>1985</v>
      </c>
      <c r="B1592" s="17" t="n">
        <v>45985</v>
      </c>
      <c r="C1592" s="4" t="n">
        <v>14</v>
      </c>
      <c r="D1592" s="4" t="s">
        <v>70</v>
      </c>
      <c r="E1592" s="4" t="s">
        <v>99</v>
      </c>
      <c r="F1592" s="4" t="s">
        <v>100</v>
      </c>
      <c r="G1592" s="4" t="n">
        <v>1</v>
      </c>
      <c r="H1592" s="34" t="n">
        <v>110</v>
      </c>
      <c r="I1592" s="18" t="n">
        <v>0.15</v>
      </c>
      <c r="J1592" s="4" t="s">
        <v>76</v>
      </c>
      <c r="K1592" s="4" t="s">
        <v>82</v>
      </c>
      <c r="L1592" s="35" t="n">
        <f aca="false">G1592*H1592</f>
        <v>110</v>
      </c>
      <c r="M1592" s="35" t="n">
        <f aca="false">L1592*I1592</f>
        <v>16.5</v>
      </c>
      <c r="N1592" s="35" t="n">
        <f aca="false">L1592-M1592</f>
        <v>93.5</v>
      </c>
      <c r="O1592" s="4" t="n">
        <f aca="false">MONTH(B1592)</f>
        <v>11</v>
      </c>
      <c r="P1592" s="4" t="str">
        <f aca="false">CHOOSE(WEEKDAY(B1592,2),"Mon","Tue","Wed","Thu","Fri","Sat","Sun")</f>
        <v>Mon</v>
      </c>
      <c r="Q1592" s="4" t="str">
        <f aca="false">IF(WEEKDAY(B1592,2)&gt;5,"Weekend","Weekday")</f>
        <v>Weekday</v>
      </c>
      <c r="R1592" s="4" t="str">
        <f aca="false">IF(C1592&lt;11,"Morning (7-10)",IF(C1592&lt;14,"Lunch (11-13)",IF(C1592&lt;18,"Afternoon (14-17)","Evening (18-20)")))</f>
        <v>Afternoon (14-17)</v>
      </c>
      <c r="S1592" s="4" t="str">
        <f aca="false">IF(AND(O1592&gt;=3,O1592&lt;=5),"Hot Dry (Mar-May)",IF(AND(O1592&gt;=6,O1592&lt;=11),"Rainy (Jun-Nov)","Cool Dry (Dec-Feb)"))</f>
        <v>Rainy (Jun-Nov)</v>
      </c>
      <c r="T1592" s="4" t="str">
        <f aca="false">CHOOSE(O1592,"Jan","Feb","Mar","Apr","May","Jun","Jul","Aug","Sep","Oct","Nov","Dec")</f>
        <v>Nov</v>
      </c>
    </row>
    <row r="1593" customFormat="false" ht="15" hidden="false" customHeight="false" outlineLevel="0" collapsed="false">
      <c r="A1593" s="4" t="s">
        <v>1986</v>
      </c>
      <c r="B1593" s="17" t="n">
        <v>45985</v>
      </c>
      <c r="C1593" s="4" t="n">
        <v>17</v>
      </c>
      <c r="D1593" s="4" t="s">
        <v>73</v>
      </c>
      <c r="E1593" s="4" t="s">
        <v>99</v>
      </c>
      <c r="F1593" s="4" t="s">
        <v>109</v>
      </c>
      <c r="G1593" s="4" t="n">
        <v>2</v>
      </c>
      <c r="H1593" s="34" t="n">
        <v>130</v>
      </c>
      <c r="I1593" s="18" t="n">
        <v>0.05</v>
      </c>
      <c r="J1593" s="4" t="s">
        <v>81</v>
      </c>
      <c r="K1593" s="4" t="s">
        <v>82</v>
      </c>
      <c r="L1593" s="35" t="n">
        <f aca="false">G1593*H1593</f>
        <v>260</v>
      </c>
      <c r="M1593" s="35" t="n">
        <f aca="false">L1593*I1593</f>
        <v>13</v>
      </c>
      <c r="N1593" s="35" t="n">
        <f aca="false">L1593-M1593</f>
        <v>247</v>
      </c>
      <c r="O1593" s="4" t="n">
        <f aca="false">MONTH(B1593)</f>
        <v>11</v>
      </c>
      <c r="P1593" s="4" t="str">
        <f aca="false">CHOOSE(WEEKDAY(B1593,2),"Mon","Tue","Wed","Thu","Fri","Sat","Sun")</f>
        <v>Mon</v>
      </c>
      <c r="Q1593" s="4" t="str">
        <f aca="false">IF(WEEKDAY(B1593,2)&gt;5,"Weekend","Weekday")</f>
        <v>Weekday</v>
      </c>
      <c r="R1593" s="4" t="str">
        <f aca="false">IF(C1593&lt;11,"Morning (7-10)",IF(C1593&lt;14,"Lunch (11-13)",IF(C1593&lt;18,"Afternoon (14-17)","Evening (18-20)")))</f>
        <v>Afternoon (14-17)</v>
      </c>
      <c r="S1593" s="4" t="str">
        <f aca="false">IF(AND(O1593&gt;=3,O1593&lt;=5),"Hot Dry (Mar-May)",IF(AND(O1593&gt;=6,O1593&lt;=11),"Rainy (Jun-Nov)","Cool Dry (Dec-Feb)"))</f>
        <v>Rainy (Jun-Nov)</v>
      </c>
      <c r="T1593" s="4" t="str">
        <f aca="false">CHOOSE(O1593,"Jan","Feb","Mar","Apr","May","Jun","Jul","Aug","Sep","Oct","Nov","Dec")</f>
        <v>Nov</v>
      </c>
    </row>
    <row r="1594" customFormat="false" ht="15" hidden="false" customHeight="false" outlineLevel="0" collapsed="false">
      <c r="A1594" s="4" t="s">
        <v>1987</v>
      </c>
      <c r="B1594" s="17" t="n">
        <v>45986</v>
      </c>
      <c r="C1594" s="4" t="n">
        <v>7</v>
      </c>
      <c r="D1594" s="4" t="s">
        <v>64</v>
      </c>
      <c r="E1594" s="4" t="s">
        <v>65</v>
      </c>
      <c r="F1594" s="4" t="s">
        <v>121</v>
      </c>
      <c r="G1594" s="4" t="n">
        <v>1</v>
      </c>
      <c r="H1594" s="34" t="n">
        <v>170</v>
      </c>
      <c r="I1594" s="18" t="n">
        <v>0</v>
      </c>
      <c r="J1594" s="4" t="s">
        <v>2289</v>
      </c>
      <c r="K1594" s="4" t="s">
        <v>68</v>
      </c>
      <c r="L1594" s="35" t="n">
        <f aca="false">G1594*H1594</f>
        <v>170</v>
      </c>
      <c r="M1594" s="35" t="n">
        <f aca="false">L1594*I1594</f>
        <v>0</v>
      </c>
      <c r="N1594" s="35" t="n">
        <f aca="false">L1594-M1594</f>
        <v>170</v>
      </c>
      <c r="O1594" s="4" t="n">
        <f aca="false">MONTH(B1594)</f>
        <v>11</v>
      </c>
      <c r="P1594" s="4" t="str">
        <f aca="false">CHOOSE(WEEKDAY(B1594,2),"Mon","Tue","Wed","Thu","Fri","Sat","Sun")</f>
        <v>Tue</v>
      </c>
      <c r="Q1594" s="4" t="str">
        <f aca="false">IF(WEEKDAY(B1594,2)&gt;5,"Weekend","Weekday")</f>
        <v>Weekday</v>
      </c>
      <c r="R1594" s="4" t="str">
        <f aca="false">IF(C1594&lt;11,"Morning (7-10)",IF(C1594&lt;14,"Lunch (11-13)",IF(C1594&lt;18,"Afternoon (14-17)","Evening (18-20)")))</f>
        <v>Morning (7-10)</v>
      </c>
      <c r="S1594" s="4" t="str">
        <f aca="false">IF(AND(O1594&gt;=3,O1594&lt;=5),"Hot Dry (Mar-May)",IF(AND(O1594&gt;=6,O1594&lt;=11),"Rainy (Jun-Nov)","Cool Dry (Dec-Feb)"))</f>
        <v>Rainy (Jun-Nov)</v>
      </c>
      <c r="T1594" s="4" t="str">
        <f aca="false">CHOOSE(O1594,"Jan","Feb","Mar","Apr","May","Jun","Jul","Aug","Sep","Oct","Nov","Dec")</f>
        <v>Nov</v>
      </c>
    </row>
    <row r="1595" customFormat="false" ht="15" hidden="false" customHeight="false" outlineLevel="0" collapsed="false">
      <c r="A1595" s="4" t="s">
        <v>1988</v>
      </c>
      <c r="B1595" s="17" t="n">
        <v>45986</v>
      </c>
      <c r="C1595" s="4" t="n">
        <v>14</v>
      </c>
      <c r="D1595" s="4" t="s">
        <v>70</v>
      </c>
      <c r="E1595" s="4" t="s">
        <v>84</v>
      </c>
      <c r="F1595" s="4" t="s">
        <v>117</v>
      </c>
      <c r="G1595" s="4" t="n">
        <v>4</v>
      </c>
      <c r="H1595" s="34" t="n">
        <v>95</v>
      </c>
      <c r="I1595" s="18" t="n">
        <v>0</v>
      </c>
      <c r="J1595" s="4" t="s">
        <v>81</v>
      </c>
      <c r="K1595" s="4" t="s">
        <v>68</v>
      </c>
      <c r="L1595" s="35" t="n">
        <f aca="false">G1595*H1595</f>
        <v>380</v>
      </c>
      <c r="M1595" s="35" t="n">
        <f aca="false">L1595*I1595</f>
        <v>0</v>
      </c>
      <c r="N1595" s="35" t="n">
        <f aca="false">L1595-M1595</f>
        <v>380</v>
      </c>
      <c r="O1595" s="4" t="n">
        <f aca="false">MONTH(B1595)</f>
        <v>11</v>
      </c>
      <c r="P1595" s="4" t="str">
        <f aca="false">CHOOSE(WEEKDAY(B1595,2),"Mon","Tue","Wed","Thu","Fri","Sat","Sun")</f>
        <v>Tue</v>
      </c>
      <c r="Q1595" s="4" t="str">
        <f aca="false">IF(WEEKDAY(B1595,2)&gt;5,"Weekend","Weekday")</f>
        <v>Weekday</v>
      </c>
      <c r="R1595" s="4" t="str">
        <f aca="false">IF(C1595&lt;11,"Morning (7-10)",IF(C1595&lt;14,"Lunch (11-13)",IF(C1595&lt;18,"Afternoon (14-17)","Evening (18-20)")))</f>
        <v>Afternoon (14-17)</v>
      </c>
      <c r="S1595" s="4" t="str">
        <f aca="false">IF(AND(O1595&gt;=3,O1595&lt;=5),"Hot Dry (Mar-May)",IF(AND(O1595&gt;=6,O1595&lt;=11),"Rainy (Jun-Nov)","Cool Dry (Dec-Feb)"))</f>
        <v>Rainy (Jun-Nov)</v>
      </c>
      <c r="T1595" s="4" t="str">
        <f aca="false">CHOOSE(O1595,"Jan","Feb","Mar","Apr","May","Jun","Jul","Aug","Sep","Oct","Nov","Dec")</f>
        <v>Nov</v>
      </c>
    </row>
    <row r="1596" customFormat="false" ht="15" hidden="false" customHeight="false" outlineLevel="0" collapsed="false">
      <c r="A1596" s="4" t="s">
        <v>1989</v>
      </c>
      <c r="B1596" s="17" t="n">
        <v>45987</v>
      </c>
      <c r="C1596" s="4" t="n">
        <v>8</v>
      </c>
      <c r="D1596" s="4" t="s">
        <v>73</v>
      </c>
      <c r="E1596" s="4" t="s">
        <v>79</v>
      </c>
      <c r="F1596" s="4" t="s">
        <v>80</v>
      </c>
      <c r="G1596" s="4" t="n">
        <v>2</v>
      </c>
      <c r="H1596" s="34" t="n">
        <v>160</v>
      </c>
      <c r="I1596" s="18" t="n">
        <v>0</v>
      </c>
      <c r="J1596" s="4" t="s">
        <v>67</v>
      </c>
      <c r="K1596" s="4" t="s">
        <v>68</v>
      </c>
      <c r="L1596" s="35" t="n">
        <f aca="false">G1596*H1596</f>
        <v>320</v>
      </c>
      <c r="M1596" s="35" t="n">
        <f aca="false">L1596*I1596</f>
        <v>0</v>
      </c>
      <c r="N1596" s="35" t="n">
        <f aca="false">L1596-M1596</f>
        <v>320</v>
      </c>
      <c r="O1596" s="4" t="n">
        <f aca="false">MONTH(B1596)</f>
        <v>11</v>
      </c>
      <c r="P1596" s="4" t="str">
        <f aca="false">CHOOSE(WEEKDAY(B1596,2),"Mon","Tue","Wed","Thu","Fri","Sat","Sun")</f>
        <v>Wed</v>
      </c>
      <c r="Q1596" s="4" t="str">
        <f aca="false">IF(WEEKDAY(B1596,2)&gt;5,"Weekend","Weekday")</f>
        <v>Weekday</v>
      </c>
      <c r="R1596" s="4" t="str">
        <f aca="false">IF(C1596&lt;11,"Morning (7-10)",IF(C1596&lt;14,"Lunch (11-13)",IF(C1596&lt;18,"Afternoon (14-17)","Evening (18-20)")))</f>
        <v>Morning (7-10)</v>
      </c>
      <c r="S1596" s="4" t="str">
        <f aca="false">IF(AND(O1596&gt;=3,O1596&lt;=5),"Hot Dry (Mar-May)",IF(AND(O1596&gt;=6,O1596&lt;=11),"Rainy (Jun-Nov)","Cool Dry (Dec-Feb)"))</f>
        <v>Rainy (Jun-Nov)</v>
      </c>
      <c r="T1596" s="4" t="str">
        <f aca="false">CHOOSE(O1596,"Jan","Feb","Mar","Apr","May","Jun","Jul","Aug","Sep","Oct","Nov","Dec")</f>
        <v>Nov</v>
      </c>
    </row>
    <row r="1597" customFormat="false" ht="15" hidden="false" customHeight="false" outlineLevel="0" collapsed="false">
      <c r="A1597" s="4" t="s">
        <v>1991</v>
      </c>
      <c r="B1597" s="17" t="n">
        <v>45987</v>
      </c>
      <c r="C1597" s="4" t="n">
        <v>10</v>
      </c>
      <c r="D1597" s="4" t="s">
        <v>70</v>
      </c>
      <c r="E1597" s="4" t="s">
        <v>84</v>
      </c>
      <c r="F1597" s="4" t="s">
        <v>117</v>
      </c>
      <c r="G1597" s="4" t="n">
        <v>1</v>
      </c>
      <c r="H1597" s="34" t="n">
        <v>95</v>
      </c>
      <c r="I1597" s="18" t="n">
        <v>0.15</v>
      </c>
      <c r="J1597" s="4" t="s">
        <v>67</v>
      </c>
      <c r="K1597" s="4" t="s">
        <v>82</v>
      </c>
      <c r="L1597" s="35" t="n">
        <f aca="false">G1597*H1597</f>
        <v>95</v>
      </c>
      <c r="M1597" s="35" t="n">
        <f aca="false">L1597*I1597</f>
        <v>14.25</v>
      </c>
      <c r="N1597" s="35" t="n">
        <f aca="false">L1597-M1597</f>
        <v>80.75</v>
      </c>
      <c r="O1597" s="4" t="n">
        <f aca="false">MONTH(B1597)</f>
        <v>11</v>
      </c>
      <c r="P1597" s="4" t="str">
        <f aca="false">CHOOSE(WEEKDAY(B1597,2),"Mon","Tue","Wed","Thu","Fri","Sat","Sun")</f>
        <v>Wed</v>
      </c>
      <c r="Q1597" s="4" t="str">
        <f aca="false">IF(WEEKDAY(B1597,2)&gt;5,"Weekend","Weekday")</f>
        <v>Weekday</v>
      </c>
      <c r="R1597" s="4" t="str">
        <f aca="false">IF(C1597&lt;11,"Morning (7-10)",IF(C1597&lt;14,"Lunch (11-13)",IF(C1597&lt;18,"Afternoon (14-17)","Evening (18-20)")))</f>
        <v>Morning (7-10)</v>
      </c>
      <c r="S1597" s="4" t="str">
        <f aca="false">IF(AND(O1597&gt;=3,O1597&lt;=5),"Hot Dry (Mar-May)",IF(AND(O1597&gt;=6,O1597&lt;=11),"Rainy (Jun-Nov)","Cool Dry (Dec-Feb)"))</f>
        <v>Rainy (Jun-Nov)</v>
      </c>
      <c r="T1597" s="4" t="str">
        <f aca="false">CHOOSE(O1597,"Jan","Feb","Mar","Apr","May","Jun","Jul","Aug","Sep","Oct","Nov","Dec")</f>
        <v>Nov</v>
      </c>
    </row>
    <row r="1598" customFormat="false" ht="15" hidden="false" customHeight="false" outlineLevel="0" collapsed="false">
      <c r="A1598" s="4" t="s">
        <v>1992</v>
      </c>
      <c r="B1598" s="17" t="n">
        <v>45987</v>
      </c>
      <c r="C1598" s="4" t="n">
        <v>11</v>
      </c>
      <c r="D1598" s="4" t="s">
        <v>64</v>
      </c>
      <c r="E1598" s="4" t="s">
        <v>99</v>
      </c>
      <c r="F1598" s="4" t="s">
        <v>109</v>
      </c>
      <c r="G1598" s="4" t="n">
        <v>1</v>
      </c>
      <c r="H1598" s="34" t="n">
        <v>130</v>
      </c>
      <c r="I1598" s="18" t="n">
        <v>0</v>
      </c>
      <c r="J1598" s="4" t="s">
        <v>67</v>
      </c>
      <c r="K1598" s="4" t="s">
        <v>68</v>
      </c>
      <c r="L1598" s="35" t="n">
        <f aca="false">G1598*H1598</f>
        <v>130</v>
      </c>
      <c r="M1598" s="35" t="n">
        <f aca="false">L1598*I1598</f>
        <v>0</v>
      </c>
      <c r="N1598" s="35" t="n">
        <f aca="false">L1598-M1598</f>
        <v>130</v>
      </c>
      <c r="O1598" s="4" t="n">
        <f aca="false">MONTH(B1598)</f>
        <v>11</v>
      </c>
      <c r="P1598" s="4" t="str">
        <f aca="false">CHOOSE(WEEKDAY(B1598,2),"Mon","Tue","Wed","Thu","Fri","Sat","Sun")</f>
        <v>Wed</v>
      </c>
      <c r="Q1598" s="4" t="str">
        <f aca="false">IF(WEEKDAY(B1598,2)&gt;5,"Weekend","Weekday")</f>
        <v>Weekday</v>
      </c>
      <c r="R1598" s="4" t="str">
        <f aca="false">IF(C1598&lt;11,"Morning (7-10)",IF(C1598&lt;14,"Lunch (11-13)",IF(C1598&lt;18,"Afternoon (14-17)","Evening (18-20)")))</f>
        <v>Lunch (11-13)</v>
      </c>
      <c r="S1598" s="4" t="str">
        <f aca="false">IF(AND(O1598&gt;=3,O1598&lt;=5),"Hot Dry (Mar-May)",IF(AND(O1598&gt;=6,O1598&lt;=11),"Rainy (Jun-Nov)","Cool Dry (Dec-Feb)"))</f>
        <v>Rainy (Jun-Nov)</v>
      </c>
      <c r="T1598" s="4" t="str">
        <f aca="false">CHOOSE(O1598,"Jan","Feb","Mar","Apr","May","Jun","Jul","Aug","Sep","Oct","Nov","Dec")</f>
        <v>Nov</v>
      </c>
    </row>
    <row r="1599" customFormat="false" ht="15" hidden="false" customHeight="false" outlineLevel="0" collapsed="false">
      <c r="A1599" s="4" t="s">
        <v>1993</v>
      </c>
      <c r="B1599" s="17" t="n">
        <v>45987</v>
      </c>
      <c r="C1599" s="4" t="n">
        <v>12</v>
      </c>
      <c r="D1599" s="4" t="s">
        <v>70</v>
      </c>
      <c r="E1599" s="4" t="s">
        <v>99</v>
      </c>
      <c r="F1599" s="4" t="s">
        <v>102</v>
      </c>
      <c r="G1599" s="4" t="n">
        <v>2</v>
      </c>
      <c r="H1599" s="34" t="n">
        <v>140</v>
      </c>
      <c r="I1599" s="18" t="n">
        <v>0</v>
      </c>
      <c r="J1599" s="4" t="s">
        <v>76</v>
      </c>
      <c r="K1599" s="4" t="s">
        <v>77</v>
      </c>
      <c r="L1599" s="35" t="n">
        <f aca="false">G1599*H1599</f>
        <v>280</v>
      </c>
      <c r="M1599" s="35" t="n">
        <f aca="false">L1599*I1599</f>
        <v>0</v>
      </c>
      <c r="N1599" s="35" t="n">
        <f aca="false">L1599-M1599</f>
        <v>280</v>
      </c>
      <c r="O1599" s="4" t="n">
        <f aca="false">MONTH(B1599)</f>
        <v>11</v>
      </c>
      <c r="P1599" s="4" t="str">
        <f aca="false">CHOOSE(WEEKDAY(B1599,2),"Mon","Tue","Wed","Thu","Fri","Sat","Sun")</f>
        <v>Wed</v>
      </c>
      <c r="Q1599" s="4" t="str">
        <f aca="false">IF(WEEKDAY(B1599,2)&gt;5,"Weekend","Weekday")</f>
        <v>Weekday</v>
      </c>
      <c r="R1599" s="4" t="str">
        <f aca="false">IF(C1599&lt;11,"Morning (7-10)",IF(C1599&lt;14,"Lunch (11-13)",IF(C1599&lt;18,"Afternoon (14-17)","Evening (18-20)")))</f>
        <v>Lunch (11-13)</v>
      </c>
      <c r="S1599" s="4" t="str">
        <f aca="false">IF(AND(O1599&gt;=3,O1599&lt;=5),"Hot Dry (Mar-May)",IF(AND(O1599&gt;=6,O1599&lt;=11),"Rainy (Jun-Nov)","Cool Dry (Dec-Feb)"))</f>
        <v>Rainy (Jun-Nov)</v>
      </c>
      <c r="T1599" s="4" t="str">
        <f aca="false">CHOOSE(O1599,"Jan","Feb","Mar","Apr","May","Jun","Jul","Aug","Sep","Oct","Nov","Dec")</f>
        <v>Nov</v>
      </c>
    </row>
    <row r="1600" customFormat="false" ht="15" hidden="false" customHeight="false" outlineLevel="0" collapsed="false">
      <c r="A1600" s="4" t="s">
        <v>1994</v>
      </c>
      <c r="B1600" s="17" t="n">
        <v>45987</v>
      </c>
      <c r="C1600" s="4" t="n">
        <v>17</v>
      </c>
      <c r="D1600" s="4" t="s">
        <v>64</v>
      </c>
      <c r="E1600" s="4" t="s">
        <v>84</v>
      </c>
      <c r="F1600" s="4" t="s">
        <v>114</v>
      </c>
      <c r="G1600" s="4" t="n">
        <v>2</v>
      </c>
      <c r="H1600" s="34" t="n">
        <v>85</v>
      </c>
      <c r="I1600" s="18" t="n">
        <v>0</v>
      </c>
      <c r="J1600" s="4" t="s">
        <v>67</v>
      </c>
      <c r="K1600" s="4" t="s">
        <v>68</v>
      </c>
      <c r="L1600" s="35" t="n">
        <f aca="false">G1600*H1600</f>
        <v>170</v>
      </c>
      <c r="M1600" s="35" t="n">
        <f aca="false">L1600*I1600</f>
        <v>0</v>
      </c>
      <c r="N1600" s="35" t="n">
        <f aca="false">L1600-M1600</f>
        <v>170</v>
      </c>
      <c r="O1600" s="4" t="n">
        <f aca="false">MONTH(B1600)</f>
        <v>11</v>
      </c>
      <c r="P1600" s="4" t="str">
        <f aca="false">CHOOSE(WEEKDAY(B1600,2),"Mon","Tue","Wed","Thu","Fri","Sat","Sun")</f>
        <v>Wed</v>
      </c>
      <c r="Q1600" s="4" t="str">
        <f aca="false">IF(WEEKDAY(B1600,2)&gt;5,"Weekend","Weekday")</f>
        <v>Weekday</v>
      </c>
      <c r="R1600" s="4" t="str">
        <f aca="false">IF(C1600&lt;11,"Morning (7-10)",IF(C1600&lt;14,"Lunch (11-13)",IF(C1600&lt;18,"Afternoon (14-17)","Evening (18-20)")))</f>
        <v>Afternoon (14-17)</v>
      </c>
      <c r="S1600" s="4" t="str">
        <f aca="false">IF(AND(O1600&gt;=3,O1600&lt;=5),"Hot Dry (Mar-May)",IF(AND(O1600&gt;=6,O1600&lt;=11),"Rainy (Jun-Nov)","Cool Dry (Dec-Feb)"))</f>
        <v>Rainy (Jun-Nov)</v>
      </c>
      <c r="T1600" s="4" t="str">
        <f aca="false">CHOOSE(O1600,"Jan","Feb","Mar","Apr","May","Jun","Jul","Aug","Sep","Oct","Nov","Dec")</f>
        <v>Nov</v>
      </c>
    </row>
    <row r="1601" customFormat="false" ht="15" hidden="false" customHeight="false" outlineLevel="0" collapsed="false">
      <c r="A1601" s="4" t="s">
        <v>1995</v>
      </c>
      <c r="B1601" s="17" t="n">
        <v>45988</v>
      </c>
      <c r="C1601" s="4" t="n">
        <v>8</v>
      </c>
      <c r="D1601" s="4" t="s">
        <v>70</v>
      </c>
      <c r="E1601" s="4" t="s">
        <v>65</v>
      </c>
      <c r="F1601" s="4" t="s">
        <v>66</v>
      </c>
      <c r="G1601" s="4" t="n">
        <v>2</v>
      </c>
      <c r="H1601" s="34" t="n">
        <v>120</v>
      </c>
      <c r="I1601" s="18" t="n">
        <v>0.1</v>
      </c>
      <c r="J1601" s="4" t="s">
        <v>76</v>
      </c>
      <c r="K1601" s="4" t="s">
        <v>71</v>
      </c>
      <c r="L1601" s="35" t="n">
        <f aca="false">G1601*H1601</f>
        <v>240</v>
      </c>
      <c r="M1601" s="35" t="n">
        <f aca="false">L1601*I1601</f>
        <v>24</v>
      </c>
      <c r="N1601" s="35" t="n">
        <f aca="false">L1601-M1601</f>
        <v>216</v>
      </c>
      <c r="O1601" s="4" t="n">
        <f aca="false">MONTH(B1601)</f>
        <v>11</v>
      </c>
      <c r="P1601" s="4" t="str">
        <f aca="false">CHOOSE(WEEKDAY(B1601,2),"Mon","Tue","Wed","Thu","Fri","Sat","Sun")</f>
        <v>Thu</v>
      </c>
      <c r="Q1601" s="4" t="str">
        <f aca="false">IF(WEEKDAY(B1601,2)&gt;5,"Weekend","Weekday")</f>
        <v>Weekday</v>
      </c>
      <c r="R1601" s="4" t="str">
        <f aca="false">IF(C1601&lt;11,"Morning (7-10)",IF(C1601&lt;14,"Lunch (11-13)",IF(C1601&lt;18,"Afternoon (14-17)","Evening (18-20)")))</f>
        <v>Morning (7-10)</v>
      </c>
      <c r="S1601" s="4" t="str">
        <f aca="false">IF(AND(O1601&gt;=3,O1601&lt;=5),"Hot Dry (Mar-May)",IF(AND(O1601&gt;=6,O1601&lt;=11),"Rainy (Jun-Nov)","Cool Dry (Dec-Feb)"))</f>
        <v>Rainy (Jun-Nov)</v>
      </c>
      <c r="T1601" s="4" t="str">
        <f aca="false">CHOOSE(O1601,"Jan","Feb","Mar","Apr","May","Jun","Jul","Aug","Sep","Oct","Nov","Dec")</f>
        <v>Nov</v>
      </c>
    </row>
    <row r="1602" customFormat="false" ht="15" hidden="false" customHeight="false" outlineLevel="0" collapsed="false">
      <c r="A1602" s="4" t="s">
        <v>1996</v>
      </c>
      <c r="B1602" s="17" t="n">
        <v>45988</v>
      </c>
      <c r="C1602" s="4" t="n">
        <v>11</v>
      </c>
      <c r="D1602" s="4" t="s">
        <v>73</v>
      </c>
      <c r="E1602" s="4" t="s">
        <v>99</v>
      </c>
      <c r="F1602" s="4" t="s">
        <v>133</v>
      </c>
      <c r="G1602" s="4" t="n">
        <v>1</v>
      </c>
      <c r="H1602" s="34" t="n">
        <v>90</v>
      </c>
      <c r="I1602" s="18" t="n">
        <v>0.05</v>
      </c>
      <c r="J1602" s="4" t="s">
        <v>76</v>
      </c>
      <c r="K1602" s="4" t="s">
        <v>82</v>
      </c>
      <c r="L1602" s="35" t="n">
        <f aca="false">G1602*H1602</f>
        <v>90</v>
      </c>
      <c r="M1602" s="35" t="n">
        <f aca="false">L1602*I1602</f>
        <v>4.5</v>
      </c>
      <c r="N1602" s="35" t="n">
        <f aca="false">L1602-M1602</f>
        <v>85.5</v>
      </c>
      <c r="O1602" s="4" t="n">
        <f aca="false">MONTH(B1602)</f>
        <v>11</v>
      </c>
      <c r="P1602" s="4" t="str">
        <f aca="false">CHOOSE(WEEKDAY(B1602,2),"Mon","Tue","Wed","Thu","Fri","Sat","Sun")</f>
        <v>Thu</v>
      </c>
      <c r="Q1602" s="4" t="str">
        <f aca="false">IF(WEEKDAY(B1602,2)&gt;5,"Weekend","Weekday")</f>
        <v>Weekday</v>
      </c>
      <c r="R1602" s="4" t="str">
        <f aca="false">IF(C1602&lt;11,"Morning (7-10)",IF(C1602&lt;14,"Lunch (11-13)",IF(C1602&lt;18,"Afternoon (14-17)","Evening (18-20)")))</f>
        <v>Lunch (11-13)</v>
      </c>
      <c r="S1602" s="4" t="str">
        <f aca="false">IF(AND(O1602&gt;=3,O1602&lt;=5),"Hot Dry (Mar-May)",IF(AND(O1602&gt;=6,O1602&lt;=11),"Rainy (Jun-Nov)","Cool Dry (Dec-Feb)"))</f>
        <v>Rainy (Jun-Nov)</v>
      </c>
      <c r="T1602" s="4" t="str">
        <f aca="false">CHOOSE(O1602,"Jan","Feb","Mar","Apr","May","Jun","Jul","Aug","Sep","Oct","Nov","Dec")</f>
        <v>Nov</v>
      </c>
    </row>
    <row r="1603" customFormat="false" ht="15" hidden="false" customHeight="false" outlineLevel="0" collapsed="false">
      <c r="A1603" s="4" t="s">
        <v>1997</v>
      </c>
      <c r="B1603" s="17" t="n">
        <v>45988</v>
      </c>
      <c r="C1603" s="4" t="n">
        <v>15</v>
      </c>
      <c r="D1603" s="4" t="s">
        <v>64</v>
      </c>
      <c r="E1603" s="4" t="s">
        <v>74</v>
      </c>
      <c r="F1603" s="4" t="s">
        <v>75</v>
      </c>
      <c r="G1603" s="4" t="n">
        <v>1</v>
      </c>
      <c r="H1603" s="34" t="n">
        <v>220</v>
      </c>
      <c r="I1603" s="18" t="n">
        <v>0.05</v>
      </c>
      <c r="J1603" s="4" t="s">
        <v>67</v>
      </c>
      <c r="K1603" s="4" t="s">
        <v>82</v>
      </c>
      <c r="L1603" s="35" t="n">
        <f aca="false">G1603*H1603</f>
        <v>220</v>
      </c>
      <c r="M1603" s="35" t="n">
        <f aca="false">L1603*I1603</f>
        <v>11</v>
      </c>
      <c r="N1603" s="35" t="n">
        <f aca="false">L1603-M1603</f>
        <v>209</v>
      </c>
      <c r="O1603" s="4" t="n">
        <f aca="false">MONTH(B1603)</f>
        <v>11</v>
      </c>
      <c r="P1603" s="4" t="str">
        <f aca="false">CHOOSE(WEEKDAY(B1603,2),"Mon","Tue","Wed","Thu","Fri","Sat","Sun")</f>
        <v>Thu</v>
      </c>
      <c r="Q1603" s="4" t="str">
        <f aca="false">IF(WEEKDAY(B1603,2)&gt;5,"Weekend","Weekday")</f>
        <v>Weekday</v>
      </c>
      <c r="R1603" s="4" t="str">
        <f aca="false">IF(C1603&lt;11,"Morning (7-10)",IF(C1603&lt;14,"Lunch (11-13)",IF(C1603&lt;18,"Afternoon (14-17)","Evening (18-20)")))</f>
        <v>Afternoon (14-17)</v>
      </c>
      <c r="S1603" s="4" t="str">
        <f aca="false">IF(AND(O1603&gt;=3,O1603&lt;=5),"Hot Dry (Mar-May)",IF(AND(O1603&gt;=6,O1603&lt;=11),"Rainy (Jun-Nov)","Cool Dry (Dec-Feb)"))</f>
        <v>Rainy (Jun-Nov)</v>
      </c>
      <c r="T1603" s="4" t="str">
        <f aca="false">CHOOSE(O1603,"Jan","Feb","Mar","Apr","May","Jun","Jul","Aug","Sep","Oct","Nov","Dec")</f>
        <v>Nov</v>
      </c>
    </row>
    <row r="1604" customFormat="false" ht="15" hidden="false" customHeight="false" outlineLevel="0" collapsed="false">
      <c r="A1604" s="4" t="s">
        <v>1998</v>
      </c>
      <c r="B1604" s="17" t="n">
        <v>45989</v>
      </c>
      <c r="C1604" s="4" t="n">
        <v>7</v>
      </c>
      <c r="D1604" s="4" t="s">
        <v>70</v>
      </c>
      <c r="E1604" s="4" t="s">
        <v>65</v>
      </c>
      <c r="F1604" s="4" t="s">
        <v>66</v>
      </c>
      <c r="G1604" s="4" t="n">
        <v>1</v>
      </c>
      <c r="H1604" s="34" t="n">
        <v>120</v>
      </c>
      <c r="I1604" s="18" t="n">
        <v>0.05</v>
      </c>
      <c r="J1604" s="4" t="s">
        <v>81</v>
      </c>
      <c r="K1604" s="4" t="s">
        <v>82</v>
      </c>
      <c r="L1604" s="35" t="n">
        <f aca="false">G1604*H1604</f>
        <v>120</v>
      </c>
      <c r="M1604" s="35" t="n">
        <f aca="false">L1604*I1604</f>
        <v>6</v>
      </c>
      <c r="N1604" s="35" t="n">
        <f aca="false">L1604-M1604</f>
        <v>114</v>
      </c>
      <c r="O1604" s="4" t="n">
        <f aca="false">MONTH(B1604)</f>
        <v>11</v>
      </c>
      <c r="P1604" s="4" t="str">
        <f aca="false">CHOOSE(WEEKDAY(B1604,2),"Mon","Tue","Wed","Thu","Fri","Sat","Sun")</f>
        <v>Fri</v>
      </c>
      <c r="Q1604" s="4" t="str">
        <f aca="false">IF(WEEKDAY(B1604,2)&gt;5,"Weekend","Weekday")</f>
        <v>Weekday</v>
      </c>
      <c r="R1604" s="4" t="str">
        <f aca="false">IF(C1604&lt;11,"Morning (7-10)",IF(C1604&lt;14,"Lunch (11-13)",IF(C1604&lt;18,"Afternoon (14-17)","Evening (18-20)")))</f>
        <v>Morning (7-10)</v>
      </c>
      <c r="S1604" s="4" t="str">
        <f aca="false">IF(AND(O1604&gt;=3,O1604&lt;=5),"Hot Dry (Mar-May)",IF(AND(O1604&gt;=6,O1604&lt;=11),"Rainy (Jun-Nov)","Cool Dry (Dec-Feb)"))</f>
        <v>Rainy (Jun-Nov)</v>
      </c>
      <c r="T1604" s="4" t="str">
        <f aca="false">CHOOSE(O1604,"Jan","Feb","Mar","Apr","May","Jun","Jul","Aug","Sep","Oct","Nov","Dec")</f>
        <v>Nov</v>
      </c>
    </row>
    <row r="1605" customFormat="false" ht="15" hidden="false" customHeight="false" outlineLevel="0" collapsed="false">
      <c r="A1605" s="4" t="s">
        <v>1999</v>
      </c>
      <c r="B1605" s="17" t="n">
        <v>45989</v>
      </c>
      <c r="C1605" s="4" t="n">
        <v>8</v>
      </c>
      <c r="D1605" s="4" t="s">
        <v>64</v>
      </c>
      <c r="E1605" s="4" t="s">
        <v>65</v>
      </c>
      <c r="F1605" s="4" t="s">
        <v>94</v>
      </c>
      <c r="G1605" s="4" t="n">
        <v>3</v>
      </c>
      <c r="H1605" s="34" t="n">
        <v>150</v>
      </c>
      <c r="I1605" s="18" t="n">
        <v>0.1</v>
      </c>
      <c r="J1605" s="4" t="s">
        <v>67</v>
      </c>
      <c r="K1605" s="4" t="s">
        <v>77</v>
      </c>
      <c r="L1605" s="35" t="n">
        <f aca="false">G1605*H1605</f>
        <v>450</v>
      </c>
      <c r="M1605" s="35" t="n">
        <f aca="false">L1605*I1605</f>
        <v>45</v>
      </c>
      <c r="N1605" s="35" t="n">
        <f aca="false">L1605-M1605</f>
        <v>405</v>
      </c>
      <c r="O1605" s="4" t="n">
        <f aca="false">MONTH(B1605)</f>
        <v>11</v>
      </c>
      <c r="P1605" s="4" t="str">
        <f aca="false">CHOOSE(WEEKDAY(B1605,2),"Mon","Tue","Wed","Thu","Fri","Sat","Sun")</f>
        <v>Fri</v>
      </c>
      <c r="Q1605" s="4" t="str">
        <f aca="false">IF(WEEKDAY(B1605,2)&gt;5,"Weekend","Weekday")</f>
        <v>Weekday</v>
      </c>
      <c r="R1605" s="4" t="str">
        <f aca="false">IF(C1605&lt;11,"Morning (7-10)",IF(C1605&lt;14,"Lunch (11-13)",IF(C1605&lt;18,"Afternoon (14-17)","Evening (18-20)")))</f>
        <v>Morning (7-10)</v>
      </c>
      <c r="S1605" s="4" t="str">
        <f aca="false">IF(AND(O1605&gt;=3,O1605&lt;=5),"Hot Dry (Mar-May)",IF(AND(O1605&gt;=6,O1605&lt;=11),"Rainy (Jun-Nov)","Cool Dry (Dec-Feb)"))</f>
        <v>Rainy (Jun-Nov)</v>
      </c>
      <c r="T1605" s="4" t="str">
        <f aca="false">CHOOSE(O1605,"Jan","Feb","Mar","Apr","May","Jun","Jul","Aug","Sep","Oct","Nov","Dec")</f>
        <v>Nov</v>
      </c>
    </row>
    <row r="1606" customFormat="false" ht="15" hidden="false" customHeight="false" outlineLevel="0" collapsed="false">
      <c r="A1606" s="4" t="s">
        <v>2000</v>
      </c>
      <c r="B1606" s="17" t="n">
        <v>45989</v>
      </c>
      <c r="C1606" s="4" t="n">
        <v>8</v>
      </c>
      <c r="D1606" s="4" t="s">
        <v>70</v>
      </c>
      <c r="E1606" s="4" t="s">
        <v>65</v>
      </c>
      <c r="F1606" s="4" t="s">
        <v>66</v>
      </c>
      <c r="G1606" s="4" t="n">
        <v>1</v>
      </c>
      <c r="H1606" s="34" t="n">
        <v>120</v>
      </c>
      <c r="I1606" s="18" t="n">
        <v>0</v>
      </c>
      <c r="J1606" s="4" t="s">
        <v>67</v>
      </c>
      <c r="K1606" s="4" t="s">
        <v>68</v>
      </c>
      <c r="L1606" s="35" t="n">
        <f aca="false">G1606*H1606</f>
        <v>120</v>
      </c>
      <c r="M1606" s="35" t="n">
        <f aca="false">L1606*I1606</f>
        <v>0</v>
      </c>
      <c r="N1606" s="35" t="n">
        <f aca="false">L1606-M1606</f>
        <v>120</v>
      </c>
      <c r="O1606" s="4" t="n">
        <f aca="false">MONTH(B1606)</f>
        <v>11</v>
      </c>
      <c r="P1606" s="4" t="str">
        <f aca="false">CHOOSE(WEEKDAY(B1606,2),"Mon","Tue","Wed","Thu","Fri","Sat","Sun")</f>
        <v>Fri</v>
      </c>
      <c r="Q1606" s="4" t="str">
        <f aca="false">IF(WEEKDAY(B1606,2)&gt;5,"Weekend","Weekday")</f>
        <v>Weekday</v>
      </c>
      <c r="R1606" s="4" t="str">
        <f aca="false">IF(C1606&lt;11,"Morning (7-10)",IF(C1606&lt;14,"Lunch (11-13)",IF(C1606&lt;18,"Afternoon (14-17)","Evening (18-20)")))</f>
        <v>Morning (7-10)</v>
      </c>
      <c r="S1606" s="4" t="str">
        <f aca="false">IF(AND(O1606&gt;=3,O1606&lt;=5),"Hot Dry (Mar-May)",IF(AND(O1606&gt;=6,O1606&lt;=11),"Rainy (Jun-Nov)","Cool Dry (Dec-Feb)"))</f>
        <v>Rainy (Jun-Nov)</v>
      </c>
      <c r="T1606" s="4" t="str">
        <f aca="false">CHOOSE(O1606,"Jan","Feb","Mar","Apr","May","Jun","Jul","Aug","Sep","Oct","Nov","Dec")</f>
        <v>Nov</v>
      </c>
    </row>
    <row r="1607" customFormat="false" ht="15" hidden="false" customHeight="false" outlineLevel="0" collapsed="false">
      <c r="A1607" s="4" t="s">
        <v>2002</v>
      </c>
      <c r="B1607" s="17" t="n">
        <v>45989</v>
      </c>
      <c r="C1607" s="4" t="n">
        <v>9</v>
      </c>
      <c r="D1607" s="4" t="s">
        <v>73</v>
      </c>
      <c r="E1607" s="4" t="s">
        <v>84</v>
      </c>
      <c r="F1607" s="4" t="s">
        <v>117</v>
      </c>
      <c r="G1607" s="4" t="n">
        <v>2</v>
      </c>
      <c r="H1607" s="34" t="n">
        <v>95</v>
      </c>
      <c r="I1607" s="18" t="n">
        <v>0.15</v>
      </c>
      <c r="J1607" s="4" t="s">
        <v>67</v>
      </c>
      <c r="K1607" s="4" t="s">
        <v>77</v>
      </c>
      <c r="L1607" s="35" t="n">
        <f aca="false">G1607*H1607</f>
        <v>190</v>
      </c>
      <c r="M1607" s="35" t="n">
        <f aca="false">L1607*I1607</f>
        <v>28.5</v>
      </c>
      <c r="N1607" s="35" t="n">
        <f aca="false">L1607-M1607</f>
        <v>161.5</v>
      </c>
      <c r="O1607" s="4" t="n">
        <f aca="false">MONTH(B1607)</f>
        <v>11</v>
      </c>
      <c r="P1607" s="4" t="str">
        <f aca="false">CHOOSE(WEEKDAY(B1607,2),"Mon","Tue","Wed","Thu","Fri","Sat","Sun")</f>
        <v>Fri</v>
      </c>
      <c r="Q1607" s="4" t="str">
        <f aca="false">IF(WEEKDAY(B1607,2)&gt;5,"Weekend","Weekday")</f>
        <v>Weekday</v>
      </c>
      <c r="R1607" s="4" t="str">
        <f aca="false">IF(C1607&lt;11,"Morning (7-10)",IF(C1607&lt;14,"Lunch (11-13)",IF(C1607&lt;18,"Afternoon (14-17)","Evening (18-20)")))</f>
        <v>Morning (7-10)</v>
      </c>
      <c r="S1607" s="4" t="str">
        <f aca="false">IF(AND(O1607&gt;=3,O1607&lt;=5),"Hot Dry (Mar-May)",IF(AND(O1607&gt;=6,O1607&lt;=11),"Rainy (Jun-Nov)","Cool Dry (Dec-Feb)"))</f>
        <v>Rainy (Jun-Nov)</v>
      </c>
      <c r="T1607" s="4" t="str">
        <f aca="false">CHOOSE(O1607,"Jan","Feb","Mar","Apr","May","Jun","Jul","Aug","Sep","Oct","Nov","Dec")</f>
        <v>Nov</v>
      </c>
    </row>
    <row r="1608" customFormat="false" ht="15" hidden="false" customHeight="false" outlineLevel="0" collapsed="false">
      <c r="A1608" s="4" t="s">
        <v>2003</v>
      </c>
      <c r="B1608" s="17" t="n">
        <v>45989</v>
      </c>
      <c r="C1608" s="4" t="n">
        <v>10</v>
      </c>
      <c r="D1608" s="4" t="s">
        <v>64</v>
      </c>
      <c r="E1608" s="4" t="s">
        <v>99</v>
      </c>
      <c r="F1608" s="4" t="s">
        <v>100</v>
      </c>
      <c r="G1608" s="4" t="n">
        <v>2</v>
      </c>
      <c r="H1608" s="34" t="n">
        <v>110</v>
      </c>
      <c r="I1608" s="18" t="n">
        <v>0.1</v>
      </c>
      <c r="J1608" s="4" t="s">
        <v>2289</v>
      </c>
      <c r="K1608" s="4" t="s">
        <v>68</v>
      </c>
      <c r="L1608" s="35" t="n">
        <f aca="false">G1608*H1608</f>
        <v>220</v>
      </c>
      <c r="M1608" s="35" t="n">
        <f aca="false">L1608*I1608</f>
        <v>22</v>
      </c>
      <c r="N1608" s="35" t="n">
        <f aca="false">L1608-M1608</f>
        <v>198</v>
      </c>
      <c r="O1608" s="4" t="n">
        <f aca="false">MONTH(B1608)</f>
        <v>11</v>
      </c>
      <c r="P1608" s="4" t="str">
        <f aca="false">CHOOSE(WEEKDAY(B1608,2),"Mon","Tue","Wed","Thu","Fri","Sat","Sun")</f>
        <v>Fri</v>
      </c>
      <c r="Q1608" s="4" t="str">
        <f aca="false">IF(WEEKDAY(B1608,2)&gt;5,"Weekend","Weekday")</f>
        <v>Weekday</v>
      </c>
      <c r="R1608" s="4" t="str">
        <f aca="false">IF(C1608&lt;11,"Morning (7-10)",IF(C1608&lt;14,"Lunch (11-13)",IF(C1608&lt;18,"Afternoon (14-17)","Evening (18-20)")))</f>
        <v>Morning (7-10)</v>
      </c>
      <c r="S1608" s="4" t="str">
        <f aca="false">IF(AND(O1608&gt;=3,O1608&lt;=5),"Hot Dry (Mar-May)",IF(AND(O1608&gt;=6,O1608&lt;=11),"Rainy (Jun-Nov)","Cool Dry (Dec-Feb)"))</f>
        <v>Rainy (Jun-Nov)</v>
      </c>
      <c r="T1608" s="4" t="str">
        <f aca="false">CHOOSE(O1608,"Jan","Feb","Mar","Apr","May","Jun","Jul","Aug","Sep","Oct","Nov","Dec")</f>
        <v>Nov</v>
      </c>
    </row>
    <row r="1609" customFormat="false" ht="15" hidden="false" customHeight="false" outlineLevel="0" collapsed="false">
      <c r="A1609" s="4" t="s">
        <v>2004</v>
      </c>
      <c r="B1609" s="17" t="n">
        <v>45989</v>
      </c>
      <c r="C1609" s="4" t="n">
        <v>12</v>
      </c>
      <c r="D1609" s="4" t="s">
        <v>64</v>
      </c>
      <c r="E1609" s="4" t="s">
        <v>99</v>
      </c>
      <c r="F1609" s="4" t="s">
        <v>109</v>
      </c>
      <c r="G1609" s="4" t="n">
        <v>1</v>
      </c>
      <c r="H1609" s="34" t="n">
        <v>130</v>
      </c>
      <c r="I1609" s="18" t="n">
        <v>0</v>
      </c>
      <c r="J1609" s="4" t="s">
        <v>81</v>
      </c>
      <c r="K1609" s="4" t="s">
        <v>77</v>
      </c>
      <c r="L1609" s="35" t="n">
        <f aca="false">G1609*H1609</f>
        <v>130</v>
      </c>
      <c r="M1609" s="35" t="n">
        <f aca="false">L1609*I1609</f>
        <v>0</v>
      </c>
      <c r="N1609" s="35" t="n">
        <f aca="false">L1609-M1609</f>
        <v>130</v>
      </c>
      <c r="O1609" s="4" t="n">
        <f aca="false">MONTH(B1609)</f>
        <v>11</v>
      </c>
      <c r="P1609" s="4" t="str">
        <f aca="false">CHOOSE(WEEKDAY(B1609,2),"Mon","Tue","Wed","Thu","Fri","Sat","Sun")</f>
        <v>Fri</v>
      </c>
      <c r="Q1609" s="4" t="str">
        <f aca="false">IF(WEEKDAY(B1609,2)&gt;5,"Weekend","Weekday")</f>
        <v>Weekday</v>
      </c>
      <c r="R1609" s="4" t="str">
        <f aca="false">IF(C1609&lt;11,"Morning (7-10)",IF(C1609&lt;14,"Lunch (11-13)",IF(C1609&lt;18,"Afternoon (14-17)","Evening (18-20)")))</f>
        <v>Lunch (11-13)</v>
      </c>
      <c r="S1609" s="4" t="str">
        <f aca="false">IF(AND(O1609&gt;=3,O1609&lt;=5),"Hot Dry (Mar-May)",IF(AND(O1609&gt;=6,O1609&lt;=11),"Rainy (Jun-Nov)","Cool Dry (Dec-Feb)"))</f>
        <v>Rainy (Jun-Nov)</v>
      </c>
      <c r="T1609" s="4" t="str">
        <f aca="false">CHOOSE(O1609,"Jan","Feb","Mar","Apr","May","Jun","Jul","Aug","Sep","Oct","Nov","Dec")</f>
        <v>Nov</v>
      </c>
    </row>
    <row r="1610" customFormat="false" ht="15" hidden="false" customHeight="false" outlineLevel="0" collapsed="false">
      <c r="A1610" s="4" t="s">
        <v>2005</v>
      </c>
      <c r="B1610" s="17" t="n">
        <v>45989</v>
      </c>
      <c r="C1610" s="4" t="n">
        <v>17</v>
      </c>
      <c r="D1610" s="4" t="s">
        <v>64</v>
      </c>
      <c r="E1610" s="4" t="s">
        <v>79</v>
      </c>
      <c r="F1610" s="4" t="s">
        <v>135</v>
      </c>
      <c r="G1610" s="4" t="n">
        <v>1</v>
      </c>
      <c r="H1610" s="34" t="n">
        <v>130</v>
      </c>
      <c r="I1610" s="18" t="n">
        <v>0</v>
      </c>
      <c r="J1610" s="4" t="s">
        <v>88</v>
      </c>
      <c r="K1610" s="4" t="s">
        <v>68</v>
      </c>
      <c r="L1610" s="35" t="n">
        <f aca="false">G1610*H1610</f>
        <v>130</v>
      </c>
      <c r="M1610" s="35" t="n">
        <f aca="false">L1610*I1610</f>
        <v>0</v>
      </c>
      <c r="N1610" s="35" t="n">
        <f aca="false">L1610-M1610</f>
        <v>130</v>
      </c>
      <c r="O1610" s="4" t="n">
        <f aca="false">MONTH(B1610)</f>
        <v>11</v>
      </c>
      <c r="P1610" s="4" t="str">
        <f aca="false">CHOOSE(WEEKDAY(B1610,2),"Mon","Tue","Wed","Thu","Fri","Sat","Sun")</f>
        <v>Fri</v>
      </c>
      <c r="Q1610" s="4" t="str">
        <f aca="false">IF(WEEKDAY(B1610,2)&gt;5,"Weekend","Weekday")</f>
        <v>Weekday</v>
      </c>
      <c r="R1610" s="4" t="str">
        <f aca="false">IF(C1610&lt;11,"Morning (7-10)",IF(C1610&lt;14,"Lunch (11-13)",IF(C1610&lt;18,"Afternoon (14-17)","Evening (18-20)")))</f>
        <v>Afternoon (14-17)</v>
      </c>
      <c r="S1610" s="4" t="str">
        <f aca="false">IF(AND(O1610&gt;=3,O1610&lt;=5),"Hot Dry (Mar-May)",IF(AND(O1610&gt;=6,O1610&lt;=11),"Rainy (Jun-Nov)","Cool Dry (Dec-Feb)"))</f>
        <v>Rainy (Jun-Nov)</v>
      </c>
      <c r="T1610" s="4" t="str">
        <f aca="false">CHOOSE(O1610,"Jan","Feb","Mar","Apr","May","Jun","Jul","Aug","Sep","Oct","Nov","Dec")</f>
        <v>Nov</v>
      </c>
    </row>
    <row r="1611" customFormat="false" ht="15" hidden="false" customHeight="false" outlineLevel="0" collapsed="false">
      <c r="A1611" s="4" t="s">
        <v>2006</v>
      </c>
      <c r="B1611" s="17" t="n">
        <v>45989</v>
      </c>
      <c r="C1611" s="4" t="n">
        <v>17</v>
      </c>
      <c r="D1611" s="4" t="s">
        <v>64</v>
      </c>
      <c r="E1611" s="4" t="s">
        <v>65</v>
      </c>
      <c r="F1611" s="4" t="s">
        <v>94</v>
      </c>
      <c r="G1611" s="4" t="n">
        <v>3</v>
      </c>
      <c r="H1611" s="34" t="n">
        <v>150</v>
      </c>
      <c r="I1611" s="18" t="n">
        <v>0</v>
      </c>
      <c r="J1611" s="4" t="s">
        <v>67</v>
      </c>
      <c r="K1611" s="4" t="s">
        <v>68</v>
      </c>
      <c r="L1611" s="35" t="n">
        <f aca="false">G1611*H1611</f>
        <v>450</v>
      </c>
      <c r="M1611" s="35" t="n">
        <f aca="false">L1611*I1611</f>
        <v>0</v>
      </c>
      <c r="N1611" s="35" t="n">
        <f aca="false">L1611-M1611</f>
        <v>450</v>
      </c>
      <c r="O1611" s="4" t="n">
        <f aca="false">MONTH(B1611)</f>
        <v>11</v>
      </c>
      <c r="P1611" s="4" t="str">
        <f aca="false">CHOOSE(WEEKDAY(B1611,2),"Mon","Tue","Wed","Thu","Fri","Sat","Sun")</f>
        <v>Fri</v>
      </c>
      <c r="Q1611" s="4" t="str">
        <f aca="false">IF(WEEKDAY(B1611,2)&gt;5,"Weekend","Weekday")</f>
        <v>Weekday</v>
      </c>
      <c r="R1611" s="4" t="str">
        <f aca="false">IF(C1611&lt;11,"Morning (7-10)",IF(C1611&lt;14,"Lunch (11-13)",IF(C1611&lt;18,"Afternoon (14-17)","Evening (18-20)")))</f>
        <v>Afternoon (14-17)</v>
      </c>
      <c r="S1611" s="4" t="str">
        <f aca="false">IF(AND(O1611&gt;=3,O1611&lt;=5),"Hot Dry (Mar-May)",IF(AND(O1611&gt;=6,O1611&lt;=11),"Rainy (Jun-Nov)","Cool Dry (Dec-Feb)"))</f>
        <v>Rainy (Jun-Nov)</v>
      </c>
      <c r="T1611" s="4" t="str">
        <f aca="false">CHOOSE(O1611,"Jan","Feb","Mar","Apr","May","Jun","Jul","Aug","Sep","Oct","Nov","Dec")</f>
        <v>Nov</v>
      </c>
    </row>
    <row r="1612" customFormat="false" ht="15" hidden="false" customHeight="false" outlineLevel="0" collapsed="false">
      <c r="A1612" s="4" t="s">
        <v>2008</v>
      </c>
      <c r="B1612" s="17" t="n">
        <v>45989</v>
      </c>
      <c r="C1612" s="4" t="n">
        <v>17</v>
      </c>
      <c r="D1612" s="4" t="s">
        <v>64</v>
      </c>
      <c r="E1612" s="4" t="s">
        <v>84</v>
      </c>
      <c r="F1612" s="4" t="s">
        <v>114</v>
      </c>
      <c r="G1612" s="4" t="n">
        <v>1</v>
      </c>
      <c r="H1612" s="34" t="n">
        <v>85</v>
      </c>
      <c r="I1612" s="18" t="n">
        <v>0.05</v>
      </c>
      <c r="J1612" s="4" t="s">
        <v>112</v>
      </c>
      <c r="K1612" s="4" t="s">
        <v>82</v>
      </c>
      <c r="L1612" s="35" t="n">
        <f aca="false">G1612*H1612</f>
        <v>85</v>
      </c>
      <c r="M1612" s="35" t="n">
        <f aca="false">L1612*I1612</f>
        <v>4.25</v>
      </c>
      <c r="N1612" s="35" t="n">
        <f aca="false">L1612-M1612</f>
        <v>80.75</v>
      </c>
      <c r="O1612" s="4" t="n">
        <f aca="false">MONTH(B1612)</f>
        <v>11</v>
      </c>
      <c r="P1612" s="4" t="str">
        <f aca="false">CHOOSE(WEEKDAY(B1612,2),"Mon","Tue","Wed","Thu","Fri","Sat","Sun")</f>
        <v>Fri</v>
      </c>
      <c r="Q1612" s="4" t="str">
        <f aca="false">IF(WEEKDAY(B1612,2)&gt;5,"Weekend","Weekday")</f>
        <v>Weekday</v>
      </c>
      <c r="R1612" s="4" t="str">
        <f aca="false">IF(C1612&lt;11,"Morning (7-10)",IF(C1612&lt;14,"Lunch (11-13)",IF(C1612&lt;18,"Afternoon (14-17)","Evening (18-20)")))</f>
        <v>Afternoon (14-17)</v>
      </c>
      <c r="S1612" s="4" t="str">
        <f aca="false">IF(AND(O1612&gt;=3,O1612&lt;=5),"Hot Dry (Mar-May)",IF(AND(O1612&gt;=6,O1612&lt;=11),"Rainy (Jun-Nov)","Cool Dry (Dec-Feb)"))</f>
        <v>Rainy (Jun-Nov)</v>
      </c>
      <c r="T1612" s="4" t="str">
        <f aca="false">CHOOSE(O1612,"Jan","Feb","Mar","Apr","May","Jun","Jul","Aug","Sep","Oct","Nov","Dec")</f>
        <v>Nov</v>
      </c>
    </row>
    <row r="1613" customFormat="false" ht="15" hidden="false" customHeight="false" outlineLevel="0" collapsed="false">
      <c r="A1613" s="4" t="s">
        <v>2009</v>
      </c>
      <c r="B1613" s="17" t="n">
        <v>45989</v>
      </c>
      <c r="C1613" s="4" t="n">
        <v>19</v>
      </c>
      <c r="D1613" s="4" t="s">
        <v>70</v>
      </c>
      <c r="E1613" s="4" t="s">
        <v>84</v>
      </c>
      <c r="F1613" s="4" t="s">
        <v>85</v>
      </c>
      <c r="G1613" s="4" t="n">
        <v>1</v>
      </c>
      <c r="H1613" s="34" t="n">
        <v>150</v>
      </c>
      <c r="I1613" s="18" t="n">
        <v>0</v>
      </c>
      <c r="J1613" s="4" t="s">
        <v>112</v>
      </c>
      <c r="K1613" s="4" t="s">
        <v>71</v>
      </c>
      <c r="L1613" s="35" t="n">
        <f aca="false">G1613*H1613</f>
        <v>150</v>
      </c>
      <c r="M1613" s="35" t="n">
        <f aca="false">L1613*I1613</f>
        <v>0</v>
      </c>
      <c r="N1613" s="35" t="n">
        <f aca="false">L1613-M1613</f>
        <v>150</v>
      </c>
      <c r="O1613" s="4" t="n">
        <f aca="false">MONTH(B1613)</f>
        <v>11</v>
      </c>
      <c r="P1613" s="4" t="str">
        <f aca="false">CHOOSE(WEEKDAY(B1613,2),"Mon","Tue","Wed","Thu","Fri","Sat","Sun")</f>
        <v>Fri</v>
      </c>
      <c r="Q1613" s="4" t="str">
        <f aca="false">IF(WEEKDAY(B1613,2)&gt;5,"Weekend","Weekday")</f>
        <v>Weekday</v>
      </c>
      <c r="R1613" s="4" t="str">
        <f aca="false">IF(C1613&lt;11,"Morning (7-10)",IF(C1613&lt;14,"Lunch (11-13)",IF(C1613&lt;18,"Afternoon (14-17)","Evening (18-20)")))</f>
        <v>Evening (18-20)</v>
      </c>
      <c r="S1613" s="4" t="str">
        <f aca="false">IF(AND(O1613&gt;=3,O1613&lt;=5),"Hot Dry (Mar-May)",IF(AND(O1613&gt;=6,O1613&lt;=11),"Rainy (Jun-Nov)","Cool Dry (Dec-Feb)"))</f>
        <v>Rainy (Jun-Nov)</v>
      </c>
      <c r="T1613" s="4" t="str">
        <f aca="false">CHOOSE(O1613,"Jan","Feb","Mar","Apr","May","Jun","Jul","Aug","Sep","Oct","Nov","Dec")</f>
        <v>Nov</v>
      </c>
    </row>
    <row r="1614" customFormat="false" ht="15" hidden="false" customHeight="false" outlineLevel="0" collapsed="false">
      <c r="A1614" s="4" t="s">
        <v>2011</v>
      </c>
      <c r="B1614" s="17" t="n">
        <v>45989</v>
      </c>
      <c r="C1614" s="4" t="n">
        <v>19</v>
      </c>
      <c r="D1614" s="4" t="s">
        <v>73</v>
      </c>
      <c r="E1614" s="4" t="s">
        <v>99</v>
      </c>
      <c r="F1614" s="4" t="s">
        <v>102</v>
      </c>
      <c r="G1614" s="4" t="n">
        <v>1</v>
      </c>
      <c r="H1614" s="34" t="n">
        <v>140</v>
      </c>
      <c r="I1614" s="18" t="n">
        <v>0.1</v>
      </c>
      <c r="J1614" s="4" t="s">
        <v>67</v>
      </c>
      <c r="K1614" s="4" t="s">
        <v>71</v>
      </c>
      <c r="L1614" s="35" t="n">
        <f aca="false">G1614*H1614</f>
        <v>140</v>
      </c>
      <c r="M1614" s="35" t="n">
        <f aca="false">L1614*I1614</f>
        <v>14</v>
      </c>
      <c r="N1614" s="35" t="n">
        <f aca="false">L1614-M1614</f>
        <v>126</v>
      </c>
      <c r="O1614" s="4" t="n">
        <f aca="false">MONTH(B1614)</f>
        <v>11</v>
      </c>
      <c r="P1614" s="4" t="str">
        <f aca="false">CHOOSE(WEEKDAY(B1614,2),"Mon","Tue","Wed","Thu","Fri","Sat","Sun")</f>
        <v>Fri</v>
      </c>
      <c r="Q1614" s="4" t="str">
        <f aca="false">IF(WEEKDAY(B1614,2)&gt;5,"Weekend","Weekday")</f>
        <v>Weekday</v>
      </c>
      <c r="R1614" s="4" t="str">
        <f aca="false">IF(C1614&lt;11,"Morning (7-10)",IF(C1614&lt;14,"Lunch (11-13)",IF(C1614&lt;18,"Afternoon (14-17)","Evening (18-20)")))</f>
        <v>Evening (18-20)</v>
      </c>
      <c r="S1614" s="4" t="str">
        <f aca="false">IF(AND(O1614&gt;=3,O1614&lt;=5),"Hot Dry (Mar-May)",IF(AND(O1614&gt;=6,O1614&lt;=11),"Rainy (Jun-Nov)","Cool Dry (Dec-Feb)"))</f>
        <v>Rainy (Jun-Nov)</v>
      </c>
      <c r="T1614" s="4" t="str">
        <f aca="false">CHOOSE(O1614,"Jan","Feb","Mar","Apr","May","Jun","Jul","Aug","Sep","Oct","Nov","Dec")</f>
        <v>Nov</v>
      </c>
    </row>
    <row r="1615" customFormat="false" ht="15" hidden="false" customHeight="false" outlineLevel="0" collapsed="false">
      <c r="A1615" s="4" t="s">
        <v>2012</v>
      </c>
      <c r="B1615" s="17" t="n">
        <v>45990</v>
      </c>
      <c r="C1615" s="4" t="n">
        <v>7</v>
      </c>
      <c r="D1615" s="4" t="s">
        <v>70</v>
      </c>
      <c r="E1615" s="4" t="s">
        <v>65</v>
      </c>
      <c r="F1615" s="4" t="s">
        <v>94</v>
      </c>
      <c r="G1615" s="4" t="n">
        <v>1</v>
      </c>
      <c r="H1615" s="34" t="n">
        <v>150</v>
      </c>
      <c r="I1615" s="18" t="n">
        <v>0.1</v>
      </c>
      <c r="J1615" s="4" t="s">
        <v>76</v>
      </c>
      <c r="K1615" s="4" t="s">
        <v>71</v>
      </c>
      <c r="L1615" s="35" t="n">
        <f aca="false">G1615*H1615</f>
        <v>150</v>
      </c>
      <c r="M1615" s="35" t="n">
        <f aca="false">L1615*I1615</f>
        <v>15</v>
      </c>
      <c r="N1615" s="35" t="n">
        <f aca="false">L1615-M1615</f>
        <v>135</v>
      </c>
      <c r="O1615" s="4" t="n">
        <f aca="false">MONTH(B1615)</f>
        <v>11</v>
      </c>
      <c r="P1615" s="4" t="str">
        <f aca="false">CHOOSE(WEEKDAY(B1615,2),"Mon","Tue","Wed","Thu","Fri","Sat","Sun")</f>
        <v>Sat</v>
      </c>
      <c r="Q1615" s="4" t="str">
        <f aca="false">IF(WEEKDAY(B1615,2)&gt;5,"Weekend","Weekday")</f>
        <v>Weekend</v>
      </c>
      <c r="R1615" s="4" t="str">
        <f aca="false">IF(C1615&lt;11,"Morning (7-10)",IF(C1615&lt;14,"Lunch (11-13)",IF(C1615&lt;18,"Afternoon (14-17)","Evening (18-20)")))</f>
        <v>Morning (7-10)</v>
      </c>
      <c r="S1615" s="4" t="str">
        <f aca="false">IF(AND(O1615&gt;=3,O1615&lt;=5),"Hot Dry (Mar-May)",IF(AND(O1615&gt;=6,O1615&lt;=11),"Rainy (Jun-Nov)","Cool Dry (Dec-Feb)"))</f>
        <v>Rainy (Jun-Nov)</v>
      </c>
      <c r="T1615" s="4" t="str">
        <f aca="false">CHOOSE(O1615,"Jan","Feb","Mar","Apr","May","Jun","Jul","Aug","Sep","Oct","Nov","Dec")</f>
        <v>Nov</v>
      </c>
    </row>
    <row r="1616" customFormat="false" ht="15" hidden="false" customHeight="false" outlineLevel="0" collapsed="false">
      <c r="A1616" s="4" t="s">
        <v>2013</v>
      </c>
      <c r="B1616" s="17" t="n">
        <v>45990</v>
      </c>
      <c r="C1616" s="4" t="n">
        <v>9</v>
      </c>
      <c r="D1616" s="4" t="s">
        <v>98</v>
      </c>
      <c r="E1616" s="4" t="s">
        <v>99</v>
      </c>
      <c r="F1616" s="4" t="s">
        <v>102</v>
      </c>
      <c r="G1616" s="4" t="n">
        <v>3</v>
      </c>
      <c r="H1616" s="34" t="n">
        <v>140</v>
      </c>
      <c r="I1616" s="18" t="n">
        <v>0.1</v>
      </c>
      <c r="J1616" s="4" t="s">
        <v>88</v>
      </c>
      <c r="K1616" s="4" t="s">
        <v>71</v>
      </c>
      <c r="L1616" s="35" t="n">
        <f aca="false">G1616*H1616</f>
        <v>420</v>
      </c>
      <c r="M1616" s="35" t="n">
        <f aca="false">L1616*I1616</f>
        <v>42</v>
      </c>
      <c r="N1616" s="35" t="n">
        <f aca="false">L1616-M1616</f>
        <v>378</v>
      </c>
      <c r="O1616" s="4" t="n">
        <f aca="false">MONTH(B1616)</f>
        <v>11</v>
      </c>
      <c r="P1616" s="4" t="str">
        <f aca="false">CHOOSE(WEEKDAY(B1616,2),"Mon","Tue","Wed","Thu","Fri","Sat","Sun")</f>
        <v>Sat</v>
      </c>
      <c r="Q1616" s="4" t="str">
        <f aca="false">IF(WEEKDAY(B1616,2)&gt;5,"Weekend","Weekday")</f>
        <v>Weekend</v>
      </c>
      <c r="R1616" s="4" t="str">
        <f aca="false">IF(C1616&lt;11,"Morning (7-10)",IF(C1616&lt;14,"Lunch (11-13)",IF(C1616&lt;18,"Afternoon (14-17)","Evening (18-20)")))</f>
        <v>Morning (7-10)</v>
      </c>
      <c r="S1616" s="4" t="str">
        <f aca="false">IF(AND(O1616&gt;=3,O1616&lt;=5),"Hot Dry (Mar-May)",IF(AND(O1616&gt;=6,O1616&lt;=11),"Rainy (Jun-Nov)","Cool Dry (Dec-Feb)"))</f>
        <v>Rainy (Jun-Nov)</v>
      </c>
      <c r="T1616" s="4" t="str">
        <f aca="false">CHOOSE(O1616,"Jan","Feb","Mar","Apr","May","Jun","Jul","Aug","Sep","Oct","Nov","Dec")</f>
        <v>Nov</v>
      </c>
    </row>
    <row r="1617" customFormat="false" ht="15" hidden="false" customHeight="false" outlineLevel="0" collapsed="false">
      <c r="A1617" s="4" t="s">
        <v>2014</v>
      </c>
      <c r="B1617" s="17" t="n">
        <v>45990</v>
      </c>
      <c r="C1617" s="4" t="n">
        <v>12</v>
      </c>
      <c r="D1617" s="4" t="s">
        <v>70</v>
      </c>
      <c r="E1617" s="4" t="s">
        <v>65</v>
      </c>
      <c r="F1617" s="4" t="s">
        <v>94</v>
      </c>
      <c r="G1617" s="4" t="n">
        <v>1</v>
      </c>
      <c r="H1617" s="34" t="n">
        <v>150</v>
      </c>
      <c r="I1617" s="18" t="n">
        <v>0</v>
      </c>
      <c r="J1617" s="4" t="s">
        <v>112</v>
      </c>
      <c r="K1617" s="4" t="s">
        <v>68</v>
      </c>
      <c r="L1617" s="35" t="n">
        <f aca="false">G1617*H1617</f>
        <v>150</v>
      </c>
      <c r="M1617" s="35" t="n">
        <f aca="false">L1617*I1617</f>
        <v>0</v>
      </c>
      <c r="N1617" s="35" t="n">
        <f aca="false">L1617-M1617</f>
        <v>150</v>
      </c>
      <c r="O1617" s="4" t="n">
        <f aca="false">MONTH(B1617)</f>
        <v>11</v>
      </c>
      <c r="P1617" s="4" t="str">
        <f aca="false">CHOOSE(WEEKDAY(B1617,2),"Mon","Tue","Wed","Thu","Fri","Sat","Sun")</f>
        <v>Sat</v>
      </c>
      <c r="Q1617" s="4" t="str">
        <f aca="false">IF(WEEKDAY(B1617,2)&gt;5,"Weekend","Weekday")</f>
        <v>Weekend</v>
      </c>
      <c r="R1617" s="4" t="str">
        <f aca="false">IF(C1617&lt;11,"Morning (7-10)",IF(C1617&lt;14,"Lunch (11-13)",IF(C1617&lt;18,"Afternoon (14-17)","Evening (18-20)")))</f>
        <v>Lunch (11-13)</v>
      </c>
      <c r="S1617" s="4" t="str">
        <f aca="false">IF(AND(O1617&gt;=3,O1617&lt;=5),"Hot Dry (Mar-May)",IF(AND(O1617&gt;=6,O1617&lt;=11),"Rainy (Jun-Nov)","Cool Dry (Dec-Feb)"))</f>
        <v>Rainy (Jun-Nov)</v>
      </c>
      <c r="T1617" s="4" t="str">
        <f aca="false">CHOOSE(O1617,"Jan","Feb","Mar","Apr","May","Jun","Jul","Aug","Sep","Oct","Nov","Dec")</f>
        <v>Nov</v>
      </c>
    </row>
    <row r="1618" customFormat="false" ht="15" hidden="false" customHeight="false" outlineLevel="0" collapsed="false">
      <c r="A1618" s="4" t="s">
        <v>2015</v>
      </c>
      <c r="B1618" s="17" t="n">
        <v>45990</v>
      </c>
      <c r="C1618" s="4" t="n">
        <v>15</v>
      </c>
      <c r="D1618" s="4" t="s">
        <v>64</v>
      </c>
      <c r="E1618" s="4" t="s">
        <v>65</v>
      </c>
      <c r="F1618" s="4" t="s">
        <v>121</v>
      </c>
      <c r="G1618" s="4" t="n">
        <v>1</v>
      </c>
      <c r="H1618" s="34" t="n">
        <v>170</v>
      </c>
      <c r="I1618" s="18" t="n">
        <v>0</v>
      </c>
      <c r="J1618" s="4" t="s">
        <v>67</v>
      </c>
      <c r="K1618" s="4" t="s">
        <v>77</v>
      </c>
      <c r="L1618" s="35" t="n">
        <f aca="false">G1618*H1618</f>
        <v>170</v>
      </c>
      <c r="M1618" s="35" t="n">
        <f aca="false">L1618*I1618</f>
        <v>0</v>
      </c>
      <c r="N1618" s="35" t="n">
        <f aca="false">L1618-M1618</f>
        <v>170</v>
      </c>
      <c r="O1618" s="4" t="n">
        <f aca="false">MONTH(B1618)</f>
        <v>11</v>
      </c>
      <c r="P1618" s="4" t="str">
        <f aca="false">CHOOSE(WEEKDAY(B1618,2),"Mon","Tue","Wed","Thu","Fri","Sat","Sun")</f>
        <v>Sat</v>
      </c>
      <c r="Q1618" s="4" t="str">
        <f aca="false">IF(WEEKDAY(B1618,2)&gt;5,"Weekend","Weekday")</f>
        <v>Weekend</v>
      </c>
      <c r="R1618" s="4" t="str">
        <f aca="false">IF(C1618&lt;11,"Morning (7-10)",IF(C1618&lt;14,"Lunch (11-13)",IF(C1618&lt;18,"Afternoon (14-17)","Evening (18-20)")))</f>
        <v>Afternoon (14-17)</v>
      </c>
      <c r="S1618" s="4" t="str">
        <f aca="false">IF(AND(O1618&gt;=3,O1618&lt;=5),"Hot Dry (Mar-May)",IF(AND(O1618&gt;=6,O1618&lt;=11),"Rainy (Jun-Nov)","Cool Dry (Dec-Feb)"))</f>
        <v>Rainy (Jun-Nov)</v>
      </c>
      <c r="T1618" s="4" t="str">
        <f aca="false">CHOOSE(O1618,"Jan","Feb","Mar","Apr","May","Jun","Jul","Aug","Sep","Oct","Nov","Dec")</f>
        <v>Nov</v>
      </c>
    </row>
    <row r="1619" customFormat="false" ht="15" hidden="false" customHeight="false" outlineLevel="0" collapsed="false">
      <c r="A1619" s="4" t="s">
        <v>2016</v>
      </c>
      <c r="B1619" s="17" t="n">
        <v>45990</v>
      </c>
      <c r="C1619" s="4" t="n">
        <v>15</v>
      </c>
      <c r="D1619" s="4" t="s">
        <v>70</v>
      </c>
      <c r="E1619" s="4" t="s">
        <v>65</v>
      </c>
      <c r="F1619" s="4" t="s">
        <v>66</v>
      </c>
      <c r="G1619" s="4" t="n">
        <v>1</v>
      </c>
      <c r="H1619" s="34" t="n">
        <v>120</v>
      </c>
      <c r="I1619" s="18" t="n">
        <v>0.15</v>
      </c>
      <c r="J1619" s="4" t="s">
        <v>76</v>
      </c>
      <c r="K1619" s="4" t="s">
        <v>68</v>
      </c>
      <c r="L1619" s="35" t="n">
        <f aca="false">G1619*H1619</f>
        <v>120</v>
      </c>
      <c r="M1619" s="35" t="n">
        <f aca="false">L1619*I1619</f>
        <v>18</v>
      </c>
      <c r="N1619" s="35" t="n">
        <f aca="false">L1619-M1619</f>
        <v>102</v>
      </c>
      <c r="O1619" s="4" t="n">
        <f aca="false">MONTH(B1619)</f>
        <v>11</v>
      </c>
      <c r="P1619" s="4" t="str">
        <f aca="false">CHOOSE(WEEKDAY(B1619,2),"Mon","Tue","Wed","Thu","Fri","Sat","Sun")</f>
        <v>Sat</v>
      </c>
      <c r="Q1619" s="4" t="str">
        <f aca="false">IF(WEEKDAY(B1619,2)&gt;5,"Weekend","Weekday")</f>
        <v>Weekend</v>
      </c>
      <c r="R1619" s="4" t="str">
        <f aca="false">IF(C1619&lt;11,"Morning (7-10)",IF(C1619&lt;14,"Lunch (11-13)",IF(C1619&lt;18,"Afternoon (14-17)","Evening (18-20)")))</f>
        <v>Afternoon (14-17)</v>
      </c>
      <c r="S1619" s="4" t="str">
        <f aca="false">IF(AND(O1619&gt;=3,O1619&lt;=5),"Hot Dry (Mar-May)",IF(AND(O1619&gt;=6,O1619&lt;=11),"Rainy (Jun-Nov)","Cool Dry (Dec-Feb)"))</f>
        <v>Rainy (Jun-Nov)</v>
      </c>
      <c r="T1619" s="4" t="str">
        <f aca="false">CHOOSE(O1619,"Jan","Feb","Mar","Apr","May","Jun","Jul","Aug","Sep","Oct","Nov","Dec")</f>
        <v>Nov</v>
      </c>
    </row>
    <row r="1620" customFormat="false" ht="15" hidden="false" customHeight="false" outlineLevel="0" collapsed="false">
      <c r="A1620" s="4" t="s">
        <v>2018</v>
      </c>
      <c r="B1620" s="17" t="n">
        <v>45991</v>
      </c>
      <c r="C1620" s="4" t="n">
        <v>17</v>
      </c>
      <c r="D1620" s="4" t="s">
        <v>98</v>
      </c>
      <c r="E1620" s="4" t="s">
        <v>79</v>
      </c>
      <c r="F1620" s="4" t="s">
        <v>80</v>
      </c>
      <c r="G1620" s="4" t="n">
        <v>2</v>
      </c>
      <c r="H1620" s="34" t="n">
        <v>160</v>
      </c>
      <c r="I1620" s="18" t="n">
        <v>0.1</v>
      </c>
      <c r="J1620" s="4" t="s">
        <v>76</v>
      </c>
      <c r="K1620" s="4" t="s">
        <v>71</v>
      </c>
      <c r="L1620" s="35" t="n">
        <f aca="false">G1620*H1620</f>
        <v>320</v>
      </c>
      <c r="M1620" s="35" t="n">
        <f aca="false">L1620*I1620</f>
        <v>32</v>
      </c>
      <c r="N1620" s="35" t="n">
        <f aca="false">L1620-M1620</f>
        <v>288</v>
      </c>
      <c r="O1620" s="4" t="n">
        <f aca="false">MONTH(B1620)</f>
        <v>11</v>
      </c>
      <c r="P1620" s="4" t="str">
        <f aca="false">CHOOSE(WEEKDAY(B1620,2),"Mon","Tue","Wed","Thu","Fri","Sat","Sun")</f>
        <v>Sun</v>
      </c>
      <c r="Q1620" s="4" t="str">
        <f aca="false">IF(WEEKDAY(B1620,2)&gt;5,"Weekend","Weekday")</f>
        <v>Weekend</v>
      </c>
      <c r="R1620" s="4" t="str">
        <f aca="false">IF(C1620&lt;11,"Morning (7-10)",IF(C1620&lt;14,"Lunch (11-13)",IF(C1620&lt;18,"Afternoon (14-17)","Evening (18-20)")))</f>
        <v>Afternoon (14-17)</v>
      </c>
      <c r="S1620" s="4" t="str">
        <f aca="false">IF(AND(O1620&gt;=3,O1620&lt;=5),"Hot Dry (Mar-May)",IF(AND(O1620&gt;=6,O1620&lt;=11),"Rainy (Jun-Nov)","Cool Dry (Dec-Feb)"))</f>
        <v>Rainy (Jun-Nov)</v>
      </c>
      <c r="T1620" s="4" t="str">
        <f aca="false">CHOOSE(O1620,"Jan","Feb","Mar","Apr","May","Jun","Jul","Aug","Sep","Oct","Nov","Dec")</f>
        <v>Nov</v>
      </c>
    </row>
    <row r="1621" customFormat="false" ht="15" hidden="false" customHeight="false" outlineLevel="0" collapsed="false">
      <c r="A1621" s="4" t="s">
        <v>2019</v>
      </c>
      <c r="B1621" s="17" t="n">
        <v>45991</v>
      </c>
      <c r="C1621" s="4" t="n">
        <v>18</v>
      </c>
      <c r="D1621" s="4" t="s">
        <v>98</v>
      </c>
      <c r="E1621" s="4" t="s">
        <v>65</v>
      </c>
      <c r="F1621" s="4" t="s">
        <v>87</v>
      </c>
      <c r="G1621" s="4" t="n">
        <v>1</v>
      </c>
      <c r="H1621" s="34" t="n">
        <v>160</v>
      </c>
      <c r="I1621" s="18" t="n">
        <v>0</v>
      </c>
      <c r="J1621" s="4" t="s">
        <v>67</v>
      </c>
      <c r="K1621" s="4" t="s">
        <v>71</v>
      </c>
      <c r="L1621" s="35" t="n">
        <f aca="false">G1621*H1621</f>
        <v>160</v>
      </c>
      <c r="M1621" s="35" t="n">
        <f aca="false">L1621*I1621</f>
        <v>0</v>
      </c>
      <c r="N1621" s="35" t="n">
        <f aca="false">L1621-M1621</f>
        <v>160</v>
      </c>
      <c r="O1621" s="4" t="n">
        <f aca="false">MONTH(B1621)</f>
        <v>11</v>
      </c>
      <c r="P1621" s="4" t="str">
        <f aca="false">CHOOSE(WEEKDAY(B1621,2),"Mon","Tue","Wed","Thu","Fri","Sat","Sun")</f>
        <v>Sun</v>
      </c>
      <c r="Q1621" s="4" t="str">
        <f aca="false">IF(WEEKDAY(B1621,2)&gt;5,"Weekend","Weekday")</f>
        <v>Weekend</v>
      </c>
      <c r="R1621" s="4" t="str">
        <f aca="false">IF(C1621&lt;11,"Morning (7-10)",IF(C1621&lt;14,"Lunch (11-13)",IF(C1621&lt;18,"Afternoon (14-17)","Evening (18-20)")))</f>
        <v>Evening (18-20)</v>
      </c>
      <c r="S1621" s="4" t="str">
        <f aca="false">IF(AND(O1621&gt;=3,O1621&lt;=5),"Hot Dry (Mar-May)",IF(AND(O1621&gt;=6,O1621&lt;=11),"Rainy (Jun-Nov)","Cool Dry (Dec-Feb)"))</f>
        <v>Rainy (Jun-Nov)</v>
      </c>
      <c r="T1621" s="4" t="str">
        <f aca="false">CHOOSE(O1621,"Jan","Feb","Mar","Apr","May","Jun","Jul","Aug","Sep","Oct","Nov","Dec")</f>
        <v>Nov</v>
      </c>
    </row>
    <row r="1622" customFormat="false" ht="15" hidden="false" customHeight="false" outlineLevel="0" collapsed="false">
      <c r="A1622" s="4" t="s">
        <v>2020</v>
      </c>
      <c r="B1622" s="17" t="n">
        <v>45992</v>
      </c>
      <c r="C1622" s="4" t="n">
        <v>7</v>
      </c>
      <c r="D1622" s="4" t="s">
        <v>70</v>
      </c>
      <c r="E1622" s="4" t="s">
        <v>79</v>
      </c>
      <c r="F1622" s="4" t="s">
        <v>80</v>
      </c>
      <c r="G1622" s="4" t="n">
        <v>3</v>
      </c>
      <c r="H1622" s="34" t="n">
        <v>160</v>
      </c>
      <c r="I1622" s="18" t="n">
        <v>0</v>
      </c>
      <c r="J1622" s="4" t="s">
        <v>112</v>
      </c>
      <c r="K1622" s="4" t="s">
        <v>68</v>
      </c>
      <c r="L1622" s="35" t="n">
        <f aca="false">G1622*H1622</f>
        <v>480</v>
      </c>
      <c r="M1622" s="35" t="n">
        <f aca="false">L1622*I1622</f>
        <v>0</v>
      </c>
      <c r="N1622" s="35" t="n">
        <f aca="false">L1622-M1622</f>
        <v>480</v>
      </c>
      <c r="O1622" s="4" t="n">
        <f aca="false">MONTH(B1622)</f>
        <v>12</v>
      </c>
      <c r="P1622" s="4" t="str">
        <f aca="false">CHOOSE(WEEKDAY(B1622,2),"Mon","Tue","Wed","Thu","Fri","Sat","Sun")</f>
        <v>Mon</v>
      </c>
      <c r="Q1622" s="4" t="str">
        <f aca="false">IF(WEEKDAY(B1622,2)&gt;5,"Weekend","Weekday")</f>
        <v>Weekday</v>
      </c>
      <c r="R1622" s="4" t="str">
        <f aca="false">IF(C1622&lt;11,"Morning (7-10)",IF(C1622&lt;14,"Lunch (11-13)",IF(C1622&lt;18,"Afternoon (14-17)","Evening (18-20)")))</f>
        <v>Morning (7-10)</v>
      </c>
      <c r="S1622" s="4" t="str">
        <f aca="false">IF(AND(O1622&gt;=3,O1622&lt;=5),"Hot Dry (Mar-May)",IF(AND(O1622&gt;=6,O1622&lt;=11),"Rainy (Jun-Nov)","Cool Dry (Dec-Feb)"))</f>
        <v>Cool Dry (Dec-Feb)</v>
      </c>
      <c r="T1622" s="4" t="str">
        <f aca="false">CHOOSE(O1622,"Jan","Feb","Mar","Apr","May","Jun","Jul","Aug","Sep","Oct","Nov","Dec")</f>
        <v>Dec</v>
      </c>
    </row>
    <row r="1623" customFormat="false" ht="15" hidden="false" customHeight="false" outlineLevel="0" collapsed="false">
      <c r="A1623" s="4" t="s">
        <v>2021</v>
      </c>
      <c r="B1623" s="17" t="n">
        <v>45992</v>
      </c>
      <c r="C1623" s="4" t="n">
        <v>7</v>
      </c>
      <c r="D1623" s="4" t="s">
        <v>70</v>
      </c>
      <c r="E1623" s="4" t="s">
        <v>65</v>
      </c>
      <c r="F1623" s="4" t="s">
        <v>94</v>
      </c>
      <c r="G1623" s="4" t="n">
        <v>4</v>
      </c>
      <c r="H1623" s="34" t="n">
        <v>150</v>
      </c>
      <c r="I1623" s="18" t="n">
        <v>0.1</v>
      </c>
      <c r="J1623" s="4" t="s">
        <v>81</v>
      </c>
      <c r="K1623" s="4" t="s">
        <v>82</v>
      </c>
      <c r="L1623" s="35" t="n">
        <f aca="false">G1623*H1623</f>
        <v>600</v>
      </c>
      <c r="M1623" s="35" t="n">
        <f aca="false">L1623*I1623</f>
        <v>60</v>
      </c>
      <c r="N1623" s="35" t="n">
        <f aca="false">L1623-M1623</f>
        <v>540</v>
      </c>
      <c r="O1623" s="4" t="n">
        <f aca="false">MONTH(B1623)</f>
        <v>12</v>
      </c>
      <c r="P1623" s="4" t="str">
        <f aca="false">CHOOSE(WEEKDAY(B1623,2),"Mon","Tue","Wed","Thu","Fri","Sat","Sun")</f>
        <v>Mon</v>
      </c>
      <c r="Q1623" s="4" t="str">
        <f aca="false">IF(WEEKDAY(B1623,2)&gt;5,"Weekend","Weekday")</f>
        <v>Weekday</v>
      </c>
      <c r="R1623" s="4" t="str">
        <f aca="false">IF(C1623&lt;11,"Morning (7-10)",IF(C1623&lt;14,"Lunch (11-13)",IF(C1623&lt;18,"Afternoon (14-17)","Evening (18-20)")))</f>
        <v>Morning (7-10)</v>
      </c>
      <c r="S1623" s="4" t="str">
        <f aca="false">IF(AND(O1623&gt;=3,O1623&lt;=5),"Hot Dry (Mar-May)",IF(AND(O1623&gt;=6,O1623&lt;=11),"Rainy (Jun-Nov)","Cool Dry (Dec-Feb)"))</f>
        <v>Cool Dry (Dec-Feb)</v>
      </c>
      <c r="T1623" s="4" t="str">
        <f aca="false">CHOOSE(O1623,"Jan","Feb","Mar","Apr","May","Jun","Jul","Aug","Sep","Oct","Nov","Dec")</f>
        <v>Dec</v>
      </c>
    </row>
    <row r="1624" customFormat="false" ht="15" hidden="false" customHeight="false" outlineLevel="0" collapsed="false">
      <c r="A1624" s="4" t="s">
        <v>2022</v>
      </c>
      <c r="B1624" s="17" t="n">
        <v>45992</v>
      </c>
      <c r="C1624" s="4" t="n">
        <v>10</v>
      </c>
      <c r="D1624" s="4" t="s">
        <v>98</v>
      </c>
      <c r="E1624" s="4" t="s">
        <v>79</v>
      </c>
      <c r="F1624" s="4" t="s">
        <v>80</v>
      </c>
      <c r="G1624" s="4" t="n">
        <v>1</v>
      </c>
      <c r="H1624" s="34" t="n">
        <v>160</v>
      </c>
      <c r="I1624" s="18" t="n">
        <v>0</v>
      </c>
      <c r="J1624" s="4" t="s">
        <v>81</v>
      </c>
      <c r="K1624" s="4" t="s">
        <v>77</v>
      </c>
      <c r="L1624" s="35" t="n">
        <f aca="false">G1624*H1624</f>
        <v>160</v>
      </c>
      <c r="M1624" s="35" t="n">
        <f aca="false">L1624*I1624</f>
        <v>0</v>
      </c>
      <c r="N1624" s="35" t="n">
        <f aca="false">L1624-M1624</f>
        <v>160</v>
      </c>
      <c r="O1624" s="4" t="n">
        <f aca="false">MONTH(B1624)</f>
        <v>12</v>
      </c>
      <c r="P1624" s="4" t="str">
        <f aca="false">CHOOSE(WEEKDAY(B1624,2),"Mon","Tue","Wed","Thu","Fri","Sat","Sun")</f>
        <v>Mon</v>
      </c>
      <c r="Q1624" s="4" t="str">
        <f aca="false">IF(WEEKDAY(B1624,2)&gt;5,"Weekend","Weekday")</f>
        <v>Weekday</v>
      </c>
      <c r="R1624" s="4" t="str">
        <f aca="false">IF(C1624&lt;11,"Morning (7-10)",IF(C1624&lt;14,"Lunch (11-13)",IF(C1624&lt;18,"Afternoon (14-17)","Evening (18-20)")))</f>
        <v>Morning (7-10)</v>
      </c>
      <c r="S1624" s="4" t="str">
        <f aca="false">IF(AND(O1624&gt;=3,O1624&lt;=5),"Hot Dry (Mar-May)",IF(AND(O1624&gt;=6,O1624&lt;=11),"Rainy (Jun-Nov)","Cool Dry (Dec-Feb)"))</f>
        <v>Cool Dry (Dec-Feb)</v>
      </c>
      <c r="T1624" s="4" t="str">
        <f aca="false">CHOOSE(O1624,"Jan","Feb","Mar","Apr","May","Jun","Jul","Aug","Sep","Oct","Nov","Dec")</f>
        <v>Dec</v>
      </c>
    </row>
    <row r="1625" customFormat="false" ht="15" hidden="false" customHeight="false" outlineLevel="0" collapsed="false">
      <c r="A1625" s="4" t="s">
        <v>2023</v>
      </c>
      <c r="B1625" s="17" t="n">
        <v>45992</v>
      </c>
      <c r="C1625" s="4" t="n">
        <v>14</v>
      </c>
      <c r="D1625" s="4" t="s">
        <v>98</v>
      </c>
      <c r="E1625" s="4" t="s">
        <v>99</v>
      </c>
      <c r="F1625" s="4" t="s">
        <v>102</v>
      </c>
      <c r="G1625" s="4" t="n">
        <v>1</v>
      </c>
      <c r="H1625" s="34" t="n">
        <v>140</v>
      </c>
      <c r="I1625" s="18" t="n">
        <v>0</v>
      </c>
      <c r="J1625" s="4" t="s">
        <v>76</v>
      </c>
      <c r="K1625" s="4" t="s">
        <v>82</v>
      </c>
      <c r="L1625" s="35" t="n">
        <f aca="false">G1625*H1625</f>
        <v>140</v>
      </c>
      <c r="M1625" s="35" t="n">
        <f aca="false">L1625*I1625</f>
        <v>0</v>
      </c>
      <c r="N1625" s="35" t="n">
        <f aca="false">L1625-M1625</f>
        <v>140</v>
      </c>
      <c r="O1625" s="4" t="n">
        <f aca="false">MONTH(B1625)</f>
        <v>12</v>
      </c>
      <c r="P1625" s="4" t="str">
        <f aca="false">CHOOSE(WEEKDAY(B1625,2),"Mon","Tue","Wed","Thu","Fri","Sat","Sun")</f>
        <v>Mon</v>
      </c>
      <c r="Q1625" s="4" t="str">
        <f aca="false">IF(WEEKDAY(B1625,2)&gt;5,"Weekend","Weekday")</f>
        <v>Weekday</v>
      </c>
      <c r="R1625" s="4" t="str">
        <f aca="false">IF(C1625&lt;11,"Morning (7-10)",IF(C1625&lt;14,"Lunch (11-13)",IF(C1625&lt;18,"Afternoon (14-17)","Evening (18-20)")))</f>
        <v>Afternoon (14-17)</v>
      </c>
      <c r="S1625" s="4" t="str">
        <f aca="false">IF(AND(O1625&gt;=3,O1625&lt;=5),"Hot Dry (Mar-May)",IF(AND(O1625&gt;=6,O1625&lt;=11),"Rainy (Jun-Nov)","Cool Dry (Dec-Feb)"))</f>
        <v>Cool Dry (Dec-Feb)</v>
      </c>
      <c r="T1625" s="4" t="str">
        <f aca="false">CHOOSE(O1625,"Jan","Feb","Mar","Apr","May","Jun","Jul","Aug","Sep","Oct","Nov","Dec")</f>
        <v>Dec</v>
      </c>
    </row>
    <row r="1626" customFormat="false" ht="15" hidden="false" customHeight="false" outlineLevel="0" collapsed="false">
      <c r="A1626" s="4" t="s">
        <v>2024</v>
      </c>
      <c r="B1626" s="17" t="n">
        <v>45992</v>
      </c>
      <c r="C1626" s="4" t="n">
        <v>16</v>
      </c>
      <c r="D1626" s="4" t="s">
        <v>70</v>
      </c>
      <c r="E1626" s="4" t="s">
        <v>99</v>
      </c>
      <c r="F1626" s="4" t="s">
        <v>133</v>
      </c>
      <c r="G1626" s="4" t="n">
        <v>2</v>
      </c>
      <c r="H1626" s="34" t="n">
        <v>90</v>
      </c>
      <c r="I1626" s="18" t="n">
        <v>0</v>
      </c>
      <c r="J1626" s="4" t="s">
        <v>112</v>
      </c>
      <c r="K1626" s="4" t="s">
        <v>77</v>
      </c>
      <c r="L1626" s="35" t="n">
        <f aca="false">G1626*H1626</f>
        <v>180</v>
      </c>
      <c r="M1626" s="35" t="n">
        <f aca="false">L1626*I1626</f>
        <v>0</v>
      </c>
      <c r="N1626" s="35" t="n">
        <f aca="false">L1626-M1626</f>
        <v>180</v>
      </c>
      <c r="O1626" s="4" t="n">
        <f aca="false">MONTH(B1626)</f>
        <v>12</v>
      </c>
      <c r="P1626" s="4" t="str">
        <f aca="false">CHOOSE(WEEKDAY(B1626,2),"Mon","Tue","Wed","Thu","Fri","Sat","Sun")</f>
        <v>Mon</v>
      </c>
      <c r="Q1626" s="4" t="str">
        <f aca="false">IF(WEEKDAY(B1626,2)&gt;5,"Weekend","Weekday")</f>
        <v>Weekday</v>
      </c>
      <c r="R1626" s="4" t="str">
        <f aca="false">IF(C1626&lt;11,"Morning (7-10)",IF(C1626&lt;14,"Lunch (11-13)",IF(C1626&lt;18,"Afternoon (14-17)","Evening (18-20)")))</f>
        <v>Afternoon (14-17)</v>
      </c>
      <c r="S1626" s="4" t="str">
        <f aca="false">IF(AND(O1626&gt;=3,O1626&lt;=5),"Hot Dry (Mar-May)",IF(AND(O1626&gt;=6,O1626&lt;=11),"Rainy (Jun-Nov)","Cool Dry (Dec-Feb)"))</f>
        <v>Cool Dry (Dec-Feb)</v>
      </c>
      <c r="T1626" s="4" t="str">
        <f aca="false">CHOOSE(O1626,"Jan","Feb","Mar","Apr","May","Jun","Jul","Aug","Sep","Oct","Nov","Dec")</f>
        <v>Dec</v>
      </c>
    </row>
    <row r="1627" customFormat="false" ht="15" hidden="false" customHeight="false" outlineLevel="0" collapsed="false">
      <c r="A1627" s="4" t="s">
        <v>2025</v>
      </c>
      <c r="B1627" s="17" t="n">
        <v>45992</v>
      </c>
      <c r="C1627" s="4" t="n">
        <v>20</v>
      </c>
      <c r="D1627" s="4" t="s">
        <v>64</v>
      </c>
      <c r="E1627" s="4" t="s">
        <v>84</v>
      </c>
      <c r="F1627" s="4" t="s">
        <v>114</v>
      </c>
      <c r="G1627" s="4" t="n">
        <v>2</v>
      </c>
      <c r="H1627" s="34" t="n">
        <v>85</v>
      </c>
      <c r="I1627" s="18" t="n">
        <v>0</v>
      </c>
      <c r="J1627" s="4" t="s">
        <v>67</v>
      </c>
      <c r="K1627" s="4" t="s">
        <v>68</v>
      </c>
      <c r="L1627" s="35" t="n">
        <f aca="false">G1627*H1627</f>
        <v>170</v>
      </c>
      <c r="M1627" s="35" t="n">
        <f aca="false">L1627*I1627</f>
        <v>0</v>
      </c>
      <c r="N1627" s="35" t="n">
        <f aca="false">L1627-M1627</f>
        <v>170</v>
      </c>
      <c r="O1627" s="4" t="n">
        <f aca="false">MONTH(B1627)</f>
        <v>12</v>
      </c>
      <c r="P1627" s="4" t="str">
        <f aca="false">CHOOSE(WEEKDAY(B1627,2),"Mon","Tue","Wed","Thu","Fri","Sat","Sun")</f>
        <v>Mon</v>
      </c>
      <c r="Q1627" s="4" t="str">
        <f aca="false">IF(WEEKDAY(B1627,2)&gt;5,"Weekend","Weekday")</f>
        <v>Weekday</v>
      </c>
      <c r="R1627" s="4" t="str">
        <f aca="false">IF(C1627&lt;11,"Morning (7-10)",IF(C1627&lt;14,"Lunch (11-13)",IF(C1627&lt;18,"Afternoon (14-17)","Evening (18-20)")))</f>
        <v>Evening (18-20)</v>
      </c>
      <c r="S1627" s="4" t="str">
        <f aca="false">IF(AND(O1627&gt;=3,O1627&lt;=5),"Hot Dry (Mar-May)",IF(AND(O1627&gt;=6,O1627&lt;=11),"Rainy (Jun-Nov)","Cool Dry (Dec-Feb)"))</f>
        <v>Cool Dry (Dec-Feb)</v>
      </c>
      <c r="T1627" s="4" t="str">
        <f aca="false">CHOOSE(O1627,"Jan","Feb","Mar","Apr","May","Jun","Jul","Aug","Sep","Oct","Nov","Dec")</f>
        <v>Dec</v>
      </c>
    </row>
    <row r="1628" customFormat="false" ht="15" hidden="false" customHeight="false" outlineLevel="0" collapsed="false">
      <c r="A1628" s="4" t="s">
        <v>2026</v>
      </c>
      <c r="B1628" s="17" t="n">
        <v>45993</v>
      </c>
      <c r="C1628" s="4" t="n">
        <v>7</v>
      </c>
      <c r="D1628" s="4" t="s">
        <v>70</v>
      </c>
      <c r="E1628" s="4" t="s">
        <v>65</v>
      </c>
      <c r="F1628" s="4" t="s">
        <v>94</v>
      </c>
      <c r="G1628" s="4" t="n">
        <v>1</v>
      </c>
      <c r="H1628" s="34" t="n">
        <v>150</v>
      </c>
      <c r="I1628" s="18" t="n">
        <v>0.05</v>
      </c>
      <c r="J1628" s="4" t="s">
        <v>81</v>
      </c>
      <c r="K1628" s="4" t="s">
        <v>82</v>
      </c>
      <c r="L1628" s="35" t="n">
        <f aca="false">G1628*H1628</f>
        <v>150</v>
      </c>
      <c r="M1628" s="35" t="n">
        <f aca="false">L1628*I1628</f>
        <v>7.5</v>
      </c>
      <c r="N1628" s="35" t="n">
        <f aca="false">L1628-M1628</f>
        <v>142.5</v>
      </c>
      <c r="O1628" s="4" t="n">
        <f aca="false">MONTH(B1628)</f>
        <v>12</v>
      </c>
      <c r="P1628" s="4" t="str">
        <f aca="false">CHOOSE(WEEKDAY(B1628,2),"Mon","Tue","Wed","Thu","Fri","Sat","Sun")</f>
        <v>Tue</v>
      </c>
      <c r="Q1628" s="4" t="str">
        <f aca="false">IF(WEEKDAY(B1628,2)&gt;5,"Weekend","Weekday")</f>
        <v>Weekday</v>
      </c>
      <c r="R1628" s="4" t="str">
        <f aca="false">IF(C1628&lt;11,"Morning (7-10)",IF(C1628&lt;14,"Lunch (11-13)",IF(C1628&lt;18,"Afternoon (14-17)","Evening (18-20)")))</f>
        <v>Morning (7-10)</v>
      </c>
      <c r="S1628" s="4" t="str">
        <f aca="false">IF(AND(O1628&gt;=3,O1628&lt;=5),"Hot Dry (Mar-May)",IF(AND(O1628&gt;=6,O1628&lt;=11),"Rainy (Jun-Nov)","Cool Dry (Dec-Feb)"))</f>
        <v>Cool Dry (Dec-Feb)</v>
      </c>
      <c r="T1628" s="4" t="str">
        <f aca="false">CHOOSE(O1628,"Jan","Feb","Mar","Apr","May","Jun","Jul","Aug","Sep","Oct","Nov","Dec")</f>
        <v>Dec</v>
      </c>
    </row>
    <row r="1629" customFormat="false" ht="15" hidden="false" customHeight="false" outlineLevel="0" collapsed="false">
      <c r="A1629" s="4" t="s">
        <v>2028</v>
      </c>
      <c r="B1629" s="17" t="n">
        <v>45993</v>
      </c>
      <c r="C1629" s="4" t="n">
        <v>8</v>
      </c>
      <c r="D1629" s="4" t="s">
        <v>73</v>
      </c>
      <c r="E1629" s="4" t="s">
        <v>84</v>
      </c>
      <c r="F1629" s="4" t="s">
        <v>114</v>
      </c>
      <c r="G1629" s="4" t="n">
        <v>3</v>
      </c>
      <c r="H1629" s="34" t="n">
        <v>85</v>
      </c>
      <c r="I1629" s="18" t="n">
        <v>0.2</v>
      </c>
      <c r="J1629" s="4" t="s">
        <v>81</v>
      </c>
      <c r="K1629" s="4" t="s">
        <v>68</v>
      </c>
      <c r="L1629" s="35" t="n">
        <f aca="false">G1629*H1629</f>
        <v>255</v>
      </c>
      <c r="M1629" s="35" t="n">
        <f aca="false">L1629*I1629</f>
        <v>51</v>
      </c>
      <c r="N1629" s="35" t="n">
        <f aca="false">L1629-M1629</f>
        <v>204</v>
      </c>
      <c r="O1629" s="4" t="n">
        <f aca="false">MONTH(B1629)</f>
        <v>12</v>
      </c>
      <c r="P1629" s="4" t="str">
        <f aca="false">CHOOSE(WEEKDAY(B1629,2),"Mon","Tue","Wed","Thu","Fri","Sat","Sun")</f>
        <v>Tue</v>
      </c>
      <c r="Q1629" s="4" t="str">
        <f aca="false">IF(WEEKDAY(B1629,2)&gt;5,"Weekend","Weekday")</f>
        <v>Weekday</v>
      </c>
      <c r="R1629" s="4" t="str">
        <f aca="false">IF(C1629&lt;11,"Morning (7-10)",IF(C1629&lt;14,"Lunch (11-13)",IF(C1629&lt;18,"Afternoon (14-17)","Evening (18-20)")))</f>
        <v>Morning (7-10)</v>
      </c>
      <c r="S1629" s="4" t="str">
        <f aca="false">IF(AND(O1629&gt;=3,O1629&lt;=5),"Hot Dry (Mar-May)",IF(AND(O1629&gt;=6,O1629&lt;=11),"Rainy (Jun-Nov)","Cool Dry (Dec-Feb)"))</f>
        <v>Cool Dry (Dec-Feb)</v>
      </c>
      <c r="T1629" s="4" t="str">
        <f aca="false">CHOOSE(O1629,"Jan","Feb","Mar","Apr","May","Jun","Jul","Aug","Sep","Oct","Nov","Dec")</f>
        <v>Dec</v>
      </c>
    </row>
    <row r="1630" customFormat="false" ht="15" hidden="false" customHeight="false" outlineLevel="0" collapsed="false">
      <c r="A1630" s="4" t="s">
        <v>2029</v>
      </c>
      <c r="B1630" s="17" t="n">
        <v>45993</v>
      </c>
      <c r="C1630" s="4" t="n">
        <v>12</v>
      </c>
      <c r="D1630" s="4" t="s">
        <v>73</v>
      </c>
      <c r="E1630" s="4" t="s">
        <v>99</v>
      </c>
      <c r="F1630" s="4" t="s">
        <v>109</v>
      </c>
      <c r="G1630" s="4" t="n">
        <v>1</v>
      </c>
      <c r="H1630" s="34" t="n">
        <v>130</v>
      </c>
      <c r="I1630" s="18" t="n">
        <v>0.1</v>
      </c>
      <c r="J1630" s="4" t="s">
        <v>67</v>
      </c>
      <c r="K1630" s="4" t="s">
        <v>71</v>
      </c>
      <c r="L1630" s="35" t="n">
        <f aca="false">G1630*H1630</f>
        <v>130</v>
      </c>
      <c r="M1630" s="35" t="n">
        <f aca="false">L1630*I1630</f>
        <v>13</v>
      </c>
      <c r="N1630" s="35" t="n">
        <f aca="false">L1630-M1630</f>
        <v>117</v>
      </c>
      <c r="O1630" s="4" t="n">
        <f aca="false">MONTH(B1630)</f>
        <v>12</v>
      </c>
      <c r="P1630" s="4" t="str">
        <f aca="false">CHOOSE(WEEKDAY(B1630,2),"Mon","Tue","Wed","Thu","Fri","Sat","Sun")</f>
        <v>Tue</v>
      </c>
      <c r="Q1630" s="4" t="str">
        <f aca="false">IF(WEEKDAY(B1630,2)&gt;5,"Weekend","Weekday")</f>
        <v>Weekday</v>
      </c>
      <c r="R1630" s="4" t="str">
        <f aca="false">IF(C1630&lt;11,"Morning (7-10)",IF(C1630&lt;14,"Lunch (11-13)",IF(C1630&lt;18,"Afternoon (14-17)","Evening (18-20)")))</f>
        <v>Lunch (11-13)</v>
      </c>
      <c r="S1630" s="4" t="str">
        <f aca="false">IF(AND(O1630&gt;=3,O1630&lt;=5),"Hot Dry (Mar-May)",IF(AND(O1630&gt;=6,O1630&lt;=11),"Rainy (Jun-Nov)","Cool Dry (Dec-Feb)"))</f>
        <v>Cool Dry (Dec-Feb)</v>
      </c>
      <c r="T1630" s="4" t="str">
        <f aca="false">CHOOSE(O1630,"Jan","Feb","Mar","Apr","May","Jun","Jul","Aug","Sep","Oct","Nov","Dec")</f>
        <v>Dec</v>
      </c>
    </row>
    <row r="1631" customFormat="false" ht="15" hidden="false" customHeight="false" outlineLevel="0" collapsed="false">
      <c r="A1631" s="4" t="s">
        <v>2030</v>
      </c>
      <c r="B1631" s="17" t="n">
        <v>45993</v>
      </c>
      <c r="C1631" s="4" t="n">
        <v>13</v>
      </c>
      <c r="D1631" s="4" t="s">
        <v>70</v>
      </c>
      <c r="E1631" s="4" t="s">
        <v>65</v>
      </c>
      <c r="F1631" s="4" t="s">
        <v>94</v>
      </c>
      <c r="G1631" s="4" t="n">
        <v>2</v>
      </c>
      <c r="H1631" s="34" t="n">
        <v>150</v>
      </c>
      <c r="I1631" s="18" t="n">
        <v>0.05</v>
      </c>
      <c r="J1631" s="4" t="s">
        <v>67</v>
      </c>
      <c r="K1631" s="4" t="s">
        <v>82</v>
      </c>
      <c r="L1631" s="35" t="n">
        <f aca="false">G1631*H1631</f>
        <v>300</v>
      </c>
      <c r="M1631" s="35" t="n">
        <f aca="false">L1631*I1631</f>
        <v>15</v>
      </c>
      <c r="N1631" s="35" t="n">
        <f aca="false">L1631-M1631</f>
        <v>285</v>
      </c>
      <c r="O1631" s="4" t="n">
        <f aca="false">MONTH(B1631)</f>
        <v>12</v>
      </c>
      <c r="P1631" s="4" t="str">
        <f aca="false">CHOOSE(WEEKDAY(B1631,2),"Mon","Tue","Wed","Thu","Fri","Sat","Sun")</f>
        <v>Tue</v>
      </c>
      <c r="Q1631" s="4" t="str">
        <f aca="false">IF(WEEKDAY(B1631,2)&gt;5,"Weekend","Weekday")</f>
        <v>Weekday</v>
      </c>
      <c r="R1631" s="4" t="str">
        <f aca="false">IF(C1631&lt;11,"Morning (7-10)",IF(C1631&lt;14,"Lunch (11-13)",IF(C1631&lt;18,"Afternoon (14-17)","Evening (18-20)")))</f>
        <v>Lunch (11-13)</v>
      </c>
      <c r="S1631" s="4" t="str">
        <f aca="false">IF(AND(O1631&gt;=3,O1631&lt;=5),"Hot Dry (Mar-May)",IF(AND(O1631&gt;=6,O1631&lt;=11),"Rainy (Jun-Nov)","Cool Dry (Dec-Feb)"))</f>
        <v>Cool Dry (Dec-Feb)</v>
      </c>
      <c r="T1631" s="4" t="str">
        <f aca="false">CHOOSE(O1631,"Jan","Feb","Mar","Apr","May","Jun","Jul","Aug","Sep","Oct","Nov","Dec")</f>
        <v>Dec</v>
      </c>
    </row>
    <row r="1632" customFormat="false" ht="15" hidden="false" customHeight="false" outlineLevel="0" collapsed="false">
      <c r="A1632" s="4" t="s">
        <v>2031</v>
      </c>
      <c r="B1632" s="17" t="n">
        <v>45993</v>
      </c>
      <c r="C1632" s="4" t="n">
        <v>15</v>
      </c>
      <c r="D1632" s="4" t="s">
        <v>64</v>
      </c>
      <c r="E1632" s="4" t="s">
        <v>99</v>
      </c>
      <c r="F1632" s="4" t="s">
        <v>102</v>
      </c>
      <c r="G1632" s="4" t="n">
        <v>2</v>
      </c>
      <c r="H1632" s="34" t="n">
        <v>140</v>
      </c>
      <c r="I1632" s="18" t="n">
        <v>0</v>
      </c>
      <c r="J1632" s="4" t="s">
        <v>67</v>
      </c>
      <c r="K1632" s="4" t="s">
        <v>68</v>
      </c>
      <c r="L1632" s="35" t="n">
        <f aca="false">G1632*H1632</f>
        <v>280</v>
      </c>
      <c r="M1632" s="35" t="n">
        <f aca="false">L1632*I1632</f>
        <v>0</v>
      </c>
      <c r="N1632" s="35" t="n">
        <f aca="false">L1632-M1632</f>
        <v>280</v>
      </c>
      <c r="O1632" s="4" t="n">
        <f aca="false">MONTH(B1632)</f>
        <v>12</v>
      </c>
      <c r="P1632" s="4" t="str">
        <f aca="false">CHOOSE(WEEKDAY(B1632,2),"Mon","Tue","Wed","Thu","Fri","Sat","Sun")</f>
        <v>Tue</v>
      </c>
      <c r="Q1632" s="4" t="str">
        <f aca="false">IF(WEEKDAY(B1632,2)&gt;5,"Weekend","Weekday")</f>
        <v>Weekday</v>
      </c>
      <c r="R1632" s="4" t="str">
        <f aca="false">IF(C1632&lt;11,"Morning (7-10)",IF(C1632&lt;14,"Lunch (11-13)",IF(C1632&lt;18,"Afternoon (14-17)","Evening (18-20)")))</f>
        <v>Afternoon (14-17)</v>
      </c>
      <c r="S1632" s="4" t="str">
        <f aca="false">IF(AND(O1632&gt;=3,O1632&lt;=5),"Hot Dry (Mar-May)",IF(AND(O1632&gt;=6,O1632&lt;=11),"Rainy (Jun-Nov)","Cool Dry (Dec-Feb)"))</f>
        <v>Cool Dry (Dec-Feb)</v>
      </c>
      <c r="T1632" s="4" t="str">
        <f aca="false">CHOOSE(O1632,"Jan","Feb","Mar","Apr","May","Jun","Jul","Aug","Sep","Oct","Nov","Dec")</f>
        <v>Dec</v>
      </c>
    </row>
    <row r="1633" customFormat="false" ht="15" hidden="false" customHeight="false" outlineLevel="0" collapsed="false">
      <c r="A1633" s="4" t="s">
        <v>2032</v>
      </c>
      <c r="B1633" s="17" t="n">
        <v>45993</v>
      </c>
      <c r="C1633" s="4" t="n">
        <v>16</v>
      </c>
      <c r="D1633" s="4" t="s">
        <v>73</v>
      </c>
      <c r="E1633" s="4" t="s">
        <v>74</v>
      </c>
      <c r="F1633" s="4" t="s">
        <v>75</v>
      </c>
      <c r="G1633" s="4" t="n">
        <v>1</v>
      </c>
      <c r="H1633" s="34" t="n">
        <v>220</v>
      </c>
      <c r="I1633" s="18" t="n">
        <v>0</v>
      </c>
      <c r="J1633" s="4" t="s">
        <v>67</v>
      </c>
      <c r="K1633" s="4" t="s">
        <v>77</v>
      </c>
      <c r="L1633" s="35" t="n">
        <f aca="false">G1633*H1633</f>
        <v>220</v>
      </c>
      <c r="M1633" s="35" t="n">
        <f aca="false">L1633*I1633</f>
        <v>0</v>
      </c>
      <c r="N1633" s="35" t="n">
        <f aca="false">L1633-M1633</f>
        <v>220</v>
      </c>
      <c r="O1633" s="4" t="n">
        <f aca="false">MONTH(B1633)</f>
        <v>12</v>
      </c>
      <c r="P1633" s="4" t="str">
        <f aca="false">CHOOSE(WEEKDAY(B1633,2),"Mon","Tue","Wed","Thu","Fri","Sat","Sun")</f>
        <v>Tue</v>
      </c>
      <c r="Q1633" s="4" t="str">
        <f aca="false">IF(WEEKDAY(B1633,2)&gt;5,"Weekend","Weekday")</f>
        <v>Weekday</v>
      </c>
      <c r="R1633" s="4" t="str">
        <f aca="false">IF(C1633&lt;11,"Morning (7-10)",IF(C1633&lt;14,"Lunch (11-13)",IF(C1633&lt;18,"Afternoon (14-17)","Evening (18-20)")))</f>
        <v>Afternoon (14-17)</v>
      </c>
      <c r="S1633" s="4" t="str">
        <f aca="false">IF(AND(O1633&gt;=3,O1633&lt;=5),"Hot Dry (Mar-May)",IF(AND(O1633&gt;=6,O1633&lt;=11),"Rainy (Jun-Nov)","Cool Dry (Dec-Feb)"))</f>
        <v>Cool Dry (Dec-Feb)</v>
      </c>
      <c r="T1633" s="4" t="str">
        <f aca="false">CHOOSE(O1633,"Jan","Feb","Mar","Apr","May","Jun","Jul","Aug","Sep","Oct","Nov","Dec")</f>
        <v>Dec</v>
      </c>
    </row>
    <row r="1634" customFormat="false" ht="15" hidden="false" customHeight="false" outlineLevel="0" collapsed="false">
      <c r="A1634" s="4" t="s">
        <v>2033</v>
      </c>
      <c r="B1634" s="17" t="n">
        <v>45993</v>
      </c>
      <c r="C1634" s="4" t="n">
        <v>17</v>
      </c>
      <c r="D1634" s="4" t="s">
        <v>73</v>
      </c>
      <c r="E1634" s="4" t="s">
        <v>74</v>
      </c>
      <c r="F1634" s="4" t="s">
        <v>91</v>
      </c>
      <c r="G1634" s="4" t="n">
        <v>4</v>
      </c>
      <c r="H1634" s="34" t="n">
        <v>200</v>
      </c>
      <c r="I1634" s="18" t="n">
        <v>0.1</v>
      </c>
      <c r="J1634" s="4" t="s">
        <v>76</v>
      </c>
      <c r="K1634" s="4" t="s">
        <v>82</v>
      </c>
      <c r="L1634" s="35" t="n">
        <f aca="false">G1634*H1634</f>
        <v>800</v>
      </c>
      <c r="M1634" s="35" t="n">
        <f aca="false">L1634*I1634</f>
        <v>80</v>
      </c>
      <c r="N1634" s="35" t="n">
        <f aca="false">L1634-M1634</f>
        <v>720</v>
      </c>
      <c r="O1634" s="4" t="n">
        <f aca="false">MONTH(B1634)</f>
        <v>12</v>
      </c>
      <c r="P1634" s="4" t="str">
        <f aca="false">CHOOSE(WEEKDAY(B1634,2),"Mon","Tue","Wed","Thu","Fri","Sat","Sun")</f>
        <v>Tue</v>
      </c>
      <c r="Q1634" s="4" t="str">
        <f aca="false">IF(WEEKDAY(B1634,2)&gt;5,"Weekend","Weekday")</f>
        <v>Weekday</v>
      </c>
      <c r="R1634" s="4" t="str">
        <f aca="false">IF(C1634&lt;11,"Morning (7-10)",IF(C1634&lt;14,"Lunch (11-13)",IF(C1634&lt;18,"Afternoon (14-17)","Evening (18-20)")))</f>
        <v>Afternoon (14-17)</v>
      </c>
      <c r="S1634" s="4" t="str">
        <f aca="false">IF(AND(O1634&gt;=3,O1634&lt;=5),"Hot Dry (Mar-May)",IF(AND(O1634&gt;=6,O1634&lt;=11),"Rainy (Jun-Nov)","Cool Dry (Dec-Feb)"))</f>
        <v>Cool Dry (Dec-Feb)</v>
      </c>
      <c r="T1634" s="4" t="str">
        <f aca="false">CHOOSE(O1634,"Jan","Feb","Mar","Apr","May","Jun","Jul","Aug","Sep","Oct","Nov","Dec")</f>
        <v>Dec</v>
      </c>
    </row>
    <row r="1635" customFormat="false" ht="15" hidden="false" customHeight="false" outlineLevel="0" collapsed="false">
      <c r="A1635" s="4" t="s">
        <v>2034</v>
      </c>
      <c r="B1635" s="17" t="n">
        <v>45994</v>
      </c>
      <c r="C1635" s="4" t="n">
        <v>7</v>
      </c>
      <c r="D1635" s="4" t="s">
        <v>73</v>
      </c>
      <c r="E1635" s="4" t="s">
        <v>65</v>
      </c>
      <c r="F1635" s="4" t="s">
        <v>121</v>
      </c>
      <c r="G1635" s="4" t="n">
        <v>1</v>
      </c>
      <c r="H1635" s="34" t="n">
        <v>170</v>
      </c>
      <c r="I1635" s="18" t="n">
        <v>0</v>
      </c>
      <c r="J1635" s="4" t="s">
        <v>81</v>
      </c>
      <c r="K1635" s="4" t="s">
        <v>68</v>
      </c>
      <c r="L1635" s="35" t="n">
        <f aca="false">G1635*H1635</f>
        <v>170</v>
      </c>
      <c r="M1635" s="35" t="n">
        <f aca="false">L1635*I1635</f>
        <v>0</v>
      </c>
      <c r="N1635" s="35" t="n">
        <f aca="false">L1635-M1635</f>
        <v>170</v>
      </c>
      <c r="O1635" s="4" t="n">
        <f aca="false">MONTH(B1635)</f>
        <v>12</v>
      </c>
      <c r="P1635" s="4" t="str">
        <f aca="false">CHOOSE(WEEKDAY(B1635,2),"Mon","Tue","Wed","Thu","Fri","Sat","Sun")</f>
        <v>Wed</v>
      </c>
      <c r="Q1635" s="4" t="str">
        <f aca="false">IF(WEEKDAY(B1635,2)&gt;5,"Weekend","Weekday")</f>
        <v>Weekday</v>
      </c>
      <c r="R1635" s="4" t="str">
        <f aca="false">IF(C1635&lt;11,"Morning (7-10)",IF(C1635&lt;14,"Lunch (11-13)",IF(C1635&lt;18,"Afternoon (14-17)","Evening (18-20)")))</f>
        <v>Morning (7-10)</v>
      </c>
      <c r="S1635" s="4" t="str">
        <f aca="false">IF(AND(O1635&gt;=3,O1635&lt;=5),"Hot Dry (Mar-May)",IF(AND(O1635&gt;=6,O1635&lt;=11),"Rainy (Jun-Nov)","Cool Dry (Dec-Feb)"))</f>
        <v>Cool Dry (Dec-Feb)</v>
      </c>
      <c r="T1635" s="4" t="str">
        <f aca="false">CHOOSE(O1635,"Jan","Feb","Mar","Apr","May","Jun","Jul","Aug","Sep","Oct","Nov","Dec")</f>
        <v>Dec</v>
      </c>
    </row>
    <row r="1636" customFormat="false" ht="15" hidden="false" customHeight="false" outlineLevel="0" collapsed="false">
      <c r="A1636" s="4" t="s">
        <v>2035</v>
      </c>
      <c r="B1636" s="17" t="n">
        <v>45994</v>
      </c>
      <c r="C1636" s="4" t="n">
        <v>7</v>
      </c>
      <c r="D1636" s="4" t="s">
        <v>64</v>
      </c>
      <c r="E1636" s="4" t="s">
        <v>99</v>
      </c>
      <c r="F1636" s="4" t="s">
        <v>102</v>
      </c>
      <c r="G1636" s="4" t="n">
        <v>2</v>
      </c>
      <c r="H1636" s="34" t="n">
        <v>140</v>
      </c>
      <c r="I1636" s="18" t="n">
        <v>0</v>
      </c>
      <c r="J1636" s="4" t="s">
        <v>67</v>
      </c>
      <c r="K1636" s="4" t="s">
        <v>77</v>
      </c>
      <c r="L1636" s="35" t="n">
        <f aca="false">G1636*H1636</f>
        <v>280</v>
      </c>
      <c r="M1636" s="35" t="n">
        <f aca="false">L1636*I1636</f>
        <v>0</v>
      </c>
      <c r="N1636" s="35" t="n">
        <f aca="false">L1636-M1636</f>
        <v>280</v>
      </c>
      <c r="O1636" s="4" t="n">
        <f aca="false">MONTH(B1636)</f>
        <v>12</v>
      </c>
      <c r="P1636" s="4" t="str">
        <f aca="false">CHOOSE(WEEKDAY(B1636,2),"Mon","Tue","Wed","Thu","Fri","Sat","Sun")</f>
        <v>Wed</v>
      </c>
      <c r="Q1636" s="4" t="str">
        <f aca="false">IF(WEEKDAY(B1636,2)&gt;5,"Weekend","Weekday")</f>
        <v>Weekday</v>
      </c>
      <c r="R1636" s="4" t="str">
        <f aca="false">IF(C1636&lt;11,"Morning (7-10)",IF(C1636&lt;14,"Lunch (11-13)",IF(C1636&lt;18,"Afternoon (14-17)","Evening (18-20)")))</f>
        <v>Morning (7-10)</v>
      </c>
      <c r="S1636" s="4" t="str">
        <f aca="false">IF(AND(O1636&gt;=3,O1636&lt;=5),"Hot Dry (Mar-May)",IF(AND(O1636&gt;=6,O1636&lt;=11),"Rainy (Jun-Nov)","Cool Dry (Dec-Feb)"))</f>
        <v>Cool Dry (Dec-Feb)</v>
      </c>
      <c r="T1636" s="4" t="str">
        <f aca="false">CHOOSE(O1636,"Jan","Feb","Mar","Apr","May","Jun","Jul","Aug","Sep","Oct","Nov","Dec")</f>
        <v>Dec</v>
      </c>
    </row>
    <row r="1637" customFormat="false" ht="15" hidden="false" customHeight="false" outlineLevel="0" collapsed="false">
      <c r="A1637" s="4" t="s">
        <v>2036</v>
      </c>
      <c r="B1637" s="17" t="n">
        <v>45994</v>
      </c>
      <c r="C1637" s="4" t="n">
        <v>9</v>
      </c>
      <c r="D1637" s="4" t="s">
        <v>98</v>
      </c>
      <c r="E1637" s="4" t="s">
        <v>99</v>
      </c>
      <c r="F1637" s="4" t="s">
        <v>102</v>
      </c>
      <c r="G1637" s="4" t="n">
        <v>2</v>
      </c>
      <c r="H1637" s="34" t="n">
        <v>140</v>
      </c>
      <c r="I1637" s="18" t="n">
        <v>0.1</v>
      </c>
      <c r="J1637" s="4" t="s">
        <v>81</v>
      </c>
      <c r="K1637" s="4" t="s">
        <v>71</v>
      </c>
      <c r="L1637" s="35" t="n">
        <f aca="false">G1637*H1637</f>
        <v>280</v>
      </c>
      <c r="M1637" s="35" t="n">
        <f aca="false">L1637*I1637</f>
        <v>28</v>
      </c>
      <c r="N1637" s="35" t="n">
        <f aca="false">L1637-M1637</f>
        <v>252</v>
      </c>
      <c r="O1637" s="4" t="n">
        <f aca="false">MONTH(B1637)</f>
        <v>12</v>
      </c>
      <c r="P1637" s="4" t="str">
        <f aca="false">CHOOSE(WEEKDAY(B1637,2),"Mon","Tue","Wed","Thu","Fri","Sat","Sun")</f>
        <v>Wed</v>
      </c>
      <c r="Q1637" s="4" t="str">
        <f aca="false">IF(WEEKDAY(B1637,2)&gt;5,"Weekend","Weekday")</f>
        <v>Weekday</v>
      </c>
      <c r="R1637" s="4" t="str">
        <f aca="false">IF(C1637&lt;11,"Morning (7-10)",IF(C1637&lt;14,"Lunch (11-13)",IF(C1637&lt;18,"Afternoon (14-17)","Evening (18-20)")))</f>
        <v>Morning (7-10)</v>
      </c>
      <c r="S1637" s="4" t="str">
        <f aca="false">IF(AND(O1637&gt;=3,O1637&lt;=5),"Hot Dry (Mar-May)",IF(AND(O1637&gt;=6,O1637&lt;=11),"Rainy (Jun-Nov)","Cool Dry (Dec-Feb)"))</f>
        <v>Cool Dry (Dec-Feb)</v>
      </c>
      <c r="T1637" s="4" t="str">
        <f aca="false">CHOOSE(O1637,"Jan","Feb","Mar","Apr","May","Jun","Jul","Aug","Sep","Oct","Nov","Dec")</f>
        <v>Dec</v>
      </c>
    </row>
    <row r="1638" customFormat="false" ht="15" hidden="false" customHeight="false" outlineLevel="0" collapsed="false">
      <c r="A1638" s="4" t="s">
        <v>2037</v>
      </c>
      <c r="B1638" s="17" t="n">
        <v>45994</v>
      </c>
      <c r="C1638" s="4" t="n">
        <v>12</v>
      </c>
      <c r="D1638" s="4" t="s">
        <v>64</v>
      </c>
      <c r="E1638" s="4" t="s">
        <v>74</v>
      </c>
      <c r="F1638" s="4" t="s">
        <v>75</v>
      </c>
      <c r="G1638" s="4" t="n">
        <v>1</v>
      </c>
      <c r="H1638" s="34" t="n">
        <v>220</v>
      </c>
      <c r="I1638" s="18" t="n">
        <v>0</v>
      </c>
      <c r="J1638" s="4" t="s">
        <v>76</v>
      </c>
      <c r="K1638" s="4" t="s">
        <v>68</v>
      </c>
      <c r="L1638" s="35" t="n">
        <f aca="false">G1638*H1638</f>
        <v>220</v>
      </c>
      <c r="M1638" s="35" t="n">
        <f aca="false">L1638*I1638</f>
        <v>0</v>
      </c>
      <c r="N1638" s="35" t="n">
        <f aca="false">L1638-M1638</f>
        <v>220</v>
      </c>
      <c r="O1638" s="4" t="n">
        <f aca="false">MONTH(B1638)</f>
        <v>12</v>
      </c>
      <c r="P1638" s="4" t="str">
        <f aca="false">CHOOSE(WEEKDAY(B1638,2),"Mon","Tue","Wed","Thu","Fri","Sat","Sun")</f>
        <v>Wed</v>
      </c>
      <c r="Q1638" s="4" t="str">
        <f aca="false">IF(WEEKDAY(B1638,2)&gt;5,"Weekend","Weekday")</f>
        <v>Weekday</v>
      </c>
      <c r="R1638" s="4" t="str">
        <f aca="false">IF(C1638&lt;11,"Morning (7-10)",IF(C1638&lt;14,"Lunch (11-13)",IF(C1638&lt;18,"Afternoon (14-17)","Evening (18-20)")))</f>
        <v>Lunch (11-13)</v>
      </c>
      <c r="S1638" s="4" t="str">
        <f aca="false">IF(AND(O1638&gt;=3,O1638&lt;=5),"Hot Dry (Mar-May)",IF(AND(O1638&gt;=6,O1638&lt;=11),"Rainy (Jun-Nov)","Cool Dry (Dec-Feb)"))</f>
        <v>Cool Dry (Dec-Feb)</v>
      </c>
      <c r="T1638" s="4" t="str">
        <f aca="false">CHOOSE(O1638,"Jan","Feb","Mar","Apr","May","Jun","Jul","Aug","Sep","Oct","Nov","Dec")</f>
        <v>Dec</v>
      </c>
    </row>
    <row r="1639" customFormat="false" ht="15" hidden="false" customHeight="false" outlineLevel="0" collapsed="false">
      <c r="A1639" s="4" t="s">
        <v>2038</v>
      </c>
      <c r="B1639" s="17" t="n">
        <v>45994</v>
      </c>
      <c r="C1639" s="4" t="n">
        <v>12</v>
      </c>
      <c r="D1639" s="4" t="s">
        <v>70</v>
      </c>
      <c r="E1639" s="4" t="s">
        <v>99</v>
      </c>
      <c r="F1639" s="4" t="s">
        <v>133</v>
      </c>
      <c r="G1639" s="4" t="n">
        <v>2</v>
      </c>
      <c r="H1639" s="34" t="n">
        <v>90</v>
      </c>
      <c r="I1639" s="18" t="n">
        <v>0</v>
      </c>
      <c r="J1639" s="4" t="s">
        <v>76</v>
      </c>
      <c r="K1639" s="4" t="s">
        <v>77</v>
      </c>
      <c r="L1639" s="35" t="n">
        <f aca="false">G1639*H1639</f>
        <v>180</v>
      </c>
      <c r="M1639" s="35" t="n">
        <f aca="false">L1639*I1639</f>
        <v>0</v>
      </c>
      <c r="N1639" s="35" t="n">
        <f aca="false">L1639-M1639</f>
        <v>180</v>
      </c>
      <c r="O1639" s="4" t="n">
        <f aca="false">MONTH(B1639)</f>
        <v>12</v>
      </c>
      <c r="P1639" s="4" t="str">
        <f aca="false">CHOOSE(WEEKDAY(B1639,2),"Mon","Tue","Wed","Thu","Fri","Sat","Sun")</f>
        <v>Wed</v>
      </c>
      <c r="Q1639" s="4" t="str">
        <f aca="false">IF(WEEKDAY(B1639,2)&gt;5,"Weekend","Weekday")</f>
        <v>Weekday</v>
      </c>
      <c r="R1639" s="4" t="str">
        <f aca="false">IF(C1639&lt;11,"Morning (7-10)",IF(C1639&lt;14,"Lunch (11-13)",IF(C1639&lt;18,"Afternoon (14-17)","Evening (18-20)")))</f>
        <v>Lunch (11-13)</v>
      </c>
      <c r="S1639" s="4" t="str">
        <f aca="false">IF(AND(O1639&gt;=3,O1639&lt;=5),"Hot Dry (Mar-May)",IF(AND(O1639&gt;=6,O1639&lt;=11),"Rainy (Jun-Nov)","Cool Dry (Dec-Feb)"))</f>
        <v>Cool Dry (Dec-Feb)</v>
      </c>
      <c r="T1639" s="4" t="str">
        <f aca="false">CHOOSE(O1639,"Jan","Feb","Mar","Apr","May","Jun","Jul","Aug","Sep","Oct","Nov","Dec")</f>
        <v>Dec</v>
      </c>
    </row>
    <row r="1640" customFormat="false" ht="15" hidden="false" customHeight="false" outlineLevel="0" collapsed="false">
      <c r="A1640" s="4" t="s">
        <v>2039</v>
      </c>
      <c r="B1640" s="17" t="n">
        <v>45995</v>
      </c>
      <c r="C1640" s="4" t="n">
        <v>8</v>
      </c>
      <c r="D1640" s="4" t="s">
        <v>64</v>
      </c>
      <c r="E1640" s="4" t="s">
        <v>99</v>
      </c>
      <c r="F1640" s="4" t="s">
        <v>133</v>
      </c>
      <c r="G1640" s="4" t="n">
        <v>4</v>
      </c>
      <c r="H1640" s="34" t="n">
        <v>90</v>
      </c>
      <c r="I1640" s="18" t="n">
        <v>0.05</v>
      </c>
      <c r="J1640" s="4" t="s">
        <v>81</v>
      </c>
      <c r="K1640" s="4" t="s">
        <v>82</v>
      </c>
      <c r="L1640" s="35" t="n">
        <f aca="false">G1640*H1640</f>
        <v>360</v>
      </c>
      <c r="M1640" s="35" t="n">
        <f aca="false">L1640*I1640</f>
        <v>18</v>
      </c>
      <c r="N1640" s="35" t="n">
        <f aca="false">L1640-M1640</f>
        <v>342</v>
      </c>
      <c r="O1640" s="4" t="n">
        <f aca="false">MONTH(B1640)</f>
        <v>12</v>
      </c>
      <c r="P1640" s="4" t="str">
        <f aca="false">CHOOSE(WEEKDAY(B1640,2),"Mon","Tue","Wed","Thu","Fri","Sat","Sun")</f>
        <v>Thu</v>
      </c>
      <c r="Q1640" s="4" t="str">
        <f aca="false">IF(WEEKDAY(B1640,2)&gt;5,"Weekend","Weekday")</f>
        <v>Weekday</v>
      </c>
      <c r="R1640" s="4" t="str">
        <f aca="false">IF(C1640&lt;11,"Morning (7-10)",IF(C1640&lt;14,"Lunch (11-13)",IF(C1640&lt;18,"Afternoon (14-17)","Evening (18-20)")))</f>
        <v>Morning (7-10)</v>
      </c>
      <c r="S1640" s="4" t="str">
        <f aca="false">IF(AND(O1640&gt;=3,O1640&lt;=5),"Hot Dry (Mar-May)",IF(AND(O1640&gt;=6,O1640&lt;=11),"Rainy (Jun-Nov)","Cool Dry (Dec-Feb)"))</f>
        <v>Cool Dry (Dec-Feb)</v>
      </c>
      <c r="T1640" s="4" t="str">
        <f aca="false">CHOOSE(O1640,"Jan","Feb","Mar","Apr","May","Jun","Jul","Aug","Sep","Oct","Nov","Dec")</f>
        <v>Dec</v>
      </c>
    </row>
    <row r="1641" customFormat="false" ht="15" hidden="false" customHeight="false" outlineLevel="0" collapsed="false">
      <c r="A1641" s="4" t="s">
        <v>2040</v>
      </c>
      <c r="B1641" s="17" t="n">
        <v>45995</v>
      </c>
      <c r="C1641" s="4" t="n">
        <v>8</v>
      </c>
      <c r="D1641" s="4" t="s">
        <v>70</v>
      </c>
      <c r="E1641" s="4" t="s">
        <v>79</v>
      </c>
      <c r="F1641" s="4" t="s">
        <v>148</v>
      </c>
      <c r="G1641" s="4" t="n">
        <v>4</v>
      </c>
      <c r="H1641" s="34" t="n">
        <v>120</v>
      </c>
      <c r="I1641" s="18" t="n">
        <v>0</v>
      </c>
      <c r="J1641" s="4" t="s">
        <v>76</v>
      </c>
      <c r="K1641" s="4" t="s">
        <v>68</v>
      </c>
      <c r="L1641" s="35" t="n">
        <f aca="false">G1641*H1641</f>
        <v>480</v>
      </c>
      <c r="M1641" s="35" t="n">
        <f aca="false">L1641*I1641</f>
        <v>0</v>
      </c>
      <c r="N1641" s="35" t="n">
        <f aca="false">L1641-M1641</f>
        <v>480</v>
      </c>
      <c r="O1641" s="4" t="n">
        <f aca="false">MONTH(B1641)</f>
        <v>12</v>
      </c>
      <c r="P1641" s="4" t="str">
        <f aca="false">CHOOSE(WEEKDAY(B1641,2),"Mon","Tue","Wed","Thu","Fri","Sat","Sun")</f>
        <v>Thu</v>
      </c>
      <c r="Q1641" s="4" t="str">
        <f aca="false">IF(WEEKDAY(B1641,2)&gt;5,"Weekend","Weekday")</f>
        <v>Weekday</v>
      </c>
      <c r="R1641" s="4" t="str">
        <f aca="false">IF(C1641&lt;11,"Morning (7-10)",IF(C1641&lt;14,"Lunch (11-13)",IF(C1641&lt;18,"Afternoon (14-17)","Evening (18-20)")))</f>
        <v>Morning (7-10)</v>
      </c>
      <c r="S1641" s="4" t="str">
        <f aca="false">IF(AND(O1641&gt;=3,O1641&lt;=5),"Hot Dry (Mar-May)",IF(AND(O1641&gt;=6,O1641&lt;=11),"Rainy (Jun-Nov)","Cool Dry (Dec-Feb)"))</f>
        <v>Cool Dry (Dec-Feb)</v>
      </c>
      <c r="T1641" s="4" t="str">
        <f aca="false">CHOOSE(O1641,"Jan","Feb","Mar","Apr","May","Jun","Jul","Aug","Sep","Oct","Nov","Dec")</f>
        <v>Dec</v>
      </c>
    </row>
    <row r="1642" customFormat="false" ht="15" hidden="false" customHeight="false" outlineLevel="0" collapsed="false">
      <c r="A1642" s="4" t="s">
        <v>2041</v>
      </c>
      <c r="B1642" s="17" t="n">
        <v>45995</v>
      </c>
      <c r="C1642" s="4" t="n">
        <v>9</v>
      </c>
      <c r="D1642" s="4" t="s">
        <v>64</v>
      </c>
      <c r="E1642" s="4" t="s">
        <v>65</v>
      </c>
      <c r="F1642" s="4" t="s">
        <v>94</v>
      </c>
      <c r="G1642" s="4" t="n">
        <v>2</v>
      </c>
      <c r="H1642" s="34" t="n">
        <v>150</v>
      </c>
      <c r="I1642" s="18" t="n">
        <v>0.05</v>
      </c>
      <c r="J1642" s="4" t="s">
        <v>81</v>
      </c>
      <c r="K1642" s="4" t="s">
        <v>82</v>
      </c>
      <c r="L1642" s="35" t="n">
        <f aca="false">G1642*H1642</f>
        <v>300</v>
      </c>
      <c r="M1642" s="35" t="n">
        <f aca="false">L1642*I1642</f>
        <v>15</v>
      </c>
      <c r="N1642" s="35" t="n">
        <f aca="false">L1642-M1642</f>
        <v>285</v>
      </c>
      <c r="O1642" s="4" t="n">
        <f aca="false">MONTH(B1642)</f>
        <v>12</v>
      </c>
      <c r="P1642" s="4" t="str">
        <f aca="false">CHOOSE(WEEKDAY(B1642,2),"Mon","Tue","Wed","Thu","Fri","Sat","Sun")</f>
        <v>Thu</v>
      </c>
      <c r="Q1642" s="4" t="str">
        <f aca="false">IF(WEEKDAY(B1642,2)&gt;5,"Weekend","Weekday")</f>
        <v>Weekday</v>
      </c>
      <c r="R1642" s="4" t="str">
        <f aca="false">IF(C1642&lt;11,"Morning (7-10)",IF(C1642&lt;14,"Lunch (11-13)",IF(C1642&lt;18,"Afternoon (14-17)","Evening (18-20)")))</f>
        <v>Morning (7-10)</v>
      </c>
      <c r="S1642" s="4" t="str">
        <f aca="false">IF(AND(O1642&gt;=3,O1642&lt;=5),"Hot Dry (Mar-May)",IF(AND(O1642&gt;=6,O1642&lt;=11),"Rainy (Jun-Nov)","Cool Dry (Dec-Feb)"))</f>
        <v>Cool Dry (Dec-Feb)</v>
      </c>
      <c r="T1642" s="4" t="str">
        <f aca="false">CHOOSE(O1642,"Jan","Feb","Mar","Apr","May","Jun","Jul","Aug","Sep","Oct","Nov","Dec")</f>
        <v>Dec</v>
      </c>
    </row>
    <row r="1643" customFormat="false" ht="15" hidden="false" customHeight="false" outlineLevel="0" collapsed="false">
      <c r="A1643" s="4" t="s">
        <v>2042</v>
      </c>
      <c r="B1643" s="17" t="n">
        <v>45995</v>
      </c>
      <c r="C1643" s="4" t="n">
        <v>12</v>
      </c>
      <c r="D1643" s="4" t="s">
        <v>98</v>
      </c>
      <c r="E1643" s="4" t="s">
        <v>74</v>
      </c>
      <c r="F1643" s="4" t="s">
        <v>91</v>
      </c>
      <c r="G1643" s="4" t="n">
        <v>1</v>
      </c>
      <c r="H1643" s="34" t="n">
        <v>200</v>
      </c>
      <c r="I1643" s="18" t="n">
        <v>0.1</v>
      </c>
      <c r="J1643" s="4" t="s">
        <v>67</v>
      </c>
      <c r="K1643" s="4" t="s">
        <v>71</v>
      </c>
      <c r="L1643" s="35" t="n">
        <f aca="false">G1643*H1643</f>
        <v>200</v>
      </c>
      <c r="M1643" s="35" t="n">
        <f aca="false">L1643*I1643</f>
        <v>20</v>
      </c>
      <c r="N1643" s="35" t="n">
        <f aca="false">L1643-M1643</f>
        <v>180</v>
      </c>
      <c r="O1643" s="4" t="n">
        <f aca="false">MONTH(B1643)</f>
        <v>12</v>
      </c>
      <c r="P1643" s="4" t="str">
        <f aca="false">CHOOSE(WEEKDAY(B1643,2),"Mon","Tue","Wed","Thu","Fri","Sat","Sun")</f>
        <v>Thu</v>
      </c>
      <c r="Q1643" s="4" t="str">
        <f aca="false">IF(WEEKDAY(B1643,2)&gt;5,"Weekend","Weekday")</f>
        <v>Weekday</v>
      </c>
      <c r="R1643" s="4" t="str">
        <f aca="false">IF(C1643&lt;11,"Morning (7-10)",IF(C1643&lt;14,"Lunch (11-13)",IF(C1643&lt;18,"Afternoon (14-17)","Evening (18-20)")))</f>
        <v>Lunch (11-13)</v>
      </c>
      <c r="S1643" s="4" t="str">
        <f aca="false">IF(AND(O1643&gt;=3,O1643&lt;=5),"Hot Dry (Mar-May)",IF(AND(O1643&gt;=6,O1643&lt;=11),"Rainy (Jun-Nov)","Cool Dry (Dec-Feb)"))</f>
        <v>Cool Dry (Dec-Feb)</v>
      </c>
      <c r="T1643" s="4" t="str">
        <f aca="false">CHOOSE(O1643,"Jan","Feb","Mar","Apr","May","Jun","Jul","Aug","Sep","Oct","Nov","Dec")</f>
        <v>Dec</v>
      </c>
    </row>
    <row r="1644" customFormat="false" ht="15" hidden="false" customHeight="false" outlineLevel="0" collapsed="false">
      <c r="A1644" s="4" t="s">
        <v>2043</v>
      </c>
      <c r="B1644" s="17" t="n">
        <v>45995</v>
      </c>
      <c r="C1644" s="4" t="n">
        <v>17</v>
      </c>
      <c r="D1644" s="4" t="s">
        <v>98</v>
      </c>
      <c r="E1644" s="4" t="s">
        <v>99</v>
      </c>
      <c r="F1644" s="4" t="s">
        <v>133</v>
      </c>
      <c r="G1644" s="4" t="n">
        <v>1</v>
      </c>
      <c r="H1644" s="34" t="n">
        <v>90</v>
      </c>
      <c r="I1644" s="18" t="n">
        <v>0.1</v>
      </c>
      <c r="J1644" s="4" t="s">
        <v>112</v>
      </c>
      <c r="K1644" s="4" t="s">
        <v>71</v>
      </c>
      <c r="L1644" s="35" t="n">
        <f aca="false">G1644*H1644</f>
        <v>90</v>
      </c>
      <c r="M1644" s="35" t="n">
        <f aca="false">L1644*I1644</f>
        <v>9</v>
      </c>
      <c r="N1644" s="35" t="n">
        <f aca="false">L1644-M1644</f>
        <v>81</v>
      </c>
      <c r="O1644" s="4" t="n">
        <f aca="false">MONTH(B1644)</f>
        <v>12</v>
      </c>
      <c r="P1644" s="4" t="str">
        <f aca="false">CHOOSE(WEEKDAY(B1644,2),"Mon","Tue","Wed","Thu","Fri","Sat","Sun")</f>
        <v>Thu</v>
      </c>
      <c r="Q1644" s="4" t="str">
        <f aca="false">IF(WEEKDAY(B1644,2)&gt;5,"Weekend","Weekday")</f>
        <v>Weekday</v>
      </c>
      <c r="R1644" s="4" t="str">
        <f aca="false">IF(C1644&lt;11,"Morning (7-10)",IF(C1644&lt;14,"Lunch (11-13)",IF(C1644&lt;18,"Afternoon (14-17)","Evening (18-20)")))</f>
        <v>Afternoon (14-17)</v>
      </c>
      <c r="S1644" s="4" t="str">
        <f aca="false">IF(AND(O1644&gt;=3,O1644&lt;=5),"Hot Dry (Mar-May)",IF(AND(O1644&gt;=6,O1644&lt;=11),"Rainy (Jun-Nov)","Cool Dry (Dec-Feb)"))</f>
        <v>Cool Dry (Dec-Feb)</v>
      </c>
      <c r="T1644" s="4" t="str">
        <f aca="false">CHOOSE(O1644,"Jan","Feb","Mar","Apr","May","Jun","Jul","Aug","Sep","Oct","Nov","Dec")</f>
        <v>Dec</v>
      </c>
    </row>
    <row r="1645" customFormat="false" ht="15" hidden="false" customHeight="false" outlineLevel="0" collapsed="false">
      <c r="A1645" s="4" t="s">
        <v>2045</v>
      </c>
      <c r="B1645" s="17" t="n">
        <v>45996</v>
      </c>
      <c r="C1645" s="4" t="n">
        <v>8</v>
      </c>
      <c r="D1645" s="4" t="s">
        <v>70</v>
      </c>
      <c r="E1645" s="4" t="s">
        <v>65</v>
      </c>
      <c r="F1645" s="4" t="s">
        <v>94</v>
      </c>
      <c r="G1645" s="4" t="n">
        <v>2</v>
      </c>
      <c r="H1645" s="34" t="n">
        <v>150</v>
      </c>
      <c r="I1645" s="18" t="n">
        <v>0</v>
      </c>
      <c r="J1645" s="4" t="s">
        <v>81</v>
      </c>
      <c r="K1645" s="4" t="s">
        <v>71</v>
      </c>
      <c r="L1645" s="35" t="n">
        <f aca="false">G1645*H1645</f>
        <v>300</v>
      </c>
      <c r="M1645" s="35" t="n">
        <f aca="false">L1645*I1645</f>
        <v>0</v>
      </c>
      <c r="N1645" s="35" t="n">
        <f aca="false">L1645-M1645</f>
        <v>300</v>
      </c>
      <c r="O1645" s="4" t="n">
        <f aca="false">MONTH(B1645)</f>
        <v>12</v>
      </c>
      <c r="P1645" s="4" t="str">
        <f aca="false">CHOOSE(WEEKDAY(B1645,2),"Mon","Tue","Wed","Thu","Fri","Sat","Sun")</f>
        <v>Fri</v>
      </c>
      <c r="Q1645" s="4" t="str">
        <f aca="false">IF(WEEKDAY(B1645,2)&gt;5,"Weekend","Weekday")</f>
        <v>Weekday</v>
      </c>
      <c r="R1645" s="4" t="str">
        <f aca="false">IF(C1645&lt;11,"Morning (7-10)",IF(C1645&lt;14,"Lunch (11-13)",IF(C1645&lt;18,"Afternoon (14-17)","Evening (18-20)")))</f>
        <v>Morning (7-10)</v>
      </c>
      <c r="S1645" s="4" t="str">
        <f aca="false">IF(AND(O1645&gt;=3,O1645&lt;=5),"Hot Dry (Mar-May)",IF(AND(O1645&gt;=6,O1645&lt;=11),"Rainy (Jun-Nov)","Cool Dry (Dec-Feb)"))</f>
        <v>Cool Dry (Dec-Feb)</v>
      </c>
      <c r="T1645" s="4" t="str">
        <f aca="false">CHOOSE(O1645,"Jan","Feb","Mar","Apr","May","Jun","Jul","Aug","Sep","Oct","Nov","Dec")</f>
        <v>Dec</v>
      </c>
    </row>
    <row r="1646" customFormat="false" ht="15" hidden="false" customHeight="false" outlineLevel="0" collapsed="false">
      <c r="A1646" s="4" t="s">
        <v>2046</v>
      </c>
      <c r="B1646" s="17" t="n">
        <v>45996</v>
      </c>
      <c r="C1646" s="4" t="n">
        <v>8</v>
      </c>
      <c r="D1646" s="4" t="s">
        <v>64</v>
      </c>
      <c r="E1646" s="4" t="s">
        <v>99</v>
      </c>
      <c r="F1646" s="4" t="s">
        <v>109</v>
      </c>
      <c r="G1646" s="4" t="n">
        <v>1</v>
      </c>
      <c r="H1646" s="34" t="n">
        <v>130</v>
      </c>
      <c r="I1646" s="18" t="n">
        <v>0.1</v>
      </c>
      <c r="J1646" s="4" t="s">
        <v>67</v>
      </c>
      <c r="K1646" s="4" t="s">
        <v>71</v>
      </c>
      <c r="L1646" s="35" t="n">
        <f aca="false">G1646*H1646</f>
        <v>130</v>
      </c>
      <c r="M1646" s="35" t="n">
        <f aca="false">L1646*I1646</f>
        <v>13</v>
      </c>
      <c r="N1646" s="35" t="n">
        <f aca="false">L1646-M1646</f>
        <v>117</v>
      </c>
      <c r="O1646" s="4" t="n">
        <f aca="false">MONTH(B1646)</f>
        <v>12</v>
      </c>
      <c r="P1646" s="4" t="str">
        <f aca="false">CHOOSE(WEEKDAY(B1646,2),"Mon","Tue","Wed","Thu","Fri","Sat","Sun")</f>
        <v>Fri</v>
      </c>
      <c r="Q1646" s="4" t="str">
        <f aca="false">IF(WEEKDAY(B1646,2)&gt;5,"Weekend","Weekday")</f>
        <v>Weekday</v>
      </c>
      <c r="R1646" s="4" t="str">
        <f aca="false">IF(C1646&lt;11,"Morning (7-10)",IF(C1646&lt;14,"Lunch (11-13)",IF(C1646&lt;18,"Afternoon (14-17)","Evening (18-20)")))</f>
        <v>Morning (7-10)</v>
      </c>
      <c r="S1646" s="4" t="str">
        <f aca="false">IF(AND(O1646&gt;=3,O1646&lt;=5),"Hot Dry (Mar-May)",IF(AND(O1646&gt;=6,O1646&lt;=11),"Rainy (Jun-Nov)","Cool Dry (Dec-Feb)"))</f>
        <v>Cool Dry (Dec-Feb)</v>
      </c>
      <c r="T1646" s="4" t="str">
        <f aca="false">CHOOSE(O1646,"Jan","Feb","Mar","Apr","May","Jun","Jul","Aug","Sep","Oct","Nov","Dec")</f>
        <v>Dec</v>
      </c>
    </row>
    <row r="1647" customFormat="false" ht="15" hidden="false" customHeight="false" outlineLevel="0" collapsed="false">
      <c r="A1647" s="4" t="s">
        <v>2047</v>
      </c>
      <c r="B1647" s="17" t="n">
        <v>45996</v>
      </c>
      <c r="C1647" s="4" t="n">
        <v>13</v>
      </c>
      <c r="D1647" s="4" t="s">
        <v>98</v>
      </c>
      <c r="E1647" s="4" t="s">
        <v>79</v>
      </c>
      <c r="F1647" s="4" t="s">
        <v>148</v>
      </c>
      <c r="G1647" s="4" t="n">
        <v>1</v>
      </c>
      <c r="H1647" s="34" t="n">
        <v>120</v>
      </c>
      <c r="I1647" s="18" t="n">
        <v>0.1</v>
      </c>
      <c r="J1647" s="4" t="s">
        <v>81</v>
      </c>
      <c r="K1647" s="4" t="s">
        <v>71</v>
      </c>
      <c r="L1647" s="35" t="n">
        <f aca="false">G1647*H1647</f>
        <v>120</v>
      </c>
      <c r="M1647" s="35" t="n">
        <f aca="false">L1647*I1647</f>
        <v>12</v>
      </c>
      <c r="N1647" s="35" t="n">
        <f aca="false">L1647-M1647</f>
        <v>108</v>
      </c>
      <c r="O1647" s="4" t="n">
        <f aca="false">MONTH(B1647)</f>
        <v>12</v>
      </c>
      <c r="P1647" s="4" t="str">
        <f aca="false">CHOOSE(WEEKDAY(B1647,2),"Mon","Tue","Wed","Thu","Fri","Sat","Sun")</f>
        <v>Fri</v>
      </c>
      <c r="Q1647" s="4" t="str">
        <f aca="false">IF(WEEKDAY(B1647,2)&gt;5,"Weekend","Weekday")</f>
        <v>Weekday</v>
      </c>
      <c r="R1647" s="4" t="str">
        <f aca="false">IF(C1647&lt;11,"Morning (7-10)",IF(C1647&lt;14,"Lunch (11-13)",IF(C1647&lt;18,"Afternoon (14-17)","Evening (18-20)")))</f>
        <v>Lunch (11-13)</v>
      </c>
      <c r="S1647" s="4" t="str">
        <f aca="false">IF(AND(O1647&gt;=3,O1647&lt;=5),"Hot Dry (Mar-May)",IF(AND(O1647&gt;=6,O1647&lt;=11),"Rainy (Jun-Nov)","Cool Dry (Dec-Feb)"))</f>
        <v>Cool Dry (Dec-Feb)</v>
      </c>
      <c r="T1647" s="4" t="str">
        <f aca="false">CHOOSE(O1647,"Jan","Feb","Mar","Apr","May","Jun","Jul","Aug","Sep","Oct","Nov","Dec")</f>
        <v>Dec</v>
      </c>
    </row>
    <row r="1648" customFormat="false" ht="15" hidden="false" customHeight="false" outlineLevel="0" collapsed="false">
      <c r="A1648" s="4" t="s">
        <v>2049</v>
      </c>
      <c r="B1648" s="17" t="n">
        <v>45996</v>
      </c>
      <c r="C1648" s="4" t="n">
        <v>17</v>
      </c>
      <c r="D1648" s="4" t="s">
        <v>70</v>
      </c>
      <c r="E1648" s="4" t="s">
        <v>79</v>
      </c>
      <c r="F1648" s="4" t="s">
        <v>135</v>
      </c>
      <c r="G1648" s="4" t="n">
        <v>1</v>
      </c>
      <c r="H1648" s="34" t="n">
        <v>130</v>
      </c>
      <c r="I1648" s="18" t="n">
        <v>0</v>
      </c>
      <c r="J1648" s="4" t="s">
        <v>81</v>
      </c>
      <c r="K1648" s="4" t="s">
        <v>68</v>
      </c>
      <c r="L1648" s="35" t="n">
        <f aca="false">G1648*H1648</f>
        <v>130</v>
      </c>
      <c r="M1648" s="35" t="n">
        <f aca="false">L1648*I1648</f>
        <v>0</v>
      </c>
      <c r="N1648" s="35" t="n">
        <f aca="false">L1648-M1648</f>
        <v>130</v>
      </c>
      <c r="O1648" s="4" t="n">
        <f aca="false">MONTH(B1648)</f>
        <v>12</v>
      </c>
      <c r="P1648" s="4" t="str">
        <f aca="false">CHOOSE(WEEKDAY(B1648,2),"Mon","Tue","Wed","Thu","Fri","Sat","Sun")</f>
        <v>Fri</v>
      </c>
      <c r="Q1648" s="4" t="str">
        <f aca="false">IF(WEEKDAY(B1648,2)&gt;5,"Weekend","Weekday")</f>
        <v>Weekday</v>
      </c>
      <c r="R1648" s="4" t="str">
        <f aca="false">IF(C1648&lt;11,"Morning (7-10)",IF(C1648&lt;14,"Lunch (11-13)",IF(C1648&lt;18,"Afternoon (14-17)","Evening (18-20)")))</f>
        <v>Afternoon (14-17)</v>
      </c>
      <c r="S1648" s="4" t="str">
        <f aca="false">IF(AND(O1648&gt;=3,O1648&lt;=5),"Hot Dry (Mar-May)",IF(AND(O1648&gt;=6,O1648&lt;=11),"Rainy (Jun-Nov)","Cool Dry (Dec-Feb)"))</f>
        <v>Cool Dry (Dec-Feb)</v>
      </c>
      <c r="T1648" s="4" t="str">
        <f aca="false">CHOOSE(O1648,"Jan","Feb","Mar","Apr","May","Jun","Jul","Aug","Sep","Oct","Nov","Dec")</f>
        <v>Dec</v>
      </c>
    </row>
    <row r="1649" customFormat="false" ht="15" hidden="false" customHeight="false" outlineLevel="0" collapsed="false">
      <c r="A1649" s="4" t="s">
        <v>2050</v>
      </c>
      <c r="B1649" s="17" t="n">
        <v>45997</v>
      </c>
      <c r="C1649" s="4" t="n">
        <v>7</v>
      </c>
      <c r="D1649" s="4" t="s">
        <v>64</v>
      </c>
      <c r="E1649" s="4" t="s">
        <v>65</v>
      </c>
      <c r="F1649" s="4" t="s">
        <v>87</v>
      </c>
      <c r="G1649" s="4" t="n">
        <v>3</v>
      </c>
      <c r="H1649" s="34" t="n">
        <v>160</v>
      </c>
      <c r="I1649" s="18" t="n">
        <v>0</v>
      </c>
      <c r="J1649" s="4" t="s">
        <v>76</v>
      </c>
      <c r="K1649" s="4" t="s">
        <v>82</v>
      </c>
      <c r="L1649" s="35" t="n">
        <f aca="false">G1649*H1649</f>
        <v>480</v>
      </c>
      <c r="M1649" s="35" t="n">
        <f aca="false">L1649*I1649</f>
        <v>0</v>
      </c>
      <c r="N1649" s="35" t="n">
        <f aca="false">L1649-M1649</f>
        <v>480</v>
      </c>
      <c r="O1649" s="4" t="n">
        <f aca="false">MONTH(B1649)</f>
        <v>12</v>
      </c>
      <c r="P1649" s="4" t="str">
        <f aca="false">CHOOSE(WEEKDAY(B1649,2),"Mon","Tue","Wed","Thu","Fri","Sat","Sun")</f>
        <v>Sat</v>
      </c>
      <c r="Q1649" s="4" t="str">
        <f aca="false">IF(WEEKDAY(B1649,2)&gt;5,"Weekend","Weekday")</f>
        <v>Weekend</v>
      </c>
      <c r="R1649" s="4" t="str">
        <f aca="false">IF(C1649&lt;11,"Morning (7-10)",IF(C1649&lt;14,"Lunch (11-13)",IF(C1649&lt;18,"Afternoon (14-17)","Evening (18-20)")))</f>
        <v>Morning (7-10)</v>
      </c>
      <c r="S1649" s="4" t="str">
        <f aca="false">IF(AND(O1649&gt;=3,O1649&lt;=5),"Hot Dry (Mar-May)",IF(AND(O1649&gt;=6,O1649&lt;=11),"Rainy (Jun-Nov)","Cool Dry (Dec-Feb)"))</f>
        <v>Cool Dry (Dec-Feb)</v>
      </c>
      <c r="T1649" s="4" t="str">
        <f aca="false">CHOOSE(O1649,"Jan","Feb","Mar","Apr","May","Jun","Jul","Aug","Sep","Oct","Nov","Dec")</f>
        <v>Dec</v>
      </c>
    </row>
    <row r="1650" customFormat="false" ht="15" hidden="false" customHeight="false" outlineLevel="0" collapsed="false">
      <c r="A1650" s="4" t="s">
        <v>2051</v>
      </c>
      <c r="B1650" s="17" t="n">
        <v>45997</v>
      </c>
      <c r="C1650" s="4" t="n">
        <v>9</v>
      </c>
      <c r="D1650" s="4" t="s">
        <v>98</v>
      </c>
      <c r="E1650" s="4" t="s">
        <v>84</v>
      </c>
      <c r="F1650" s="4" t="s">
        <v>114</v>
      </c>
      <c r="G1650" s="4" t="n">
        <v>2</v>
      </c>
      <c r="H1650" s="34" t="n">
        <v>85</v>
      </c>
      <c r="I1650" s="18" t="n">
        <v>0.1</v>
      </c>
      <c r="J1650" s="4" t="s">
        <v>112</v>
      </c>
      <c r="K1650" s="4" t="s">
        <v>71</v>
      </c>
      <c r="L1650" s="35" t="n">
        <f aca="false">G1650*H1650</f>
        <v>170</v>
      </c>
      <c r="M1650" s="35" t="n">
        <f aca="false">L1650*I1650</f>
        <v>17</v>
      </c>
      <c r="N1650" s="35" t="n">
        <f aca="false">L1650-M1650</f>
        <v>153</v>
      </c>
      <c r="O1650" s="4" t="n">
        <f aca="false">MONTH(B1650)</f>
        <v>12</v>
      </c>
      <c r="P1650" s="4" t="str">
        <f aca="false">CHOOSE(WEEKDAY(B1650,2),"Mon","Tue","Wed","Thu","Fri","Sat","Sun")</f>
        <v>Sat</v>
      </c>
      <c r="Q1650" s="4" t="str">
        <f aca="false">IF(WEEKDAY(B1650,2)&gt;5,"Weekend","Weekday")</f>
        <v>Weekend</v>
      </c>
      <c r="R1650" s="4" t="str">
        <f aca="false">IF(C1650&lt;11,"Morning (7-10)",IF(C1650&lt;14,"Lunch (11-13)",IF(C1650&lt;18,"Afternoon (14-17)","Evening (18-20)")))</f>
        <v>Morning (7-10)</v>
      </c>
      <c r="S1650" s="4" t="str">
        <f aca="false">IF(AND(O1650&gt;=3,O1650&lt;=5),"Hot Dry (Mar-May)",IF(AND(O1650&gt;=6,O1650&lt;=11),"Rainy (Jun-Nov)","Cool Dry (Dec-Feb)"))</f>
        <v>Cool Dry (Dec-Feb)</v>
      </c>
      <c r="T1650" s="4" t="str">
        <f aca="false">CHOOSE(O1650,"Jan","Feb","Mar","Apr","May","Jun","Jul","Aug","Sep","Oct","Nov","Dec")</f>
        <v>Dec</v>
      </c>
    </row>
    <row r="1651" customFormat="false" ht="15" hidden="false" customHeight="false" outlineLevel="0" collapsed="false">
      <c r="A1651" s="4" t="s">
        <v>2052</v>
      </c>
      <c r="B1651" s="17" t="n">
        <v>45998</v>
      </c>
      <c r="C1651" s="4" t="n">
        <v>8</v>
      </c>
      <c r="D1651" s="4" t="s">
        <v>98</v>
      </c>
      <c r="E1651" s="4" t="s">
        <v>65</v>
      </c>
      <c r="F1651" s="4" t="s">
        <v>94</v>
      </c>
      <c r="G1651" s="4" t="n">
        <v>3</v>
      </c>
      <c r="H1651" s="34" t="n">
        <v>150</v>
      </c>
      <c r="I1651" s="18" t="n">
        <v>0</v>
      </c>
      <c r="J1651" s="4" t="s">
        <v>81</v>
      </c>
      <c r="K1651" s="4" t="s">
        <v>68</v>
      </c>
      <c r="L1651" s="35" t="n">
        <f aca="false">G1651*H1651</f>
        <v>450</v>
      </c>
      <c r="M1651" s="35" t="n">
        <f aca="false">L1651*I1651</f>
        <v>0</v>
      </c>
      <c r="N1651" s="35" t="n">
        <f aca="false">L1651-M1651</f>
        <v>450</v>
      </c>
      <c r="O1651" s="4" t="n">
        <f aca="false">MONTH(B1651)</f>
        <v>12</v>
      </c>
      <c r="P1651" s="4" t="str">
        <f aca="false">CHOOSE(WEEKDAY(B1651,2),"Mon","Tue","Wed","Thu","Fri","Sat","Sun")</f>
        <v>Sun</v>
      </c>
      <c r="Q1651" s="4" t="str">
        <f aca="false">IF(WEEKDAY(B1651,2)&gt;5,"Weekend","Weekday")</f>
        <v>Weekend</v>
      </c>
      <c r="R1651" s="4" t="str">
        <f aca="false">IF(C1651&lt;11,"Morning (7-10)",IF(C1651&lt;14,"Lunch (11-13)",IF(C1651&lt;18,"Afternoon (14-17)","Evening (18-20)")))</f>
        <v>Morning (7-10)</v>
      </c>
      <c r="S1651" s="4" t="str">
        <f aca="false">IF(AND(O1651&gt;=3,O1651&lt;=5),"Hot Dry (Mar-May)",IF(AND(O1651&gt;=6,O1651&lt;=11),"Rainy (Jun-Nov)","Cool Dry (Dec-Feb)"))</f>
        <v>Cool Dry (Dec-Feb)</v>
      </c>
      <c r="T1651" s="4" t="str">
        <f aca="false">CHOOSE(O1651,"Jan","Feb","Mar","Apr","May","Jun","Jul","Aug","Sep","Oct","Nov","Dec")</f>
        <v>Dec</v>
      </c>
    </row>
    <row r="1652" customFormat="false" ht="15" hidden="false" customHeight="false" outlineLevel="0" collapsed="false">
      <c r="A1652" s="4" t="s">
        <v>2053</v>
      </c>
      <c r="B1652" s="17" t="n">
        <v>45998</v>
      </c>
      <c r="C1652" s="4" t="n">
        <v>8</v>
      </c>
      <c r="D1652" s="4" t="s">
        <v>64</v>
      </c>
      <c r="E1652" s="4" t="s">
        <v>84</v>
      </c>
      <c r="F1652" s="4" t="s">
        <v>114</v>
      </c>
      <c r="G1652" s="4" t="n">
        <v>2</v>
      </c>
      <c r="H1652" s="34" t="n">
        <v>85</v>
      </c>
      <c r="I1652" s="18" t="n">
        <v>0.1</v>
      </c>
      <c r="J1652" s="4" t="s">
        <v>67</v>
      </c>
      <c r="K1652" s="4" t="s">
        <v>71</v>
      </c>
      <c r="L1652" s="35" t="n">
        <f aca="false">G1652*H1652</f>
        <v>170</v>
      </c>
      <c r="M1652" s="35" t="n">
        <f aca="false">L1652*I1652</f>
        <v>17</v>
      </c>
      <c r="N1652" s="35" t="n">
        <f aca="false">L1652-M1652</f>
        <v>153</v>
      </c>
      <c r="O1652" s="4" t="n">
        <f aca="false">MONTH(B1652)</f>
        <v>12</v>
      </c>
      <c r="P1652" s="4" t="str">
        <f aca="false">CHOOSE(WEEKDAY(B1652,2),"Mon","Tue","Wed","Thu","Fri","Sat","Sun")</f>
        <v>Sun</v>
      </c>
      <c r="Q1652" s="4" t="str">
        <f aca="false">IF(WEEKDAY(B1652,2)&gt;5,"Weekend","Weekday")</f>
        <v>Weekend</v>
      </c>
      <c r="R1652" s="4" t="str">
        <f aca="false">IF(C1652&lt;11,"Morning (7-10)",IF(C1652&lt;14,"Lunch (11-13)",IF(C1652&lt;18,"Afternoon (14-17)","Evening (18-20)")))</f>
        <v>Morning (7-10)</v>
      </c>
      <c r="S1652" s="4" t="str">
        <f aca="false">IF(AND(O1652&gt;=3,O1652&lt;=5),"Hot Dry (Mar-May)",IF(AND(O1652&gt;=6,O1652&lt;=11),"Rainy (Jun-Nov)","Cool Dry (Dec-Feb)"))</f>
        <v>Cool Dry (Dec-Feb)</v>
      </c>
      <c r="T1652" s="4" t="str">
        <f aca="false">CHOOSE(O1652,"Jan","Feb","Mar","Apr","May","Jun","Jul","Aug","Sep","Oct","Nov","Dec")</f>
        <v>Dec</v>
      </c>
    </row>
    <row r="1653" customFormat="false" ht="15" hidden="false" customHeight="false" outlineLevel="0" collapsed="false">
      <c r="A1653" s="4" t="s">
        <v>2054</v>
      </c>
      <c r="B1653" s="17" t="n">
        <v>45998</v>
      </c>
      <c r="C1653" s="4" t="n">
        <v>16</v>
      </c>
      <c r="D1653" s="4" t="s">
        <v>73</v>
      </c>
      <c r="E1653" s="4" t="s">
        <v>84</v>
      </c>
      <c r="F1653" s="4" t="s">
        <v>114</v>
      </c>
      <c r="G1653" s="4" t="n">
        <v>1</v>
      </c>
      <c r="H1653" s="34" t="n">
        <v>85</v>
      </c>
      <c r="I1653" s="18" t="n">
        <v>0.05</v>
      </c>
      <c r="J1653" s="4" t="s">
        <v>67</v>
      </c>
      <c r="K1653" s="4" t="s">
        <v>82</v>
      </c>
      <c r="L1653" s="35" t="n">
        <f aca="false">G1653*H1653</f>
        <v>85</v>
      </c>
      <c r="M1653" s="35" t="n">
        <f aca="false">L1653*I1653</f>
        <v>4.25</v>
      </c>
      <c r="N1653" s="35" t="n">
        <f aca="false">L1653-M1653</f>
        <v>80.75</v>
      </c>
      <c r="O1653" s="4" t="n">
        <f aca="false">MONTH(B1653)</f>
        <v>12</v>
      </c>
      <c r="P1653" s="4" t="str">
        <f aca="false">CHOOSE(WEEKDAY(B1653,2),"Mon","Tue","Wed","Thu","Fri","Sat","Sun")</f>
        <v>Sun</v>
      </c>
      <c r="Q1653" s="4" t="str">
        <f aca="false">IF(WEEKDAY(B1653,2)&gt;5,"Weekend","Weekday")</f>
        <v>Weekend</v>
      </c>
      <c r="R1653" s="4" t="str">
        <f aca="false">IF(C1653&lt;11,"Morning (7-10)",IF(C1653&lt;14,"Lunch (11-13)",IF(C1653&lt;18,"Afternoon (14-17)","Evening (18-20)")))</f>
        <v>Afternoon (14-17)</v>
      </c>
      <c r="S1653" s="4" t="str">
        <f aca="false">IF(AND(O1653&gt;=3,O1653&lt;=5),"Hot Dry (Mar-May)",IF(AND(O1653&gt;=6,O1653&lt;=11),"Rainy (Jun-Nov)","Cool Dry (Dec-Feb)"))</f>
        <v>Cool Dry (Dec-Feb)</v>
      </c>
      <c r="T1653" s="4" t="str">
        <f aca="false">CHOOSE(O1653,"Jan","Feb","Mar","Apr","May","Jun","Jul","Aug","Sep","Oct","Nov","Dec")</f>
        <v>Dec</v>
      </c>
    </row>
    <row r="1654" customFormat="false" ht="15" hidden="false" customHeight="false" outlineLevel="0" collapsed="false">
      <c r="A1654" s="4" t="s">
        <v>2055</v>
      </c>
      <c r="B1654" s="17" t="n">
        <v>45999</v>
      </c>
      <c r="C1654" s="4" t="n">
        <v>11</v>
      </c>
      <c r="D1654" s="4" t="s">
        <v>70</v>
      </c>
      <c r="E1654" s="4" t="s">
        <v>99</v>
      </c>
      <c r="F1654" s="4" t="s">
        <v>109</v>
      </c>
      <c r="G1654" s="4" t="n">
        <v>2</v>
      </c>
      <c r="H1654" s="34" t="n">
        <v>130</v>
      </c>
      <c r="I1654" s="18" t="n">
        <v>0.1</v>
      </c>
      <c r="J1654" s="4" t="s">
        <v>76</v>
      </c>
      <c r="K1654" s="4" t="s">
        <v>68</v>
      </c>
      <c r="L1654" s="35" t="n">
        <f aca="false">G1654*H1654</f>
        <v>260</v>
      </c>
      <c r="M1654" s="35" t="n">
        <f aca="false">L1654*I1654</f>
        <v>26</v>
      </c>
      <c r="N1654" s="35" t="n">
        <f aca="false">L1654-M1654</f>
        <v>234</v>
      </c>
      <c r="O1654" s="4" t="n">
        <f aca="false">MONTH(B1654)</f>
        <v>12</v>
      </c>
      <c r="P1654" s="4" t="str">
        <f aca="false">CHOOSE(WEEKDAY(B1654,2),"Mon","Tue","Wed","Thu","Fri","Sat","Sun")</f>
        <v>Mon</v>
      </c>
      <c r="Q1654" s="4" t="str">
        <f aca="false">IF(WEEKDAY(B1654,2)&gt;5,"Weekend","Weekday")</f>
        <v>Weekday</v>
      </c>
      <c r="R1654" s="4" t="str">
        <f aca="false">IF(C1654&lt;11,"Morning (7-10)",IF(C1654&lt;14,"Lunch (11-13)",IF(C1654&lt;18,"Afternoon (14-17)","Evening (18-20)")))</f>
        <v>Lunch (11-13)</v>
      </c>
      <c r="S1654" s="4" t="str">
        <f aca="false">IF(AND(O1654&gt;=3,O1654&lt;=5),"Hot Dry (Mar-May)",IF(AND(O1654&gt;=6,O1654&lt;=11),"Rainy (Jun-Nov)","Cool Dry (Dec-Feb)"))</f>
        <v>Cool Dry (Dec-Feb)</v>
      </c>
      <c r="T1654" s="4" t="str">
        <f aca="false">CHOOSE(O1654,"Jan","Feb","Mar","Apr","May","Jun","Jul","Aug","Sep","Oct","Nov","Dec")</f>
        <v>Dec</v>
      </c>
    </row>
    <row r="1655" customFormat="false" ht="15" hidden="false" customHeight="false" outlineLevel="0" collapsed="false">
      <c r="A1655" s="4" t="s">
        <v>2056</v>
      </c>
      <c r="B1655" s="17" t="n">
        <v>45999</v>
      </c>
      <c r="C1655" s="4" t="n">
        <v>12</v>
      </c>
      <c r="D1655" s="4" t="s">
        <v>64</v>
      </c>
      <c r="E1655" s="4" t="s">
        <v>79</v>
      </c>
      <c r="F1655" s="4" t="s">
        <v>135</v>
      </c>
      <c r="G1655" s="4" t="n">
        <v>2</v>
      </c>
      <c r="H1655" s="34" t="n">
        <v>130</v>
      </c>
      <c r="I1655" s="18" t="n">
        <v>0</v>
      </c>
      <c r="J1655" s="4" t="s">
        <v>81</v>
      </c>
      <c r="K1655" s="4" t="s">
        <v>71</v>
      </c>
      <c r="L1655" s="35" t="n">
        <f aca="false">G1655*H1655</f>
        <v>260</v>
      </c>
      <c r="M1655" s="35" t="n">
        <f aca="false">L1655*I1655</f>
        <v>0</v>
      </c>
      <c r="N1655" s="35" t="n">
        <f aca="false">L1655-M1655</f>
        <v>260</v>
      </c>
      <c r="O1655" s="4" t="n">
        <f aca="false">MONTH(B1655)</f>
        <v>12</v>
      </c>
      <c r="P1655" s="4" t="str">
        <f aca="false">CHOOSE(WEEKDAY(B1655,2),"Mon","Tue","Wed","Thu","Fri","Sat","Sun")</f>
        <v>Mon</v>
      </c>
      <c r="Q1655" s="4" t="str">
        <f aca="false">IF(WEEKDAY(B1655,2)&gt;5,"Weekend","Weekday")</f>
        <v>Weekday</v>
      </c>
      <c r="R1655" s="4" t="str">
        <f aca="false">IF(C1655&lt;11,"Morning (7-10)",IF(C1655&lt;14,"Lunch (11-13)",IF(C1655&lt;18,"Afternoon (14-17)","Evening (18-20)")))</f>
        <v>Lunch (11-13)</v>
      </c>
      <c r="S1655" s="4" t="str">
        <f aca="false">IF(AND(O1655&gt;=3,O1655&lt;=5),"Hot Dry (Mar-May)",IF(AND(O1655&gt;=6,O1655&lt;=11),"Rainy (Jun-Nov)","Cool Dry (Dec-Feb)"))</f>
        <v>Cool Dry (Dec-Feb)</v>
      </c>
      <c r="T1655" s="4" t="str">
        <f aca="false">CHOOSE(O1655,"Jan","Feb","Mar","Apr","May","Jun","Jul","Aug","Sep","Oct","Nov","Dec")</f>
        <v>Dec</v>
      </c>
    </row>
    <row r="1656" customFormat="false" ht="15" hidden="false" customHeight="false" outlineLevel="0" collapsed="false">
      <c r="A1656" s="4" t="s">
        <v>2057</v>
      </c>
      <c r="B1656" s="17" t="n">
        <v>45999</v>
      </c>
      <c r="C1656" s="4" t="n">
        <v>12</v>
      </c>
      <c r="D1656" s="4" t="s">
        <v>98</v>
      </c>
      <c r="E1656" s="4" t="s">
        <v>65</v>
      </c>
      <c r="F1656" s="4" t="s">
        <v>121</v>
      </c>
      <c r="G1656" s="4" t="n">
        <v>1</v>
      </c>
      <c r="H1656" s="34" t="n">
        <v>170</v>
      </c>
      <c r="I1656" s="18" t="n">
        <v>0.05</v>
      </c>
      <c r="J1656" s="4" t="s">
        <v>81</v>
      </c>
      <c r="K1656" s="4" t="s">
        <v>82</v>
      </c>
      <c r="L1656" s="35" t="n">
        <f aca="false">G1656*H1656</f>
        <v>170</v>
      </c>
      <c r="M1656" s="35" t="n">
        <f aca="false">L1656*I1656</f>
        <v>8.5</v>
      </c>
      <c r="N1656" s="35" t="n">
        <f aca="false">L1656-M1656</f>
        <v>161.5</v>
      </c>
      <c r="O1656" s="4" t="n">
        <f aca="false">MONTH(B1656)</f>
        <v>12</v>
      </c>
      <c r="P1656" s="4" t="str">
        <f aca="false">CHOOSE(WEEKDAY(B1656,2),"Mon","Tue","Wed","Thu","Fri","Sat","Sun")</f>
        <v>Mon</v>
      </c>
      <c r="Q1656" s="4" t="str">
        <f aca="false">IF(WEEKDAY(B1656,2)&gt;5,"Weekend","Weekday")</f>
        <v>Weekday</v>
      </c>
      <c r="R1656" s="4" t="str">
        <f aca="false">IF(C1656&lt;11,"Morning (7-10)",IF(C1656&lt;14,"Lunch (11-13)",IF(C1656&lt;18,"Afternoon (14-17)","Evening (18-20)")))</f>
        <v>Lunch (11-13)</v>
      </c>
      <c r="S1656" s="4" t="str">
        <f aca="false">IF(AND(O1656&gt;=3,O1656&lt;=5),"Hot Dry (Mar-May)",IF(AND(O1656&gt;=6,O1656&lt;=11),"Rainy (Jun-Nov)","Cool Dry (Dec-Feb)"))</f>
        <v>Cool Dry (Dec-Feb)</v>
      </c>
      <c r="T1656" s="4" t="str">
        <f aca="false">CHOOSE(O1656,"Jan","Feb","Mar","Apr","May","Jun","Jul","Aug","Sep","Oct","Nov","Dec")</f>
        <v>Dec</v>
      </c>
    </row>
    <row r="1657" customFormat="false" ht="15" hidden="false" customHeight="false" outlineLevel="0" collapsed="false">
      <c r="A1657" s="4" t="s">
        <v>2058</v>
      </c>
      <c r="B1657" s="17" t="n">
        <v>45999</v>
      </c>
      <c r="C1657" s="4" t="n">
        <v>14</v>
      </c>
      <c r="D1657" s="4" t="s">
        <v>73</v>
      </c>
      <c r="E1657" s="4" t="s">
        <v>99</v>
      </c>
      <c r="F1657" s="4" t="s">
        <v>109</v>
      </c>
      <c r="G1657" s="4" t="n">
        <v>3</v>
      </c>
      <c r="H1657" s="34" t="n">
        <v>130</v>
      </c>
      <c r="I1657" s="18" t="n">
        <v>0.1</v>
      </c>
      <c r="J1657" s="4" t="s">
        <v>67</v>
      </c>
      <c r="K1657" s="4" t="s">
        <v>82</v>
      </c>
      <c r="L1657" s="35" t="n">
        <f aca="false">G1657*H1657</f>
        <v>390</v>
      </c>
      <c r="M1657" s="35" t="n">
        <f aca="false">L1657*I1657</f>
        <v>39</v>
      </c>
      <c r="N1657" s="35" t="n">
        <f aca="false">L1657-M1657</f>
        <v>351</v>
      </c>
      <c r="O1657" s="4" t="n">
        <f aca="false">MONTH(B1657)</f>
        <v>12</v>
      </c>
      <c r="P1657" s="4" t="str">
        <f aca="false">CHOOSE(WEEKDAY(B1657,2),"Mon","Tue","Wed","Thu","Fri","Sat","Sun")</f>
        <v>Mon</v>
      </c>
      <c r="Q1657" s="4" t="str">
        <f aca="false">IF(WEEKDAY(B1657,2)&gt;5,"Weekend","Weekday")</f>
        <v>Weekday</v>
      </c>
      <c r="R1657" s="4" t="str">
        <f aca="false">IF(C1657&lt;11,"Morning (7-10)",IF(C1657&lt;14,"Lunch (11-13)",IF(C1657&lt;18,"Afternoon (14-17)","Evening (18-20)")))</f>
        <v>Afternoon (14-17)</v>
      </c>
      <c r="S1657" s="4" t="str">
        <f aca="false">IF(AND(O1657&gt;=3,O1657&lt;=5),"Hot Dry (Mar-May)",IF(AND(O1657&gt;=6,O1657&lt;=11),"Rainy (Jun-Nov)","Cool Dry (Dec-Feb)"))</f>
        <v>Cool Dry (Dec-Feb)</v>
      </c>
      <c r="T1657" s="4" t="str">
        <f aca="false">CHOOSE(O1657,"Jan","Feb","Mar","Apr","May","Jun","Jul","Aug","Sep","Oct","Nov","Dec")</f>
        <v>Dec</v>
      </c>
    </row>
    <row r="1658" customFormat="false" ht="15" hidden="false" customHeight="false" outlineLevel="0" collapsed="false">
      <c r="A1658" s="4" t="s">
        <v>2059</v>
      </c>
      <c r="B1658" s="17" t="n">
        <v>45999</v>
      </c>
      <c r="C1658" s="4" t="n">
        <v>15</v>
      </c>
      <c r="D1658" s="4" t="s">
        <v>70</v>
      </c>
      <c r="E1658" s="4" t="s">
        <v>99</v>
      </c>
      <c r="F1658" s="4" t="s">
        <v>109</v>
      </c>
      <c r="G1658" s="4" t="n">
        <v>1</v>
      </c>
      <c r="H1658" s="34" t="n">
        <v>130</v>
      </c>
      <c r="I1658" s="18" t="n">
        <v>0</v>
      </c>
      <c r="J1658" s="4" t="s">
        <v>2289</v>
      </c>
      <c r="K1658" s="4" t="s">
        <v>68</v>
      </c>
      <c r="L1658" s="35" t="n">
        <f aca="false">G1658*H1658</f>
        <v>130</v>
      </c>
      <c r="M1658" s="35" t="n">
        <f aca="false">L1658*I1658</f>
        <v>0</v>
      </c>
      <c r="N1658" s="35" t="n">
        <f aca="false">L1658-M1658</f>
        <v>130</v>
      </c>
      <c r="O1658" s="4" t="n">
        <f aca="false">MONTH(B1658)</f>
        <v>12</v>
      </c>
      <c r="P1658" s="4" t="str">
        <f aca="false">CHOOSE(WEEKDAY(B1658,2),"Mon","Tue","Wed","Thu","Fri","Sat","Sun")</f>
        <v>Mon</v>
      </c>
      <c r="Q1658" s="4" t="str">
        <f aca="false">IF(WEEKDAY(B1658,2)&gt;5,"Weekend","Weekday")</f>
        <v>Weekday</v>
      </c>
      <c r="R1658" s="4" t="str">
        <f aca="false">IF(C1658&lt;11,"Morning (7-10)",IF(C1658&lt;14,"Lunch (11-13)",IF(C1658&lt;18,"Afternoon (14-17)","Evening (18-20)")))</f>
        <v>Afternoon (14-17)</v>
      </c>
      <c r="S1658" s="4" t="str">
        <f aca="false">IF(AND(O1658&gt;=3,O1658&lt;=5),"Hot Dry (Mar-May)",IF(AND(O1658&gt;=6,O1658&lt;=11),"Rainy (Jun-Nov)","Cool Dry (Dec-Feb)"))</f>
        <v>Cool Dry (Dec-Feb)</v>
      </c>
      <c r="T1658" s="4" t="str">
        <f aca="false">CHOOSE(O1658,"Jan","Feb","Mar","Apr","May","Jun","Jul","Aug","Sep","Oct","Nov","Dec")</f>
        <v>Dec</v>
      </c>
    </row>
    <row r="1659" customFormat="false" ht="15" hidden="false" customHeight="false" outlineLevel="0" collapsed="false">
      <c r="A1659" s="4" t="s">
        <v>2060</v>
      </c>
      <c r="B1659" s="17" t="n">
        <v>46000</v>
      </c>
      <c r="C1659" s="4" t="n">
        <v>8</v>
      </c>
      <c r="D1659" s="4" t="s">
        <v>64</v>
      </c>
      <c r="E1659" s="4" t="s">
        <v>99</v>
      </c>
      <c r="F1659" s="4" t="s">
        <v>100</v>
      </c>
      <c r="G1659" s="4" t="n">
        <v>3</v>
      </c>
      <c r="H1659" s="34" t="n">
        <v>110</v>
      </c>
      <c r="I1659" s="18" t="n">
        <v>0</v>
      </c>
      <c r="J1659" s="4" t="s">
        <v>76</v>
      </c>
      <c r="K1659" s="4" t="s">
        <v>68</v>
      </c>
      <c r="L1659" s="35" t="n">
        <f aca="false">G1659*H1659</f>
        <v>330</v>
      </c>
      <c r="M1659" s="35" t="n">
        <f aca="false">L1659*I1659</f>
        <v>0</v>
      </c>
      <c r="N1659" s="35" t="n">
        <f aca="false">L1659-M1659</f>
        <v>330</v>
      </c>
      <c r="O1659" s="4" t="n">
        <f aca="false">MONTH(B1659)</f>
        <v>12</v>
      </c>
      <c r="P1659" s="4" t="str">
        <f aca="false">CHOOSE(WEEKDAY(B1659,2),"Mon","Tue","Wed","Thu","Fri","Sat","Sun")</f>
        <v>Tue</v>
      </c>
      <c r="Q1659" s="4" t="str">
        <f aca="false">IF(WEEKDAY(B1659,2)&gt;5,"Weekend","Weekday")</f>
        <v>Weekday</v>
      </c>
      <c r="R1659" s="4" t="str">
        <f aca="false">IF(C1659&lt;11,"Morning (7-10)",IF(C1659&lt;14,"Lunch (11-13)",IF(C1659&lt;18,"Afternoon (14-17)","Evening (18-20)")))</f>
        <v>Morning (7-10)</v>
      </c>
      <c r="S1659" s="4" t="str">
        <f aca="false">IF(AND(O1659&gt;=3,O1659&lt;=5),"Hot Dry (Mar-May)",IF(AND(O1659&gt;=6,O1659&lt;=11),"Rainy (Jun-Nov)","Cool Dry (Dec-Feb)"))</f>
        <v>Cool Dry (Dec-Feb)</v>
      </c>
      <c r="T1659" s="4" t="str">
        <f aca="false">CHOOSE(O1659,"Jan","Feb","Mar","Apr","May","Jun","Jul","Aug","Sep","Oct","Nov","Dec")</f>
        <v>Dec</v>
      </c>
    </row>
    <row r="1660" customFormat="false" ht="15" hidden="false" customHeight="false" outlineLevel="0" collapsed="false">
      <c r="A1660" s="4" t="s">
        <v>2061</v>
      </c>
      <c r="B1660" s="17" t="n">
        <v>46000</v>
      </c>
      <c r="C1660" s="4" t="n">
        <v>9</v>
      </c>
      <c r="D1660" s="4" t="s">
        <v>70</v>
      </c>
      <c r="E1660" s="4" t="s">
        <v>84</v>
      </c>
      <c r="F1660" s="4" t="s">
        <v>114</v>
      </c>
      <c r="G1660" s="4" t="n">
        <v>2</v>
      </c>
      <c r="H1660" s="34" t="n">
        <v>85</v>
      </c>
      <c r="I1660" s="18" t="n">
        <v>0</v>
      </c>
      <c r="J1660" s="4" t="s">
        <v>88</v>
      </c>
      <c r="K1660" s="4" t="s">
        <v>68</v>
      </c>
      <c r="L1660" s="35" t="n">
        <f aca="false">G1660*H1660</f>
        <v>170</v>
      </c>
      <c r="M1660" s="35" t="n">
        <f aca="false">L1660*I1660</f>
        <v>0</v>
      </c>
      <c r="N1660" s="35" t="n">
        <f aca="false">L1660-M1660</f>
        <v>170</v>
      </c>
      <c r="O1660" s="4" t="n">
        <f aca="false">MONTH(B1660)</f>
        <v>12</v>
      </c>
      <c r="P1660" s="4" t="str">
        <f aca="false">CHOOSE(WEEKDAY(B1660,2),"Mon","Tue","Wed","Thu","Fri","Sat","Sun")</f>
        <v>Tue</v>
      </c>
      <c r="Q1660" s="4" t="str">
        <f aca="false">IF(WEEKDAY(B1660,2)&gt;5,"Weekend","Weekday")</f>
        <v>Weekday</v>
      </c>
      <c r="R1660" s="4" t="str">
        <f aca="false">IF(C1660&lt;11,"Morning (7-10)",IF(C1660&lt;14,"Lunch (11-13)",IF(C1660&lt;18,"Afternoon (14-17)","Evening (18-20)")))</f>
        <v>Morning (7-10)</v>
      </c>
      <c r="S1660" s="4" t="str">
        <f aca="false">IF(AND(O1660&gt;=3,O1660&lt;=5),"Hot Dry (Mar-May)",IF(AND(O1660&gt;=6,O1660&lt;=11),"Rainy (Jun-Nov)","Cool Dry (Dec-Feb)"))</f>
        <v>Cool Dry (Dec-Feb)</v>
      </c>
      <c r="T1660" s="4" t="str">
        <f aca="false">CHOOSE(O1660,"Jan","Feb","Mar","Apr","May","Jun","Jul","Aug","Sep","Oct","Nov","Dec")</f>
        <v>Dec</v>
      </c>
    </row>
    <row r="1661" customFormat="false" ht="15" hidden="false" customHeight="false" outlineLevel="0" collapsed="false">
      <c r="A1661" s="4" t="s">
        <v>2063</v>
      </c>
      <c r="B1661" s="17" t="n">
        <v>46000</v>
      </c>
      <c r="C1661" s="4" t="n">
        <v>17</v>
      </c>
      <c r="D1661" s="4" t="s">
        <v>70</v>
      </c>
      <c r="E1661" s="4" t="s">
        <v>99</v>
      </c>
      <c r="F1661" s="4" t="s">
        <v>109</v>
      </c>
      <c r="G1661" s="4" t="n">
        <v>1</v>
      </c>
      <c r="H1661" s="34" t="n">
        <v>130</v>
      </c>
      <c r="I1661" s="18" t="n">
        <v>0</v>
      </c>
      <c r="J1661" s="4" t="s">
        <v>81</v>
      </c>
      <c r="K1661" s="4" t="s">
        <v>77</v>
      </c>
      <c r="L1661" s="35" t="n">
        <f aca="false">G1661*H1661</f>
        <v>130</v>
      </c>
      <c r="M1661" s="35" t="n">
        <f aca="false">L1661*I1661</f>
        <v>0</v>
      </c>
      <c r="N1661" s="35" t="n">
        <f aca="false">L1661-M1661</f>
        <v>130</v>
      </c>
      <c r="O1661" s="4" t="n">
        <f aca="false">MONTH(B1661)</f>
        <v>12</v>
      </c>
      <c r="P1661" s="4" t="str">
        <f aca="false">CHOOSE(WEEKDAY(B1661,2),"Mon","Tue","Wed","Thu","Fri","Sat","Sun")</f>
        <v>Tue</v>
      </c>
      <c r="Q1661" s="4" t="str">
        <f aca="false">IF(WEEKDAY(B1661,2)&gt;5,"Weekend","Weekday")</f>
        <v>Weekday</v>
      </c>
      <c r="R1661" s="4" t="str">
        <f aca="false">IF(C1661&lt;11,"Morning (7-10)",IF(C1661&lt;14,"Lunch (11-13)",IF(C1661&lt;18,"Afternoon (14-17)","Evening (18-20)")))</f>
        <v>Afternoon (14-17)</v>
      </c>
      <c r="S1661" s="4" t="str">
        <f aca="false">IF(AND(O1661&gt;=3,O1661&lt;=5),"Hot Dry (Mar-May)",IF(AND(O1661&gt;=6,O1661&lt;=11),"Rainy (Jun-Nov)","Cool Dry (Dec-Feb)"))</f>
        <v>Cool Dry (Dec-Feb)</v>
      </c>
      <c r="T1661" s="4" t="str">
        <f aca="false">CHOOSE(O1661,"Jan","Feb","Mar","Apr","May","Jun","Jul","Aug","Sep","Oct","Nov","Dec")</f>
        <v>Dec</v>
      </c>
    </row>
    <row r="1662" customFormat="false" ht="15" hidden="false" customHeight="false" outlineLevel="0" collapsed="false">
      <c r="A1662" s="4" t="s">
        <v>2064</v>
      </c>
      <c r="B1662" s="17" t="n">
        <v>46001</v>
      </c>
      <c r="C1662" s="4" t="n">
        <v>8</v>
      </c>
      <c r="D1662" s="4" t="s">
        <v>73</v>
      </c>
      <c r="E1662" s="4" t="s">
        <v>84</v>
      </c>
      <c r="F1662" s="4" t="s">
        <v>114</v>
      </c>
      <c r="G1662" s="4" t="n">
        <v>3</v>
      </c>
      <c r="H1662" s="34" t="n">
        <v>85</v>
      </c>
      <c r="I1662" s="18" t="n">
        <v>0.1</v>
      </c>
      <c r="J1662" s="4" t="s">
        <v>67</v>
      </c>
      <c r="K1662" s="4" t="s">
        <v>71</v>
      </c>
      <c r="L1662" s="35" t="n">
        <f aca="false">G1662*H1662</f>
        <v>255</v>
      </c>
      <c r="M1662" s="35" t="n">
        <f aca="false">L1662*I1662</f>
        <v>25.5</v>
      </c>
      <c r="N1662" s="35" t="n">
        <f aca="false">L1662-M1662</f>
        <v>229.5</v>
      </c>
      <c r="O1662" s="4" t="n">
        <f aca="false">MONTH(B1662)</f>
        <v>12</v>
      </c>
      <c r="P1662" s="4" t="str">
        <f aca="false">CHOOSE(WEEKDAY(B1662,2),"Mon","Tue","Wed","Thu","Fri","Sat","Sun")</f>
        <v>Wed</v>
      </c>
      <c r="Q1662" s="4" t="str">
        <f aca="false">IF(WEEKDAY(B1662,2)&gt;5,"Weekend","Weekday")</f>
        <v>Weekday</v>
      </c>
      <c r="R1662" s="4" t="str">
        <f aca="false">IF(C1662&lt;11,"Morning (7-10)",IF(C1662&lt;14,"Lunch (11-13)",IF(C1662&lt;18,"Afternoon (14-17)","Evening (18-20)")))</f>
        <v>Morning (7-10)</v>
      </c>
      <c r="S1662" s="4" t="str">
        <f aca="false">IF(AND(O1662&gt;=3,O1662&lt;=5),"Hot Dry (Mar-May)",IF(AND(O1662&gt;=6,O1662&lt;=11),"Rainy (Jun-Nov)","Cool Dry (Dec-Feb)"))</f>
        <v>Cool Dry (Dec-Feb)</v>
      </c>
      <c r="T1662" s="4" t="str">
        <f aca="false">CHOOSE(O1662,"Jan","Feb","Mar","Apr","May","Jun","Jul","Aug","Sep","Oct","Nov","Dec")</f>
        <v>Dec</v>
      </c>
    </row>
    <row r="1663" customFormat="false" ht="15" hidden="false" customHeight="false" outlineLevel="0" collapsed="false">
      <c r="A1663" s="4" t="s">
        <v>2065</v>
      </c>
      <c r="B1663" s="17" t="n">
        <v>46001</v>
      </c>
      <c r="C1663" s="4" t="n">
        <v>8</v>
      </c>
      <c r="D1663" s="4" t="s">
        <v>73</v>
      </c>
      <c r="E1663" s="4" t="s">
        <v>79</v>
      </c>
      <c r="F1663" s="4" t="s">
        <v>148</v>
      </c>
      <c r="G1663" s="4" t="n">
        <v>2</v>
      </c>
      <c r="H1663" s="34" t="n">
        <v>120</v>
      </c>
      <c r="I1663" s="18" t="n">
        <v>0</v>
      </c>
      <c r="J1663" s="4" t="s">
        <v>76</v>
      </c>
      <c r="K1663" s="4" t="s">
        <v>77</v>
      </c>
      <c r="L1663" s="35" t="n">
        <f aca="false">G1663*H1663</f>
        <v>240</v>
      </c>
      <c r="M1663" s="35" t="n">
        <f aca="false">L1663*I1663</f>
        <v>0</v>
      </c>
      <c r="N1663" s="35" t="n">
        <f aca="false">L1663-M1663</f>
        <v>240</v>
      </c>
      <c r="O1663" s="4" t="n">
        <f aca="false">MONTH(B1663)</f>
        <v>12</v>
      </c>
      <c r="P1663" s="4" t="str">
        <f aca="false">CHOOSE(WEEKDAY(B1663,2),"Mon","Tue","Wed","Thu","Fri","Sat","Sun")</f>
        <v>Wed</v>
      </c>
      <c r="Q1663" s="4" t="str">
        <f aca="false">IF(WEEKDAY(B1663,2)&gt;5,"Weekend","Weekday")</f>
        <v>Weekday</v>
      </c>
      <c r="R1663" s="4" t="str">
        <f aca="false">IF(C1663&lt;11,"Morning (7-10)",IF(C1663&lt;14,"Lunch (11-13)",IF(C1663&lt;18,"Afternoon (14-17)","Evening (18-20)")))</f>
        <v>Morning (7-10)</v>
      </c>
      <c r="S1663" s="4" t="str">
        <f aca="false">IF(AND(O1663&gt;=3,O1663&lt;=5),"Hot Dry (Mar-May)",IF(AND(O1663&gt;=6,O1663&lt;=11),"Rainy (Jun-Nov)","Cool Dry (Dec-Feb)"))</f>
        <v>Cool Dry (Dec-Feb)</v>
      </c>
      <c r="T1663" s="4" t="str">
        <f aca="false">CHOOSE(O1663,"Jan","Feb","Mar","Apr","May","Jun","Jul","Aug","Sep","Oct","Nov","Dec")</f>
        <v>Dec</v>
      </c>
    </row>
    <row r="1664" customFormat="false" ht="15" hidden="false" customHeight="false" outlineLevel="0" collapsed="false">
      <c r="A1664" s="4" t="s">
        <v>2066</v>
      </c>
      <c r="B1664" s="17" t="n">
        <v>46001</v>
      </c>
      <c r="C1664" s="4" t="n">
        <v>8</v>
      </c>
      <c r="D1664" s="4" t="s">
        <v>98</v>
      </c>
      <c r="E1664" s="4" t="s">
        <v>84</v>
      </c>
      <c r="F1664" s="4" t="s">
        <v>114</v>
      </c>
      <c r="G1664" s="4" t="n">
        <v>2</v>
      </c>
      <c r="H1664" s="34" t="n">
        <v>85</v>
      </c>
      <c r="I1664" s="18" t="n">
        <v>0</v>
      </c>
      <c r="J1664" s="4" t="s">
        <v>81</v>
      </c>
      <c r="K1664" s="4" t="s">
        <v>68</v>
      </c>
      <c r="L1664" s="35" t="n">
        <f aca="false">G1664*H1664</f>
        <v>170</v>
      </c>
      <c r="M1664" s="35" t="n">
        <f aca="false">L1664*I1664</f>
        <v>0</v>
      </c>
      <c r="N1664" s="35" t="n">
        <f aca="false">L1664-M1664</f>
        <v>170</v>
      </c>
      <c r="O1664" s="4" t="n">
        <f aca="false">MONTH(B1664)</f>
        <v>12</v>
      </c>
      <c r="P1664" s="4" t="str">
        <f aca="false">CHOOSE(WEEKDAY(B1664,2),"Mon","Tue","Wed","Thu","Fri","Sat","Sun")</f>
        <v>Wed</v>
      </c>
      <c r="Q1664" s="4" t="str">
        <f aca="false">IF(WEEKDAY(B1664,2)&gt;5,"Weekend","Weekday")</f>
        <v>Weekday</v>
      </c>
      <c r="R1664" s="4" t="str">
        <f aca="false">IF(C1664&lt;11,"Morning (7-10)",IF(C1664&lt;14,"Lunch (11-13)",IF(C1664&lt;18,"Afternoon (14-17)","Evening (18-20)")))</f>
        <v>Morning (7-10)</v>
      </c>
      <c r="S1664" s="4" t="str">
        <f aca="false">IF(AND(O1664&gt;=3,O1664&lt;=5),"Hot Dry (Mar-May)",IF(AND(O1664&gt;=6,O1664&lt;=11),"Rainy (Jun-Nov)","Cool Dry (Dec-Feb)"))</f>
        <v>Cool Dry (Dec-Feb)</v>
      </c>
      <c r="T1664" s="4" t="str">
        <f aca="false">CHOOSE(O1664,"Jan","Feb","Mar","Apr","May","Jun","Jul","Aug","Sep","Oct","Nov","Dec")</f>
        <v>Dec</v>
      </c>
    </row>
    <row r="1665" customFormat="false" ht="15" hidden="false" customHeight="false" outlineLevel="0" collapsed="false">
      <c r="A1665" s="4" t="s">
        <v>2067</v>
      </c>
      <c r="B1665" s="17" t="n">
        <v>46001</v>
      </c>
      <c r="C1665" s="4" t="n">
        <v>13</v>
      </c>
      <c r="D1665" s="4" t="s">
        <v>64</v>
      </c>
      <c r="E1665" s="4" t="s">
        <v>99</v>
      </c>
      <c r="F1665" s="4" t="s">
        <v>109</v>
      </c>
      <c r="G1665" s="4" t="n">
        <v>1</v>
      </c>
      <c r="H1665" s="34" t="n">
        <v>130</v>
      </c>
      <c r="I1665" s="18" t="n">
        <v>0.05</v>
      </c>
      <c r="J1665" s="4" t="s">
        <v>112</v>
      </c>
      <c r="K1665" s="4" t="s">
        <v>82</v>
      </c>
      <c r="L1665" s="35" t="n">
        <f aca="false">G1665*H1665</f>
        <v>130</v>
      </c>
      <c r="M1665" s="35" t="n">
        <f aca="false">L1665*I1665</f>
        <v>6.5</v>
      </c>
      <c r="N1665" s="35" t="n">
        <f aca="false">L1665-M1665</f>
        <v>123.5</v>
      </c>
      <c r="O1665" s="4" t="n">
        <f aca="false">MONTH(B1665)</f>
        <v>12</v>
      </c>
      <c r="P1665" s="4" t="str">
        <f aca="false">CHOOSE(WEEKDAY(B1665,2),"Mon","Tue","Wed","Thu","Fri","Sat","Sun")</f>
        <v>Wed</v>
      </c>
      <c r="Q1665" s="4" t="str">
        <f aca="false">IF(WEEKDAY(B1665,2)&gt;5,"Weekend","Weekday")</f>
        <v>Weekday</v>
      </c>
      <c r="R1665" s="4" t="str">
        <f aca="false">IF(C1665&lt;11,"Morning (7-10)",IF(C1665&lt;14,"Lunch (11-13)",IF(C1665&lt;18,"Afternoon (14-17)","Evening (18-20)")))</f>
        <v>Lunch (11-13)</v>
      </c>
      <c r="S1665" s="4" t="str">
        <f aca="false">IF(AND(O1665&gt;=3,O1665&lt;=5),"Hot Dry (Mar-May)",IF(AND(O1665&gt;=6,O1665&lt;=11),"Rainy (Jun-Nov)","Cool Dry (Dec-Feb)"))</f>
        <v>Cool Dry (Dec-Feb)</v>
      </c>
      <c r="T1665" s="4" t="str">
        <f aca="false">CHOOSE(O1665,"Jan","Feb","Mar","Apr","May","Jun","Jul","Aug","Sep","Oct","Nov","Dec")</f>
        <v>Dec</v>
      </c>
    </row>
    <row r="1666" customFormat="false" ht="15" hidden="false" customHeight="false" outlineLevel="0" collapsed="false">
      <c r="A1666" s="4" t="s">
        <v>2068</v>
      </c>
      <c r="B1666" s="17" t="n">
        <v>46001</v>
      </c>
      <c r="C1666" s="4" t="n">
        <v>15</v>
      </c>
      <c r="D1666" s="4" t="s">
        <v>73</v>
      </c>
      <c r="E1666" s="4" t="s">
        <v>99</v>
      </c>
      <c r="F1666" s="4" t="s">
        <v>100</v>
      </c>
      <c r="G1666" s="4" t="n">
        <v>1</v>
      </c>
      <c r="H1666" s="34" t="n">
        <v>110</v>
      </c>
      <c r="I1666" s="18" t="n">
        <v>0</v>
      </c>
      <c r="J1666" s="4" t="s">
        <v>67</v>
      </c>
      <c r="K1666" s="4" t="s">
        <v>77</v>
      </c>
      <c r="L1666" s="35" t="n">
        <f aca="false">G1666*H1666</f>
        <v>110</v>
      </c>
      <c r="M1666" s="35" t="n">
        <f aca="false">L1666*I1666</f>
        <v>0</v>
      </c>
      <c r="N1666" s="35" t="n">
        <f aca="false">L1666-M1666</f>
        <v>110</v>
      </c>
      <c r="O1666" s="4" t="n">
        <f aca="false">MONTH(B1666)</f>
        <v>12</v>
      </c>
      <c r="P1666" s="4" t="str">
        <f aca="false">CHOOSE(WEEKDAY(B1666,2),"Mon","Tue","Wed","Thu","Fri","Sat","Sun")</f>
        <v>Wed</v>
      </c>
      <c r="Q1666" s="4" t="str">
        <f aca="false">IF(WEEKDAY(B1666,2)&gt;5,"Weekend","Weekday")</f>
        <v>Weekday</v>
      </c>
      <c r="R1666" s="4" t="str">
        <f aca="false">IF(C1666&lt;11,"Morning (7-10)",IF(C1666&lt;14,"Lunch (11-13)",IF(C1666&lt;18,"Afternoon (14-17)","Evening (18-20)")))</f>
        <v>Afternoon (14-17)</v>
      </c>
      <c r="S1666" s="4" t="str">
        <f aca="false">IF(AND(O1666&gt;=3,O1666&lt;=5),"Hot Dry (Mar-May)",IF(AND(O1666&gt;=6,O1666&lt;=11),"Rainy (Jun-Nov)","Cool Dry (Dec-Feb)"))</f>
        <v>Cool Dry (Dec-Feb)</v>
      </c>
      <c r="T1666" s="4" t="str">
        <f aca="false">CHOOSE(O1666,"Jan","Feb","Mar","Apr","May","Jun","Jul","Aug","Sep","Oct","Nov","Dec")</f>
        <v>Dec</v>
      </c>
    </row>
    <row r="1667" customFormat="false" ht="15" hidden="false" customHeight="false" outlineLevel="0" collapsed="false">
      <c r="A1667" s="4" t="s">
        <v>2070</v>
      </c>
      <c r="B1667" s="17" t="n">
        <v>46001</v>
      </c>
      <c r="C1667" s="4" t="n">
        <v>16</v>
      </c>
      <c r="D1667" s="4" t="s">
        <v>98</v>
      </c>
      <c r="E1667" s="4" t="s">
        <v>79</v>
      </c>
      <c r="F1667" s="4" t="s">
        <v>148</v>
      </c>
      <c r="G1667" s="4" t="n">
        <v>2</v>
      </c>
      <c r="H1667" s="34" t="n">
        <v>120</v>
      </c>
      <c r="I1667" s="18" t="n">
        <v>0.1</v>
      </c>
      <c r="J1667" s="4" t="s">
        <v>67</v>
      </c>
      <c r="K1667" s="4" t="s">
        <v>71</v>
      </c>
      <c r="L1667" s="35" t="n">
        <f aca="false">G1667*H1667</f>
        <v>240</v>
      </c>
      <c r="M1667" s="35" t="n">
        <f aca="false">L1667*I1667</f>
        <v>24</v>
      </c>
      <c r="N1667" s="35" t="n">
        <f aca="false">L1667-M1667</f>
        <v>216</v>
      </c>
      <c r="O1667" s="4" t="n">
        <f aca="false">MONTH(B1667)</f>
        <v>12</v>
      </c>
      <c r="P1667" s="4" t="str">
        <f aca="false">CHOOSE(WEEKDAY(B1667,2),"Mon","Tue","Wed","Thu","Fri","Sat","Sun")</f>
        <v>Wed</v>
      </c>
      <c r="Q1667" s="4" t="str">
        <f aca="false">IF(WEEKDAY(B1667,2)&gt;5,"Weekend","Weekday")</f>
        <v>Weekday</v>
      </c>
      <c r="R1667" s="4" t="str">
        <f aca="false">IF(C1667&lt;11,"Morning (7-10)",IF(C1667&lt;14,"Lunch (11-13)",IF(C1667&lt;18,"Afternoon (14-17)","Evening (18-20)")))</f>
        <v>Afternoon (14-17)</v>
      </c>
      <c r="S1667" s="4" t="str">
        <f aca="false">IF(AND(O1667&gt;=3,O1667&lt;=5),"Hot Dry (Mar-May)",IF(AND(O1667&gt;=6,O1667&lt;=11),"Rainy (Jun-Nov)","Cool Dry (Dec-Feb)"))</f>
        <v>Cool Dry (Dec-Feb)</v>
      </c>
      <c r="T1667" s="4" t="str">
        <f aca="false">CHOOSE(O1667,"Jan","Feb","Mar","Apr","May","Jun","Jul","Aug","Sep","Oct","Nov","Dec")</f>
        <v>Dec</v>
      </c>
    </row>
    <row r="1668" customFormat="false" ht="15" hidden="false" customHeight="false" outlineLevel="0" collapsed="false">
      <c r="A1668" s="4" t="s">
        <v>2071</v>
      </c>
      <c r="B1668" s="17" t="n">
        <v>46001</v>
      </c>
      <c r="C1668" s="4" t="n">
        <v>18</v>
      </c>
      <c r="D1668" s="4" t="s">
        <v>70</v>
      </c>
      <c r="E1668" s="4" t="s">
        <v>99</v>
      </c>
      <c r="F1668" s="4" t="s">
        <v>133</v>
      </c>
      <c r="G1668" s="4" t="n">
        <v>2</v>
      </c>
      <c r="H1668" s="34" t="n">
        <v>90</v>
      </c>
      <c r="I1668" s="18" t="n">
        <v>0</v>
      </c>
      <c r="J1668" s="4" t="s">
        <v>67</v>
      </c>
      <c r="K1668" s="4" t="s">
        <v>68</v>
      </c>
      <c r="L1668" s="35" t="n">
        <f aca="false">G1668*H1668</f>
        <v>180</v>
      </c>
      <c r="M1668" s="35" t="n">
        <f aca="false">L1668*I1668</f>
        <v>0</v>
      </c>
      <c r="N1668" s="35" t="n">
        <f aca="false">L1668-M1668</f>
        <v>180</v>
      </c>
      <c r="O1668" s="4" t="n">
        <f aca="false">MONTH(B1668)</f>
        <v>12</v>
      </c>
      <c r="P1668" s="4" t="str">
        <f aca="false">CHOOSE(WEEKDAY(B1668,2),"Mon","Tue","Wed","Thu","Fri","Sat","Sun")</f>
        <v>Wed</v>
      </c>
      <c r="Q1668" s="4" t="str">
        <f aca="false">IF(WEEKDAY(B1668,2)&gt;5,"Weekend","Weekday")</f>
        <v>Weekday</v>
      </c>
      <c r="R1668" s="4" t="str">
        <f aca="false">IF(C1668&lt;11,"Morning (7-10)",IF(C1668&lt;14,"Lunch (11-13)",IF(C1668&lt;18,"Afternoon (14-17)","Evening (18-20)")))</f>
        <v>Evening (18-20)</v>
      </c>
      <c r="S1668" s="4" t="str">
        <f aca="false">IF(AND(O1668&gt;=3,O1668&lt;=5),"Hot Dry (Mar-May)",IF(AND(O1668&gt;=6,O1668&lt;=11),"Rainy (Jun-Nov)","Cool Dry (Dec-Feb)"))</f>
        <v>Cool Dry (Dec-Feb)</v>
      </c>
      <c r="T1668" s="4" t="str">
        <f aca="false">CHOOSE(O1668,"Jan","Feb","Mar","Apr","May","Jun","Jul","Aug","Sep","Oct","Nov","Dec")</f>
        <v>Dec</v>
      </c>
    </row>
    <row r="1669" customFormat="false" ht="15" hidden="false" customHeight="false" outlineLevel="0" collapsed="false">
      <c r="A1669" s="4" t="s">
        <v>2072</v>
      </c>
      <c r="B1669" s="17" t="n">
        <v>46002</v>
      </c>
      <c r="C1669" s="4" t="n">
        <v>8</v>
      </c>
      <c r="D1669" s="4" t="s">
        <v>70</v>
      </c>
      <c r="E1669" s="4" t="s">
        <v>84</v>
      </c>
      <c r="F1669" s="4" t="s">
        <v>85</v>
      </c>
      <c r="G1669" s="4" t="n">
        <v>1</v>
      </c>
      <c r="H1669" s="34" t="n">
        <v>150</v>
      </c>
      <c r="I1669" s="18" t="n">
        <v>0</v>
      </c>
      <c r="J1669" s="4" t="s">
        <v>67</v>
      </c>
      <c r="K1669" s="4" t="s">
        <v>68</v>
      </c>
      <c r="L1669" s="35" t="n">
        <f aca="false">G1669*H1669</f>
        <v>150</v>
      </c>
      <c r="M1669" s="35" t="n">
        <f aca="false">L1669*I1669</f>
        <v>0</v>
      </c>
      <c r="N1669" s="35" t="n">
        <f aca="false">L1669-M1669</f>
        <v>150</v>
      </c>
      <c r="O1669" s="4" t="n">
        <f aca="false">MONTH(B1669)</f>
        <v>12</v>
      </c>
      <c r="P1669" s="4" t="str">
        <f aca="false">CHOOSE(WEEKDAY(B1669,2),"Mon","Tue","Wed","Thu","Fri","Sat","Sun")</f>
        <v>Thu</v>
      </c>
      <c r="Q1669" s="4" t="str">
        <f aca="false">IF(WEEKDAY(B1669,2)&gt;5,"Weekend","Weekday")</f>
        <v>Weekday</v>
      </c>
      <c r="R1669" s="4" t="str">
        <f aca="false">IF(C1669&lt;11,"Morning (7-10)",IF(C1669&lt;14,"Lunch (11-13)",IF(C1669&lt;18,"Afternoon (14-17)","Evening (18-20)")))</f>
        <v>Morning (7-10)</v>
      </c>
      <c r="S1669" s="4" t="str">
        <f aca="false">IF(AND(O1669&gt;=3,O1669&lt;=5),"Hot Dry (Mar-May)",IF(AND(O1669&gt;=6,O1669&lt;=11),"Rainy (Jun-Nov)","Cool Dry (Dec-Feb)"))</f>
        <v>Cool Dry (Dec-Feb)</v>
      </c>
      <c r="T1669" s="4" t="str">
        <f aca="false">CHOOSE(O1669,"Jan","Feb","Mar","Apr","May","Jun","Jul","Aug","Sep","Oct","Nov","Dec")</f>
        <v>Dec</v>
      </c>
    </row>
    <row r="1670" customFormat="false" ht="15" hidden="false" customHeight="false" outlineLevel="0" collapsed="false">
      <c r="A1670" s="4" t="s">
        <v>2073</v>
      </c>
      <c r="B1670" s="17" t="n">
        <v>46002</v>
      </c>
      <c r="C1670" s="4" t="n">
        <v>9</v>
      </c>
      <c r="D1670" s="4" t="s">
        <v>70</v>
      </c>
      <c r="E1670" s="4" t="s">
        <v>65</v>
      </c>
      <c r="F1670" s="4" t="s">
        <v>87</v>
      </c>
      <c r="G1670" s="4" t="n">
        <v>1</v>
      </c>
      <c r="H1670" s="34" t="n">
        <v>160</v>
      </c>
      <c r="I1670" s="18" t="n">
        <v>0</v>
      </c>
      <c r="J1670" s="4" t="s">
        <v>81</v>
      </c>
      <c r="K1670" s="4" t="s">
        <v>68</v>
      </c>
      <c r="L1670" s="35" t="n">
        <f aca="false">G1670*H1670</f>
        <v>160</v>
      </c>
      <c r="M1670" s="35" t="n">
        <f aca="false">L1670*I1670</f>
        <v>0</v>
      </c>
      <c r="N1670" s="35" t="n">
        <f aca="false">L1670-M1670</f>
        <v>160</v>
      </c>
      <c r="O1670" s="4" t="n">
        <f aca="false">MONTH(B1670)</f>
        <v>12</v>
      </c>
      <c r="P1670" s="4" t="str">
        <f aca="false">CHOOSE(WEEKDAY(B1670,2),"Mon","Tue","Wed","Thu","Fri","Sat","Sun")</f>
        <v>Thu</v>
      </c>
      <c r="Q1670" s="4" t="str">
        <f aca="false">IF(WEEKDAY(B1670,2)&gt;5,"Weekend","Weekday")</f>
        <v>Weekday</v>
      </c>
      <c r="R1670" s="4" t="str">
        <f aca="false">IF(C1670&lt;11,"Morning (7-10)",IF(C1670&lt;14,"Lunch (11-13)",IF(C1670&lt;18,"Afternoon (14-17)","Evening (18-20)")))</f>
        <v>Morning (7-10)</v>
      </c>
      <c r="S1670" s="4" t="str">
        <f aca="false">IF(AND(O1670&gt;=3,O1670&lt;=5),"Hot Dry (Mar-May)",IF(AND(O1670&gt;=6,O1670&lt;=11),"Rainy (Jun-Nov)","Cool Dry (Dec-Feb)"))</f>
        <v>Cool Dry (Dec-Feb)</v>
      </c>
      <c r="T1670" s="4" t="str">
        <f aca="false">CHOOSE(O1670,"Jan","Feb","Mar","Apr","May","Jun","Jul","Aug","Sep","Oct","Nov","Dec")</f>
        <v>Dec</v>
      </c>
    </row>
    <row r="1671" customFormat="false" ht="15" hidden="false" customHeight="false" outlineLevel="0" collapsed="false">
      <c r="A1671" s="4" t="s">
        <v>2074</v>
      </c>
      <c r="B1671" s="17" t="n">
        <v>46002</v>
      </c>
      <c r="C1671" s="4" t="n">
        <v>16</v>
      </c>
      <c r="D1671" s="4" t="s">
        <v>64</v>
      </c>
      <c r="E1671" s="4" t="s">
        <v>84</v>
      </c>
      <c r="F1671" s="4" t="s">
        <v>117</v>
      </c>
      <c r="G1671" s="4" t="n">
        <v>1</v>
      </c>
      <c r="H1671" s="34" t="n">
        <v>95</v>
      </c>
      <c r="I1671" s="18" t="n">
        <v>0.05</v>
      </c>
      <c r="J1671" s="4" t="s">
        <v>81</v>
      </c>
      <c r="K1671" s="4" t="s">
        <v>82</v>
      </c>
      <c r="L1671" s="35" t="n">
        <f aca="false">G1671*H1671</f>
        <v>95</v>
      </c>
      <c r="M1671" s="35" t="n">
        <f aca="false">L1671*I1671</f>
        <v>4.75</v>
      </c>
      <c r="N1671" s="35" t="n">
        <f aca="false">L1671-M1671</f>
        <v>90.25</v>
      </c>
      <c r="O1671" s="4" t="n">
        <f aca="false">MONTH(B1671)</f>
        <v>12</v>
      </c>
      <c r="P1671" s="4" t="str">
        <f aca="false">CHOOSE(WEEKDAY(B1671,2),"Mon","Tue","Wed","Thu","Fri","Sat","Sun")</f>
        <v>Thu</v>
      </c>
      <c r="Q1671" s="4" t="str">
        <f aca="false">IF(WEEKDAY(B1671,2)&gt;5,"Weekend","Weekday")</f>
        <v>Weekday</v>
      </c>
      <c r="R1671" s="4" t="str">
        <f aca="false">IF(C1671&lt;11,"Morning (7-10)",IF(C1671&lt;14,"Lunch (11-13)",IF(C1671&lt;18,"Afternoon (14-17)","Evening (18-20)")))</f>
        <v>Afternoon (14-17)</v>
      </c>
      <c r="S1671" s="4" t="str">
        <f aca="false">IF(AND(O1671&gt;=3,O1671&lt;=5),"Hot Dry (Mar-May)",IF(AND(O1671&gt;=6,O1671&lt;=11),"Rainy (Jun-Nov)","Cool Dry (Dec-Feb)"))</f>
        <v>Cool Dry (Dec-Feb)</v>
      </c>
      <c r="T1671" s="4" t="str">
        <f aca="false">CHOOSE(O1671,"Jan","Feb","Mar","Apr","May","Jun","Jul","Aug","Sep","Oct","Nov","Dec")</f>
        <v>Dec</v>
      </c>
    </row>
    <row r="1672" customFormat="false" ht="15" hidden="false" customHeight="false" outlineLevel="0" collapsed="false">
      <c r="A1672" s="4" t="s">
        <v>2075</v>
      </c>
      <c r="B1672" s="17" t="n">
        <v>46002</v>
      </c>
      <c r="C1672" s="4" t="n">
        <v>20</v>
      </c>
      <c r="D1672" s="4" t="s">
        <v>64</v>
      </c>
      <c r="E1672" s="4" t="s">
        <v>84</v>
      </c>
      <c r="F1672" s="4" t="s">
        <v>117</v>
      </c>
      <c r="G1672" s="4" t="n">
        <v>2</v>
      </c>
      <c r="H1672" s="34" t="n">
        <v>95</v>
      </c>
      <c r="I1672" s="18" t="n">
        <v>0</v>
      </c>
      <c r="J1672" s="4" t="s">
        <v>88</v>
      </c>
      <c r="K1672" s="4" t="s">
        <v>68</v>
      </c>
      <c r="L1672" s="35" t="n">
        <f aca="false">G1672*H1672</f>
        <v>190</v>
      </c>
      <c r="M1672" s="35" t="n">
        <f aca="false">L1672*I1672</f>
        <v>0</v>
      </c>
      <c r="N1672" s="35" t="n">
        <f aca="false">L1672-M1672</f>
        <v>190</v>
      </c>
      <c r="O1672" s="4" t="n">
        <f aca="false">MONTH(B1672)</f>
        <v>12</v>
      </c>
      <c r="P1672" s="4" t="str">
        <f aca="false">CHOOSE(WEEKDAY(B1672,2),"Mon","Tue","Wed","Thu","Fri","Sat","Sun")</f>
        <v>Thu</v>
      </c>
      <c r="Q1672" s="4" t="str">
        <f aca="false">IF(WEEKDAY(B1672,2)&gt;5,"Weekend","Weekday")</f>
        <v>Weekday</v>
      </c>
      <c r="R1672" s="4" t="str">
        <f aca="false">IF(C1672&lt;11,"Morning (7-10)",IF(C1672&lt;14,"Lunch (11-13)",IF(C1672&lt;18,"Afternoon (14-17)","Evening (18-20)")))</f>
        <v>Evening (18-20)</v>
      </c>
      <c r="S1672" s="4" t="str">
        <f aca="false">IF(AND(O1672&gt;=3,O1672&lt;=5),"Hot Dry (Mar-May)",IF(AND(O1672&gt;=6,O1672&lt;=11),"Rainy (Jun-Nov)","Cool Dry (Dec-Feb)"))</f>
        <v>Cool Dry (Dec-Feb)</v>
      </c>
      <c r="T1672" s="4" t="str">
        <f aca="false">CHOOSE(O1672,"Jan","Feb","Mar","Apr","May","Jun","Jul","Aug","Sep","Oct","Nov","Dec")</f>
        <v>Dec</v>
      </c>
    </row>
    <row r="1673" customFormat="false" ht="15" hidden="false" customHeight="false" outlineLevel="0" collapsed="false">
      <c r="A1673" s="4" t="s">
        <v>2076</v>
      </c>
      <c r="B1673" s="17" t="n">
        <v>46003</v>
      </c>
      <c r="C1673" s="4" t="n">
        <v>8</v>
      </c>
      <c r="D1673" s="4" t="s">
        <v>70</v>
      </c>
      <c r="E1673" s="4" t="s">
        <v>84</v>
      </c>
      <c r="F1673" s="4" t="s">
        <v>117</v>
      </c>
      <c r="G1673" s="4" t="n">
        <v>1</v>
      </c>
      <c r="H1673" s="34" t="n">
        <v>95</v>
      </c>
      <c r="I1673" s="18" t="n">
        <v>0</v>
      </c>
      <c r="J1673" s="4" t="s">
        <v>76</v>
      </c>
      <c r="K1673" s="4" t="s">
        <v>68</v>
      </c>
      <c r="L1673" s="35" t="n">
        <f aca="false">G1673*H1673</f>
        <v>95</v>
      </c>
      <c r="M1673" s="35" t="n">
        <f aca="false">L1673*I1673</f>
        <v>0</v>
      </c>
      <c r="N1673" s="35" t="n">
        <f aca="false">L1673-M1673</f>
        <v>95</v>
      </c>
      <c r="O1673" s="4" t="n">
        <f aca="false">MONTH(B1673)</f>
        <v>12</v>
      </c>
      <c r="P1673" s="4" t="str">
        <f aca="false">CHOOSE(WEEKDAY(B1673,2),"Mon","Tue","Wed","Thu","Fri","Sat","Sun")</f>
        <v>Fri</v>
      </c>
      <c r="Q1673" s="4" t="str">
        <f aca="false">IF(WEEKDAY(B1673,2)&gt;5,"Weekend","Weekday")</f>
        <v>Weekday</v>
      </c>
      <c r="R1673" s="4" t="str">
        <f aca="false">IF(C1673&lt;11,"Morning (7-10)",IF(C1673&lt;14,"Lunch (11-13)",IF(C1673&lt;18,"Afternoon (14-17)","Evening (18-20)")))</f>
        <v>Morning (7-10)</v>
      </c>
      <c r="S1673" s="4" t="str">
        <f aca="false">IF(AND(O1673&gt;=3,O1673&lt;=5),"Hot Dry (Mar-May)",IF(AND(O1673&gt;=6,O1673&lt;=11),"Rainy (Jun-Nov)","Cool Dry (Dec-Feb)"))</f>
        <v>Cool Dry (Dec-Feb)</v>
      </c>
      <c r="T1673" s="4" t="str">
        <f aca="false">CHOOSE(O1673,"Jan","Feb","Mar","Apr","May","Jun","Jul","Aug","Sep","Oct","Nov","Dec")</f>
        <v>Dec</v>
      </c>
    </row>
    <row r="1674" customFormat="false" ht="15" hidden="false" customHeight="false" outlineLevel="0" collapsed="false">
      <c r="A1674" s="4" t="s">
        <v>2077</v>
      </c>
      <c r="B1674" s="17" t="n">
        <v>46003</v>
      </c>
      <c r="C1674" s="4" t="n">
        <v>9</v>
      </c>
      <c r="D1674" s="4" t="s">
        <v>70</v>
      </c>
      <c r="E1674" s="4" t="s">
        <v>99</v>
      </c>
      <c r="F1674" s="4" t="s">
        <v>100</v>
      </c>
      <c r="G1674" s="4" t="n">
        <v>3</v>
      </c>
      <c r="H1674" s="34" t="n">
        <v>110</v>
      </c>
      <c r="I1674" s="18" t="n">
        <v>0</v>
      </c>
      <c r="J1674" s="4" t="s">
        <v>81</v>
      </c>
      <c r="K1674" s="4" t="s">
        <v>77</v>
      </c>
      <c r="L1674" s="35" t="n">
        <f aca="false">G1674*H1674</f>
        <v>330</v>
      </c>
      <c r="M1674" s="35" t="n">
        <f aca="false">L1674*I1674</f>
        <v>0</v>
      </c>
      <c r="N1674" s="35" t="n">
        <f aca="false">L1674-M1674</f>
        <v>330</v>
      </c>
      <c r="O1674" s="4" t="n">
        <f aca="false">MONTH(B1674)</f>
        <v>12</v>
      </c>
      <c r="P1674" s="4" t="str">
        <f aca="false">CHOOSE(WEEKDAY(B1674,2),"Mon","Tue","Wed","Thu","Fri","Sat","Sun")</f>
        <v>Fri</v>
      </c>
      <c r="Q1674" s="4" t="str">
        <f aca="false">IF(WEEKDAY(B1674,2)&gt;5,"Weekend","Weekday")</f>
        <v>Weekday</v>
      </c>
      <c r="R1674" s="4" t="str">
        <f aca="false">IF(C1674&lt;11,"Morning (7-10)",IF(C1674&lt;14,"Lunch (11-13)",IF(C1674&lt;18,"Afternoon (14-17)","Evening (18-20)")))</f>
        <v>Morning (7-10)</v>
      </c>
      <c r="S1674" s="4" t="str">
        <f aca="false">IF(AND(O1674&gt;=3,O1674&lt;=5),"Hot Dry (Mar-May)",IF(AND(O1674&gt;=6,O1674&lt;=11),"Rainy (Jun-Nov)","Cool Dry (Dec-Feb)"))</f>
        <v>Cool Dry (Dec-Feb)</v>
      </c>
      <c r="T1674" s="4" t="str">
        <f aca="false">CHOOSE(O1674,"Jan","Feb","Mar","Apr","May","Jun","Jul","Aug","Sep","Oct","Nov","Dec")</f>
        <v>Dec</v>
      </c>
    </row>
    <row r="1675" customFormat="false" ht="15" hidden="false" customHeight="false" outlineLevel="0" collapsed="false">
      <c r="A1675" s="4" t="s">
        <v>2078</v>
      </c>
      <c r="B1675" s="17" t="n">
        <v>46003</v>
      </c>
      <c r="C1675" s="4" t="n">
        <v>10</v>
      </c>
      <c r="D1675" s="4" t="s">
        <v>64</v>
      </c>
      <c r="E1675" s="4" t="s">
        <v>99</v>
      </c>
      <c r="F1675" s="4" t="s">
        <v>100</v>
      </c>
      <c r="G1675" s="4" t="n">
        <v>1</v>
      </c>
      <c r="H1675" s="34" t="n">
        <v>110</v>
      </c>
      <c r="I1675" s="18" t="n">
        <v>0</v>
      </c>
      <c r="J1675" s="4" t="s">
        <v>112</v>
      </c>
      <c r="K1675" s="4" t="s">
        <v>77</v>
      </c>
      <c r="L1675" s="35" t="n">
        <f aca="false">G1675*H1675</f>
        <v>110</v>
      </c>
      <c r="M1675" s="35" t="n">
        <f aca="false">L1675*I1675</f>
        <v>0</v>
      </c>
      <c r="N1675" s="35" t="n">
        <f aca="false">L1675-M1675</f>
        <v>110</v>
      </c>
      <c r="O1675" s="4" t="n">
        <f aca="false">MONTH(B1675)</f>
        <v>12</v>
      </c>
      <c r="P1675" s="4" t="str">
        <f aca="false">CHOOSE(WEEKDAY(B1675,2),"Mon","Tue","Wed","Thu","Fri","Sat","Sun")</f>
        <v>Fri</v>
      </c>
      <c r="Q1675" s="4" t="str">
        <f aca="false">IF(WEEKDAY(B1675,2)&gt;5,"Weekend","Weekday")</f>
        <v>Weekday</v>
      </c>
      <c r="R1675" s="4" t="str">
        <f aca="false">IF(C1675&lt;11,"Morning (7-10)",IF(C1675&lt;14,"Lunch (11-13)",IF(C1675&lt;18,"Afternoon (14-17)","Evening (18-20)")))</f>
        <v>Morning (7-10)</v>
      </c>
      <c r="S1675" s="4" t="str">
        <f aca="false">IF(AND(O1675&gt;=3,O1675&lt;=5),"Hot Dry (Mar-May)",IF(AND(O1675&gt;=6,O1675&lt;=11),"Rainy (Jun-Nov)","Cool Dry (Dec-Feb)"))</f>
        <v>Cool Dry (Dec-Feb)</v>
      </c>
      <c r="T1675" s="4" t="str">
        <f aca="false">CHOOSE(O1675,"Jan","Feb","Mar","Apr","May","Jun","Jul","Aug","Sep","Oct","Nov","Dec")</f>
        <v>Dec</v>
      </c>
    </row>
    <row r="1676" customFormat="false" ht="15" hidden="false" customHeight="false" outlineLevel="0" collapsed="false">
      <c r="A1676" s="4" t="s">
        <v>2079</v>
      </c>
      <c r="B1676" s="17" t="n">
        <v>46003</v>
      </c>
      <c r="C1676" s="4" t="n">
        <v>12</v>
      </c>
      <c r="D1676" s="4" t="s">
        <v>64</v>
      </c>
      <c r="E1676" s="4" t="s">
        <v>74</v>
      </c>
      <c r="F1676" s="4" t="s">
        <v>139</v>
      </c>
      <c r="G1676" s="4" t="n">
        <v>1</v>
      </c>
      <c r="H1676" s="34" t="n">
        <v>260</v>
      </c>
      <c r="I1676" s="18" t="n">
        <v>0.1</v>
      </c>
      <c r="J1676" s="4" t="s">
        <v>2289</v>
      </c>
      <c r="K1676" s="4" t="s">
        <v>82</v>
      </c>
      <c r="L1676" s="35" t="n">
        <f aca="false">G1676*H1676</f>
        <v>260</v>
      </c>
      <c r="M1676" s="35" t="n">
        <f aca="false">L1676*I1676</f>
        <v>26</v>
      </c>
      <c r="N1676" s="35" t="n">
        <f aca="false">L1676-M1676</f>
        <v>234</v>
      </c>
      <c r="O1676" s="4" t="n">
        <f aca="false">MONTH(B1676)</f>
        <v>12</v>
      </c>
      <c r="P1676" s="4" t="str">
        <f aca="false">CHOOSE(WEEKDAY(B1676,2),"Mon","Tue","Wed","Thu","Fri","Sat","Sun")</f>
        <v>Fri</v>
      </c>
      <c r="Q1676" s="4" t="str">
        <f aca="false">IF(WEEKDAY(B1676,2)&gt;5,"Weekend","Weekday")</f>
        <v>Weekday</v>
      </c>
      <c r="R1676" s="4" t="str">
        <f aca="false">IF(C1676&lt;11,"Morning (7-10)",IF(C1676&lt;14,"Lunch (11-13)",IF(C1676&lt;18,"Afternoon (14-17)","Evening (18-20)")))</f>
        <v>Lunch (11-13)</v>
      </c>
      <c r="S1676" s="4" t="str">
        <f aca="false">IF(AND(O1676&gt;=3,O1676&lt;=5),"Hot Dry (Mar-May)",IF(AND(O1676&gt;=6,O1676&lt;=11),"Rainy (Jun-Nov)","Cool Dry (Dec-Feb)"))</f>
        <v>Cool Dry (Dec-Feb)</v>
      </c>
      <c r="T1676" s="4" t="str">
        <f aca="false">CHOOSE(O1676,"Jan","Feb","Mar","Apr","May","Jun","Jul","Aug","Sep","Oct","Nov","Dec")</f>
        <v>Dec</v>
      </c>
    </row>
    <row r="1677" customFormat="false" ht="15" hidden="false" customHeight="false" outlineLevel="0" collapsed="false">
      <c r="A1677" s="4" t="s">
        <v>2080</v>
      </c>
      <c r="B1677" s="17" t="n">
        <v>46003</v>
      </c>
      <c r="C1677" s="4" t="n">
        <v>13</v>
      </c>
      <c r="D1677" s="4" t="s">
        <v>73</v>
      </c>
      <c r="E1677" s="4" t="s">
        <v>65</v>
      </c>
      <c r="F1677" s="4" t="s">
        <v>94</v>
      </c>
      <c r="G1677" s="4" t="n">
        <v>1</v>
      </c>
      <c r="H1677" s="34" t="n">
        <v>150</v>
      </c>
      <c r="I1677" s="18" t="n">
        <v>0.05</v>
      </c>
      <c r="J1677" s="4" t="s">
        <v>76</v>
      </c>
      <c r="K1677" s="4" t="s">
        <v>82</v>
      </c>
      <c r="L1677" s="35" t="n">
        <f aca="false">G1677*H1677</f>
        <v>150</v>
      </c>
      <c r="M1677" s="35" t="n">
        <f aca="false">L1677*I1677</f>
        <v>7.5</v>
      </c>
      <c r="N1677" s="35" t="n">
        <f aca="false">L1677-M1677</f>
        <v>142.5</v>
      </c>
      <c r="O1677" s="4" t="n">
        <f aca="false">MONTH(B1677)</f>
        <v>12</v>
      </c>
      <c r="P1677" s="4" t="str">
        <f aca="false">CHOOSE(WEEKDAY(B1677,2),"Mon","Tue","Wed","Thu","Fri","Sat","Sun")</f>
        <v>Fri</v>
      </c>
      <c r="Q1677" s="4" t="str">
        <f aca="false">IF(WEEKDAY(B1677,2)&gt;5,"Weekend","Weekday")</f>
        <v>Weekday</v>
      </c>
      <c r="R1677" s="4" t="str">
        <f aca="false">IF(C1677&lt;11,"Morning (7-10)",IF(C1677&lt;14,"Lunch (11-13)",IF(C1677&lt;18,"Afternoon (14-17)","Evening (18-20)")))</f>
        <v>Lunch (11-13)</v>
      </c>
      <c r="S1677" s="4" t="str">
        <f aca="false">IF(AND(O1677&gt;=3,O1677&lt;=5),"Hot Dry (Mar-May)",IF(AND(O1677&gt;=6,O1677&lt;=11),"Rainy (Jun-Nov)","Cool Dry (Dec-Feb)"))</f>
        <v>Cool Dry (Dec-Feb)</v>
      </c>
      <c r="T1677" s="4" t="str">
        <f aca="false">CHOOSE(O1677,"Jan","Feb","Mar","Apr","May","Jun","Jul","Aug","Sep","Oct","Nov","Dec")</f>
        <v>Dec</v>
      </c>
    </row>
    <row r="1678" customFormat="false" ht="15" hidden="false" customHeight="false" outlineLevel="0" collapsed="false">
      <c r="A1678" s="4" t="s">
        <v>2081</v>
      </c>
      <c r="B1678" s="17" t="n">
        <v>46003</v>
      </c>
      <c r="C1678" s="4" t="n">
        <v>17</v>
      </c>
      <c r="D1678" s="4" t="s">
        <v>70</v>
      </c>
      <c r="E1678" s="4" t="s">
        <v>65</v>
      </c>
      <c r="F1678" s="4" t="s">
        <v>87</v>
      </c>
      <c r="G1678" s="4" t="n">
        <v>1</v>
      </c>
      <c r="H1678" s="34" t="n">
        <v>160</v>
      </c>
      <c r="I1678" s="18" t="n">
        <v>0</v>
      </c>
      <c r="J1678" s="4" t="s">
        <v>88</v>
      </c>
      <c r="K1678" s="4" t="s">
        <v>77</v>
      </c>
      <c r="L1678" s="35" t="n">
        <f aca="false">G1678*H1678</f>
        <v>160</v>
      </c>
      <c r="M1678" s="35" t="n">
        <f aca="false">L1678*I1678</f>
        <v>0</v>
      </c>
      <c r="N1678" s="35" t="n">
        <f aca="false">L1678-M1678</f>
        <v>160</v>
      </c>
      <c r="O1678" s="4" t="n">
        <f aca="false">MONTH(B1678)</f>
        <v>12</v>
      </c>
      <c r="P1678" s="4" t="str">
        <f aca="false">CHOOSE(WEEKDAY(B1678,2),"Mon","Tue","Wed","Thu","Fri","Sat","Sun")</f>
        <v>Fri</v>
      </c>
      <c r="Q1678" s="4" t="str">
        <f aca="false">IF(WEEKDAY(B1678,2)&gt;5,"Weekend","Weekday")</f>
        <v>Weekday</v>
      </c>
      <c r="R1678" s="4" t="str">
        <f aca="false">IF(C1678&lt;11,"Morning (7-10)",IF(C1678&lt;14,"Lunch (11-13)",IF(C1678&lt;18,"Afternoon (14-17)","Evening (18-20)")))</f>
        <v>Afternoon (14-17)</v>
      </c>
      <c r="S1678" s="4" t="str">
        <f aca="false">IF(AND(O1678&gt;=3,O1678&lt;=5),"Hot Dry (Mar-May)",IF(AND(O1678&gt;=6,O1678&lt;=11),"Rainy (Jun-Nov)","Cool Dry (Dec-Feb)"))</f>
        <v>Cool Dry (Dec-Feb)</v>
      </c>
      <c r="T1678" s="4" t="str">
        <f aca="false">CHOOSE(O1678,"Jan","Feb","Mar","Apr","May","Jun","Jul","Aug","Sep","Oct","Nov","Dec")</f>
        <v>Dec</v>
      </c>
    </row>
    <row r="1679" customFormat="false" ht="15" hidden="false" customHeight="false" outlineLevel="0" collapsed="false">
      <c r="A1679" s="4" t="s">
        <v>2082</v>
      </c>
      <c r="B1679" s="17" t="n">
        <v>46004</v>
      </c>
      <c r="C1679" s="4" t="n">
        <v>9</v>
      </c>
      <c r="D1679" s="4" t="s">
        <v>98</v>
      </c>
      <c r="E1679" s="4" t="s">
        <v>99</v>
      </c>
      <c r="F1679" s="4" t="s">
        <v>102</v>
      </c>
      <c r="G1679" s="4" t="n">
        <v>1</v>
      </c>
      <c r="H1679" s="34" t="n">
        <v>140</v>
      </c>
      <c r="I1679" s="18" t="n">
        <v>0.2</v>
      </c>
      <c r="J1679" s="4" t="s">
        <v>81</v>
      </c>
      <c r="K1679" s="4" t="s">
        <v>71</v>
      </c>
      <c r="L1679" s="35" t="n">
        <f aca="false">G1679*H1679</f>
        <v>140</v>
      </c>
      <c r="M1679" s="35" t="n">
        <f aca="false">L1679*I1679</f>
        <v>28</v>
      </c>
      <c r="N1679" s="35" t="n">
        <f aca="false">L1679-M1679</f>
        <v>112</v>
      </c>
      <c r="O1679" s="4" t="n">
        <f aca="false">MONTH(B1679)</f>
        <v>12</v>
      </c>
      <c r="P1679" s="4" t="str">
        <f aca="false">CHOOSE(WEEKDAY(B1679,2),"Mon","Tue","Wed","Thu","Fri","Sat","Sun")</f>
        <v>Sat</v>
      </c>
      <c r="Q1679" s="4" t="str">
        <f aca="false">IF(WEEKDAY(B1679,2)&gt;5,"Weekend","Weekday")</f>
        <v>Weekend</v>
      </c>
      <c r="R1679" s="4" t="str">
        <f aca="false">IF(C1679&lt;11,"Morning (7-10)",IF(C1679&lt;14,"Lunch (11-13)",IF(C1679&lt;18,"Afternoon (14-17)","Evening (18-20)")))</f>
        <v>Morning (7-10)</v>
      </c>
      <c r="S1679" s="4" t="str">
        <f aca="false">IF(AND(O1679&gt;=3,O1679&lt;=5),"Hot Dry (Mar-May)",IF(AND(O1679&gt;=6,O1679&lt;=11),"Rainy (Jun-Nov)","Cool Dry (Dec-Feb)"))</f>
        <v>Cool Dry (Dec-Feb)</v>
      </c>
      <c r="T1679" s="4" t="str">
        <f aca="false">CHOOSE(O1679,"Jan","Feb","Mar","Apr","May","Jun","Jul","Aug","Sep","Oct","Nov","Dec")</f>
        <v>Dec</v>
      </c>
    </row>
    <row r="1680" customFormat="false" ht="15" hidden="false" customHeight="false" outlineLevel="0" collapsed="false">
      <c r="A1680" s="4" t="s">
        <v>2084</v>
      </c>
      <c r="B1680" s="17" t="n">
        <v>46004</v>
      </c>
      <c r="C1680" s="4" t="n">
        <v>10</v>
      </c>
      <c r="D1680" s="4" t="s">
        <v>64</v>
      </c>
      <c r="E1680" s="4" t="s">
        <v>99</v>
      </c>
      <c r="F1680" s="4" t="s">
        <v>102</v>
      </c>
      <c r="G1680" s="4" t="n">
        <v>2</v>
      </c>
      <c r="H1680" s="34" t="n">
        <v>140</v>
      </c>
      <c r="I1680" s="18" t="n">
        <v>0.15</v>
      </c>
      <c r="J1680" s="4" t="s">
        <v>81</v>
      </c>
      <c r="K1680" s="4" t="s">
        <v>71</v>
      </c>
      <c r="L1680" s="35" t="n">
        <f aca="false">G1680*H1680</f>
        <v>280</v>
      </c>
      <c r="M1680" s="35" t="n">
        <f aca="false">L1680*I1680</f>
        <v>42</v>
      </c>
      <c r="N1680" s="35" t="n">
        <f aca="false">L1680-M1680</f>
        <v>238</v>
      </c>
      <c r="O1680" s="4" t="n">
        <f aca="false">MONTH(B1680)</f>
        <v>12</v>
      </c>
      <c r="P1680" s="4" t="str">
        <f aca="false">CHOOSE(WEEKDAY(B1680,2),"Mon","Tue","Wed","Thu","Fri","Sat","Sun")</f>
        <v>Sat</v>
      </c>
      <c r="Q1680" s="4" t="str">
        <f aca="false">IF(WEEKDAY(B1680,2)&gt;5,"Weekend","Weekday")</f>
        <v>Weekend</v>
      </c>
      <c r="R1680" s="4" t="str">
        <f aca="false">IF(C1680&lt;11,"Morning (7-10)",IF(C1680&lt;14,"Lunch (11-13)",IF(C1680&lt;18,"Afternoon (14-17)","Evening (18-20)")))</f>
        <v>Morning (7-10)</v>
      </c>
      <c r="S1680" s="4" t="str">
        <f aca="false">IF(AND(O1680&gt;=3,O1680&lt;=5),"Hot Dry (Mar-May)",IF(AND(O1680&gt;=6,O1680&lt;=11),"Rainy (Jun-Nov)","Cool Dry (Dec-Feb)"))</f>
        <v>Cool Dry (Dec-Feb)</v>
      </c>
      <c r="T1680" s="4" t="str">
        <f aca="false">CHOOSE(O1680,"Jan","Feb","Mar","Apr","May","Jun","Jul","Aug","Sep","Oct","Nov","Dec")</f>
        <v>Dec</v>
      </c>
    </row>
    <row r="1681" customFormat="false" ht="15" hidden="false" customHeight="false" outlineLevel="0" collapsed="false">
      <c r="A1681" s="4" t="s">
        <v>2085</v>
      </c>
      <c r="B1681" s="17" t="n">
        <v>46004</v>
      </c>
      <c r="C1681" s="4" t="n">
        <v>12</v>
      </c>
      <c r="D1681" s="4" t="s">
        <v>98</v>
      </c>
      <c r="E1681" s="4" t="s">
        <v>74</v>
      </c>
      <c r="F1681" s="4" t="s">
        <v>139</v>
      </c>
      <c r="G1681" s="4" t="n">
        <v>1</v>
      </c>
      <c r="H1681" s="34" t="n">
        <v>260</v>
      </c>
      <c r="I1681" s="18" t="n">
        <v>0.05</v>
      </c>
      <c r="J1681" s="4" t="s">
        <v>81</v>
      </c>
      <c r="K1681" s="4" t="s">
        <v>82</v>
      </c>
      <c r="L1681" s="35" t="n">
        <f aca="false">G1681*H1681</f>
        <v>260</v>
      </c>
      <c r="M1681" s="35" t="n">
        <f aca="false">L1681*I1681</f>
        <v>13</v>
      </c>
      <c r="N1681" s="35" t="n">
        <f aca="false">L1681-M1681</f>
        <v>247</v>
      </c>
      <c r="O1681" s="4" t="n">
        <f aca="false">MONTH(B1681)</f>
        <v>12</v>
      </c>
      <c r="P1681" s="4" t="str">
        <f aca="false">CHOOSE(WEEKDAY(B1681,2),"Mon","Tue","Wed","Thu","Fri","Sat","Sun")</f>
        <v>Sat</v>
      </c>
      <c r="Q1681" s="4" t="str">
        <f aca="false">IF(WEEKDAY(B1681,2)&gt;5,"Weekend","Weekday")</f>
        <v>Weekend</v>
      </c>
      <c r="R1681" s="4" t="str">
        <f aca="false">IF(C1681&lt;11,"Morning (7-10)",IF(C1681&lt;14,"Lunch (11-13)",IF(C1681&lt;18,"Afternoon (14-17)","Evening (18-20)")))</f>
        <v>Lunch (11-13)</v>
      </c>
      <c r="S1681" s="4" t="str">
        <f aca="false">IF(AND(O1681&gt;=3,O1681&lt;=5),"Hot Dry (Mar-May)",IF(AND(O1681&gt;=6,O1681&lt;=11),"Rainy (Jun-Nov)","Cool Dry (Dec-Feb)"))</f>
        <v>Cool Dry (Dec-Feb)</v>
      </c>
      <c r="T1681" s="4" t="str">
        <f aca="false">CHOOSE(O1681,"Jan","Feb","Mar","Apr","May","Jun","Jul","Aug","Sep","Oct","Nov","Dec")</f>
        <v>Dec</v>
      </c>
    </row>
    <row r="1682" customFormat="false" ht="15" hidden="false" customHeight="false" outlineLevel="0" collapsed="false">
      <c r="A1682" s="4" t="s">
        <v>2086</v>
      </c>
      <c r="B1682" s="17" t="n">
        <v>46004</v>
      </c>
      <c r="C1682" s="4" t="n">
        <v>15</v>
      </c>
      <c r="D1682" s="4" t="s">
        <v>64</v>
      </c>
      <c r="E1682" s="4" t="s">
        <v>84</v>
      </c>
      <c r="F1682" s="4" t="s">
        <v>106</v>
      </c>
      <c r="G1682" s="4" t="n">
        <v>1</v>
      </c>
      <c r="H1682" s="34" t="n">
        <v>60</v>
      </c>
      <c r="I1682" s="18" t="n">
        <v>0</v>
      </c>
      <c r="J1682" s="4" t="s">
        <v>81</v>
      </c>
      <c r="K1682" s="4" t="s">
        <v>68</v>
      </c>
      <c r="L1682" s="35" t="n">
        <f aca="false">G1682*H1682</f>
        <v>60</v>
      </c>
      <c r="M1682" s="35" t="n">
        <f aca="false">L1682*I1682</f>
        <v>0</v>
      </c>
      <c r="N1682" s="35" t="n">
        <f aca="false">L1682-M1682</f>
        <v>60</v>
      </c>
      <c r="O1682" s="4" t="n">
        <f aca="false">MONTH(B1682)</f>
        <v>12</v>
      </c>
      <c r="P1682" s="4" t="str">
        <f aca="false">CHOOSE(WEEKDAY(B1682,2),"Mon","Tue","Wed","Thu","Fri","Sat","Sun")</f>
        <v>Sat</v>
      </c>
      <c r="Q1682" s="4" t="str">
        <f aca="false">IF(WEEKDAY(B1682,2)&gt;5,"Weekend","Weekday")</f>
        <v>Weekend</v>
      </c>
      <c r="R1682" s="4" t="str">
        <f aca="false">IF(C1682&lt;11,"Morning (7-10)",IF(C1682&lt;14,"Lunch (11-13)",IF(C1682&lt;18,"Afternoon (14-17)","Evening (18-20)")))</f>
        <v>Afternoon (14-17)</v>
      </c>
      <c r="S1682" s="4" t="str">
        <f aca="false">IF(AND(O1682&gt;=3,O1682&lt;=5),"Hot Dry (Mar-May)",IF(AND(O1682&gt;=6,O1682&lt;=11),"Rainy (Jun-Nov)","Cool Dry (Dec-Feb)"))</f>
        <v>Cool Dry (Dec-Feb)</v>
      </c>
      <c r="T1682" s="4" t="str">
        <f aca="false">CHOOSE(O1682,"Jan","Feb","Mar","Apr","May","Jun","Jul","Aug","Sep","Oct","Nov","Dec")</f>
        <v>Dec</v>
      </c>
    </row>
    <row r="1683" customFormat="false" ht="15" hidden="false" customHeight="false" outlineLevel="0" collapsed="false">
      <c r="A1683" s="4" t="s">
        <v>2087</v>
      </c>
      <c r="B1683" s="17" t="n">
        <v>46004</v>
      </c>
      <c r="C1683" s="4" t="n">
        <v>15</v>
      </c>
      <c r="D1683" s="4" t="s">
        <v>70</v>
      </c>
      <c r="E1683" s="4" t="s">
        <v>74</v>
      </c>
      <c r="F1683" s="4" t="s">
        <v>139</v>
      </c>
      <c r="G1683" s="4" t="n">
        <v>1</v>
      </c>
      <c r="H1683" s="34" t="n">
        <v>260</v>
      </c>
      <c r="I1683" s="18" t="n">
        <v>0</v>
      </c>
      <c r="J1683" s="4" t="s">
        <v>81</v>
      </c>
      <c r="K1683" s="4" t="s">
        <v>68</v>
      </c>
      <c r="L1683" s="35" t="n">
        <f aca="false">G1683*H1683</f>
        <v>260</v>
      </c>
      <c r="M1683" s="35" t="n">
        <f aca="false">L1683*I1683</f>
        <v>0</v>
      </c>
      <c r="N1683" s="35" t="n">
        <f aca="false">L1683-M1683</f>
        <v>260</v>
      </c>
      <c r="O1683" s="4" t="n">
        <f aca="false">MONTH(B1683)</f>
        <v>12</v>
      </c>
      <c r="P1683" s="4" t="str">
        <f aca="false">CHOOSE(WEEKDAY(B1683,2),"Mon","Tue","Wed","Thu","Fri","Sat","Sun")</f>
        <v>Sat</v>
      </c>
      <c r="Q1683" s="4" t="str">
        <f aca="false">IF(WEEKDAY(B1683,2)&gt;5,"Weekend","Weekday")</f>
        <v>Weekend</v>
      </c>
      <c r="R1683" s="4" t="str">
        <f aca="false">IF(C1683&lt;11,"Morning (7-10)",IF(C1683&lt;14,"Lunch (11-13)",IF(C1683&lt;18,"Afternoon (14-17)","Evening (18-20)")))</f>
        <v>Afternoon (14-17)</v>
      </c>
      <c r="S1683" s="4" t="str">
        <f aca="false">IF(AND(O1683&gt;=3,O1683&lt;=5),"Hot Dry (Mar-May)",IF(AND(O1683&gt;=6,O1683&lt;=11),"Rainy (Jun-Nov)","Cool Dry (Dec-Feb)"))</f>
        <v>Cool Dry (Dec-Feb)</v>
      </c>
      <c r="T1683" s="4" t="str">
        <f aca="false">CHOOSE(O1683,"Jan","Feb","Mar","Apr","May","Jun","Jul","Aug","Sep","Oct","Nov","Dec")</f>
        <v>Dec</v>
      </c>
    </row>
    <row r="1684" customFormat="false" ht="15" hidden="false" customHeight="false" outlineLevel="0" collapsed="false">
      <c r="A1684" s="4" t="s">
        <v>2089</v>
      </c>
      <c r="B1684" s="17" t="n">
        <v>46004</v>
      </c>
      <c r="C1684" s="4" t="n">
        <v>17</v>
      </c>
      <c r="D1684" s="4" t="s">
        <v>98</v>
      </c>
      <c r="E1684" s="4" t="s">
        <v>74</v>
      </c>
      <c r="F1684" s="4" t="s">
        <v>91</v>
      </c>
      <c r="G1684" s="4" t="n">
        <v>1</v>
      </c>
      <c r="H1684" s="34" t="n">
        <v>200</v>
      </c>
      <c r="I1684" s="18" t="n">
        <v>0.05</v>
      </c>
      <c r="J1684" s="4" t="s">
        <v>88</v>
      </c>
      <c r="K1684" s="4" t="s">
        <v>82</v>
      </c>
      <c r="L1684" s="35" t="n">
        <f aca="false">G1684*H1684</f>
        <v>200</v>
      </c>
      <c r="M1684" s="35" t="n">
        <f aca="false">L1684*I1684</f>
        <v>10</v>
      </c>
      <c r="N1684" s="35" t="n">
        <f aca="false">L1684-M1684</f>
        <v>190</v>
      </c>
      <c r="O1684" s="4" t="n">
        <f aca="false">MONTH(B1684)</f>
        <v>12</v>
      </c>
      <c r="P1684" s="4" t="str">
        <f aca="false">CHOOSE(WEEKDAY(B1684,2),"Mon","Tue","Wed","Thu","Fri","Sat","Sun")</f>
        <v>Sat</v>
      </c>
      <c r="Q1684" s="4" t="str">
        <f aca="false">IF(WEEKDAY(B1684,2)&gt;5,"Weekend","Weekday")</f>
        <v>Weekend</v>
      </c>
      <c r="R1684" s="4" t="str">
        <f aca="false">IF(C1684&lt;11,"Morning (7-10)",IF(C1684&lt;14,"Lunch (11-13)",IF(C1684&lt;18,"Afternoon (14-17)","Evening (18-20)")))</f>
        <v>Afternoon (14-17)</v>
      </c>
      <c r="S1684" s="4" t="str">
        <f aca="false">IF(AND(O1684&gt;=3,O1684&lt;=5),"Hot Dry (Mar-May)",IF(AND(O1684&gt;=6,O1684&lt;=11),"Rainy (Jun-Nov)","Cool Dry (Dec-Feb)"))</f>
        <v>Cool Dry (Dec-Feb)</v>
      </c>
      <c r="T1684" s="4" t="str">
        <f aca="false">CHOOSE(O1684,"Jan","Feb","Mar","Apr","May","Jun","Jul","Aug","Sep","Oct","Nov","Dec")</f>
        <v>Dec</v>
      </c>
    </row>
    <row r="1685" customFormat="false" ht="15" hidden="false" customHeight="false" outlineLevel="0" collapsed="false">
      <c r="A1685" s="4" t="s">
        <v>2091</v>
      </c>
      <c r="B1685" s="17" t="n">
        <v>46005</v>
      </c>
      <c r="C1685" s="4" t="n">
        <v>7</v>
      </c>
      <c r="D1685" s="4" t="s">
        <v>98</v>
      </c>
      <c r="E1685" s="4" t="s">
        <v>99</v>
      </c>
      <c r="F1685" s="4" t="s">
        <v>100</v>
      </c>
      <c r="G1685" s="4" t="n">
        <v>1</v>
      </c>
      <c r="H1685" s="34" t="n">
        <v>110</v>
      </c>
      <c r="I1685" s="18" t="n">
        <v>0.05</v>
      </c>
      <c r="J1685" s="4" t="s">
        <v>81</v>
      </c>
      <c r="K1685" s="4" t="s">
        <v>82</v>
      </c>
      <c r="L1685" s="35" t="n">
        <f aca="false">G1685*H1685</f>
        <v>110</v>
      </c>
      <c r="M1685" s="35" t="n">
        <f aca="false">L1685*I1685</f>
        <v>5.5</v>
      </c>
      <c r="N1685" s="35" t="n">
        <f aca="false">L1685-M1685</f>
        <v>104.5</v>
      </c>
      <c r="O1685" s="4" t="n">
        <f aca="false">MONTH(B1685)</f>
        <v>12</v>
      </c>
      <c r="P1685" s="4" t="str">
        <f aca="false">CHOOSE(WEEKDAY(B1685,2),"Mon","Tue","Wed","Thu","Fri","Sat","Sun")</f>
        <v>Sun</v>
      </c>
      <c r="Q1685" s="4" t="str">
        <f aca="false">IF(WEEKDAY(B1685,2)&gt;5,"Weekend","Weekday")</f>
        <v>Weekend</v>
      </c>
      <c r="R1685" s="4" t="str">
        <f aca="false">IF(C1685&lt;11,"Morning (7-10)",IF(C1685&lt;14,"Lunch (11-13)",IF(C1685&lt;18,"Afternoon (14-17)","Evening (18-20)")))</f>
        <v>Morning (7-10)</v>
      </c>
      <c r="S1685" s="4" t="str">
        <f aca="false">IF(AND(O1685&gt;=3,O1685&lt;=5),"Hot Dry (Mar-May)",IF(AND(O1685&gt;=6,O1685&lt;=11),"Rainy (Jun-Nov)","Cool Dry (Dec-Feb)"))</f>
        <v>Cool Dry (Dec-Feb)</v>
      </c>
      <c r="T1685" s="4" t="str">
        <f aca="false">CHOOSE(O1685,"Jan","Feb","Mar","Apr","May","Jun","Jul","Aug","Sep","Oct","Nov","Dec")</f>
        <v>Dec</v>
      </c>
    </row>
    <row r="1686" customFormat="false" ht="15" hidden="false" customHeight="false" outlineLevel="0" collapsed="false">
      <c r="A1686" s="4" t="s">
        <v>2092</v>
      </c>
      <c r="B1686" s="17" t="n">
        <v>46005</v>
      </c>
      <c r="C1686" s="4" t="n">
        <v>9</v>
      </c>
      <c r="D1686" s="4" t="s">
        <v>73</v>
      </c>
      <c r="E1686" s="4" t="s">
        <v>79</v>
      </c>
      <c r="F1686" s="4" t="s">
        <v>80</v>
      </c>
      <c r="G1686" s="4" t="n">
        <v>1</v>
      </c>
      <c r="H1686" s="34" t="n">
        <v>160</v>
      </c>
      <c r="I1686" s="18" t="n">
        <v>0</v>
      </c>
      <c r="J1686" s="4" t="s">
        <v>81</v>
      </c>
      <c r="K1686" s="4" t="s">
        <v>77</v>
      </c>
      <c r="L1686" s="35" t="n">
        <f aca="false">G1686*H1686</f>
        <v>160</v>
      </c>
      <c r="M1686" s="35" t="n">
        <f aca="false">L1686*I1686</f>
        <v>0</v>
      </c>
      <c r="N1686" s="35" t="n">
        <f aca="false">L1686-M1686</f>
        <v>160</v>
      </c>
      <c r="O1686" s="4" t="n">
        <f aca="false">MONTH(B1686)</f>
        <v>12</v>
      </c>
      <c r="P1686" s="4" t="str">
        <f aca="false">CHOOSE(WEEKDAY(B1686,2),"Mon","Tue","Wed","Thu","Fri","Sat","Sun")</f>
        <v>Sun</v>
      </c>
      <c r="Q1686" s="4" t="str">
        <f aca="false">IF(WEEKDAY(B1686,2)&gt;5,"Weekend","Weekday")</f>
        <v>Weekend</v>
      </c>
      <c r="R1686" s="4" t="str">
        <f aca="false">IF(C1686&lt;11,"Morning (7-10)",IF(C1686&lt;14,"Lunch (11-13)",IF(C1686&lt;18,"Afternoon (14-17)","Evening (18-20)")))</f>
        <v>Morning (7-10)</v>
      </c>
      <c r="S1686" s="4" t="str">
        <f aca="false">IF(AND(O1686&gt;=3,O1686&lt;=5),"Hot Dry (Mar-May)",IF(AND(O1686&gt;=6,O1686&lt;=11),"Rainy (Jun-Nov)","Cool Dry (Dec-Feb)"))</f>
        <v>Cool Dry (Dec-Feb)</v>
      </c>
      <c r="T1686" s="4" t="str">
        <f aca="false">CHOOSE(O1686,"Jan","Feb","Mar","Apr","May","Jun","Jul","Aug","Sep","Oct","Nov","Dec")</f>
        <v>Dec</v>
      </c>
    </row>
    <row r="1687" customFormat="false" ht="15" hidden="false" customHeight="false" outlineLevel="0" collapsed="false">
      <c r="A1687" s="4" t="s">
        <v>2094</v>
      </c>
      <c r="B1687" s="17" t="n">
        <v>46005</v>
      </c>
      <c r="C1687" s="4" t="n">
        <v>13</v>
      </c>
      <c r="D1687" s="4" t="s">
        <v>64</v>
      </c>
      <c r="E1687" s="4" t="s">
        <v>65</v>
      </c>
      <c r="F1687" s="4" t="s">
        <v>94</v>
      </c>
      <c r="G1687" s="4" t="n">
        <v>2</v>
      </c>
      <c r="H1687" s="34" t="n">
        <v>150</v>
      </c>
      <c r="I1687" s="18" t="n">
        <v>0.1</v>
      </c>
      <c r="J1687" s="4" t="s">
        <v>112</v>
      </c>
      <c r="K1687" s="4" t="s">
        <v>71</v>
      </c>
      <c r="L1687" s="35" t="n">
        <f aca="false">G1687*H1687</f>
        <v>300</v>
      </c>
      <c r="M1687" s="35" t="n">
        <f aca="false">L1687*I1687</f>
        <v>30</v>
      </c>
      <c r="N1687" s="35" t="n">
        <f aca="false">L1687-M1687</f>
        <v>270</v>
      </c>
      <c r="O1687" s="4" t="n">
        <f aca="false">MONTH(B1687)</f>
        <v>12</v>
      </c>
      <c r="P1687" s="4" t="str">
        <f aca="false">CHOOSE(WEEKDAY(B1687,2),"Mon","Tue","Wed","Thu","Fri","Sat","Sun")</f>
        <v>Sun</v>
      </c>
      <c r="Q1687" s="4" t="str">
        <f aca="false">IF(WEEKDAY(B1687,2)&gt;5,"Weekend","Weekday")</f>
        <v>Weekend</v>
      </c>
      <c r="R1687" s="4" t="str">
        <f aca="false">IF(C1687&lt;11,"Morning (7-10)",IF(C1687&lt;14,"Lunch (11-13)",IF(C1687&lt;18,"Afternoon (14-17)","Evening (18-20)")))</f>
        <v>Lunch (11-13)</v>
      </c>
      <c r="S1687" s="4" t="str">
        <f aca="false">IF(AND(O1687&gt;=3,O1687&lt;=5),"Hot Dry (Mar-May)",IF(AND(O1687&gt;=6,O1687&lt;=11),"Rainy (Jun-Nov)","Cool Dry (Dec-Feb)"))</f>
        <v>Cool Dry (Dec-Feb)</v>
      </c>
      <c r="T1687" s="4" t="str">
        <f aca="false">CHOOSE(O1687,"Jan","Feb","Mar","Apr","May","Jun","Jul","Aug","Sep","Oct","Nov","Dec")</f>
        <v>Dec</v>
      </c>
    </row>
    <row r="1688" customFormat="false" ht="15" hidden="false" customHeight="false" outlineLevel="0" collapsed="false">
      <c r="A1688" s="4" t="s">
        <v>2095</v>
      </c>
      <c r="B1688" s="17" t="n">
        <v>46005</v>
      </c>
      <c r="C1688" s="4" t="n">
        <v>20</v>
      </c>
      <c r="D1688" s="4" t="s">
        <v>70</v>
      </c>
      <c r="E1688" s="4" t="s">
        <v>65</v>
      </c>
      <c r="F1688" s="4" t="s">
        <v>94</v>
      </c>
      <c r="G1688" s="4" t="n">
        <v>2</v>
      </c>
      <c r="H1688" s="34" t="n">
        <v>150</v>
      </c>
      <c r="I1688" s="18" t="n">
        <v>0</v>
      </c>
      <c r="J1688" s="4" t="s">
        <v>2289</v>
      </c>
      <c r="K1688" s="4" t="s">
        <v>68</v>
      </c>
      <c r="L1688" s="35" t="n">
        <f aca="false">G1688*H1688</f>
        <v>300</v>
      </c>
      <c r="M1688" s="35" t="n">
        <f aca="false">L1688*I1688</f>
        <v>0</v>
      </c>
      <c r="N1688" s="35" t="n">
        <f aca="false">L1688-M1688</f>
        <v>300</v>
      </c>
      <c r="O1688" s="4" t="n">
        <f aca="false">MONTH(B1688)</f>
        <v>12</v>
      </c>
      <c r="P1688" s="4" t="str">
        <f aca="false">CHOOSE(WEEKDAY(B1688,2),"Mon","Tue","Wed","Thu","Fri","Sat","Sun")</f>
        <v>Sun</v>
      </c>
      <c r="Q1688" s="4" t="str">
        <f aca="false">IF(WEEKDAY(B1688,2)&gt;5,"Weekend","Weekday")</f>
        <v>Weekend</v>
      </c>
      <c r="R1688" s="4" t="str">
        <f aca="false">IF(C1688&lt;11,"Morning (7-10)",IF(C1688&lt;14,"Lunch (11-13)",IF(C1688&lt;18,"Afternoon (14-17)","Evening (18-20)")))</f>
        <v>Evening (18-20)</v>
      </c>
      <c r="S1688" s="4" t="str">
        <f aca="false">IF(AND(O1688&gt;=3,O1688&lt;=5),"Hot Dry (Mar-May)",IF(AND(O1688&gt;=6,O1688&lt;=11),"Rainy (Jun-Nov)","Cool Dry (Dec-Feb)"))</f>
        <v>Cool Dry (Dec-Feb)</v>
      </c>
      <c r="T1688" s="4" t="str">
        <f aca="false">CHOOSE(O1688,"Jan","Feb","Mar","Apr","May","Jun","Jul","Aug","Sep","Oct","Nov","Dec")</f>
        <v>Dec</v>
      </c>
    </row>
    <row r="1689" customFormat="false" ht="15" hidden="false" customHeight="false" outlineLevel="0" collapsed="false">
      <c r="A1689" s="4" t="s">
        <v>2096</v>
      </c>
      <c r="B1689" s="17" t="n">
        <v>46006</v>
      </c>
      <c r="C1689" s="4" t="n">
        <v>9</v>
      </c>
      <c r="D1689" s="4" t="s">
        <v>64</v>
      </c>
      <c r="E1689" s="4" t="s">
        <v>99</v>
      </c>
      <c r="F1689" s="4" t="s">
        <v>133</v>
      </c>
      <c r="G1689" s="4" t="n">
        <v>1</v>
      </c>
      <c r="H1689" s="34" t="n">
        <v>90</v>
      </c>
      <c r="I1689" s="18" t="n">
        <v>0</v>
      </c>
      <c r="J1689" s="4" t="s">
        <v>2289</v>
      </c>
      <c r="K1689" s="4" t="s">
        <v>68</v>
      </c>
      <c r="L1689" s="35" t="n">
        <f aca="false">G1689*H1689</f>
        <v>90</v>
      </c>
      <c r="M1689" s="35" t="n">
        <f aca="false">L1689*I1689</f>
        <v>0</v>
      </c>
      <c r="N1689" s="35" t="n">
        <f aca="false">L1689-M1689</f>
        <v>90</v>
      </c>
      <c r="O1689" s="4" t="n">
        <f aca="false">MONTH(B1689)</f>
        <v>12</v>
      </c>
      <c r="P1689" s="4" t="str">
        <f aca="false">CHOOSE(WEEKDAY(B1689,2),"Mon","Tue","Wed","Thu","Fri","Sat","Sun")</f>
        <v>Mon</v>
      </c>
      <c r="Q1689" s="4" t="str">
        <f aca="false">IF(WEEKDAY(B1689,2)&gt;5,"Weekend","Weekday")</f>
        <v>Weekday</v>
      </c>
      <c r="R1689" s="4" t="str">
        <f aca="false">IF(C1689&lt;11,"Morning (7-10)",IF(C1689&lt;14,"Lunch (11-13)",IF(C1689&lt;18,"Afternoon (14-17)","Evening (18-20)")))</f>
        <v>Morning (7-10)</v>
      </c>
      <c r="S1689" s="4" t="str">
        <f aca="false">IF(AND(O1689&gt;=3,O1689&lt;=5),"Hot Dry (Mar-May)",IF(AND(O1689&gt;=6,O1689&lt;=11),"Rainy (Jun-Nov)","Cool Dry (Dec-Feb)"))</f>
        <v>Cool Dry (Dec-Feb)</v>
      </c>
      <c r="T1689" s="4" t="str">
        <f aca="false">CHOOSE(O1689,"Jan","Feb","Mar","Apr","May","Jun","Jul","Aug","Sep","Oct","Nov","Dec")</f>
        <v>Dec</v>
      </c>
    </row>
    <row r="1690" customFormat="false" ht="15" hidden="false" customHeight="false" outlineLevel="0" collapsed="false">
      <c r="A1690" s="4" t="s">
        <v>2097</v>
      </c>
      <c r="B1690" s="17" t="n">
        <v>46006</v>
      </c>
      <c r="C1690" s="4" t="n">
        <v>9</v>
      </c>
      <c r="D1690" s="4" t="s">
        <v>64</v>
      </c>
      <c r="E1690" s="4" t="s">
        <v>99</v>
      </c>
      <c r="F1690" s="4" t="s">
        <v>100</v>
      </c>
      <c r="G1690" s="4" t="n">
        <v>1</v>
      </c>
      <c r="H1690" s="34" t="n">
        <v>110</v>
      </c>
      <c r="I1690" s="18" t="n">
        <v>0.1</v>
      </c>
      <c r="J1690" s="4" t="s">
        <v>67</v>
      </c>
      <c r="K1690" s="4" t="s">
        <v>71</v>
      </c>
      <c r="L1690" s="35" t="n">
        <f aca="false">G1690*H1690</f>
        <v>110</v>
      </c>
      <c r="M1690" s="35" t="n">
        <f aca="false">L1690*I1690</f>
        <v>11</v>
      </c>
      <c r="N1690" s="35" t="n">
        <f aca="false">L1690-M1690</f>
        <v>99</v>
      </c>
      <c r="O1690" s="4" t="n">
        <f aca="false">MONTH(B1690)</f>
        <v>12</v>
      </c>
      <c r="P1690" s="4" t="str">
        <f aca="false">CHOOSE(WEEKDAY(B1690,2),"Mon","Tue","Wed","Thu","Fri","Sat","Sun")</f>
        <v>Mon</v>
      </c>
      <c r="Q1690" s="4" t="str">
        <f aca="false">IF(WEEKDAY(B1690,2)&gt;5,"Weekend","Weekday")</f>
        <v>Weekday</v>
      </c>
      <c r="R1690" s="4" t="str">
        <f aca="false">IF(C1690&lt;11,"Morning (7-10)",IF(C1690&lt;14,"Lunch (11-13)",IF(C1690&lt;18,"Afternoon (14-17)","Evening (18-20)")))</f>
        <v>Morning (7-10)</v>
      </c>
      <c r="S1690" s="4" t="str">
        <f aca="false">IF(AND(O1690&gt;=3,O1690&lt;=5),"Hot Dry (Mar-May)",IF(AND(O1690&gt;=6,O1690&lt;=11),"Rainy (Jun-Nov)","Cool Dry (Dec-Feb)"))</f>
        <v>Cool Dry (Dec-Feb)</v>
      </c>
      <c r="T1690" s="4" t="str">
        <f aca="false">CHOOSE(O1690,"Jan","Feb","Mar","Apr","May","Jun","Jul","Aug","Sep","Oct","Nov","Dec")</f>
        <v>Dec</v>
      </c>
    </row>
    <row r="1691" customFormat="false" ht="15" hidden="false" customHeight="false" outlineLevel="0" collapsed="false">
      <c r="A1691" s="4" t="s">
        <v>2099</v>
      </c>
      <c r="B1691" s="17" t="n">
        <v>46006</v>
      </c>
      <c r="C1691" s="4" t="n">
        <v>10</v>
      </c>
      <c r="D1691" s="4" t="s">
        <v>73</v>
      </c>
      <c r="E1691" s="4" t="s">
        <v>99</v>
      </c>
      <c r="F1691" s="4" t="s">
        <v>102</v>
      </c>
      <c r="G1691" s="4" t="n">
        <v>1</v>
      </c>
      <c r="H1691" s="34" t="n">
        <v>140</v>
      </c>
      <c r="I1691" s="18" t="n">
        <v>0</v>
      </c>
      <c r="J1691" s="4" t="s">
        <v>67</v>
      </c>
      <c r="K1691" s="4" t="s">
        <v>77</v>
      </c>
      <c r="L1691" s="35" t="n">
        <f aca="false">G1691*H1691</f>
        <v>140</v>
      </c>
      <c r="M1691" s="35" t="n">
        <f aca="false">L1691*I1691</f>
        <v>0</v>
      </c>
      <c r="N1691" s="35" t="n">
        <f aca="false">L1691-M1691</f>
        <v>140</v>
      </c>
      <c r="O1691" s="4" t="n">
        <f aca="false">MONTH(B1691)</f>
        <v>12</v>
      </c>
      <c r="P1691" s="4" t="str">
        <f aca="false">CHOOSE(WEEKDAY(B1691,2),"Mon","Tue","Wed","Thu","Fri","Sat","Sun")</f>
        <v>Mon</v>
      </c>
      <c r="Q1691" s="4" t="str">
        <f aca="false">IF(WEEKDAY(B1691,2)&gt;5,"Weekend","Weekday")</f>
        <v>Weekday</v>
      </c>
      <c r="R1691" s="4" t="str">
        <f aca="false">IF(C1691&lt;11,"Morning (7-10)",IF(C1691&lt;14,"Lunch (11-13)",IF(C1691&lt;18,"Afternoon (14-17)","Evening (18-20)")))</f>
        <v>Morning (7-10)</v>
      </c>
      <c r="S1691" s="4" t="str">
        <f aca="false">IF(AND(O1691&gt;=3,O1691&lt;=5),"Hot Dry (Mar-May)",IF(AND(O1691&gt;=6,O1691&lt;=11),"Rainy (Jun-Nov)","Cool Dry (Dec-Feb)"))</f>
        <v>Cool Dry (Dec-Feb)</v>
      </c>
      <c r="T1691" s="4" t="str">
        <f aca="false">CHOOSE(O1691,"Jan","Feb","Mar","Apr","May","Jun","Jul","Aug","Sep","Oct","Nov","Dec")</f>
        <v>Dec</v>
      </c>
    </row>
    <row r="1692" customFormat="false" ht="15" hidden="false" customHeight="false" outlineLevel="0" collapsed="false">
      <c r="A1692" s="4" t="s">
        <v>2100</v>
      </c>
      <c r="B1692" s="17" t="n">
        <v>46006</v>
      </c>
      <c r="C1692" s="4" t="n">
        <v>12</v>
      </c>
      <c r="D1692" s="4" t="s">
        <v>70</v>
      </c>
      <c r="E1692" s="4" t="s">
        <v>74</v>
      </c>
      <c r="F1692" s="4" t="s">
        <v>75</v>
      </c>
      <c r="G1692" s="4" t="n">
        <v>3</v>
      </c>
      <c r="H1692" s="34" t="n">
        <v>220</v>
      </c>
      <c r="I1692" s="18" t="n">
        <v>0</v>
      </c>
      <c r="J1692" s="4" t="s">
        <v>81</v>
      </c>
      <c r="K1692" s="4" t="s">
        <v>77</v>
      </c>
      <c r="L1692" s="35" t="n">
        <f aca="false">G1692*H1692</f>
        <v>660</v>
      </c>
      <c r="M1692" s="35" t="n">
        <f aca="false">L1692*I1692</f>
        <v>0</v>
      </c>
      <c r="N1692" s="35" t="n">
        <f aca="false">L1692-M1692</f>
        <v>660</v>
      </c>
      <c r="O1692" s="4" t="n">
        <f aca="false">MONTH(B1692)</f>
        <v>12</v>
      </c>
      <c r="P1692" s="4" t="str">
        <f aca="false">CHOOSE(WEEKDAY(B1692,2),"Mon","Tue","Wed","Thu","Fri","Sat","Sun")</f>
        <v>Mon</v>
      </c>
      <c r="Q1692" s="4" t="str">
        <f aca="false">IF(WEEKDAY(B1692,2)&gt;5,"Weekend","Weekday")</f>
        <v>Weekday</v>
      </c>
      <c r="R1692" s="4" t="str">
        <f aca="false">IF(C1692&lt;11,"Morning (7-10)",IF(C1692&lt;14,"Lunch (11-13)",IF(C1692&lt;18,"Afternoon (14-17)","Evening (18-20)")))</f>
        <v>Lunch (11-13)</v>
      </c>
      <c r="S1692" s="4" t="str">
        <f aca="false">IF(AND(O1692&gt;=3,O1692&lt;=5),"Hot Dry (Mar-May)",IF(AND(O1692&gt;=6,O1692&lt;=11),"Rainy (Jun-Nov)","Cool Dry (Dec-Feb)"))</f>
        <v>Cool Dry (Dec-Feb)</v>
      </c>
      <c r="T1692" s="4" t="str">
        <f aca="false">CHOOSE(O1692,"Jan","Feb","Mar","Apr","May","Jun","Jul","Aug","Sep","Oct","Nov","Dec")</f>
        <v>Dec</v>
      </c>
    </row>
    <row r="1693" customFormat="false" ht="15" hidden="false" customHeight="false" outlineLevel="0" collapsed="false">
      <c r="A1693" s="4" t="s">
        <v>2101</v>
      </c>
      <c r="B1693" s="17" t="n">
        <v>46006</v>
      </c>
      <c r="C1693" s="4" t="n">
        <v>13</v>
      </c>
      <c r="D1693" s="4" t="s">
        <v>73</v>
      </c>
      <c r="E1693" s="4" t="s">
        <v>74</v>
      </c>
      <c r="F1693" s="4" t="s">
        <v>75</v>
      </c>
      <c r="G1693" s="4" t="n">
        <v>1</v>
      </c>
      <c r="H1693" s="34" t="n">
        <v>220</v>
      </c>
      <c r="I1693" s="18" t="n">
        <v>0</v>
      </c>
      <c r="J1693" s="4" t="s">
        <v>81</v>
      </c>
      <c r="K1693" s="4" t="s">
        <v>68</v>
      </c>
      <c r="L1693" s="35" t="n">
        <f aca="false">G1693*H1693</f>
        <v>220</v>
      </c>
      <c r="M1693" s="35" t="n">
        <f aca="false">L1693*I1693</f>
        <v>0</v>
      </c>
      <c r="N1693" s="35" t="n">
        <f aca="false">L1693-M1693</f>
        <v>220</v>
      </c>
      <c r="O1693" s="4" t="n">
        <f aca="false">MONTH(B1693)</f>
        <v>12</v>
      </c>
      <c r="P1693" s="4" t="str">
        <f aca="false">CHOOSE(WEEKDAY(B1693,2),"Mon","Tue","Wed","Thu","Fri","Sat","Sun")</f>
        <v>Mon</v>
      </c>
      <c r="Q1693" s="4" t="str">
        <f aca="false">IF(WEEKDAY(B1693,2)&gt;5,"Weekend","Weekday")</f>
        <v>Weekday</v>
      </c>
      <c r="R1693" s="4" t="str">
        <f aca="false">IF(C1693&lt;11,"Morning (7-10)",IF(C1693&lt;14,"Lunch (11-13)",IF(C1693&lt;18,"Afternoon (14-17)","Evening (18-20)")))</f>
        <v>Lunch (11-13)</v>
      </c>
      <c r="S1693" s="4" t="str">
        <f aca="false">IF(AND(O1693&gt;=3,O1693&lt;=5),"Hot Dry (Mar-May)",IF(AND(O1693&gt;=6,O1693&lt;=11),"Rainy (Jun-Nov)","Cool Dry (Dec-Feb)"))</f>
        <v>Cool Dry (Dec-Feb)</v>
      </c>
      <c r="T1693" s="4" t="str">
        <f aca="false">CHOOSE(O1693,"Jan","Feb","Mar","Apr","May","Jun","Jul","Aug","Sep","Oct","Nov","Dec")</f>
        <v>Dec</v>
      </c>
    </row>
    <row r="1694" customFormat="false" ht="15" hidden="false" customHeight="false" outlineLevel="0" collapsed="false">
      <c r="A1694" s="4" t="s">
        <v>2102</v>
      </c>
      <c r="B1694" s="17" t="n">
        <v>46006</v>
      </c>
      <c r="C1694" s="4" t="n">
        <v>14</v>
      </c>
      <c r="D1694" s="4" t="s">
        <v>98</v>
      </c>
      <c r="E1694" s="4" t="s">
        <v>79</v>
      </c>
      <c r="F1694" s="4" t="s">
        <v>148</v>
      </c>
      <c r="G1694" s="4" t="n">
        <v>1</v>
      </c>
      <c r="H1694" s="34" t="n">
        <v>120</v>
      </c>
      <c r="I1694" s="18" t="n">
        <v>0.05</v>
      </c>
      <c r="J1694" s="4" t="s">
        <v>67</v>
      </c>
      <c r="K1694" s="4" t="s">
        <v>82</v>
      </c>
      <c r="L1694" s="35" t="n">
        <f aca="false">G1694*H1694</f>
        <v>120</v>
      </c>
      <c r="M1694" s="35" t="n">
        <f aca="false">L1694*I1694</f>
        <v>6</v>
      </c>
      <c r="N1694" s="35" t="n">
        <f aca="false">L1694-M1694</f>
        <v>114</v>
      </c>
      <c r="O1694" s="4" t="n">
        <f aca="false">MONTH(B1694)</f>
        <v>12</v>
      </c>
      <c r="P1694" s="4" t="str">
        <f aca="false">CHOOSE(WEEKDAY(B1694,2),"Mon","Tue","Wed","Thu","Fri","Sat","Sun")</f>
        <v>Mon</v>
      </c>
      <c r="Q1694" s="4" t="str">
        <f aca="false">IF(WEEKDAY(B1694,2)&gt;5,"Weekend","Weekday")</f>
        <v>Weekday</v>
      </c>
      <c r="R1694" s="4" t="str">
        <f aca="false">IF(C1694&lt;11,"Morning (7-10)",IF(C1694&lt;14,"Lunch (11-13)",IF(C1694&lt;18,"Afternoon (14-17)","Evening (18-20)")))</f>
        <v>Afternoon (14-17)</v>
      </c>
      <c r="S1694" s="4" t="str">
        <f aca="false">IF(AND(O1694&gt;=3,O1694&lt;=5),"Hot Dry (Mar-May)",IF(AND(O1694&gt;=6,O1694&lt;=11),"Rainy (Jun-Nov)","Cool Dry (Dec-Feb)"))</f>
        <v>Cool Dry (Dec-Feb)</v>
      </c>
      <c r="T1694" s="4" t="str">
        <f aca="false">CHOOSE(O1694,"Jan","Feb","Mar","Apr","May","Jun","Jul","Aug","Sep","Oct","Nov","Dec")</f>
        <v>Dec</v>
      </c>
    </row>
    <row r="1695" customFormat="false" ht="15" hidden="false" customHeight="false" outlineLevel="0" collapsed="false">
      <c r="A1695" s="4" t="s">
        <v>2103</v>
      </c>
      <c r="B1695" s="17" t="n">
        <v>46006</v>
      </c>
      <c r="C1695" s="4" t="n">
        <v>18</v>
      </c>
      <c r="D1695" s="4" t="s">
        <v>98</v>
      </c>
      <c r="E1695" s="4" t="s">
        <v>79</v>
      </c>
      <c r="F1695" s="4" t="s">
        <v>148</v>
      </c>
      <c r="G1695" s="4" t="n">
        <v>1</v>
      </c>
      <c r="H1695" s="34" t="n">
        <v>120</v>
      </c>
      <c r="I1695" s="18" t="n">
        <v>0.05</v>
      </c>
      <c r="J1695" s="4" t="s">
        <v>81</v>
      </c>
      <c r="K1695" s="4" t="s">
        <v>82</v>
      </c>
      <c r="L1695" s="35" t="n">
        <f aca="false">G1695*H1695</f>
        <v>120</v>
      </c>
      <c r="M1695" s="35" t="n">
        <f aca="false">L1695*I1695</f>
        <v>6</v>
      </c>
      <c r="N1695" s="35" t="n">
        <f aca="false">L1695-M1695</f>
        <v>114</v>
      </c>
      <c r="O1695" s="4" t="n">
        <f aca="false">MONTH(B1695)</f>
        <v>12</v>
      </c>
      <c r="P1695" s="4" t="str">
        <f aca="false">CHOOSE(WEEKDAY(B1695,2),"Mon","Tue","Wed","Thu","Fri","Sat","Sun")</f>
        <v>Mon</v>
      </c>
      <c r="Q1695" s="4" t="str">
        <f aca="false">IF(WEEKDAY(B1695,2)&gt;5,"Weekend","Weekday")</f>
        <v>Weekday</v>
      </c>
      <c r="R1695" s="4" t="str">
        <f aca="false">IF(C1695&lt;11,"Morning (7-10)",IF(C1695&lt;14,"Lunch (11-13)",IF(C1695&lt;18,"Afternoon (14-17)","Evening (18-20)")))</f>
        <v>Evening (18-20)</v>
      </c>
      <c r="S1695" s="4" t="str">
        <f aca="false">IF(AND(O1695&gt;=3,O1695&lt;=5),"Hot Dry (Mar-May)",IF(AND(O1695&gt;=6,O1695&lt;=11),"Rainy (Jun-Nov)","Cool Dry (Dec-Feb)"))</f>
        <v>Cool Dry (Dec-Feb)</v>
      </c>
      <c r="T1695" s="4" t="str">
        <f aca="false">CHOOSE(O1695,"Jan","Feb","Mar","Apr","May","Jun","Jul","Aug","Sep","Oct","Nov","Dec")</f>
        <v>Dec</v>
      </c>
    </row>
    <row r="1696" customFormat="false" ht="15" hidden="false" customHeight="false" outlineLevel="0" collapsed="false">
      <c r="A1696" s="4" t="s">
        <v>2104</v>
      </c>
      <c r="B1696" s="17" t="n">
        <v>46006</v>
      </c>
      <c r="C1696" s="4" t="n">
        <v>18</v>
      </c>
      <c r="D1696" s="4" t="s">
        <v>70</v>
      </c>
      <c r="E1696" s="4" t="s">
        <v>84</v>
      </c>
      <c r="F1696" s="4" t="s">
        <v>85</v>
      </c>
      <c r="G1696" s="4" t="n">
        <v>2</v>
      </c>
      <c r="H1696" s="34" t="n">
        <v>150</v>
      </c>
      <c r="I1696" s="18" t="n">
        <v>0</v>
      </c>
      <c r="J1696" s="4" t="s">
        <v>81</v>
      </c>
      <c r="K1696" s="4" t="s">
        <v>68</v>
      </c>
      <c r="L1696" s="35" t="n">
        <f aca="false">G1696*H1696</f>
        <v>300</v>
      </c>
      <c r="M1696" s="35" t="n">
        <f aca="false">L1696*I1696</f>
        <v>0</v>
      </c>
      <c r="N1696" s="35" t="n">
        <f aca="false">L1696-M1696</f>
        <v>300</v>
      </c>
      <c r="O1696" s="4" t="n">
        <f aca="false">MONTH(B1696)</f>
        <v>12</v>
      </c>
      <c r="P1696" s="4" t="str">
        <f aca="false">CHOOSE(WEEKDAY(B1696,2),"Mon","Tue","Wed","Thu","Fri","Sat","Sun")</f>
        <v>Mon</v>
      </c>
      <c r="Q1696" s="4" t="str">
        <f aca="false">IF(WEEKDAY(B1696,2)&gt;5,"Weekend","Weekday")</f>
        <v>Weekday</v>
      </c>
      <c r="R1696" s="4" t="str">
        <f aca="false">IF(C1696&lt;11,"Morning (7-10)",IF(C1696&lt;14,"Lunch (11-13)",IF(C1696&lt;18,"Afternoon (14-17)","Evening (18-20)")))</f>
        <v>Evening (18-20)</v>
      </c>
      <c r="S1696" s="4" t="str">
        <f aca="false">IF(AND(O1696&gt;=3,O1696&lt;=5),"Hot Dry (Mar-May)",IF(AND(O1696&gt;=6,O1696&lt;=11),"Rainy (Jun-Nov)","Cool Dry (Dec-Feb)"))</f>
        <v>Cool Dry (Dec-Feb)</v>
      </c>
      <c r="T1696" s="4" t="str">
        <f aca="false">CHOOSE(O1696,"Jan","Feb","Mar","Apr","May","Jun","Jul","Aug","Sep","Oct","Nov","Dec")</f>
        <v>Dec</v>
      </c>
    </row>
    <row r="1697" customFormat="false" ht="15" hidden="false" customHeight="false" outlineLevel="0" collapsed="false">
      <c r="A1697" s="4" t="s">
        <v>2105</v>
      </c>
      <c r="B1697" s="17" t="n">
        <v>46007</v>
      </c>
      <c r="C1697" s="4" t="n">
        <v>7</v>
      </c>
      <c r="D1697" s="4" t="s">
        <v>70</v>
      </c>
      <c r="E1697" s="4" t="s">
        <v>65</v>
      </c>
      <c r="F1697" s="4" t="s">
        <v>66</v>
      </c>
      <c r="G1697" s="4" t="n">
        <v>2</v>
      </c>
      <c r="H1697" s="34" t="n">
        <v>120</v>
      </c>
      <c r="I1697" s="18" t="n">
        <v>0</v>
      </c>
      <c r="J1697" s="4" t="s">
        <v>81</v>
      </c>
      <c r="K1697" s="4" t="s">
        <v>77</v>
      </c>
      <c r="L1697" s="35" t="n">
        <f aca="false">G1697*H1697</f>
        <v>240</v>
      </c>
      <c r="M1697" s="35" t="n">
        <f aca="false">L1697*I1697</f>
        <v>0</v>
      </c>
      <c r="N1697" s="35" t="n">
        <f aca="false">L1697-M1697</f>
        <v>240</v>
      </c>
      <c r="O1697" s="4" t="n">
        <f aca="false">MONTH(B1697)</f>
        <v>12</v>
      </c>
      <c r="P1697" s="4" t="str">
        <f aca="false">CHOOSE(WEEKDAY(B1697,2),"Mon","Tue","Wed","Thu","Fri","Sat","Sun")</f>
        <v>Tue</v>
      </c>
      <c r="Q1697" s="4" t="str">
        <f aca="false">IF(WEEKDAY(B1697,2)&gt;5,"Weekend","Weekday")</f>
        <v>Weekday</v>
      </c>
      <c r="R1697" s="4" t="str">
        <f aca="false">IF(C1697&lt;11,"Morning (7-10)",IF(C1697&lt;14,"Lunch (11-13)",IF(C1697&lt;18,"Afternoon (14-17)","Evening (18-20)")))</f>
        <v>Morning (7-10)</v>
      </c>
      <c r="S1697" s="4" t="str">
        <f aca="false">IF(AND(O1697&gt;=3,O1697&lt;=5),"Hot Dry (Mar-May)",IF(AND(O1697&gt;=6,O1697&lt;=11),"Rainy (Jun-Nov)","Cool Dry (Dec-Feb)"))</f>
        <v>Cool Dry (Dec-Feb)</v>
      </c>
      <c r="T1697" s="4" t="str">
        <f aca="false">CHOOSE(O1697,"Jan","Feb","Mar","Apr","May","Jun","Jul","Aug","Sep","Oct","Nov","Dec")</f>
        <v>Dec</v>
      </c>
    </row>
    <row r="1698" customFormat="false" ht="15" hidden="false" customHeight="false" outlineLevel="0" collapsed="false">
      <c r="A1698" s="4" t="s">
        <v>2106</v>
      </c>
      <c r="B1698" s="17" t="n">
        <v>46007</v>
      </c>
      <c r="C1698" s="4" t="n">
        <v>8</v>
      </c>
      <c r="D1698" s="4" t="s">
        <v>64</v>
      </c>
      <c r="E1698" s="4" t="s">
        <v>99</v>
      </c>
      <c r="F1698" s="4" t="s">
        <v>102</v>
      </c>
      <c r="G1698" s="4" t="n">
        <v>1</v>
      </c>
      <c r="H1698" s="34" t="n">
        <v>140</v>
      </c>
      <c r="I1698" s="18" t="n">
        <v>0.1</v>
      </c>
      <c r="J1698" s="4" t="s">
        <v>67</v>
      </c>
      <c r="K1698" s="4" t="s">
        <v>68</v>
      </c>
      <c r="L1698" s="35" t="n">
        <f aca="false">G1698*H1698</f>
        <v>140</v>
      </c>
      <c r="M1698" s="35" t="n">
        <f aca="false">L1698*I1698</f>
        <v>14</v>
      </c>
      <c r="N1698" s="35" t="n">
        <f aca="false">L1698-M1698</f>
        <v>126</v>
      </c>
      <c r="O1698" s="4" t="n">
        <f aca="false">MONTH(B1698)</f>
        <v>12</v>
      </c>
      <c r="P1698" s="4" t="str">
        <f aca="false">CHOOSE(WEEKDAY(B1698,2),"Mon","Tue","Wed","Thu","Fri","Sat","Sun")</f>
        <v>Tue</v>
      </c>
      <c r="Q1698" s="4" t="str">
        <f aca="false">IF(WEEKDAY(B1698,2)&gt;5,"Weekend","Weekday")</f>
        <v>Weekday</v>
      </c>
      <c r="R1698" s="4" t="str">
        <f aca="false">IF(C1698&lt;11,"Morning (7-10)",IF(C1698&lt;14,"Lunch (11-13)",IF(C1698&lt;18,"Afternoon (14-17)","Evening (18-20)")))</f>
        <v>Morning (7-10)</v>
      </c>
      <c r="S1698" s="4" t="str">
        <f aca="false">IF(AND(O1698&gt;=3,O1698&lt;=5),"Hot Dry (Mar-May)",IF(AND(O1698&gt;=6,O1698&lt;=11),"Rainy (Jun-Nov)","Cool Dry (Dec-Feb)"))</f>
        <v>Cool Dry (Dec-Feb)</v>
      </c>
      <c r="T1698" s="4" t="str">
        <f aca="false">CHOOSE(O1698,"Jan","Feb","Mar","Apr","May","Jun","Jul","Aug","Sep","Oct","Nov","Dec")</f>
        <v>Dec</v>
      </c>
    </row>
    <row r="1699" customFormat="false" ht="15" hidden="false" customHeight="false" outlineLevel="0" collapsed="false">
      <c r="A1699" s="4" t="s">
        <v>2107</v>
      </c>
      <c r="B1699" s="17" t="n">
        <v>46007</v>
      </c>
      <c r="C1699" s="4" t="n">
        <v>16</v>
      </c>
      <c r="D1699" s="4" t="s">
        <v>64</v>
      </c>
      <c r="E1699" s="4" t="s">
        <v>84</v>
      </c>
      <c r="F1699" s="4" t="s">
        <v>106</v>
      </c>
      <c r="G1699" s="4" t="n">
        <v>3</v>
      </c>
      <c r="H1699" s="34" t="n">
        <v>60</v>
      </c>
      <c r="I1699" s="18" t="n">
        <v>0</v>
      </c>
      <c r="J1699" s="4" t="s">
        <v>81</v>
      </c>
      <c r="K1699" s="4" t="s">
        <v>77</v>
      </c>
      <c r="L1699" s="35" t="n">
        <f aca="false">G1699*H1699</f>
        <v>180</v>
      </c>
      <c r="M1699" s="35" t="n">
        <f aca="false">L1699*I1699</f>
        <v>0</v>
      </c>
      <c r="N1699" s="35" t="n">
        <f aca="false">L1699-M1699</f>
        <v>180</v>
      </c>
      <c r="O1699" s="4" t="n">
        <f aca="false">MONTH(B1699)</f>
        <v>12</v>
      </c>
      <c r="P1699" s="4" t="str">
        <f aca="false">CHOOSE(WEEKDAY(B1699,2),"Mon","Tue","Wed","Thu","Fri","Sat","Sun")</f>
        <v>Tue</v>
      </c>
      <c r="Q1699" s="4" t="str">
        <f aca="false">IF(WEEKDAY(B1699,2)&gt;5,"Weekend","Weekday")</f>
        <v>Weekday</v>
      </c>
      <c r="R1699" s="4" t="str">
        <f aca="false">IF(C1699&lt;11,"Morning (7-10)",IF(C1699&lt;14,"Lunch (11-13)",IF(C1699&lt;18,"Afternoon (14-17)","Evening (18-20)")))</f>
        <v>Afternoon (14-17)</v>
      </c>
      <c r="S1699" s="4" t="str">
        <f aca="false">IF(AND(O1699&gt;=3,O1699&lt;=5),"Hot Dry (Mar-May)",IF(AND(O1699&gt;=6,O1699&lt;=11),"Rainy (Jun-Nov)","Cool Dry (Dec-Feb)"))</f>
        <v>Cool Dry (Dec-Feb)</v>
      </c>
      <c r="T1699" s="4" t="str">
        <f aca="false">CHOOSE(O1699,"Jan","Feb","Mar","Apr","May","Jun","Jul","Aug","Sep","Oct","Nov","Dec")</f>
        <v>Dec</v>
      </c>
    </row>
    <row r="1700" customFormat="false" ht="15" hidden="false" customHeight="false" outlineLevel="0" collapsed="false">
      <c r="A1700" s="4" t="s">
        <v>2109</v>
      </c>
      <c r="B1700" s="17" t="n">
        <v>46008</v>
      </c>
      <c r="C1700" s="4" t="n">
        <v>7</v>
      </c>
      <c r="D1700" s="4" t="s">
        <v>64</v>
      </c>
      <c r="E1700" s="4" t="s">
        <v>99</v>
      </c>
      <c r="F1700" s="4" t="s">
        <v>109</v>
      </c>
      <c r="G1700" s="4" t="n">
        <v>1</v>
      </c>
      <c r="H1700" s="34" t="n">
        <v>130</v>
      </c>
      <c r="I1700" s="18" t="n">
        <v>0.1</v>
      </c>
      <c r="J1700" s="4" t="s">
        <v>81</v>
      </c>
      <c r="K1700" s="4" t="s">
        <v>71</v>
      </c>
      <c r="L1700" s="35" t="n">
        <f aca="false">G1700*H1700</f>
        <v>130</v>
      </c>
      <c r="M1700" s="35" t="n">
        <f aca="false">L1700*I1700</f>
        <v>13</v>
      </c>
      <c r="N1700" s="35" t="n">
        <f aca="false">L1700-M1700</f>
        <v>117</v>
      </c>
      <c r="O1700" s="4" t="n">
        <f aca="false">MONTH(B1700)</f>
        <v>12</v>
      </c>
      <c r="P1700" s="4" t="str">
        <f aca="false">CHOOSE(WEEKDAY(B1700,2),"Mon","Tue","Wed","Thu","Fri","Sat","Sun")</f>
        <v>Wed</v>
      </c>
      <c r="Q1700" s="4" t="str">
        <f aca="false">IF(WEEKDAY(B1700,2)&gt;5,"Weekend","Weekday")</f>
        <v>Weekday</v>
      </c>
      <c r="R1700" s="4" t="str">
        <f aca="false">IF(C1700&lt;11,"Morning (7-10)",IF(C1700&lt;14,"Lunch (11-13)",IF(C1700&lt;18,"Afternoon (14-17)","Evening (18-20)")))</f>
        <v>Morning (7-10)</v>
      </c>
      <c r="S1700" s="4" t="str">
        <f aca="false">IF(AND(O1700&gt;=3,O1700&lt;=5),"Hot Dry (Mar-May)",IF(AND(O1700&gt;=6,O1700&lt;=11),"Rainy (Jun-Nov)","Cool Dry (Dec-Feb)"))</f>
        <v>Cool Dry (Dec-Feb)</v>
      </c>
      <c r="T1700" s="4" t="str">
        <f aca="false">CHOOSE(O1700,"Jan","Feb","Mar","Apr","May","Jun","Jul","Aug","Sep","Oct","Nov","Dec")</f>
        <v>Dec</v>
      </c>
    </row>
    <row r="1701" customFormat="false" ht="15" hidden="false" customHeight="false" outlineLevel="0" collapsed="false">
      <c r="A1701" s="4" t="s">
        <v>2111</v>
      </c>
      <c r="B1701" s="17" t="n">
        <v>46008</v>
      </c>
      <c r="C1701" s="4" t="n">
        <v>11</v>
      </c>
      <c r="D1701" s="4" t="s">
        <v>70</v>
      </c>
      <c r="E1701" s="4" t="s">
        <v>84</v>
      </c>
      <c r="F1701" s="4" t="s">
        <v>117</v>
      </c>
      <c r="G1701" s="4" t="n">
        <v>2</v>
      </c>
      <c r="H1701" s="34" t="n">
        <v>95</v>
      </c>
      <c r="I1701" s="18" t="n">
        <v>0.05</v>
      </c>
      <c r="J1701" s="4" t="s">
        <v>81</v>
      </c>
      <c r="K1701" s="4" t="s">
        <v>82</v>
      </c>
      <c r="L1701" s="35" t="n">
        <f aca="false">G1701*H1701</f>
        <v>190</v>
      </c>
      <c r="M1701" s="35" t="n">
        <f aca="false">L1701*I1701</f>
        <v>9.5</v>
      </c>
      <c r="N1701" s="35" t="n">
        <f aca="false">L1701-M1701</f>
        <v>180.5</v>
      </c>
      <c r="O1701" s="4" t="n">
        <f aca="false">MONTH(B1701)</f>
        <v>12</v>
      </c>
      <c r="P1701" s="4" t="str">
        <f aca="false">CHOOSE(WEEKDAY(B1701,2),"Mon","Tue","Wed","Thu","Fri","Sat","Sun")</f>
        <v>Wed</v>
      </c>
      <c r="Q1701" s="4" t="str">
        <f aca="false">IF(WEEKDAY(B1701,2)&gt;5,"Weekend","Weekday")</f>
        <v>Weekday</v>
      </c>
      <c r="R1701" s="4" t="str">
        <f aca="false">IF(C1701&lt;11,"Morning (7-10)",IF(C1701&lt;14,"Lunch (11-13)",IF(C1701&lt;18,"Afternoon (14-17)","Evening (18-20)")))</f>
        <v>Lunch (11-13)</v>
      </c>
      <c r="S1701" s="4" t="str">
        <f aca="false">IF(AND(O1701&gt;=3,O1701&lt;=5),"Hot Dry (Mar-May)",IF(AND(O1701&gt;=6,O1701&lt;=11),"Rainy (Jun-Nov)","Cool Dry (Dec-Feb)"))</f>
        <v>Cool Dry (Dec-Feb)</v>
      </c>
      <c r="T1701" s="4" t="str">
        <f aca="false">CHOOSE(O1701,"Jan","Feb","Mar","Apr","May","Jun","Jul","Aug","Sep","Oct","Nov","Dec")</f>
        <v>Dec</v>
      </c>
    </row>
    <row r="1702" customFormat="false" ht="15" hidden="false" customHeight="false" outlineLevel="0" collapsed="false">
      <c r="A1702" s="4" t="s">
        <v>2112</v>
      </c>
      <c r="B1702" s="17" t="n">
        <v>46008</v>
      </c>
      <c r="C1702" s="4" t="n">
        <v>12</v>
      </c>
      <c r="D1702" s="4" t="s">
        <v>64</v>
      </c>
      <c r="E1702" s="4" t="s">
        <v>65</v>
      </c>
      <c r="F1702" s="4" t="s">
        <v>66</v>
      </c>
      <c r="G1702" s="4" t="n">
        <v>1</v>
      </c>
      <c r="H1702" s="34" t="n">
        <v>120</v>
      </c>
      <c r="I1702" s="18" t="n">
        <v>0.05</v>
      </c>
      <c r="J1702" s="4" t="s">
        <v>112</v>
      </c>
      <c r="K1702" s="4" t="s">
        <v>82</v>
      </c>
      <c r="L1702" s="35" t="n">
        <f aca="false">G1702*H1702</f>
        <v>120</v>
      </c>
      <c r="M1702" s="35" t="n">
        <f aca="false">L1702*I1702</f>
        <v>6</v>
      </c>
      <c r="N1702" s="35" t="n">
        <f aca="false">L1702-M1702</f>
        <v>114</v>
      </c>
      <c r="O1702" s="4" t="n">
        <f aca="false">MONTH(B1702)</f>
        <v>12</v>
      </c>
      <c r="P1702" s="4" t="str">
        <f aca="false">CHOOSE(WEEKDAY(B1702,2),"Mon","Tue","Wed","Thu","Fri","Sat","Sun")</f>
        <v>Wed</v>
      </c>
      <c r="Q1702" s="4" t="str">
        <f aca="false">IF(WEEKDAY(B1702,2)&gt;5,"Weekend","Weekday")</f>
        <v>Weekday</v>
      </c>
      <c r="R1702" s="4" t="str">
        <f aca="false">IF(C1702&lt;11,"Morning (7-10)",IF(C1702&lt;14,"Lunch (11-13)",IF(C1702&lt;18,"Afternoon (14-17)","Evening (18-20)")))</f>
        <v>Lunch (11-13)</v>
      </c>
      <c r="S1702" s="4" t="str">
        <f aca="false">IF(AND(O1702&gt;=3,O1702&lt;=5),"Hot Dry (Mar-May)",IF(AND(O1702&gt;=6,O1702&lt;=11),"Rainy (Jun-Nov)","Cool Dry (Dec-Feb)"))</f>
        <v>Cool Dry (Dec-Feb)</v>
      </c>
      <c r="T1702" s="4" t="str">
        <f aca="false">CHOOSE(O1702,"Jan","Feb","Mar","Apr","May","Jun","Jul","Aug","Sep","Oct","Nov","Dec")</f>
        <v>Dec</v>
      </c>
    </row>
    <row r="1703" customFormat="false" ht="15" hidden="false" customHeight="false" outlineLevel="0" collapsed="false">
      <c r="A1703" s="4" t="s">
        <v>2113</v>
      </c>
      <c r="B1703" s="17" t="n">
        <v>46009</v>
      </c>
      <c r="C1703" s="4" t="n">
        <v>14</v>
      </c>
      <c r="D1703" s="4" t="s">
        <v>64</v>
      </c>
      <c r="E1703" s="4" t="s">
        <v>74</v>
      </c>
      <c r="F1703" s="4" t="s">
        <v>139</v>
      </c>
      <c r="G1703" s="4" t="n">
        <v>1</v>
      </c>
      <c r="H1703" s="34" t="n">
        <v>260</v>
      </c>
      <c r="I1703" s="18" t="n">
        <v>0.05</v>
      </c>
      <c r="J1703" s="4" t="s">
        <v>81</v>
      </c>
      <c r="K1703" s="4" t="s">
        <v>82</v>
      </c>
      <c r="L1703" s="35" t="n">
        <f aca="false">G1703*H1703</f>
        <v>260</v>
      </c>
      <c r="M1703" s="35" t="n">
        <f aca="false">L1703*I1703</f>
        <v>13</v>
      </c>
      <c r="N1703" s="35" t="n">
        <f aca="false">L1703-M1703</f>
        <v>247</v>
      </c>
      <c r="O1703" s="4" t="n">
        <f aca="false">MONTH(B1703)</f>
        <v>12</v>
      </c>
      <c r="P1703" s="4" t="str">
        <f aca="false">CHOOSE(WEEKDAY(B1703,2),"Mon","Tue","Wed","Thu","Fri","Sat","Sun")</f>
        <v>Thu</v>
      </c>
      <c r="Q1703" s="4" t="str">
        <f aca="false">IF(WEEKDAY(B1703,2)&gt;5,"Weekend","Weekday")</f>
        <v>Weekday</v>
      </c>
      <c r="R1703" s="4" t="str">
        <f aca="false">IF(C1703&lt;11,"Morning (7-10)",IF(C1703&lt;14,"Lunch (11-13)",IF(C1703&lt;18,"Afternoon (14-17)","Evening (18-20)")))</f>
        <v>Afternoon (14-17)</v>
      </c>
      <c r="S1703" s="4" t="str">
        <f aca="false">IF(AND(O1703&gt;=3,O1703&lt;=5),"Hot Dry (Mar-May)",IF(AND(O1703&gt;=6,O1703&lt;=11),"Rainy (Jun-Nov)","Cool Dry (Dec-Feb)"))</f>
        <v>Cool Dry (Dec-Feb)</v>
      </c>
      <c r="T1703" s="4" t="str">
        <f aca="false">CHOOSE(O1703,"Jan","Feb","Mar","Apr","May","Jun","Jul","Aug","Sep","Oct","Nov","Dec")</f>
        <v>Dec</v>
      </c>
    </row>
    <row r="1704" customFormat="false" ht="15" hidden="false" customHeight="false" outlineLevel="0" collapsed="false">
      <c r="A1704" s="4" t="s">
        <v>2114</v>
      </c>
      <c r="B1704" s="17" t="n">
        <v>46009</v>
      </c>
      <c r="C1704" s="4" t="n">
        <v>16</v>
      </c>
      <c r="D1704" s="4" t="s">
        <v>98</v>
      </c>
      <c r="E1704" s="4" t="s">
        <v>74</v>
      </c>
      <c r="F1704" s="4" t="s">
        <v>91</v>
      </c>
      <c r="G1704" s="4" t="n">
        <v>3</v>
      </c>
      <c r="H1704" s="34" t="n">
        <v>200</v>
      </c>
      <c r="I1704" s="18" t="n">
        <v>0.2</v>
      </c>
      <c r="J1704" s="4" t="s">
        <v>76</v>
      </c>
      <c r="K1704" s="4" t="s">
        <v>71</v>
      </c>
      <c r="L1704" s="35" t="n">
        <f aca="false">G1704*H1704</f>
        <v>600</v>
      </c>
      <c r="M1704" s="35" t="n">
        <f aca="false">L1704*I1704</f>
        <v>120</v>
      </c>
      <c r="N1704" s="35" t="n">
        <f aca="false">L1704-M1704</f>
        <v>480</v>
      </c>
      <c r="O1704" s="4" t="n">
        <f aca="false">MONTH(B1704)</f>
        <v>12</v>
      </c>
      <c r="P1704" s="4" t="str">
        <f aca="false">CHOOSE(WEEKDAY(B1704,2),"Mon","Tue","Wed","Thu","Fri","Sat","Sun")</f>
        <v>Thu</v>
      </c>
      <c r="Q1704" s="4" t="str">
        <f aca="false">IF(WEEKDAY(B1704,2)&gt;5,"Weekend","Weekday")</f>
        <v>Weekday</v>
      </c>
      <c r="R1704" s="4" t="str">
        <f aca="false">IF(C1704&lt;11,"Morning (7-10)",IF(C1704&lt;14,"Lunch (11-13)",IF(C1704&lt;18,"Afternoon (14-17)","Evening (18-20)")))</f>
        <v>Afternoon (14-17)</v>
      </c>
      <c r="S1704" s="4" t="str">
        <f aca="false">IF(AND(O1704&gt;=3,O1704&lt;=5),"Hot Dry (Mar-May)",IF(AND(O1704&gt;=6,O1704&lt;=11),"Rainy (Jun-Nov)","Cool Dry (Dec-Feb)"))</f>
        <v>Cool Dry (Dec-Feb)</v>
      </c>
      <c r="T1704" s="4" t="str">
        <f aca="false">CHOOSE(O1704,"Jan","Feb","Mar","Apr","May","Jun","Jul","Aug","Sep","Oct","Nov","Dec")</f>
        <v>Dec</v>
      </c>
    </row>
    <row r="1705" customFormat="false" ht="15" hidden="false" customHeight="false" outlineLevel="0" collapsed="false">
      <c r="A1705" s="4" t="s">
        <v>2115</v>
      </c>
      <c r="B1705" s="17" t="n">
        <v>46009</v>
      </c>
      <c r="C1705" s="4" t="n">
        <v>17</v>
      </c>
      <c r="D1705" s="4" t="s">
        <v>64</v>
      </c>
      <c r="E1705" s="4" t="s">
        <v>84</v>
      </c>
      <c r="F1705" s="4" t="s">
        <v>85</v>
      </c>
      <c r="G1705" s="4" t="n">
        <v>1</v>
      </c>
      <c r="H1705" s="34" t="n">
        <v>150</v>
      </c>
      <c r="I1705" s="18" t="n">
        <v>0.1</v>
      </c>
      <c r="J1705" s="4" t="s">
        <v>81</v>
      </c>
      <c r="K1705" s="4" t="s">
        <v>71</v>
      </c>
      <c r="L1705" s="35" t="n">
        <f aca="false">G1705*H1705</f>
        <v>150</v>
      </c>
      <c r="M1705" s="35" t="n">
        <f aca="false">L1705*I1705</f>
        <v>15</v>
      </c>
      <c r="N1705" s="35" t="n">
        <f aca="false">L1705-M1705</f>
        <v>135</v>
      </c>
      <c r="O1705" s="4" t="n">
        <f aca="false">MONTH(B1705)</f>
        <v>12</v>
      </c>
      <c r="P1705" s="4" t="str">
        <f aca="false">CHOOSE(WEEKDAY(B1705,2),"Mon","Tue","Wed","Thu","Fri","Sat","Sun")</f>
        <v>Thu</v>
      </c>
      <c r="Q1705" s="4" t="str">
        <f aca="false">IF(WEEKDAY(B1705,2)&gt;5,"Weekend","Weekday")</f>
        <v>Weekday</v>
      </c>
      <c r="R1705" s="4" t="str">
        <f aca="false">IF(C1705&lt;11,"Morning (7-10)",IF(C1705&lt;14,"Lunch (11-13)",IF(C1705&lt;18,"Afternoon (14-17)","Evening (18-20)")))</f>
        <v>Afternoon (14-17)</v>
      </c>
      <c r="S1705" s="4" t="str">
        <f aca="false">IF(AND(O1705&gt;=3,O1705&lt;=5),"Hot Dry (Mar-May)",IF(AND(O1705&gt;=6,O1705&lt;=11),"Rainy (Jun-Nov)","Cool Dry (Dec-Feb)"))</f>
        <v>Cool Dry (Dec-Feb)</v>
      </c>
      <c r="T1705" s="4" t="str">
        <f aca="false">CHOOSE(O1705,"Jan","Feb","Mar","Apr","May","Jun","Jul","Aug","Sep","Oct","Nov","Dec")</f>
        <v>Dec</v>
      </c>
    </row>
    <row r="1706" customFormat="false" ht="15" hidden="false" customHeight="false" outlineLevel="0" collapsed="false">
      <c r="A1706" s="4" t="s">
        <v>2116</v>
      </c>
      <c r="B1706" s="17" t="n">
        <v>46010</v>
      </c>
      <c r="C1706" s="4" t="n">
        <v>8</v>
      </c>
      <c r="D1706" s="4" t="s">
        <v>70</v>
      </c>
      <c r="E1706" s="4" t="s">
        <v>65</v>
      </c>
      <c r="F1706" s="4" t="s">
        <v>94</v>
      </c>
      <c r="G1706" s="4" t="n">
        <v>1</v>
      </c>
      <c r="H1706" s="34" t="n">
        <v>150</v>
      </c>
      <c r="I1706" s="18" t="n">
        <v>0.15</v>
      </c>
      <c r="J1706" s="4" t="s">
        <v>76</v>
      </c>
      <c r="K1706" s="4" t="s">
        <v>77</v>
      </c>
      <c r="L1706" s="35" t="n">
        <f aca="false">G1706*H1706</f>
        <v>150</v>
      </c>
      <c r="M1706" s="35" t="n">
        <f aca="false">L1706*I1706</f>
        <v>22.5</v>
      </c>
      <c r="N1706" s="35" t="n">
        <f aca="false">L1706-M1706</f>
        <v>127.5</v>
      </c>
      <c r="O1706" s="4" t="n">
        <f aca="false">MONTH(B1706)</f>
        <v>12</v>
      </c>
      <c r="P1706" s="4" t="str">
        <f aca="false">CHOOSE(WEEKDAY(B1706,2),"Mon","Tue","Wed","Thu","Fri","Sat","Sun")</f>
        <v>Fri</v>
      </c>
      <c r="Q1706" s="4" t="str">
        <f aca="false">IF(WEEKDAY(B1706,2)&gt;5,"Weekend","Weekday")</f>
        <v>Weekday</v>
      </c>
      <c r="R1706" s="4" t="str">
        <f aca="false">IF(C1706&lt;11,"Morning (7-10)",IF(C1706&lt;14,"Lunch (11-13)",IF(C1706&lt;18,"Afternoon (14-17)","Evening (18-20)")))</f>
        <v>Morning (7-10)</v>
      </c>
      <c r="S1706" s="4" t="str">
        <f aca="false">IF(AND(O1706&gt;=3,O1706&lt;=5),"Hot Dry (Mar-May)",IF(AND(O1706&gt;=6,O1706&lt;=11),"Rainy (Jun-Nov)","Cool Dry (Dec-Feb)"))</f>
        <v>Cool Dry (Dec-Feb)</v>
      </c>
      <c r="T1706" s="4" t="str">
        <f aca="false">CHOOSE(O1706,"Jan","Feb","Mar","Apr","May","Jun","Jul","Aug","Sep","Oct","Nov","Dec")</f>
        <v>Dec</v>
      </c>
    </row>
    <row r="1707" customFormat="false" ht="15" hidden="false" customHeight="false" outlineLevel="0" collapsed="false">
      <c r="A1707" s="4" t="s">
        <v>2118</v>
      </c>
      <c r="B1707" s="17" t="n">
        <v>46010</v>
      </c>
      <c r="C1707" s="4" t="n">
        <v>9</v>
      </c>
      <c r="D1707" s="4" t="s">
        <v>73</v>
      </c>
      <c r="E1707" s="4" t="s">
        <v>79</v>
      </c>
      <c r="F1707" s="4" t="s">
        <v>80</v>
      </c>
      <c r="G1707" s="4" t="n">
        <v>1</v>
      </c>
      <c r="H1707" s="34" t="n">
        <v>160</v>
      </c>
      <c r="I1707" s="18" t="n">
        <v>0</v>
      </c>
      <c r="J1707" s="4" t="s">
        <v>67</v>
      </c>
      <c r="K1707" s="4" t="s">
        <v>77</v>
      </c>
      <c r="L1707" s="35" t="n">
        <f aca="false">G1707*H1707</f>
        <v>160</v>
      </c>
      <c r="M1707" s="35" t="n">
        <f aca="false">L1707*I1707</f>
        <v>0</v>
      </c>
      <c r="N1707" s="35" t="n">
        <f aca="false">L1707-M1707</f>
        <v>160</v>
      </c>
      <c r="O1707" s="4" t="n">
        <f aca="false">MONTH(B1707)</f>
        <v>12</v>
      </c>
      <c r="P1707" s="4" t="str">
        <f aca="false">CHOOSE(WEEKDAY(B1707,2),"Mon","Tue","Wed","Thu","Fri","Sat","Sun")</f>
        <v>Fri</v>
      </c>
      <c r="Q1707" s="4" t="str">
        <f aca="false">IF(WEEKDAY(B1707,2)&gt;5,"Weekend","Weekday")</f>
        <v>Weekday</v>
      </c>
      <c r="R1707" s="4" t="str">
        <f aca="false">IF(C1707&lt;11,"Morning (7-10)",IF(C1707&lt;14,"Lunch (11-13)",IF(C1707&lt;18,"Afternoon (14-17)","Evening (18-20)")))</f>
        <v>Morning (7-10)</v>
      </c>
      <c r="S1707" s="4" t="str">
        <f aca="false">IF(AND(O1707&gt;=3,O1707&lt;=5),"Hot Dry (Mar-May)",IF(AND(O1707&gt;=6,O1707&lt;=11),"Rainy (Jun-Nov)","Cool Dry (Dec-Feb)"))</f>
        <v>Cool Dry (Dec-Feb)</v>
      </c>
      <c r="T1707" s="4" t="str">
        <f aca="false">CHOOSE(O1707,"Jan","Feb","Mar","Apr","May","Jun","Jul","Aug","Sep","Oct","Nov","Dec")</f>
        <v>Dec</v>
      </c>
    </row>
    <row r="1708" customFormat="false" ht="15" hidden="false" customHeight="false" outlineLevel="0" collapsed="false">
      <c r="A1708" s="4" t="s">
        <v>2119</v>
      </c>
      <c r="B1708" s="17" t="n">
        <v>46010</v>
      </c>
      <c r="C1708" s="4" t="n">
        <v>12</v>
      </c>
      <c r="D1708" s="4" t="s">
        <v>70</v>
      </c>
      <c r="E1708" s="4" t="s">
        <v>99</v>
      </c>
      <c r="F1708" s="4" t="s">
        <v>102</v>
      </c>
      <c r="G1708" s="4" t="n">
        <v>1</v>
      </c>
      <c r="H1708" s="34" t="n">
        <v>140</v>
      </c>
      <c r="I1708" s="18" t="n">
        <v>0.1</v>
      </c>
      <c r="J1708" s="4" t="s">
        <v>67</v>
      </c>
      <c r="K1708" s="4" t="s">
        <v>71</v>
      </c>
      <c r="L1708" s="35" t="n">
        <f aca="false">G1708*H1708</f>
        <v>140</v>
      </c>
      <c r="M1708" s="35" t="n">
        <f aca="false">L1708*I1708</f>
        <v>14</v>
      </c>
      <c r="N1708" s="35" t="n">
        <f aca="false">L1708-M1708</f>
        <v>126</v>
      </c>
      <c r="O1708" s="4" t="n">
        <f aca="false">MONTH(B1708)</f>
        <v>12</v>
      </c>
      <c r="P1708" s="4" t="str">
        <f aca="false">CHOOSE(WEEKDAY(B1708,2),"Mon","Tue","Wed","Thu","Fri","Sat","Sun")</f>
        <v>Fri</v>
      </c>
      <c r="Q1708" s="4" t="str">
        <f aca="false">IF(WEEKDAY(B1708,2)&gt;5,"Weekend","Weekday")</f>
        <v>Weekday</v>
      </c>
      <c r="R1708" s="4" t="str">
        <f aca="false">IF(C1708&lt;11,"Morning (7-10)",IF(C1708&lt;14,"Lunch (11-13)",IF(C1708&lt;18,"Afternoon (14-17)","Evening (18-20)")))</f>
        <v>Lunch (11-13)</v>
      </c>
      <c r="S1708" s="4" t="str">
        <f aca="false">IF(AND(O1708&gt;=3,O1708&lt;=5),"Hot Dry (Mar-May)",IF(AND(O1708&gt;=6,O1708&lt;=11),"Rainy (Jun-Nov)","Cool Dry (Dec-Feb)"))</f>
        <v>Cool Dry (Dec-Feb)</v>
      </c>
      <c r="T1708" s="4" t="str">
        <f aca="false">CHOOSE(O1708,"Jan","Feb","Mar","Apr","May","Jun","Jul","Aug","Sep","Oct","Nov","Dec")</f>
        <v>Dec</v>
      </c>
    </row>
    <row r="1709" customFormat="false" ht="15" hidden="false" customHeight="false" outlineLevel="0" collapsed="false">
      <c r="A1709" s="4" t="s">
        <v>2120</v>
      </c>
      <c r="B1709" s="17" t="n">
        <v>46011</v>
      </c>
      <c r="C1709" s="4" t="n">
        <v>10</v>
      </c>
      <c r="D1709" s="4" t="s">
        <v>64</v>
      </c>
      <c r="E1709" s="4" t="s">
        <v>79</v>
      </c>
      <c r="F1709" s="4" t="s">
        <v>135</v>
      </c>
      <c r="G1709" s="4" t="n">
        <v>1</v>
      </c>
      <c r="H1709" s="34" t="n">
        <v>130</v>
      </c>
      <c r="I1709" s="18" t="n">
        <v>0.1</v>
      </c>
      <c r="J1709" s="4" t="s">
        <v>81</v>
      </c>
      <c r="K1709" s="4" t="s">
        <v>77</v>
      </c>
      <c r="L1709" s="35" t="n">
        <f aca="false">G1709*H1709</f>
        <v>130</v>
      </c>
      <c r="M1709" s="35" t="n">
        <f aca="false">L1709*I1709</f>
        <v>13</v>
      </c>
      <c r="N1709" s="35" t="n">
        <f aca="false">L1709-M1709</f>
        <v>117</v>
      </c>
      <c r="O1709" s="4" t="n">
        <f aca="false">MONTH(B1709)</f>
        <v>12</v>
      </c>
      <c r="P1709" s="4" t="str">
        <f aca="false">CHOOSE(WEEKDAY(B1709,2),"Mon","Tue","Wed","Thu","Fri","Sat","Sun")</f>
        <v>Sat</v>
      </c>
      <c r="Q1709" s="4" t="str">
        <f aca="false">IF(WEEKDAY(B1709,2)&gt;5,"Weekend","Weekday")</f>
        <v>Weekend</v>
      </c>
      <c r="R1709" s="4" t="str">
        <f aca="false">IF(C1709&lt;11,"Morning (7-10)",IF(C1709&lt;14,"Lunch (11-13)",IF(C1709&lt;18,"Afternoon (14-17)","Evening (18-20)")))</f>
        <v>Morning (7-10)</v>
      </c>
      <c r="S1709" s="4" t="str">
        <f aca="false">IF(AND(O1709&gt;=3,O1709&lt;=5),"Hot Dry (Mar-May)",IF(AND(O1709&gt;=6,O1709&lt;=11),"Rainy (Jun-Nov)","Cool Dry (Dec-Feb)"))</f>
        <v>Cool Dry (Dec-Feb)</v>
      </c>
      <c r="T1709" s="4" t="str">
        <f aca="false">CHOOSE(O1709,"Jan","Feb","Mar","Apr","May","Jun","Jul","Aug","Sep","Oct","Nov","Dec")</f>
        <v>Dec</v>
      </c>
    </row>
    <row r="1710" customFormat="false" ht="15" hidden="false" customHeight="false" outlineLevel="0" collapsed="false">
      <c r="A1710" s="4" t="s">
        <v>2121</v>
      </c>
      <c r="B1710" s="17" t="n">
        <v>46011</v>
      </c>
      <c r="C1710" s="4" t="n">
        <v>14</v>
      </c>
      <c r="D1710" s="4" t="s">
        <v>70</v>
      </c>
      <c r="E1710" s="4" t="s">
        <v>79</v>
      </c>
      <c r="F1710" s="4" t="s">
        <v>148</v>
      </c>
      <c r="G1710" s="4" t="n">
        <v>4</v>
      </c>
      <c r="H1710" s="34" t="n">
        <v>120</v>
      </c>
      <c r="I1710" s="18" t="n">
        <v>0.05</v>
      </c>
      <c r="J1710" s="4" t="s">
        <v>67</v>
      </c>
      <c r="K1710" s="4" t="s">
        <v>82</v>
      </c>
      <c r="L1710" s="35" t="n">
        <f aca="false">G1710*H1710</f>
        <v>480</v>
      </c>
      <c r="M1710" s="35" t="n">
        <f aca="false">L1710*I1710</f>
        <v>24</v>
      </c>
      <c r="N1710" s="35" t="n">
        <f aca="false">L1710-M1710</f>
        <v>456</v>
      </c>
      <c r="O1710" s="4" t="n">
        <f aca="false">MONTH(B1710)</f>
        <v>12</v>
      </c>
      <c r="P1710" s="4" t="str">
        <f aca="false">CHOOSE(WEEKDAY(B1710,2),"Mon","Tue","Wed","Thu","Fri","Sat","Sun")</f>
        <v>Sat</v>
      </c>
      <c r="Q1710" s="4" t="str">
        <f aca="false">IF(WEEKDAY(B1710,2)&gt;5,"Weekend","Weekday")</f>
        <v>Weekend</v>
      </c>
      <c r="R1710" s="4" t="str">
        <f aca="false">IF(C1710&lt;11,"Morning (7-10)",IF(C1710&lt;14,"Lunch (11-13)",IF(C1710&lt;18,"Afternoon (14-17)","Evening (18-20)")))</f>
        <v>Afternoon (14-17)</v>
      </c>
      <c r="S1710" s="4" t="str">
        <f aca="false">IF(AND(O1710&gt;=3,O1710&lt;=5),"Hot Dry (Mar-May)",IF(AND(O1710&gt;=6,O1710&lt;=11),"Rainy (Jun-Nov)","Cool Dry (Dec-Feb)"))</f>
        <v>Cool Dry (Dec-Feb)</v>
      </c>
      <c r="T1710" s="4" t="str">
        <f aca="false">CHOOSE(O1710,"Jan","Feb","Mar","Apr","May","Jun","Jul","Aug","Sep","Oct","Nov","Dec")</f>
        <v>Dec</v>
      </c>
    </row>
    <row r="1711" customFormat="false" ht="15" hidden="false" customHeight="false" outlineLevel="0" collapsed="false">
      <c r="A1711" s="4" t="s">
        <v>2122</v>
      </c>
      <c r="B1711" s="17" t="n">
        <v>46012</v>
      </c>
      <c r="C1711" s="4" t="n">
        <v>9</v>
      </c>
      <c r="D1711" s="4" t="s">
        <v>64</v>
      </c>
      <c r="E1711" s="4" t="s">
        <v>84</v>
      </c>
      <c r="F1711" s="4" t="s">
        <v>106</v>
      </c>
      <c r="G1711" s="4" t="n">
        <v>2</v>
      </c>
      <c r="H1711" s="34" t="n">
        <v>60</v>
      </c>
      <c r="I1711" s="18" t="n">
        <v>0</v>
      </c>
      <c r="J1711" s="4" t="s">
        <v>81</v>
      </c>
      <c r="K1711" s="4" t="s">
        <v>68</v>
      </c>
      <c r="L1711" s="35" t="n">
        <f aca="false">G1711*H1711</f>
        <v>120</v>
      </c>
      <c r="M1711" s="35" t="n">
        <f aca="false">L1711*I1711</f>
        <v>0</v>
      </c>
      <c r="N1711" s="35" t="n">
        <f aca="false">L1711-M1711</f>
        <v>120</v>
      </c>
      <c r="O1711" s="4" t="n">
        <f aca="false">MONTH(B1711)</f>
        <v>12</v>
      </c>
      <c r="P1711" s="4" t="str">
        <f aca="false">CHOOSE(WEEKDAY(B1711,2),"Mon","Tue","Wed","Thu","Fri","Sat","Sun")</f>
        <v>Sun</v>
      </c>
      <c r="Q1711" s="4" t="str">
        <f aca="false">IF(WEEKDAY(B1711,2)&gt;5,"Weekend","Weekday")</f>
        <v>Weekend</v>
      </c>
      <c r="R1711" s="4" t="str">
        <f aca="false">IF(C1711&lt;11,"Morning (7-10)",IF(C1711&lt;14,"Lunch (11-13)",IF(C1711&lt;18,"Afternoon (14-17)","Evening (18-20)")))</f>
        <v>Morning (7-10)</v>
      </c>
      <c r="S1711" s="4" t="str">
        <f aca="false">IF(AND(O1711&gt;=3,O1711&lt;=5),"Hot Dry (Mar-May)",IF(AND(O1711&gt;=6,O1711&lt;=11),"Rainy (Jun-Nov)","Cool Dry (Dec-Feb)"))</f>
        <v>Cool Dry (Dec-Feb)</v>
      </c>
      <c r="T1711" s="4" t="str">
        <f aca="false">CHOOSE(O1711,"Jan","Feb","Mar","Apr","May","Jun","Jul","Aug","Sep","Oct","Nov","Dec")</f>
        <v>Dec</v>
      </c>
    </row>
    <row r="1712" customFormat="false" ht="15" hidden="false" customHeight="false" outlineLevel="0" collapsed="false">
      <c r="A1712" s="4" t="s">
        <v>2123</v>
      </c>
      <c r="B1712" s="17" t="n">
        <v>46012</v>
      </c>
      <c r="C1712" s="4" t="n">
        <v>14</v>
      </c>
      <c r="D1712" s="4" t="s">
        <v>70</v>
      </c>
      <c r="E1712" s="4" t="s">
        <v>84</v>
      </c>
      <c r="F1712" s="4" t="s">
        <v>85</v>
      </c>
      <c r="G1712" s="4" t="n">
        <v>1</v>
      </c>
      <c r="H1712" s="34" t="n">
        <v>150</v>
      </c>
      <c r="I1712" s="18" t="n">
        <v>0.15</v>
      </c>
      <c r="J1712" s="4" t="s">
        <v>81</v>
      </c>
      <c r="K1712" s="4" t="s">
        <v>77</v>
      </c>
      <c r="L1712" s="35" t="n">
        <f aca="false">G1712*H1712</f>
        <v>150</v>
      </c>
      <c r="M1712" s="35" t="n">
        <f aca="false">L1712*I1712</f>
        <v>22.5</v>
      </c>
      <c r="N1712" s="35" t="n">
        <f aca="false">L1712-M1712</f>
        <v>127.5</v>
      </c>
      <c r="O1712" s="4" t="n">
        <f aca="false">MONTH(B1712)</f>
        <v>12</v>
      </c>
      <c r="P1712" s="4" t="str">
        <f aca="false">CHOOSE(WEEKDAY(B1712,2),"Mon","Tue","Wed","Thu","Fri","Sat","Sun")</f>
        <v>Sun</v>
      </c>
      <c r="Q1712" s="4" t="str">
        <f aca="false">IF(WEEKDAY(B1712,2)&gt;5,"Weekend","Weekday")</f>
        <v>Weekend</v>
      </c>
      <c r="R1712" s="4" t="str">
        <f aca="false">IF(C1712&lt;11,"Morning (7-10)",IF(C1712&lt;14,"Lunch (11-13)",IF(C1712&lt;18,"Afternoon (14-17)","Evening (18-20)")))</f>
        <v>Afternoon (14-17)</v>
      </c>
      <c r="S1712" s="4" t="str">
        <f aca="false">IF(AND(O1712&gt;=3,O1712&lt;=5),"Hot Dry (Mar-May)",IF(AND(O1712&gt;=6,O1712&lt;=11),"Rainy (Jun-Nov)","Cool Dry (Dec-Feb)"))</f>
        <v>Cool Dry (Dec-Feb)</v>
      </c>
      <c r="T1712" s="4" t="str">
        <f aca="false">CHOOSE(O1712,"Jan","Feb","Mar","Apr","May","Jun","Jul","Aug","Sep","Oct","Nov","Dec")</f>
        <v>Dec</v>
      </c>
    </row>
    <row r="1713" customFormat="false" ht="15" hidden="false" customHeight="false" outlineLevel="0" collapsed="false">
      <c r="A1713" s="4" t="s">
        <v>2124</v>
      </c>
      <c r="B1713" s="17" t="n">
        <v>46012</v>
      </c>
      <c r="C1713" s="4" t="n">
        <v>15</v>
      </c>
      <c r="D1713" s="4" t="s">
        <v>64</v>
      </c>
      <c r="E1713" s="4" t="s">
        <v>74</v>
      </c>
      <c r="F1713" s="4" t="s">
        <v>91</v>
      </c>
      <c r="G1713" s="4" t="n">
        <v>1</v>
      </c>
      <c r="H1713" s="34" t="n">
        <v>200</v>
      </c>
      <c r="I1713" s="18" t="n">
        <v>0.05</v>
      </c>
      <c r="J1713" s="4" t="s">
        <v>67</v>
      </c>
      <c r="K1713" s="4" t="s">
        <v>82</v>
      </c>
      <c r="L1713" s="35" t="n">
        <f aca="false">G1713*H1713</f>
        <v>200</v>
      </c>
      <c r="M1713" s="35" t="n">
        <f aca="false">L1713*I1713</f>
        <v>10</v>
      </c>
      <c r="N1713" s="35" t="n">
        <f aca="false">L1713-M1713</f>
        <v>190</v>
      </c>
      <c r="O1713" s="4" t="n">
        <f aca="false">MONTH(B1713)</f>
        <v>12</v>
      </c>
      <c r="P1713" s="4" t="str">
        <f aca="false">CHOOSE(WEEKDAY(B1713,2),"Mon","Tue","Wed","Thu","Fri","Sat","Sun")</f>
        <v>Sun</v>
      </c>
      <c r="Q1713" s="4" t="str">
        <f aca="false">IF(WEEKDAY(B1713,2)&gt;5,"Weekend","Weekday")</f>
        <v>Weekend</v>
      </c>
      <c r="R1713" s="4" t="str">
        <f aca="false">IF(C1713&lt;11,"Morning (7-10)",IF(C1713&lt;14,"Lunch (11-13)",IF(C1713&lt;18,"Afternoon (14-17)","Evening (18-20)")))</f>
        <v>Afternoon (14-17)</v>
      </c>
      <c r="S1713" s="4" t="str">
        <f aca="false">IF(AND(O1713&gt;=3,O1713&lt;=5),"Hot Dry (Mar-May)",IF(AND(O1713&gt;=6,O1713&lt;=11),"Rainy (Jun-Nov)","Cool Dry (Dec-Feb)"))</f>
        <v>Cool Dry (Dec-Feb)</v>
      </c>
      <c r="T1713" s="4" t="str">
        <f aca="false">CHOOSE(O1713,"Jan","Feb","Mar","Apr","May","Jun","Jul","Aug","Sep","Oct","Nov","Dec")</f>
        <v>Dec</v>
      </c>
    </row>
    <row r="1714" customFormat="false" ht="15" hidden="false" customHeight="false" outlineLevel="0" collapsed="false">
      <c r="A1714" s="4" t="s">
        <v>2125</v>
      </c>
      <c r="B1714" s="17" t="n">
        <v>46012</v>
      </c>
      <c r="C1714" s="4" t="n">
        <v>16</v>
      </c>
      <c r="D1714" s="4" t="s">
        <v>98</v>
      </c>
      <c r="E1714" s="4" t="s">
        <v>79</v>
      </c>
      <c r="F1714" s="4" t="s">
        <v>80</v>
      </c>
      <c r="G1714" s="4" t="n">
        <v>1</v>
      </c>
      <c r="H1714" s="34" t="n">
        <v>160</v>
      </c>
      <c r="I1714" s="18" t="n">
        <v>0.05</v>
      </c>
      <c r="J1714" s="4" t="s">
        <v>67</v>
      </c>
      <c r="K1714" s="4" t="s">
        <v>82</v>
      </c>
      <c r="L1714" s="35" t="n">
        <f aca="false">G1714*H1714</f>
        <v>160</v>
      </c>
      <c r="M1714" s="35" t="n">
        <f aca="false">L1714*I1714</f>
        <v>8</v>
      </c>
      <c r="N1714" s="35" t="n">
        <f aca="false">L1714-M1714</f>
        <v>152</v>
      </c>
      <c r="O1714" s="4" t="n">
        <f aca="false">MONTH(B1714)</f>
        <v>12</v>
      </c>
      <c r="P1714" s="4" t="str">
        <f aca="false">CHOOSE(WEEKDAY(B1714,2),"Mon","Tue","Wed","Thu","Fri","Sat","Sun")</f>
        <v>Sun</v>
      </c>
      <c r="Q1714" s="4" t="str">
        <f aca="false">IF(WEEKDAY(B1714,2)&gt;5,"Weekend","Weekday")</f>
        <v>Weekend</v>
      </c>
      <c r="R1714" s="4" t="str">
        <f aca="false">IF(C1714&lt;11,"Morning (7-10)",IF(C1714&lt;14,"Lunch (11-13)",IF(C1714&lt;18,"Afternoon (14-17)","Evening (18-20)")))</f>
        <v>Afternoon (14-17)</v>
      </c>
      <c r="S1714" s="4" t="str">
        <f aca="false">IF(AND(O1714&gt;=3,O1714&lt;=5),"Hot Dry (Mar-May)",IF(AND(O1714&gt;=6,O1714&lt;=11),"Rainy (Jun-Nov)","Cool Dry (Dec-Feb)"))</f>
        <v>Cool Dry (Dec-Feb)</v>
      </c>
      <c r="T1714" s="4" t="str">
        <f aca="false">CHOOSE(O1714,"Jan","Feb","Mar","Apr","May","Jun","Jul","Aug","Sep","Oct","Nov","Dec")</f>
        <v>Dec</v>
      </c>
    </row>
    <row r="1715" customFormat="false" ht="15" hidden="false" customHeight="false" outlineLevel="0" collapsed="false">
      <c r="A1715" s="4" t="s">
        <v>2126</v>
      </c>
      <c r="B1715" s="17" t="n">
        <v>46012</v>
      </c>
      <c r="C1715" s="4" t="n">
        <v>17</v>
      </c>
      <c r="D1715" s="4" t="s">
        <v>73</v>
      </c>
      <c r="E1715" s="4" t="s">
        <v>84</v>
      </c>
      <c r="F1715" s="4" t="s">
        <v>106</v>
      </c>
      <c r="G1715" s="4" t="n">
        <v>2</v>
      </c>
      <c r="H1715" s="34" t="n">
        <v>60</v>
      </c>
      <c r="I1715" s="18" t="n">
        <v>0</v>
      </c>
      <c r="J1715" s="4" t="s">
        <v>81</v>
      </c>
      <c r="K1715" s="4" t="s">
        <v>68</v>
      </c>
      <c r="L1715" s="35" t="n">
        <f aca="false">G1715*H1715</f>
        <v>120</v>
      </c>
      <c r="M1715" s="35" t="n">
        <f aca="false">L1715*I1715</f>
        <v>0</v>
      </c>
      <c r="N1715" s="35" t="n">
        <f aca="false">L1715-M1715</f>
        <v>120</v>
      </c>
      <c r="O1715" s="4" t="n">
        <f aca="false">MONTH(B1715)</f>
        <v>12</v>
      </c>
      <c r="P1715" s="4" t="str">
        <f aca="false">CHOOSE(WEEKDAY(B1715,2),"Mon","Tue","Wed","Thu","Fri","Sat","Sun")</f>
        <v>Sun</v>
      </c>
      <c r="Q1715" s="4" t="str">
        <f aca="false">IF(WEEKDAY(B1715,2)&gt;5,"Weekend","Weekday")</f>
        <v>Weekend</v>
      </c>
      <c r="R1715" s="4" t="str">
        <f aca="false">IF(C1715&lt;11,"Morning (7-10)",IF(C1715&lt;14,"Lunch (11-13)",IF(C1715&lt;18,"Afternoon (14-17)","Evening (18-20)")))</f>
        <v>Afternoon (14-17)</v>
      </c>
      <c r="S1715" s="4" t="str">
        <f aca="false">IF(AND(O1715&gt;=3,O1715&lt;=5),"Hot Dry (Mar-May)",IF(AND(O1715&gt;=6,O1715&lt;=11),"Rainy (Jun-Nov)","Cool Dry (Dec-Feb)"))</f>
        <v>Cool Dry (Dec-Feb)</v>
      </c>
      <c r="T1715" s="4" t="str">
        <f aca="false">CHOOSE(O1715,"Jan","Feb","Mar","Apr","May","Jun","Jul","Aug","Sep","Oct","Nov","Dec")</f>
        <v>Dec</v>
      </c>
    </row>
    <row r="1716" customFormat="false" ht="15" hidden="false" customHeight="false" outlineLevel="0" collapsed="false">
      <c r="A1716" s="4" t="s">
        <v>2127</v>
      </c>
      <c r="B1716" s="17" t="n">
        <v>46013</v>
      </c>
      <c r="C1716" s="4" t="n">
        <v>7</v>
      </c>
      <c r="D1716" s="4" t="s">
        <v>70</v>
      </c>
      <c r="E1716" s="4" t="s">
        <v>99</v>
      </c>
      <c r="F1716" s="4" t="s">
        <v>102</v>
      </c>
      <c r="G1716" s="4" t="n">
        <v>3</v>
      </c>
      <c r="H1716" s="34" t="n">
        <v>140</v>
      </c>
      <c r="I1716" s="18" t="n">
        <v>0.1</v>
      </c>
      <c r="J1716" s="4" t="s">
        <v>76</v>
      </c>
      <c r="K1716" s="4" t="s">
        <v>71</v>
      </c>
      <c r="L1716" s="35" t="n">
        <f aca="false">G1716*H1716</f>
        <v>420</v>
      </c>
      <c r="M1716" s="35" t="n">
        <f aca="false">L1716*I1716</f>
        <v>42</v>
      </c>
      <c r="N1716" s="35" t="n">
        <f aca="false">L1716-M1716</f>
        <v>378</v>
      </c>
      <c r="O1716" s="4" t="n">
        <f aca="false">MONTH(B1716)</f>
        <v>12</v>
      </c>
      <c r="P1716" s="4" t="str">
        <f aca="false">CHOOSE(WEEKDAY(B1716,2),"Mon","Tue","Wed","Thu","Fri","Sat","Sun")</f>
        <v>Mon</v>
      </c>
      <c r="Q1716" s="4" t="str">
        <f aca="false">IF(WEEKDAY(B1716,2)&gt;5,"Weekend","Weekday")</f>
        <v>Weekday</v>
      </c>
      <c r="R1716" s="4" t="str">
        <f aca="false">IF(C1716&lt;11,"Morning (7-10)",IF(C1716&lt;14,"Lunch (11-13)",IF(C1716&lt;18,"Afternoon (14-17)","Evening (18-20)")))</f>
        <v>Morning (7-10)</v>
      </c>
      <c r="S1716" s="4" t="str">
        <f aca="false">IF(AND(O1716&gt;=3,O1716&lt;=5),"Hot Dry (Mar-May)",IF(AND(O1716&gt;=6,O1716&lt;=11),"Rainy (Jun-Nov)","Cool Dry (Dec-Feb)"))</f>
        <v>Cool Dry (Dec-Feb)</v>
      </c>
      <c r="T1716" s="4" t="str">
        <f aca="false">CHOOSE(O1716,"Jan","Feb","Mar","Apr","May","Jun","Jul","Aug","Sep","Oct","Nov","Dec")</f>
        <v>Dec</v>
      </c>
    </row>
    <row r="1717" customFormat="false" ht="15" hidden="false" customHeight="false" outlineLevel="0" collapsed="false">
      <c r="A1717" s="4" t="s">
        <v>2128</v>
      </c>
      <c r="B1717" s="17" t="n">
        <v>46013</v>
      </c>
      <c r="C1717" s="4" t="n">
        <v>10</v>
      </c>
      <c r="D1717" s="4" t="s">
        <v>64</v>
      </c>
      <c r="E1717" s="4" t="s">
        <v>84</v>
      </c>
      <c r="F1717" s="4" t="s">
        <v>117</v>
      </c>
      <c r="G1717" s="4" t="n">
        <v>1</v>
      </c>
      <c r="H1717" s="34" t="n">
        <v>95</v>
      </c>
      <c r="I1717" s="18" t="n">
        <v>0</v>
      </c>
      <c r="J1717" s="4" t="s">
        <v>67</v>
      </c>
      <c r="K1717" s="4" t="s">
        <v>77</v>
      </c>
      <c r="L1717" s="35" t="n">
        <f aca="false">G1717*H1717</f>
        <v>95</v>
      </c>
      <c r="M1717" s="35" t="n">
        <f aca="false">L1717*I1717</f>
        <v>0</v>
      </c>
      <c r="N1717" s="35" t="n">
        <f aca="false">L1717-M1717</f>
        <v>95</v>
      </c>
      <c r="O1717" s="4" t="n">
        <f aca="false">MONTH(B1717)</f>
        <v>12</v>
      </c>
      <c r="P1717" s="4" t="str">
        <f aca="false">CHOOSE(WEEKDAY(B1717,2),"Mon","Tue","Wed","Thu","Fri","Sat","Sun")</f>
        <v>Mon</v>
      </c>
      <c r="Q1717" s="4" t="str">
        <f aca="false">IF(WEEKDAY(B1717,2)&gt;5,"Weekend","Weekday")</f>
        <v>Weekday</v>
      </c>
      <c r="R1717" s="4" t="str">
        <f aca="false">IF(C1717&lt;11,"Morning (7-10)",IF(C1717&lt;14,"Lunch (11-13)",IF(C1717&lt;18,"Afternoon (14-17)","Evening (18-20)")))</f>
        <v>Morning (7-10)</v>
      </c>
      <c r="S1717" s="4" t="str">
        <f aca="false">IF(AND(O1717&gt;=3,O1717&lt;=5),"Hot Dry (Mar-May)",IF(AND(O1717&gt;=6,O1717&lt;=11),"Rainy (Jun-Nov)","Cool Dry (Dec-Feb)"))</f>
        <v>Cool Dry (Dec-Feb)</v>
      </c>
      <c r="T1717" s="4" t="str">
        <f aca="false">CHOOSE(O1717,"Jan","Feb","Mar","Apr","May","Jun","Jul","Aug","Sep","Oct","Nov","Dec")</f>
        <v>Dec</v>
      </c>
    </row>
    <row r="1718" customFormat="false" ht="15" hidden="false" customHeight="false" outlineLevel="0" collapsed="false">
      <c r="A1718" s="4" t="s">
        <v>2129</v>
      </c>
      <c r="B1718" s="17" t="n">
        <v>46013</v>
      </c>
      <c r="C1718" s="4" t="n">
        <v>11</v>
      </c>
      <c r="D1718" s="4" t="s">
        <v>70</v>
      </c>
      <c r="E1718" s="4" t="s">
        <v>99</v>
      </c>
      <c r="F1718" s="4" t="s">
        <v>100</v>
      </c>
      <c r="G1718" s="4" t="n">
        <v>2</v>
      </c>
      <c r="H1718" s="34" t="n">
        <v>110</v>
      </c>
      <c r="I1718" s="18" t="n">
        <v>0</v>
      </c>
      <c r="J1718" s="4" t="s">
        <v>88</v>
      </c>
      <c r="K1718" s="4" t="s">
        <v>77</v>
      </c>
      <c r="L1718" s="35" t="n">
        <f aca="false">G1718*H1718</f>
        <v>220</v>
      </c>
      <c r="M1718" s="35" t="n">
        <f aca="false">L1718*I1718</f>
        <v>0</v>
      </c>
      <c r="N1718" s="35" t="n">
        <f aca="false">L1718-M1718</f>
        <v>220</v>
      </c>
      <c r="O1718" s="4" t="n">
        <f aca="false">MONTH(B1718)</f>
        <v>12</v>
      </c>
      <c r="P1718" s="4" t="str">
        <f aca="false">CHOOSE(WEEKDAY(B1718,2),"Mon","Tue","Wed","Thu","Fri","Sat","Sun")</f>
        <v>Mon</v>
      </c>
      <c r="Q1718" s="4" t="str">
        <f aca="false">IF(WEEKDAY(B1718,2)&gt;5,"Weekend","Weekday")</f>
        <v>Weekday</v>
      </c>
      <c r="R1718" s="4" t="str">
        <f aca="false">IF(C1718&lt;11,"Morning (7-10)",IF(C1718&lt;14,"Lunch (11-13)",IF(C1718&lt;18,"Afternoon (14-17)","Evening (18-20)")))</f>
        <v>Lunch (11-13)</v>
      </c>
      <c r="S1718" s="4" t="str">
        <f aca="false">IF(AND(O1718&gt;=3,O1718&lt;=5),"Hot Dry (Mar-May)",IF(AND(O1718&gt;=6,O1718&lt;=11),"Rainy (Jun-Nov)","Cool Dry (Dec-Feb)"))</f>
        <v>Cool Dry (Dec-Feb)</v>
      </c>
      <c r="T1718" s="4" t="str">
        <f aca="false">CHOOSE(O1718,"Jan","Feb","Mar","Apr","May","Jun","Jul","Aug","Sep","Oct","Nov","Dec")</f>
        <v>Dec</v>
      </c>
    </row>
    <row r="1719" customFormat="false" ht="15" hidden="false" customHeight="false" outlineLevel="0" collapsed="false">
      <c r="A1719" s="4" t="s">
        <v>2131</v>
      </c>
      <c r="B1719" s="17" t="n">
        <v>46013</v>
      </c>
      <c r="C1719" s="4" t="n">
        <v>13</v>
      </c>
      <c r="D1719" s="4" t="s">
        <v>64</v>
      </c>
      <c r="E1719" s="4" t="s">
        <v>74</v>
      </c>
      <c r="F1719" s="4" t="s">
        <v>75</v>
      </c>
      <c r="G1719" s="4" t="n">
        <v>1</v>
      </c>
      <c r="H1719" s="34" t="n">
        <v>220</v>
      </c>
      <c r="I1719" s="18" t="n">
        <v>0</v>
      </c>
      <c r="J1719" s="4" t="s">
        <v>76</v>
      </c>
      <c r="K1719" s="4" t="s">
        <v>77</v>
      </c>
      <c r="L1719" s="35" t="n">
        <f aca="false">G1719*H1719</f>
        <v>220</v>
      </c>
      <c r="M1719" s="35" t="n">
        <f aca="false">L1719*I1719</f>
        <v>0</v>
      </c>
      <c r="N1719" s="35" t="n">
        <f aca="false">L1719-M1719</f>
        <v>220</v>
      </c>
      <c r="O1719" s="4" t="n">
        <f aca="false">MONTH(B1719)</f>
        <v>12</v>
      </c>
      <c r="P1719" s="4" t="str">
        <f aca="false">CHOOSE(WEEKDAY(B1719,2),"Mon","Tue","Wed","Thu","Fri","Sat","Sun")</f>
        <v>Mon</v>
      </c>
      <c r="Q1719" s="4" t="str">
        <f aca="false">IF(WEEKDAY(B1719,2)&gt;5,"Weekend","Weekday")</f>
        <v>Weekday</v>
      </c>
      <c r="R1719" s="4" t="str">
        <f aca="false">IF(C1719&lt;11,"Morning (7-10)",IF(C1719&lt;14,"Lunch (11-13)",IF(C1719&lt;18,"Afternoon (14-17)","Evening (18-20)")))</f>
        <v>Lunch (11-13)</v>
      </c>
      <c r="S1719" s="4" t="str">
        <f aca="false">IF(AND(O1719&gt;=3,O1719&lt;=5),"Hot Dry (Mar-May)",IF(AND(O1719&gt;=6,O1719&lt;=11),"Rainy (Jun-Nov)","Cool Dry (Dec-Feb)"))</f>
        <v>Cool Dry (Dec-Feb)</v>
      </c>
      <c r="T1719" s="4" t="str">
        <f aca="false">CHOOSE(O1719,"Jan","Feb","Mar","Apr","May","Jun","Jul","Aug","Sep","Oct","Nov","Dec")</f>
        <v>Dec</v>
      </c>
    </row>
    <row r="1720" customFormat="false" ht="15" hidden="false" customHeight="false" outlineLevel="0" collapsed="false">
      <c r="A1720" s="4" t="s">
        <v>2132</v>
      </c>
      <c r="B1720" s="17" t="n">
        <v>46013</v>
      </c>
      <c r="C1720" s="4" t="n">
        <v>14</v>
      </c>
      <c r="D1720" s="4" t="s">
        <v>64</v>
      </c>
      <c r="E1720" s="4" t="s">
        <v>99</v>
      </c>
      <c r="F1720" s="4" t="s">
        <v>102</v>
      </c>
      <c r="G1720" s="4" t="n">
        <v>4</v>
      </c>
      <c r="H1720" s="34" t="n">
        <v>140</v>
      </c>
      <c r="I1720" s="18" t="n">
        <v>0.1</v>
      </c>
      <c r="J1720" s="4" t="s">
        <v>76</v>
      </c>
      <c r="K1720" s="4" t="s">
        <v>68</v>
      </c>
      <c r="L1720" s="35" t="n">
        <f aca="false">G1720*H1720</f>
        <v>560</v>
      </c>
      <c r="M1720" s="35" t="n">
        <f aca="false">L1720*I1720</f>
        <v>56</v>
      </c>
      <c r="N1720" s="35" t="n">
        <f aca="false">L1720-M1720</f>
        <v>504</v>
      </c>
      <c r="O1720" s="4" t="n">
        <f aca="false">MONTH(B1720)</f>
        <v>12</v>
      </c>
      <c r="P1720" s="4" t="str">
        <f aca="false">CHOOSE(WEEKDAY(B1720,2),"Mon","Tue","Wed","Thu","Fri","Sat","Sun")</f>
        <v>Mon</v>
      </c>
      <c r="Q1720" s="4" t="str">
        <f aca="false">IF(WEEKDAY(B1720,2)&gt;5,"Weekend","Weekday")</f>
        <v>Weekday</v>
      </c>
      <c r="R1720" s="4" t="str">
        <f aca="false">IF(C1720&lt;11,"Morning (7-10)",IF(C1720&lt;14,"Lunch (11-13)",IF(C1720&lt;18,"Afternoon (14-17)","Evening (18-20)")))</f>
        <v>Afternoon (14-17)</v>
      </c>
      <c r="S1720" s="4" t="str">
        <f aca="false">IF(AND(O1720&gt;=3,O1720&lt;=5),"Hot Dry (Mar-May)",IF(AND(O1720&gt;=6,O1720&lt;=11),"Rainy (Jun-Nov)","Cool Dry (Dec-Feb)"))</f>
        <v>Cool Dry (Dec-Feb)</v>
      </c>
      <c r="T1720" s="4" t="str">
        <f aca="false">CHOOSE(O1720,"Jan","Feb","Mar","Apr","May","Jun","Jul","Aug","Sep","Oct","Nov","Dec")</f>
        <v>Dec</v>
      </c>
    </row>
    <row r="1721" customFormat="false" ht="15" hidden="false" customHeight="false" outlineLevel="0" collapsed="false">
      <c r="A1721" s="4" t="s">
        <v>2133</v>
      </c>
      <c r="B1721" s="17" t="n">
        <v>46013</v>
      </c>
      <c r="C1721" s="4" t="n">
        <v>15</v>
      </c>
      <c r="D1721" s="4" t="s">
        <v>98</v>
      </c>
      <c r="E1721" s="4" t="s">
        <v>65</v>
      </c>
      <c r="F1721" s="4" t="s">
        <v>66</v>
      </c>
      <c r="G1721" s="4" t="n">
        <v>1</v>
      </c>
      <c r="H1721" s="34" t="n">
        <v>120</v>
      </c>
      <c r="I1721" s="18" t="n">
        <v>0.1</v>
      </c>
      <c r="J1721" s="4" t="s">
        <v>81</v>
      </c>
      <c r="K1721" s="4" t="s">
        <v>77</v>
      </c>
      <c r="L1721" s="35" t="n">
        <f aca="false">G1721*H1721</f>
        <v>120</v>
      </c>
      <c r="M1721" s="35" t="n">
        <f aca="false">L1721*I1721</f>
        <v>12</v>
      </c>
      <c r="N1721" s="35" t="n">
        <f aca="false">L1721-M1721</f>
        <v>108</v>
      </c>
      <c r="O1721" s="4" t="n">
        <f aca="false">MONTH(B1721)</f>
        <v>12</v>
      </c>
      <c r="P1721" s="4" t="str">
        <f aca="false">CHOOSE(WEEKDAY(B1721,2),"Mon","Tue","Wed","Thu","Fri","Sat","Sun")</f>
        <v>Mon</v>
      </c>
      <c r="Q1721" s="4" t="str">
        <f aca="false">IF(WEEKDAY(B1721,2)&gt;5,"Weekend","Weekday")</f>
        <v>Weekday</v>
      </c>
      <c r="R1721" s="4" t="str">
        <f aca="false">IF(C1721&lt;11,"Morning (7-10)",IF(C1721&lt;14,"Lunch (11-13)",IF(C1721&lt;18,"Afternoon (14-17)","Evening (18-20)")))</f>
        <v>Afternoon (14-17)</v>
      </c>
      <c r="S1721" s="4" t="str">
        <f aca="false">IF(AND(O1721&gt;=3,O1721&lt;=5),"Hot Dry (Mar-May)",IF(AND(O1721&gt;=6,O1721&lt;=11),"Rainy (Jun-Nov)","Cool Dry (Dec-Feb)"))</f>
        <v>Cool Dry (Dec-Feb)</v>
      </c>
      <c r="T1721" s="4" t="str">
        <f aca="false">CHOOSE(O1721,"Jan","Feb","Mar","Apr","May","Jun","Jul","Aug","Sep","Oct","Nov","Dec")</f>
        <v>Dec</v>
      </c>
    </row>
    <row r="1722" customFormat="false" ht="15" hidden="false" customHeight="false" outlineLevel="0" collapsed="false">
      <c r="A1722" s="4" t="s">
        <v>2134</v>
      </c>
      <c r="B1722" s="17" t="n">
        <v>46013</v>
      </c>
      <c r="C1722" s="4" t="n">
        <v>20</v>
      </c>
      <c r="D1722" s="4" t="s">
        <v>70</v>
      </c>
      <c r="E1722" s="4" t="s">
        <v>65</v>
      </c>
      <c r="F1722" s="4" t="s">
        <v>121</v>
      </c>
      <c r="G1722" s="4" t="n">
        <v>3</v>
      </c>
      <c r="H1722" s="34" t="n">
        <v>170</v>
      </c>
      <c r="I1722" s="18" t="n">
        <v>0</v>
      </c>
      <c r="J1722" s="4" t="s">
        <v>112</v>
      </c>
      <c r="K1722" s="4" t="s">
        <v>77</v>
      </c>
      <c r="L1722" s="35" t="n">
        <f aca="false">G1722*H1722</f>
        <v>510</v>
      </c>
      <c r="M1722" s="35" t="n">
        <f aca="false">L1722*I1722</f>
        <v>0</v>
      </c>
      <c r="N1722" s="35" t="n">
        <f aca="false">L1722-M1722</f>
        <v>510</v>
      </c>
      <c r="O1722" s="4" t="n">
        <f aca="false">MONTH(B1722)</f>
        <v>12</v>
      </c>
      <c r="P1722" s="4" t="str">
        <f aca="false">CHOOSE(WEEKDAY(B1722,2),"Mon","Tue","Wed","Thu","Fri","Sat","Sun")</f>
        <v>Mon</v>
      </c>
      <c r="Q1722" s="4" t="str">
        <f aca="false">IF(WEEKDAY(B1722,2)&gt;5,"Weekend","Weekday")</f>
        <v>Weekday</v>
      </c>
      <c r="R1722" s="4" t="str">
        <f aca="false">IF(C1722&lt;11,"Morning (7-10)",IF(C1722&lt;14,"Lunch (11-13)",IF(C1722&lt;18,"Afternoon (14-17)","Evening (18-20)")))</f>
        <v>Evening (18-20)</v>
      </c>
      <c r="S1722" s="4" t="str">
        <f aca="false">IF(AND(O1722&gt;=3,O1722&lt;=5),"Hot Dry (Mar-May)",IF(AND(O1722&gt;=6,O1722&lt;=11),"Rainy (Jun-Nov)","Cool Dry (Dec-Feb)"))</f>
        <v>Cool Dry (Dec-Feb)</v>
      </c>
      <c r="T1722" s="4" t="str">
        <f aca="false">CHOOSE(O1722,"Jan","Feb","Mar","Apr","May","Jun","Jul","Aug","Sep","Oct","Nov","Dec")</f>
        <v>Dec</v>
      </c>
    </row>
    <row r="1723" customFormat="false" ht="15" hidden="false" customHeight="false" outlineLevel="0" collapsed="false">
      <c r="A1723" s="4" t="s">
        <v>2135</v>
      </c>
      <c r="B1723" s="17" t="n">
        <v>46014</v>
      </c>
      <c r="C1723" s="4" t="n">
        <v>8</v>
      </c>
      <c r="D1723" s="4" t="s">
        <v>70</v>
      </c>
      <c r="E1723" s="4" t="s">
        <v>65</v>
      </c>
      <c r="F1723" s="4" t="s">
        <v>87</v>
      </c>
      <c r="G1723" s="4" t="n">
        <v>1</v>
      </c>
      <c r="H1723" s="34" t="n">
        <v>160</v>
      </c>
      <c r="I1723" s="18" t="n">
        <v>0.05</v>
      </c>
      <c r="J1723" s="4" t="s">
        <v>81</v>
      </c>
      <c r="K1723" s="4" t="s">
        <v>82</v>
      </c>
      <c r="L1723" s="35" t="n">
        <f aca="false">G1723*H1723</f>
        <v>160</v>
      </c>
      <c r="M1723" s="35" t="n">
        <f aca="false">L1723*I1723</f>
        <v>8</v>
      </c>
      <c r="N1723" s="35" t="n">
        <f aca="false">L1723-M1723</f>
        <v>152</v>
      </c>
      <c r="O1723" s="4" t="n">
        <f aca="false">MONTH(B1723)</f>
        <v>12</v>
      </c>
      <c r="P1723" s="4" t="str">
        <f aca="false">CHOOSE(WEEKDAY(B1723,2),"Mon","Tue","Wed","Thu","Fri","Sat","Sun")</f>
        <v>Tue</v>
      </c>
      <c r="Q1723" s="4" t="str">
        <f aca="false">IF(WEEKDAY(B1723,2)&gt;5,"Weekend","Weekday")</f>
        <v>Weekday</v>
      </c>
      <c r="R1723" s="4" t="str">
        <f aca="false">IF(C1723&lt;11,"Morning (7-10)",IF(C1723&lt;14,"Lunch (11-13)",IF(C1723&lt;18,"Afternoon (14-17)","Evening (18-20)")))</f>
        <v>Morning (7-10)</v>
      </c>
      <c r="S1723" s="4" t="str">
        <f aca="false">IF(AND(O1723&gt;=3,O1723&lt;=5),"Hot Dry (Mar-May)",IF(AND(O1723&gt;=6,O1723&lt;=11),"Rainy (Jun-Nov)","Cool Dry (Dec-Feb)"))</f>
        <v>Cool Dry (Dec-Feb)</v>
      </c>
      <c r="T1723" s="4" t="str">
        <f aca="false">CHOOSE(O1723,"Jan","Feb","Mar","Apr","May","Jun","Jul","Aug","Sep","Oct","Nov","Dec")</f>
        <v>Dec</v>
      </c>
    </row>
    <row r="1724" customFormat="false" ht="15" hidden="false" customHeight="false" outlineLevel="0" collapsed="false">
      <c r="A1724" s="4" t="s">
        <v>2136</v>
      </c>
      <c r="B1724" s="17" t="n">
        <v>46014</v>
      </c>
      <c r="C1724" s="4" t="n">
        <v>12</v>
      </c>
      <c r="D1724" s="4" t="s">
        <v>73</v>
      </c>
      <c r="E1724" s="4" t="s">
        <v>99</v>
      </c>
      <c r="F1724" s="4" t="s">
        <v>102</v>
      </c>
      <c r="G1724" s="4" t="n">
        <v>2</v>
      </c>
      <c r="H1724" s="34" t="n">
        <v>140</v>
      </c>
      <c r="I1724" s="18" t="n">
        <v>0.05</v>
      </c>
      <c r="J1724" s="4" t="s">
        <v>81</v>
      </c>
      <c r="K1724" s="4" t="s">
        <v>82</v>
      </c>
      <c r="L1724" s="35" t="n">
        <f aca="false">G1724*H1724</f>
        <v>280</v>
      </c>
      <c r="M1724" s="35" t="n">
        <f aca="false">L1724*I1724</f>
        <v>14</v>
      </c>
      <c r="N1724" s="35" t="n">
        <f aca="false">L1724-M1724</f>
        <v>266</v>
      </c>
      <c r="O1724" s="4" t="n">
        <f aca="false">MONTH(B1724)</f>
        <v>12</v>
      </c>
      <c r="P1724" s="4" t="str">
        <f aca="false">CHOOSE(WEEKDAY(B1724,2),"Mon","Tue","Wed","Thu","Fri","Sat","Sun")</f>
        <v>Tue</v>
      </c>
      <c r="Q1724" s="4" t="str">
        <f aca="false">IF(WEEKDAY(B1724,2)&gt;5,"Weekend","Weekday")</f>
        <v>Weekday</v>
      </c>
      <c r="R1724" s="4" t="str">
        <f aca="false">IF(C1724&lt;11,"Morning (7-10)",IF(C1724&lt;14,"Lunch (11-13)",IF(C1724&lt;18,"Afternoon (14-17)","Evening (18-20)")))</f>
        <v>Lunch (11-13)</v>
      </c>
      <c r="S1724" s="4" t="str">
        <f aca="false">IF(AND(O1724&gt;=3,O1724&lt;=5),"Hot Dry (Mar-May)",IF(AND(O1724&gt;=6,O1724&lt;=11),"Rainy (Jun-Nov)","Cool Dry (Dec-Feb)"))</f>
        <v>Cool Dry (Dec-Feb)</v>
      </c>
      <c r="T1724" s="4" t="str">
        <f aca="false">CHOOSE(O1724,"Jan","Feb","Mar","Apr","May","Jun","Jul","Aug","Sep","Oct","Nov","Dec")</f>
        <v>Dec</v>
      </c>
    </row>
    <row r="1725" customFormat="false" ht="15" hidden="false" customHeight="false" outlineLevel="0" collapsed="false">
      <c r="A1725" s="4" t="s">
        <v>2137</v>
      </c>
      <c r="B1725" s="17" t="n">
        <v>46014</v>
      </c>
      <c r="C1725" s="4" t="n">
        <v>15</v>
      </c>
      <c r="D1725" s="4" t="s">
        <v>64</v>
      </c>
      <c r="E1725" s="4" t="s">
        <v>74</v>
      </c>
      <c r="F1725" s="4" t="s">
        <v>139</v>
      </c>
      <c r="G1725" s="4" t="n">
        <v>1</v>
      </c>
      <c r="H1725" s="34" t="n">
        <v>260</v>
      </c>
      <c r="I1725" s="18" t="n">
        <v>0</v>
      </c>
      <c r="J1725" s="4" t="s">
        <v>81</v>
      </c>
      <c r="K1725" s="4" t="s">
        <v>68</v>
      </c>
      <c r="L1725" s="35" t="n">
        <f aca="false">G1725*H1725</f>
        <v>260</v>
      </c>
      <c r="M1725" s="35" t="n">
        <f aca="false">L1725*I1725</f>
        <v>0</v>
      </c>
      <c r="N1725" s="35" t="n">
        <f aca="false">L1725-M1725</f>
        <v>260</v>
      </c>
      <c r="O1725" s="4" t="n">
        <f aca="false">MONTH(B1725)</f>
        <v>12</v>
      </c>
      <c r="P1725" s="4" t="str">
        <f aca="false">CHOOSE(WEEKDAY(B1725,2),"Mon","Tue","Wed","Thu","Fri","Sat","Sun")</f>
        <v>Tue</v>
      </c>
      <c r="Q1725" s="4" t="str">
        <f aca="false">IF(WEEKDAY(B1725,2)&gt;5,"Weekend","Weekday")</f>
        <v>Weekday</v>
      </c>
      <c r="R1725" s="4" t="str">
        <f aca="false">IF(C1725&lt;11,"Morning (7-10)",IF(C1725&lt;14,"Lunch (11-13)",IF(C1725&lt;18,"Afternoon (14-17)","Evening (18-20)")))</f>
        <v>Afternoon (14-17)</v>
      </c>
      <c r="S1725" s="4" t="str">
        <f aca="false">IF(AND(O1725&gt;=3,O1725&lt;=5),"Hot Dry (Mar-May)",IF(AND(O1725&gt;=6,O1725&lt;=11),"Rainy (Jun-Nov)","Cool Dry (Dec-Feb)"))</f>
        <v>Cool Dry (Dec-Feb)</v>
      </c>
      <c r="T1725" s="4" t="str">
        <f aca="false">CHOOSE(O1725,"Jan","Feb","Mar","Apr","May","Jun","Jul","Aug","Sep","Oct","Nov","Dec")</f>
        <v>Dec</v>
      </c>
    </row>
    <row r="1726" customFormat="false" ht="15" hidden="false" customHeight="false" outlineLevel="0" collapsed="false">
      <c r="A1726" s="4" t="s">
        <v>2139</v>
      </c>
      <c r="B1726" s="17" t="n">
        <v>46014</v>
      </c>
      <c r="C1726" s="4" t="n">
        <v>16</v>
      </c>
      <c r="D1726" s="4" t="s">
        <v>64</v>
      </c>
      <c r="E1726" s="4" t="s">
        <v>99</v>
      </c>
      <c r="F1726" s="4" t="s">
        <v>102</v>
      </c>
      <c r="G1726" s="4" t="n">
        <v>1</v>
      </c>
      <c r="H1726" s="34" t="n">
        <v>140</v>
      </c>
      <c r="I1726" s="18" t="n">
        <v>0.05</v>
      </c>
      <c r="J1726" s="4" t="s">
        <v>112</v>
      </c>
      <c r="K1726" s="4" t="s">
        <v>82</v>
      </c>
      <c r="L1726" s="35" t="n">
        <f aca="false">G1726*H1726</f>
        <v>140</v>
      </c>
      <c r="M1726" s="35" t="n">
        <f aca="false">L1726*I1726</f>
        <v>7</v>
      </c>
      <c r="N1726" s="35" t="n">
        <f aca="false">L1726-M1726</f>
        <v>133</v>
      </c>
      <c r="O1726" s="4" t="n">
        <f aca="false">MONTH(B1726)</f>
        <v>12</v>
      </c>
      <c r="P1726" s="4" t="str">
        <f aca="false">CHOOSE(WEEKDAY(B1726,2),"Mon","Tue","Wed","Thu","Fri","Sat","Sun")</f>
        <v>Tue</v>
      </c>
      <c r="Q1726" s="4" t="str">
        <f aca="false">IF(WEEKDAY(B1726,2)&gt;5,"Weekend","Weekday")</f>
        <v>Weekday</v>
      </c>
      <c r="R1726" s="4" t="str">
        <f aca="false">IF(C1726&lt;11,"Morning (7-10)",IF(C1726&lt;14,"Lunch (11-13)",IF(C1726&lt;18,"Afternoon (14-17)","Evening (18-20)")))</f>
        <v>Afternoon (14-17)</v>
      </c>
      <c r="S1726" s="4" t="str">
        <f aca="false">IF(AND(O1726&gt;=3,O1726&lt;=5),"Hot Dry (Mar-May)",IF(AND(O1726&gt;=6,O1726&lt;=11),"Rainy (Jun-Nov)","Cool Dry (Dec-Feb)"))</f>
        <v>Cool Dry (Dec-Feb)</v>
      </c>
      <c r="T1726" s="4" t="str">
        <f aca="false">CHOOSE(O1726,"Jan","Feb","Mar","Apr","May","Jun","Jul","Aug","Sep","Oct","Nov","Dec")</f>
        <v>Dec</v>
      </c>
    </row>
    <row r="1727" customFormat="false" ht="15" hidden="false" customHeight="false" outlineLevel="0" collapsed="false">
      <c r="A1727" s="4" t="s">
        <v>2140</v>
      </c>
      <c r="B1727" s="17" t="n">
        <v>46015</v>
      </c>
      <c r="C1727" s="4" t="n">
        <v>8</v>
      </c>
      <c r="D1727" s="4" t="s">
        <v>98</v>
      </c>
      <c r="E1727" s="4" t="s">
        <v>99</v>
      </c>
      <c r="F1727" s="4" t="s">
        <v>100</v>
      </c>
      <c r="G1727" s="4" t="n">
        <v>1</v>
      </c>
      <c r="H1727" s="34" t="n">
        <v>110</v>
      </c>
      <c r="I1727" s="18" t="n">
        <v>0.05</v>
      </c>
      <c r="J1727" s="4" t="s">
        <v>81</v>
      </c>
      <c r="K1727" s="4" t="s">
        <v>82</v>
      </c>
      <c r="L1727" s="35" t="n">
        <f aca="false">G1727*H1727</f>
        <v>110</v>
      </c>
      <c r="M1727" s="35" t="n">
        <f aca="false">L1727*I1727</f>
        <v>5.5</v>
      </c>
      <c r="N1727" s="35" t="n">
        <f aca="false">L1727-M1727</f>
        <v>104.5</v>
      </c>
      <c r="O1727" s="4" t="n">
        <f aca="false">MONTH(B1727)</f>
        <v>12</v>
      </c>
      <c r="P1727" s="4" t="str">
        <f aca="false">CHOOSE(WEEKDAY(B1727,2),"Mon","Tue","Wed","Thu","Fri","Sat","Sun")</f>
        <v>Wed</v>
      </c>
      <c r="Q1727" s="4" t="str">
        <f aca="false">IF(WEEKDAY(B1727,2)&gt;5,"Weekend","Weekday")</f>
        <v>Weekday</v>
      </c>
      <c r="R1727" s="4" t="str">
        <f aca="false">IF(C1727&lt;11,"Morning (7-10)",IF(C1727&lt;14,"Lunch (11-13)",IF(C1727&lt;18,"Afternoon (14-17)","Evening (18-20)")))</f>
        <v>Morning (7-10)</v>
      </c>
      <c r="S1727" s="4" t="str">
        <f aca="false">IF(AND(O1727&gt;=3,O1727&lt;=5),"Hot Dry (Mar-May)",IF(AND(O1727&gt;=6,O1727&lt;=11),"Rainy (Jun-Nov)","Cool Dry (Dec-Feb)"))</f>
        <v>Cool Dry (Dec-Feb)</v>
      </c>
      <c r="T1727" s="4" t="str">
        <f aca="false">CHOOSE(O1727,"Jan","Feb","Mar","Apr","May","Jun","Jul","Aug","Sep","Oct","Nov","Dec")</f>
        <v>Dec</v>
      </c>
    </row>
    <row r="1728" customFormat="false" ht="15" hidden="false" customHeight="false" outlineLevel="0" collapsed="false">
      <c r="A1728" s="4" t="s">
        <v>2142</v>
      </c>
      <c r="B1728" s="17" t="n">
        <v>46015</v>
      </c>
      <c r="C1728" s="4" t="n">
        <v>11</v>
      </c>
      <c r="D1728" s="4" t="s">
        <v>73</v>
      </c>
      <c r="E1728" s="4" t="s">
        <v>79</v>
      </c>
      <c r="F1728" s="4" t="s">
        <v>148</v>
      </c>
      <c r="G1728" s="4" t="n">
        <v>1</v>
      </c>
      <c r="H1728" s="34" t="n">
        <v>120</v>
      </c>
      <c r="I1728" s="18" t="n">
        <v>0</v>
      </c>
      <c r="J1728" s="4" t="s">
        <v>81</v>
      </c>
      <c r="K1728" s="4" t="s">
        <v>68</v>
      </c>
      <c r="L1728" s="35" t="n">
        <f aca="false">G1728*H1728</f>
        <v>120</v>
      </c>
      <c r="M1728" s="35" t="n">
        <f aca="false">L1728*I1728</f>
        <v>0</v>
      </c>
      <c r="N1728" s="35" t="n">
        <f aca="false">L1728-M1728</f>
        <v>120</v>
      </c>
      <c r="O1728" s="4" t="n">
        <f aca="false">MONTH(B1728)</f>
        <v>12</v>
      </c>
      <c r="P1728" s="4" t="str">
        <f aca="false">CHOOSE(WEEKDAY(B1728,2),"Mon","Tue","Wed","Thu","Fri","Sat","Sun")</f>
        <v>Wed</v>
      </c>
      <c r="Q1728" s="4" t="str">
        <f aca="false">IF(WEEKDAY(B1728,2)&gt;5,"Weekend","Weekday")</f>
        <v>Weekday</v>
      </c>
      <c r="R1728" s="4" t="str">
        <f aca="false">IF(C1728&lt;11,"Morning (7-10)",IF(C1728&lt;14,"Lunch (11-13)",IF(C1728&lt;18,"Afternoon (14-17)","Evening (18-20)")))</f>
        <v>Lunch (11-13)</v>
      </c>
      <c r="S1728" s="4" t="str">
        <f aca="false">IF(AND(O1728&gt;=3,O1728&lt;=5),"Hot Dry (Mar-May)",IF(AND(O1728&gt;=6,O1728&lt;=11),"Rainy (Jun-Nov)","Cool Dry (Dec-Feb)"))</f>
        <v>Cool Dry (Dec-Feb)</v>
      </c>
      <c r="T1728" s="4" t="str">
        <f aca="false">CHOOSE(O1728,"Jan","Feb","Mar","Apr","May","Jun","Jul","Aug","Sep","Oct","Nov","Dec")</f>
        <v>Dec</v>
      </c>
    </row>
    <row r="1729" customFormat="false" ht="15" hidden="false" customHeight="false" outlineLevel="0" collapsed="false">
      <c r="A1729" s="4" t="s">
        <v>2143</v>
      </c>
      <c r="B1729" s="17" t="n">
        <v>46015</v>
      </c>
      <c r="C1729" s="4" t="n">
        <v>12</v>
      </c>
      <c r="D1729" s="4" t="s">
        <v>70</v>
      </c>
      <c r="E1729" s="4" t="s">
        <v>99</v>
      </c>
      <c r="F1729" s="4" t="s">
        <v>102</v>
      </c>
      <c r="G1729" s="4" t="n">
        <v>2</v>
      </c>
      <c r="H1729" s="34" t="n">
        <v>140</v>
      </c>
      <c r="I1729" s="18" t="n">
        <v>0</v>
      </c>
      <c r="J1729" s="4" t="s">
        <v>67</v>
      </c>
      <c r="K1729" s="4" t="s">
        <v>77</v>
      </c>
      <c r="L1729" s="35" t="n">
        <f aca="false">G1729*H1729</f>
        <v>280</v>
      </c>
      <c r="M1729" s="35" t="n">
        <f aca="false">L1729*I1729</f>
        <v>0</v>
      </c>
      <c r="N1729" s="35" t="n">
        <f aca="false">L1729-M1729</f>
        <v>280</v>
      </c>
      <c r="O1729" s="4" t="n">
        <f aca="false">MONTH(B1729)</f>
        <v>12</v>
      </c>
      <c r="P1729" s="4" t="str">
        <f aca="false">CHOOSE(WEEKDAY(B1729,2),"Mon","Tue","Wed","Thu","Fri","Sat","Sun")</f>
        <v>Wed</v>
      </c>
      <c r="Q1729" s="4" t="str">
        <f aca="false">IF(WEEKDAY(B1729,2)&gt;5,"Weekend","Weekday")</f>
        <v>Weekday</v>
      </c>
      <c r="R1729" s="4" t="str">
        <f aca="false">IF(C1729&lt;11,"Morning (7-10)",IF(C1729&lt;14,"Lunch (11-13)",IF(C1729&lt;18,"Afternoon (14-17)","Evening (18-20)")))</f>
        <v>Lunch (11-13)</v>
      </c>
      <c r="S1729" s="4" t="str">
        <f aca="false">IF(AND(O1729&gt;=3,O1729&lt;=5),"Hot Dry (Mar-May)",IF(AND(O1729&gt;=6,O1729&lt;=11),"Rainy (Jun-Nov)","Cool Dry (Dec-Feb)"))</f>
        <v>Cool Dry (Dec-Feb)</v>
      </c>
      <c r="T1729" s="4" t="str">
        <f aca="false">CHOOSE(O1729,"Jan","Feb","Mar","Apr","May","Jun","Jul","Aug","Sep","Oct","Nov","Dec")</f>
        <v>Dec</v>
      </c>
    </row>
    <row r="1730" customFormat="false" ht="15" hidden="false" customHeight="false" outlineLevel="0" collapsed="false">
      <c r="A1730" s="4" t="s">
        <v>2144</v>
      </c>
      <c r="B1730" s="17" t="n">
        <v>46015</v>
      </c>
      <c r="C1730" s="4" t="n">
        <v>12</v>
      </c>
      <c r="D1730" s="4" t="s">
        <v>73</v>
      </c>
      <c r="E1730" s="4" t="s">
        <v>65</v>
      </c>
      <c r="F1730" s="4" t="s">
        <v>94</v>
      </c>
      <c r="G1730" s="4" t="n">
        <v>2</v>
      </c>
      <c r="H1730" s="34" t="n">
        <v>150</v>
      </c>
      <c r="I1730" s="18" t="n">
        <v>0.1</v>
      </c>
      <c r="J1730" s="4" t="s">
        <v>67</v>
      </c>
      <c r="K1730" s="4" t="s">
        <v>71</v>
      </c>
      <c r="L1730" s="35" t="n">
        <f aca="false">G1730*H1730</f>
        <v>300</v>
      </c>
      <c r="M1730" s="35" t="n">
        <f aca="false">L1730*I1730</f>
        <v>30</v>
      </c>
      <c r="N1730" s="35" t="n">
        <f aca="false">L1730-M1730</f>
        <v>270</v>
      </c>
      <c r="O1730" s="4" t="n">
        <f aca="false">MONTH(B1730)</f>
        <v>12</v>
      </c>
      <c r="P1730" s="4" t="str">
        <f aca="false">CHOOSE(WEEKDAY(B1730,2),"Mon","Tue","Wed","Thu","Fri","Sat","Sun")</f>
        <v>Wed</v>
      </c>
      <c r="Q1730" s="4" t="str">
        <f aca="false">IF(WEEKDAY(B1730,2)&gt;5,"Weekend","Weekday")</f>
        <v>Weekday</v>
      </c>
      <c r="R1730" s="4" t="str">
        <f aca="false">IF(C1730&lt;11,"Morning (7-10)",IF(C1730&lt;14,"Lunch (11-13)",IF(C1730&lt;18,"Afternoon (14-17)","Evening (18-20)")))</f>
        <v>Lunch (11-13)</v>
      </c>
      <c r="S1730" s="4" t="str">
        <f aca="false">IF(AND(O1730&gt;=3,O1730&lt;=5),"Hot Dry (Mar-May)",IF(AND(O1730&gt;=6,O1730&lt;=11),"Rainy (Jun-Nov)","Cool Dry (Dec-Feb)"))</f>
        <v>Cool Dry (Dec-Feb)</v>
      </c>
      <c r="T1730" s="4" t="str">
        <f aca="false">CHOOSE(O1730,"Jan","Feb","Mar","Apr","May","Jun","Jul","Aug","Sep","Oct","Nov","Dec")</f>
        <v>Dec</v>
      </c>
    </row>
    <row r="1731" customFormat="false" ht="15" hidden="false" customHeight="false" outlineLevel="0" collapsed="false">
      <c r="A1731" s="4" t="s">
        <v>2146</v>
      </c>
      <c r="B1731" s="17" t="n">
        <v>46015</v>
      </c>
      <c r="C1731" s="4" t="n">
        <v>19</v>
      </c>
      <c r="D1731" s="4" t="s">
        <v>70</v>
      </c>
      <c r="E1731" s="4" t="s">
        <v>84</v>
      </c>
      <c r="F1731" s="4" t="s">
        <v>106</v>
      </c>
      <c r="G1731" s="4" t="n">
        <v>2</v>
      </c>
      <c r="H1731" s="34" t="n">
        <v>60</v>
      </c>
      <c r="I1731" s="18" t="n">
        <v>0</v>
      </c>
      <c r="J1731" s="4" t="s">
        <v>81</v>
      </c>
      <c r="K1731" s="4" t="s">
        <v>82</v>
      </c>
      <c r="L1731" s="35" t="n">
        <f aca="false">G1731*H1731</f>
        <v>120</v>
      </c>
      <c r="M1731" s="35" t="n">
        <f aca="false">L1731*I1731</f>
        <v>0</v>
      </c>
      <c r="N1731" s="35" t="n">
        <f aca="false">L1731-M1731</f>
        <v>120</v>
      </c>
      <c r="O1731" s="4" t="n">
        <f aca="false">MONTH(B1731)</f>
        <v>12</v>
      </c>
      <c r="P1731" s="4" t="str">
        <f aca="false">CHOOSE(WEEKDAY(B1731,2),"Mon","Tue","Wed","Thu","Fri","Sat","Sun")</f>
        <v>Wed</v>
      </c>
      <c r="Q1731" s="4" t="str">
        <f aca="false">IF(WEEKDAY(B1731,2)&gt;5,"Weekend","Weekday")</f>
        <v>Weekday</v>
      </c>
      <c r="R1731" s="4" t="str">
        <f aca="false">IF(C1731&lt;11,"Morning (7-10)",IF(C1731&lt;14,"Lunch (11-13)",IF(C1731&lt;18,"Afternoon (14-17)","Evening (18-20)")))</f>
        <v>Evening (18-20)</v>
      </c>
      <c r="S1731" s="4" t="str">
        <f aca="false">IF(AND(O1731&gt;=3,O1731&lt;=5),"Hot Dry (Mar-May)",IF(AND(O1731&gt;=6,O1731&lt;=11),"Rainy (Jun-Nov)","Cool Dry (Dec-Feb)"))</f>
        <v>Cool Dry (Dec-Feb)</v>
      </c>
      <c r="T1731" s="4" t="str">
        <f aca="false">CHOOSE(O1731,"Jan","Feb","Mar","Apr","May","Jun","Jul","Aug","Sep","Oct","Nov","Dec")</f>
        <v>Dec</v>
      </c>
    </row>
    <row r="1732" customFormat="false" ht="15" hidden="false" customHeight="false" outlineLevel="0" collapsed="false">
      <c r="A1732" s="4" t="s">
        <v>2147</v>
      </c>
      <c r="B1732" s="17" t="n">
        <v>46016</v>
      </c>
      <c r="C1732" s="4" t="n">
        <v>11</v>
      </c>
      <c r="D1732" s="4" t="s">
        <v>64</v>
      </c>
      <c r="E1732" s="4" t="s">
        <v>74</v>
      </c>
      <c r="F1732" s="4" t="s">
        <v>91</v>
      </c>
      <c r="G1732" s="4" t="n">
        <v>1</v>
      </c>
      <c r="H1732" s="34" t="n">
        <v>200</v>
      </c>
      <c r="I1732" s="18" t="n">
        <v>0.05</v>
      </c>
      <c r="J1732" s="4" t="s">
        <v>67</v>
      </c>
      <c r="K1732" s="4" t="s">
        <v>82</v>
      </c>
      <c r="L1732" s="35" t="n">
        <f aca="false">G1732*H1732</f>
        <v>200</v>
      </c>
      <c r="M1732" s="35" t="n">
        <f aca="false">L1732*I1732</f>
        <v>10</v>
      </c>
      <c r="N1732" s="35" t="n">
        <f aca="false">L1732-M1732</f>
        <v>190</v>
      </c>
      <c r="O1732" s="4" t="n">
        <f aca="false">MONTH(B1732)</f>
        <v>12</v>
      </c>
      <c r="P1732" s="4" t="str">
        <f aca="false">CHOOSE(WEEKDAY(B1732,2),"Mon","Tue","Wed","Thu","Fri","Sat","Sun")</f>
        <v>Thu</v>
      </c>
      <c r="Q1732" s="4" t="str">
        <f aca="false">IF(WEEKDAY(B1732,2)&gt;5,"Weekend","Weekday")</f>
        <v>Weekday</v>
      </c>
      <c r="R1732" s="4" t="str">
        <f aca="false">IF(C1732&lt;11,"Morning (7-10)",IF(C1732&lt;14,"Lunch (11-13)",IF(C1732&lt;18,"Afternoon (14-17)","Evening (18-20)")))</f>
        <v>Lunch (11-13)</v>
      </c>
      <c r="S1732" s="4" t="str">
        <f aca="false">IF(AND(O1732&gt;=3,O1732&lt;=5),"Hot Dry (Mar-May)",IF(AND(O1732&gt;=6,O1732&lt;=11),"Rainy (Jun-Nov)","Cool Dry (Dec-Feb)"))</f>
        <v>Cool Dry (Dec-Feb)</v>
      </c>
      <c r="T1732" s="4" t="str">
        <f aca="false">CHOOSE(O1732,"Jan","Feb","Mar","Apr","May","Jun","Jul","Aug","Sep","Oct","Nov","Dec")</f>
        <v>Dec</v>
      </c>
    </row>
    <row r="1733" customFormat="false" ht="15" hidden="false" customHeight="false" outlineLevel="0" collapsed="false">
      <c r="A1733" s="4" t="s">
        <v>2148</v>
      </c>
      <c r="B1733" s="17" t="n">
        <v>46016</v>
      </c>
      <c r="C1733" s="4" t="n">
        <v>13</v>
      </c>
      <c r="D1733" s="4" t="s">
        <v>70</v>
      </c>
      <c r="E1733" s="4" t="s">
        <v>79</v>
      </c>
      <c r="F1733" s="4" t="s">
        <v>148</v>
      </c>
      <c r="G1733" s="4" t="n">
        <v>1</v>
      </c>
      <c r="H1733" s="34" t="n">
        <v>120</v>
      </c>
      <c r="I1733" s="18" t="n">
        <v>0.1</v>
      </c>
      <c r="J1733" s="4" t="s">
        <v>67</v>
      </c>
      <c r="K1733" s="4" t="s">
        <v>71</v>
      </c>
      <c r="L1733" s="35" t="n">
        <f aca="false">G1733*H1733</f>
        <v>120</v>
      </c>
      <c r="M1733" s="35" t="n">
        <f aca="false">L1733*I1733</f>
        <v>12</v>
      </c>
      <c r="N1733" s="35" t="n">
        <f aca="false">L1733-M1733</f>
        <v>108</v>
      </c>
      <c r="O1733" s="4" t="n">
        <f aca="false">MONTH(B1733)</f>
        <v>12</v>
      </c>
      <c r="P1733" s="4" t="str">
        <f aca="false">CHOOSE(WEEKDAY(B1733,2),"Mon","Tue","Wed","Thu","Fri","Sat","Sun")</f>
        <v>Thu</v>
      </c>
      <c r="Q1733" s="4" t="str">
        <f aca="false">IF(WEEKDAY(B1733,2)&gt;5,"Weekend","Weekday")</f>
        <v>Weekday</v>
      </c>
      <c r="R1733" s="4" t="str">
        <f aca="false">IF(C1733&lt;11,"Morning (7-10)",IF(C1733&lt;14,"Lunch (11-13)",IF(C1733&lt;18,"Afternoon (14-17)","Evening (18-20)")))</f>
        <v>Lunch (11-13)</v>
      </c>
      <c r="S1733" s="4" t="str">
        <f aca="false">IF(AND(O1733&gt;=3,O1733&lt;=5),"Hot Dry (Mar-May)",IF(AND(O1733&gt;=6,O1733&lt;=11),"Rainy (Jun-Nov)","Cool Dry (Dec-Feb)"))</f>
        <v>Cool Dry (Dec-Feb)</v>
      </c>
      <c r="T1733" s="4" t="str">
        <f aca="false">CHOOSE(O1733,"Jan","Feb","Mar","Apr","May","Jun","Jul","Aug","Sep","Oct","Nov","Dec")</f>
        <v>Dec</v>
      </c>
    </row>
    <row r="1734" customFormat="false" ht="15" hidden="false" customHeight="false" outlineLevel="0" collapsed="false">
      <c r="A1734" s="4" t="s">
        <v>2149</v>
      </c>
      <c r="B1734" s="17" t="n">
        <v>46017</v>
      </c>
      <c r="C1734" s="4" t="n">
        <v>9</v>
      </c>
      <c r="D1734" s="4" t="s">
        <v>73</v>
      </c>
      <c r="E1734" s="4" t="s">
        <v>99</v>
      </c>
      <c r="F1734" s="4" t="s">
        <v>102</v>
      </c>
      <c r="G1734" s="4" t="n">
        <v>4</v>
      </c>
      <c r="H1734" s="34" t="n">
        <v>140</v>
      </c>
      <c r="I1734" s="18" t="n">
        <v>0.1</v>
      </c>
      <c r="J1734" s="4" t="s">
        <v>67</v>
      </c>
      <c r="K1734" s="4" t="s">
        <v>82</v>
      </c>
      <c r="L1734" s="35" t="n">
        <f aca="false">G1734*H1734</f>
        <v>560</v>
      </c>
      <c r="M1734" s="35" t="n">
        <f aca="false">L1734*I1734</f>
        <v>56</v>
      </c>
      <c r="N1734" s="35" t="n">
        <f aca="false">L1734-M1734</f>
        <v>504</v>
      </c>
      <c r="O1734" s="4" t="n">
        <f aca="false">MONTH(B1734)</f>
        <v>12</v>
      </c>
      <c r="P1734" s="4" t="str">
        <f aca="false">CHOOSE(WEEKDAY(B1734,2),"Mon","Tue","Wed","Thu","Fri","Sat","Sun")</f>
        <v>Fri</v>
      </c>
      <c r="Q1734" s="4" t="str">
        <f aca="false">IF(WEEKDAY(B1734,2)&gt;5,"Weekend","Weekday")</f>
        <v>Weekday</v>
      </c>
      <c r="R1734" s="4" t="str">
        <f aca="false">IF(C1734&lt;11,"Morning (7-10)",IF(C1734&lt;14,"Lunch (11-13)",IF(C1734&lt;18,"Afternoon (14-17)","Evening (18-20)")))</f>
        <v>Morning (7-10)</v>
      </c>
      <c r="S1734" s="4" t="str">
        <f aca="false">IF(AND(O1734&gt;=3,O1734&lt;=5),"Hot Dry (Mar-May)",IF(AND(O1734&gt;=6,O1734&lt;=11),"Rainy (Jun-Nov)","Cool Dry (Dec-Feb)"))</f>
        <v>Cool Dry (Dec-Feb)</v>
      </c>
      <c r="T1734" s="4" t="str">
        <f aca="false">CHOOSE(O1734,"Jan","Feb","Mar","Apr","May","Jun","Jul","Aug","Sep","Oct","Nov","Dec")</f>
        <v>Dec</v>
      </c>
    </row>
    <row r="1735" customFormat="false" ht="15" hidden="false" customHeight="false" outlineLevel="0" collapsed="false">
      <c r="A1735" s="4" t="s">
        <v>2151</v>
      </c>
      <c r="B1735" s="17" t="n">
        <v>46017</v>
      </c>
      <c r="C1735" s="4" t="n">
        <v>9</v>
      </c>
      <c r="D1735" s="4" t="s">
        <v>70</v>
      </c>
      <c r="E1735" s="4" t="s">
        <v>65</v>
      </c>
      <c r="F1735" s="4" t="s">
        <v>121</v>
      </c>
      <c r="G1735" s="4" t="n">
        <v>1</v>
      </c>
      <c r="H1735" s="34" t="n">
        <v>170</v>
      </c>
      <c r="I1735" s="18" t="n">
        <v>0</v>
      </c>
      <c r="J1735" s="4" t="s">
        <v>81</v>
      </c>
      <c r="K1735" s="4" t="s">
        <v>68</v>
      </c>
      <c r="L1735" s="35" t="n">
        <f aca="false">G1735*H1735</f>
        <v>170</v>
      </c>
      <c r="M1735" s="35" t="n">
        <f aca="false">L1735*I1735</f>
        <v>0</v>
      </c>
      <c r="N1735" s="35" t="n">
        <f aca="false">L1735-M1735</f>
        <v>170</v>
      </c>
      <c r="O1735" s="4" t="n">
        <f aca="false">MONTH(B1735)</f>
        <v>12</v>
      </c>
      <c r="P1735" s="4" t="str">
        <f aca="false">CHOOSE(WEEKDAY(B1735,2),"Mon","Tue","Wed","Thu","Fri","Sat","Sun")</f>
        <v>Fri</v>
      </c>
      <c r="Q1735" s="4" t="str">
        <f aca="false">IF(WEEKDAY(B1735,2)&gt;5,"Weekend","Weekday")</f>
        <v>Weekday</v>
      </c>
      <c r="R1735" s="4" t="str">
        <f aca="false">IF(C1735&lt;11,"Morning (7-10)",IF(C1735&lt;14,"Lunch (11-13)",IF(C1735&lt;18,"Afternoon (14-17)","Evening (18-20)")))</f>
        <v>Morning (7-10)</v>
      </c>
      <c r="S1735" s="4" t="str">
        <f aca="false">IF(AND(O1735&gt;=3,O1735&lt;=5),"Hot Dry (Mar-May)",IF(AND(O1735&gt;=6,O1735&lt;=11),"Rainy (Jun-Nov)","Cool Dry (Dec-Feb)"))</f>
        <v>Cool Dry (Dec-Feb)</v>
      </c>
      <c r="T1735" s="4" t="str">
        <f aca="false">CHOOSE(O1735,"Jan","Feb","Mar","Apr","May","Jun","Jul","Aug","Sep","Oct","Nov","Dec")</f>
        <v>Dec</v>
      </c>
    </row>
    <row r="1736" customFormat="false" ht="15" hidden="false" customHeight="false" outlineLevel="0" collapsed="false">
      <c r="A1736" s="4" t="s">
        <v>2152</v>
      </c>
      <c r="B1736" s="17" t="n">
        <v>46017</v>
      </c>
      <c r="C1736" s="4" t="n">
        <v>12</v>
      </c>
      <c r="D1736" s="4" t="s">
        <v>70</v>
      </c>
      <c r="E1736" s="4" t="s">
        <v>99</v>
      </c>
      <c r="F1736" s="4" t="s">
        <v>109</v>
      </c>
      <c r="G1736" s="4" t="n">
        <v>2</v>
      </c>
      <c r="H1736" s="34" t="n">
        <v>130</v>
      </c>
      <c r="I1736" s="18" t="n">
        <v>0</v>
      </c>
      <c r="J1736" s="4" t="s">
        <v>81</v>
      </c>
      <c r="K1736" s="4" t="s">
        <v>68</v>
      </c>
      <c r="L1736" s="35" t="n">
        <f aca="false">G1736*H1736</f>
        <v>260</v>
      </c>
      <c r="M1736" s="35" t="n">
        <f aca="false">L1736*I1736</f>
        <v>0</v>
      </c>
      <c r="N1736" s="35" t="n">
        <f aca="false">L1736-M1736</f>
        <v>260</v>
      </c>
      <c r="O1736" s="4" t="n">
        <f aca="false">MONTH(B1736)</f>
        <v>12</v>
      </c>
      <c r="P1736" s="4" t="str">
        <f aca="false">CHOOSE(WEEKDAY(B1736,2),"Mon","Tue","Wed","Thu","Fri","Sat","Sun")</f>
        <v>Fri</v>
      </c>
      <c r="Q1736" s="4" t="str">
        <f aca="false">IF(WEEKDAY(B1736,2)&gt;5,"Weekend","Weekday")</f>
        <v>Weekday</v>
      </c>
      <c r="R1736" s="4" t="str">
        <f aca="false">IF(C1736&lt;11,"Morning (7-10)",IF(C1736&lt;14,"Lunch (11-13)",IF(C1736&lt;18,"Afternoon (14-17)","Evening (18-20)")))</f>
        <v>Lunch (11-13)</v>
      </c>
      <c r="S1736" s="4" t="str">
        <f aca="false">IF(AND(O1736&gt;=3,O1736&lt;=5),"Hot Dry (Mar-May)",IF(AND(O1736&gt;=6,O1736&lt;=11),"Rainy (Jun-Nov)","Cool Dry (Dec-Feb)"))</f>
        <v>Cool Dry (Dec-Feb)</v>
      </c>
      <c r="T1736" s="4" t="str">
        <f aca="false">CHOOSE(O1736,"Jan","Feb","Mar","Apr","May","Jun","Jul","Aug","Sep","Oct","Nov","Dec")</f>
        <v>Dec</v>
      </c>
    </row>
    <row r="1737" customFormat="false" ht="15" hidden="false" customHeight="false" outlineLevel="0" collapsed="false">
      <c r="A1737" s="4" t="s">
        <v>2154</v>
      </c>
      <c r="B1737" s="17" t="n">
        <v>46017</v>
      </c>
      <c r="C1737" s="4" t="n">
        <v>15</v>
      </c>
      <c r="D1737" s="4" t="s">
        <v>70</v>
      </c>
      <c r="E1737" s="4" t="s">
        <v>65</v>
      </c>
      <c r="F1737" s="4" t="s">
        <v>66</v>
      </c>
      <c r="G1737" s="4" t="n">
        <v>2</v>
      </c>
      <c r="H1737" s="34" t="n">
        <v>120</v>
      </c>
      <c r="I1737" s="18" t="n">
        <v>0.1</v>
      </c>
      <c r="J1737" s="4" t="s">
        <v>88</v>
      </c>
      <c r="K1737" s="4" t="s">
        <v>82</v>
      </c>
      <c r="L1737" s="35" t="n">
        <f aca="false">G1737*H1737</f>
        <v>240</v>
      </c>
      <c r="M1737" s="35" t="n">
        <f aca="false">L1737*I1737</f>
        <v>24</v>
      </c>
      <c r="N1737" s="35" t="n">
        <f aca="false">L1737-M1737</f>
        <v>216</v>
      </c>
      <c r="O1737" s="4" t="n">
        <f aca="false">MONTH(B1737)</f>
        <v>12</v>
      </c>
      <c r="P1737" s="4" t="str">
        <f aca="false">CHOOSE(WEEKDAY(B1737,2),"Mon","Tue","Wed","Thu","Fri","Sat","Sun")</f>
        <v>Fri</v>
      </c>
      <c r="Q1737" s="4" t="str">
        <f aca="false">IF(WEEKDAY(B1737,2)&gt;5,"Weekend","Weekday")</f>
        <v>Weekday</v>
      </c>
      <c r="R1737" s="4" t="str">
        <f aca="false">IF(C1737&lt;11,"Morning (7-10)",IF(C1737&lt;14,"Lunch (11-13)",IF(C1737&lt;18,"Afternoon (14-17)","Evening (18-20)")))</f>
        <v>Afternoon (14-17)</v>
      </c>
      <c r="S1737" s="4" t="str">
        <f aca="false">IF(AND(O1737&gt;=3,O1737&lt;=5),"Hot Dry (Mar-May)",IF(AND(O1737&gt;=6,O1737&lt;=11),"Rainy (Jun-Nov)","Cool Dry (Dec-Feb)"))</f>
        <v>Cool Dry (Dec-Feb)</v>
      </c>
      <c r="T1737" s="4" t="str">
        <f aca="false">CHOOSE(O1737,"Jan","Feb","Mar","Apr","May","Jun","Jul","Aug","Sep","Oct","Nov","Dec")</f>
        <v>Dec</v>
      </c>
    </row>
    <row r="1738" customFormat="false" ht="15" hidden="false" customHeight="false" outlineLevel="0" collapsed="false">
      <c r="A1738" s="4" t="s">
        <v>2155</v>
      </c>
      <c r="B1738" s="17" t="n">
        <v>46017</v>
      </c>
      <c r="C1738" s="4" t="n">
        <v>15</v>
      </c>
      <c r="D1738" s="4" t="s">
        <v>64</v>
      </c>
      <c r="E1738" s="4" t="s">
        <v>99</v>
      </c>
      <c r="F1738" s="4" t="s">
        <v>102</v>
      </c>
      <c r="G1738" s="4" t="n">
        <v>1</v>
      </c>
      <c r="H1738" s="34" t="n">
        <v>140</v>
      </c>
      <c r="I1738" s="18" t="n">
        <v>0</v>
      </c>
      <c r="J1738" s="4" t="s">
        <v>81</v>
      </c>
      <c r="K1738" s="4" t="s">
        <v>68</v>
      </c>
      <c r="L1738" s="35" t="n">
        <f aca="false">G1738*H1738</f>
        <v>140</v>
      </c>
      <c r="M1738" s="35" t="n">
        <f aca="false">L1738*I1738</f>
        <v>0</v>
      </c>
      <c r="N1738" s="35" t="n">
        <f aca="false">L1738-M1738</f>
        <v>140</v>
      </c>
      <c r="O1738" s="4" t="n">
        <f aca="false">MONTH(B1738)</f>
        <v>12</v>
      </c>
      <c r="P1738" s="4" t="str">
        <f aca="false">CHOOSE(WEEKDAY(B1738,2),"Mon","Tue","Wed","Thu","Fri","Sat","Sun")</f>
        <v>Fri</v>
      </c>
      <c r="Q1738" s="4" t="str">
        <f aca="false">IF(WEEKDAY(B1738,2)&gt;5,"Weekend","Weekday")</f>
        <v>Weekday</v>
      </c>
      <c r="R1738" s="4" t="str">
        <f aca="false">IF(C1738&lt;11,"Morning (7-10)",IF(C1738&lt;14,"Lunch (11-13)",IF(C1738&lt;18,"Afternoon (14-17)","Evening (18-20)")))</f>
        <v>Afternoon (14-17)</v>
      </c>
      <c r="S1738" s="4" t="str">
        <f aca="false">IF(AND(O1738&gt;=3,O1738&lt;=5),"Hot Dry (Mar-May)",IF(AND(O1738&gt;=6,O1738&lt;=11),"Rainy (Jun-Nov)","Cool Dry (Dec-Feb)"))</f>
        <v>Cool Dry (Dec-Feb)</v>
      </c>
      <c r="T1738" s="4" t="str">
        <f aca="false">CHOOSE(O1738,"Jan","Feb","Mar","Apr","May","Jun","Jul","Aug","Sep","Oct","Nov","Dec")</f>
        <v>Dec</v>
      </c>
    </row>
    <row r="1739" customFormat="false" ht="15" hidden="false" customHeight="false" outlineLevel="0" collapsed="false">
      <c r="A1739" s="4" t="s">
        <v>2156</v>
      </c>
      <c r="B1739" s="17" t="n">
        <v>46017</v>
      </c>
      <c r="C1739" s="4" t="n">
        <v>16</v>
      </c>
      <c r="D1739" s="4" t="s">
        <v>98</v>
      </c>
      <c r="E1739" s="4" t="s">
        <v>74</v>
      </c>
      <c r="F1739" s="4" t="s">
        <v>75</v>
      </c>
      <c r="G1739" s="4" t="n">
        <v>1</v>
      </c>
      <c r="H1739" s="34" t="n">
        <v>220</v>
      </c>
      <c r="I1739" s="18" t="n">
        <v>0</v>
      </c>
      <c r="J1739" s="4" t="s">
        <v>76</v>
      </c>
      <c r="K1739" s="4" t="s">
        <v>77</v>
      </c>
      <c r="L1739" s="35" t="n">
        <f aca="false">G1739*H1739</f>
        <v>220</v>
      </c>
      <c r="M1739" s="35" t="n">
        <f aca="false">L1739*I1739</f>
        <v>0</v>
      </c>
      <c r="N1739" s="35" t="n">
        <f aca="false">L1739-M1739</f>
        <v>220</v>
      </c>
      <c r="O1739" s="4" t="n">
        <f aca="false">MONTH(B1739)</f>
        <v>12</v>
      </c>
      <c r="P1739" s="4" t="str">
        <f aca="false">CHOOSE(WEEKDAY(B1739,2),"Mon","Tue","Wed","Thu","Fri","Sat","Sun")</f>
        <v>Fri</v>
      </c>
      <c r="Q1739" s="4" t="str">
        <f aca="false">IF(WEEKDAY(B1739,2)&gt;5,"Weekend","Weekday")</f>
        <v>Weekday</v>
      </c>
      <c r="R1739" s="4" t="str">
        <f aca="false">IF(C1739&lt;11,"Morning (7-10)",IF(C1739&lt;14,"Lunch (11-13)",IF(C1739&lt;18,"Afternoon (14-17)","Evening (18-20)")))</f>
        <v>Afternoon (14-17)</v>
      </c>
      <c r="S1739" s="4" t="str">
        <f aca="false">IF(AND(O1739&gt;=3,O1739&lt;=5),"Hot Dry (Mar-May)",IF(AND(O1739&gt;=6,O1739&lt;=11),"Rainy (Jun-Nov)","Cool Dry (Dec-Feb)"))</f>
        <v>Cool Dry (Dec-Feb)</v>
      </c>
      <c r="T1739" s="4" t="str">
        <f aca="false">CHOOSE(O1739,"Jan","Feb","Mar","Apr","May","Jun","Jul","Aug","Sep","Oct","Nov","Dec")</f>
        <v>Dec</v>
      </c>
    </row>
    <row r="1740" customFormat="false" ht="15" hidden="false" customHeight="false" outlineLevel="0" collapsed="false">
      <c r="A1740" s="4" t="s">
        <v>2157</v>
      </c>
      <c r="B1740" s="17" t="n">
        <v>46017</v>
      </c>
      <c r="C1740" s="4" t="n">
        <v>18</v>
      </c>
      <c r="D1740" s="4" t="s">
        <v>64</v>
      </c>
      <c r="E1740" s="4" t="s">
        <v>99</v>
      </c>
      <c r="F1740" s="4" t="s">
        <v>100</v>
      </c>
      <c r="G1740" s="4" t="n">
        <v>3</v>
      </c>
      <c r="H1740" s="34" t="n">
        <v>110</v>
      </c>
      <c r="I1740" s="18" t="n">
        <v>0</v>
      </c>
      <c r="J1740" s="4" t="s">
        <v>67</v>
      </c>
      <c r="K1740" s="4" t="s">
        <v>77</v>
      </c>
      <c r="L1740" s="35" t="n">
        <f aca="false">G1740*H1740</f>
        <v>330</v>
      </c>
      <c r="M1740" s="35" t="n">
        <f aca="false">L1740*I1740</f>
        <v>0</v>
      </c>
      <c r="N1740" s="35" t="n">
        <f aca="false">L1740-M1740</f>
        <v>330</v>
      </c>
      <c r="O1740" s="4" t="n">
        <f aca="false">MONTH(B1740)</f>
        <v>12</v>
      </c>
      <c r="P1740" s="4" t="str">
        <f aca="false">CHOOSE(WEEKDAY(B1740,2),"Mon","Tue","Wed","Thu","Fri","Sat","Sun")</f>
        <v>Fri</v>
      </c>
      <c r="Q1740" s="4" t="str">
        <f aca="false">IF(WEEKDAY(B1740,2)&gt;5,"Weekend","Weekday")</f>
        <v>Weekday</v>
      </c>
      <c r="R1740" s="4" t="str">
        <f aca="false">IF(C1740&lt;11,"Morning (7-10)",IF(C1740&lt;14,"Lunch (11-13)",IF(C1740&lt;18,"Afternoon (14-17)","Evening (18-20)")))</f>
        <v>Evening (18-20)</v>
      </c>
      <c r="S1740" s="4" t="str">
        <f aca="false">IF(AND(O1740&gt;=3,O1740&lt;=5),"Hot Dry (Mar-May)",IF(AND(O1740&gt;=6,O1740&lt;=11),"Rainy (Jun-Nov)","Cool Dry (Dec-Feb)"))</f>
        <v>Cool Dry (Dec-Feb)</v>
      </c>
      <c r="T1740" s="4" t="str">
        <f aca="false">CHOOSE(O1740,"Jan","Feb","Mar","Apr","May","Jun","Jul","Aug","Sep","Oct","Nov","Dec")</f>
        <v>Dec</v>
      </c>
    </row>
    <row r="1741" customFormat="false" ht="15" hidden="false" customHeight="false" outlineLevel="0" collapsed="false">
      <c r="A1741" s="4" t="s">
        <v>2158</v>
      </c>
      <c r="B1741" s="17" t="n">
        <v>46017</v>
      </c>
      <c r="C1741" s="4" t="n">
        <v>18</v>
      </c>
      <c r="D1741" s="4" t="s">
        <v>70</v>
      </c>
      <c r="E1741" s="4" t="s">
        <v>65</v>
      </c>
      <c r="F1741" s="4" t="s">
        <v>94</v>
      </c>
      <c r="G1741" s="4" t="n">
        <v>1</v>
      </c>
      <c r="H1741" s="34" t="n">
        <v>150</v>
      </c>
      <c r="I1741" s="18" t="n">
        <v>0</v>
      </c>
      <c r="J1741" s="4" t="s">
        <v>76</v>
      </c>
      <c r="K1741" s="4" t="s">
        <v>68</v>
      </c>
      <c r="L1741" s="35" t="n">
        <f aca="false">G1741*H1741</f>
        <v>150</v>
      </c>
      <c r="M1741" s="35" t="n">
        <f aca="false">L1741*I1741</f>
        <v>0</v>
      </c>
      <c r="N1741" s="35" t="n">
        <f aca="false">L1741-M1741</f>
        <v>150</v>
      </c>
      <c r="O1741" s="4" t="n">
        <f aca="false">MONTH(B1741)</f>
        <v>12</v>
      </c>
      <c r="P1741" s="4" t="str">
        <f aca="false">CHOOSE(WEEKDAY(B1741,2),"Mon","Tue","Wed","Thu","Fri","Sat","Sun")</f>
        <v>Fri</v>
      </c>
      <c r="Q1741" s="4" t="str">
        <f aca="false">IF(WEEKDAY(B1741,2)&gt;5,"Weekend","Weekday")</f>
        <v>Weekday</v>
      </c>
      <c r="R1741" s="4" t="str">
        <f aca="false">IF(C1741&lt;11,"Morning (7-10)",IF(C1741&lt;14,"Lunch (11-13)",IF(C1741&lt;18,"Afternoon (14-17)","Evening (18-20)")))</f>
        <v>Evening (18-20)</v>
      </c>
      <c r="S1741" s="4" t="str">
        <f aca="false">IF(AND(O1741&gt;=3,O1741&lt;=5),"Hot Dry (Mar-May)",IF(AND(O1741&gt;=6,O1741&lt;=11),"Rainy (Jun-Nov)","Cool Dry (Dec-Feb)"))</f>
        <v>Cool Dry (Dec-Feb)</v>
      </c>
      <c r="T1741" s="4" t="str">
        <f aca="false">CHOOSE(O1741,"Jan","Feb","Mar","Apr","May","Jun","Jul","Aug","Sep","Oct","Nov","Dec")</f>
        <v>Dec</v>
      </c>
    </row>
    <row r="1742" customFormat="false" ht="15" hidden="false" customHeight="false" outlineLevel="0" collapsed="false">
      <c r="A1742" s="4" t="s">
        <v>2159</v>
      </c>
      <c r="B1742" s="17" t="n">
        <v>46018</v>
      </c>
      <c r="C1742" s="4" t="n">
        <v>8</v>
      </c>
      <c r="D1742" s="4" t="s">
        <v>98</v>
      </c>
      <c r="E1742" s="4" t="s">
        <v>79</v>
      </c>
      <c r="F1742" s="4" t="s">
        <v>135</v>
      </c>
      <c r="G1742" s="4" t="n">
        <v>4</v>
      </c>
      <c r="H1742" s="34" t="n">
        <v>130</v>
      </c>
      <c r="I1742" s="18" t="n">
        <v>0</v>
      </c>
      <c r="J1742" s="4" t="s">
        <v>76</v>
      </c>
      <c r="K1742" s="4" t="s">
        <v>68</v>
      </c>
      <c r="L1742" s="35" t="n">
        <f aca="false">G1742*H1742</f>
        <v>520</v>
      </c>
      <c r="M1742" s="35" t="n">
        <f aca="false">L1742*I1742</f>
        <v>0</v>
      </c>
      <c r="N1742" s="35" t="n">
        <f aca="false">L1742-M1742</f>
        <v>520</v>
      </c>
      <c r="O1742" s="4" t="n">
        <f aca="false">MONTH(B1742)</f>
        <v>12</v>
      </c>
      <c r="P1742" s="4" t="str">
        <f aca="false">CHOOSE(WEEKDAY(B1742,2),"Mon","Tue","Wed","Thu","Fri","Sat","Sun")</f>
        <v>Sat</v>
      </c>
      <c r="Q1742" s="4" t="str">
        <f aca="false">IF(WEEKDAY(B1742,2)&gt;5,"Weekend","Weekday")</f>
        <v>Weekend</v>
      </c>
      <c r="R1742" s="4" t="str">
        <f aca="false">IF(C1742&lt;11,"Morning (7-10)",IF(C1742&lt;14,"Lunch (11-13)",IF(C1742&lt;18,"Afternoon (14-17)","Evening (18-20)")))</f>
        <v>Morning (7-10)</v>
      </c>
      <c r="S1742" s="4" t="str">
        <f aca="false">IF(AND(O1742&gt;=3,O1742&lt;=5),"Hot Dry (Mar-May)",IF(AND(O1742&gt;=6,O1742&lt;=11),"Rainy (Jun-Nov)","Cool Dry (Dec-Feb)"))</f>
        <v>Cool Dry (Dec-Feb)</v>
      </c>
      <c r="T1742" s="4" t="str">
        <f aca="false">CHOOSE(O1742,"Jan","Feb","Mar","Apr","May","Jun","Jul","Aug","Sep","Oct","Nov","Dec")</f>
        <v>Dec</v>
      </c>
    </row>
    <row r="1743" customFormat="false" ht="15" hidden="false" customHeight="false" outlineLevel="0" collapsed="false">
      <c r="A1743" s="4" t="s">
        <v>2160</v>
      </c>
      <c r="B1743" s="17" t="n">
        <v>46018</v>
      </c>
      <c r="C1743" s="4" t="n">
        <v>8</v>
      </c>
      <c r="D1743" s="4" t="s">
        <v>70</v>
      </c>
      <c r="E1743" s="4" t="s">
        <v>99</v>
      </c>
      <c r="F1743" s="4" t="s">
        <v>102</v>
      </c>
      <c r="G1743" s="4" t="n">
        <v>2</v>
      </c>
      <c r="H1743" s="34" t="n">
        <v>140</v>
      </c>
      <c r="I1743" s="18" t="n">
        <v>0.05</v>
      </c>
      <c r="J1743" s="4" t="s">
        <v>67</v>
      </c>
      <c r="K1743" s="4" t="s">
        <v>82</v>
      </c>
      <c r="L1743" s="35" t="n">
        <f aca="false">G1743*H1743</f>
        <v>280</v>
      </c>
      <c r="M1743" s="35" t="n">
        <f aca="false">L1743*I1743</f>
        <v>14</v>
      </c>
      <c r="N1743" s="35" t="n">
        <f aca="false">L1743-M1743</f>
        <v>266</v>
      </c>
      <c r="O1743" s="4" t="n">
        <f aca="false">MONTH(B1743)</f>
        <v>12</v>
      </c>
      <c r="P1743" s="4" t="str">
        <f aca="false">CHOOSE(WEEKDAY(B1743,2),"Mon","Tue","Wed","Thu","Fri","Sat","Sun")</f>
        <v>Sat</v>
      </c>
      <c r="Q1743" s="4" t="str">
        <f aca="false">IF(WEEKDAY(B1743,2)&gt;5,"Weekend","Weekday")</f>
        <v>Weekend</v>
      </c>
      <c r="R1743" s="4" t="str">
        <f aca="false">IF(C1743&lt;11,"Morning (7-10)",IF(C1743&lt;14,"Lunch (11-13)",IF(C1743&lt;18,"Afternoon (14-17)","Evening (18-20)")))</f>
        <v>Morning (7-10)</v>
      </c>
      <c r="S1743" s="4" t="str">
        <f aca="false">IF(AND(O1743&gt;=3,O1743&lt;=5),"Hot Dry (Mar-May)",IF(AND(O1743&gt;=6,O1743&lt;=11),"Rainy (Jun-Nov)","Cool Dry (Dec-Feb)"))</f>
        <v>Cool Dry (Dec-Feb)</v>
      </c>
      <c r="T1743" s="4" t="str">
        <f aca="false">CHOOSE(O1743,"Jan","Feb","Mar","Apr","May","Jun","Jul","Aug","Sep","Oct","Nov","Dec")</f>
        <v>Dec</v>
      </c>
    </row>
    <row r="1744" customFormat="false" ht="15" hidden="false" customHeight="false" outlineLevel="0" collapsed="false">
      <c r="A1744" s="4" t="s">
        <v>2162</v>
      </c>
      <c r="B1744" s="17" t="n">
        <v>46018</v>
      </c>
      <c r="C1744" s="4" t="n">
        <v>10</v>
      </c>
      <c r="D1744" s="4" t="s">
        <v>70</v>
      </c>
      <c r="E1744" s="4" t="s">
        <v>65</v>
      </c>
      <c r="F1744" s="4" t="s">
        <v>94</v>
      </c>
      <c r="G1744" s="4" t="n">
        <v>1</v>
      </c>
      <c r="H1744" s="34" t="n">
        <v>150</v>
      </c>
      <c r="I1744" s="18" t="n">
        <v>0</v>
      </c>
      <c r="J1744" s="4" t="s">
        <v>76</v>
      </c>
      <c r="K1744" s="4" t="s">
        <v>68</v>
      </c>
      <c r="L1744" s="35" t="n">
        <f aca="false">G1744*H1744</f>
        <v>150</v>
      </c>
      <c r="M1744" s="35" t="n">
        <f aca="false">L1744*I1744</f>
        <v>0</v>
      </c>
      <c r="N1744" s="35" t="n">
        <f aca="false">L1744-M1744</f>
        <v>150</v>
      </c>
      <c r="O1744" s="4" t="n">
        <f aca="false">MONTH(B1744)</f>
        <v>12</v>
      </c>
      <c r="P1744" s="4" t="str">
        <f aca="false">CHOOSE(WEEKDAY(B1744,2),"Mon","Tue","Wed","Thu","Fri","Sat","Sun")</f>
        <v>Sat</v>
      </c>
      <c r="Q1744" s="4" t="str">
        <f aca="false">IF(WEEKDAY(B1744,2)&gt;5,"Weekend","Weekday")</f>
        <v>Weekend</v>
      </c>
      <c r="R1744" s="4" t="str">
        <f aca="false">IF(C1744&lt;11,"Morning (7-10)",IF(C1744&lt;14,"Lunch (11-13)",IF(C1744&lt;18,"Afternoon (14-17)","Evening (18-20)")))</f>
        <v>Morning (7-10)</v>
      </c>
      <c r="S1744" s="4" t="str">
        <f aca="false">IF(AND(O1744&gt;=3,O1744&lt;=5),"Hot Dry (Mar-May)",IF(AND(O1744&gt;=6,O1744&lt;=11),"Rainy (Jun-Nov)","Cool Dry (Dec-Feb)"))</f>
        <v>Cool Dry (Dec-Feb)</v>
      </c>
      <c r="T1744" s="4" t="str">
        <f aca="false">CHOOSE(O1744,"Jan","Feb","Mar","Apr","May","Jun","Jul","Aug","Sep","Oct","Nov","Dec")</f>
        <v>Dec</v>
      </c>
    </row>
    <row r="1745" customFormat="false" ht="15" hidden="false" customHeight="false" outlineLevel="0" collapsed="false">
      <c r="A1745" s="4" t="s">
        <v>2163</v>
      </c>
      <c r="B1745" s="17" t="n">
        <v>46018</v>
      </c>
      <c r="C1745" s="4" t="n">
        <v>10</v>
      </c>
      <c r="D1745" s="4" t="s">
        <v>73</v>
      </c>
      <c r="E1745" s="4" t="s">
        <v>99</v>
      </c>
      <c r="F1745" s="4" t="s">
        <v>133</v>
      </c>
      <c r="G1745" s="4" t="n">
        <v>2</v>
      </c>
      <c r="H1745" s="34" t="n">
        <v>90</v>
      </c>
      <c r="I1745" s="18" t="n">
        <v>0</v>
      </c>
      <c r="J1745" s="4" t="s">
        <v>67</v>
      </c>
      <c r="K1745" s="4" t="s">
        <v>68</v>
      </c>
      <c r="L1745" s="35" t="n">
        <f aca="false">G1745*H1745</f>
        <v>180</v>
      </c>
      <c r="M1745" s="35" t="n">
        <f aca="false">L1745*I1745</f>
        <v>0</v>
      </c>
      <c r="N1745" s="35" t="n">
        <f aca="false">L1745-M1745</f>
        <v>180</v>
      </c>
      <c r="O1745" s="4" t="n">
        <f aca="false">MONTH(B1745)</f>
        <v>12</v>
      </c>
      <c r="P1745" s="4" t="str">
        <f aca="false">CHOOSE(WEEKDAY(B1745,2),"Mon","Tue","Wed","Thu","Fri","Sat","Sun")</f>
        <v>Sat</v>
      </c>
      <c r="Q1745" s="4" t="str">
        <f aca="false">IF(WEEKDAY(B1745,2)&gt;5,"Weekend","Weekday")</f>
        <v>Weekend</v>
      </c>
      <c r="R1745" s="4" t="str">
        <f aca="false">IF(C1745&lt;11,"Morning (7-10)",IF(C1745&lt;14,"Lunch (11-13)",IF(C1745&lt;18,"Afternoon (14-17)","Evening (18-20)")))</f>
        <v>Morning (7-10)</v>
      </c>
      <c r="S1745" s="4" t="str">
        <f aca="false">IF(AND(O1745&gt;=3,O1745&lt;=5),"Hot Dry (Mar-May)",IF(AND(O1745&gt;=6,O1745&lt;=11),"Rainy (Jun-Nov)","Cool Dry (Dec-Feb)"))</f>
        <v>Cool Dry (Dec-Feb)</v>
      </c>
      <c r="T1745" s="4" t="str">
        <f aca="false">CHOOSE(O1745,"Jan","Feb","Mar","Apr","May","Jun","Jul","Aug","Sep","Oct","Nov","Dec")</f>
        <v>Dec</v>
      </c>
    </row>
    <row r="1746" customFormat="false" ht="15" hidden="false" customHeight="false" outlineLevel="0" collapsed="false">
      <c r="A1746" s="4" t="s">
        <v>2164</v>
      </c>
      <c r="B1746" s="17" t="n">
        <v>46018</v>
      </c>
      <c r="C1746" s="4" t="n">
        <v>12</v>
      </c>
      <c r="D1746" s="4" t="s">
        <v>98</v>
      </c>
      <c r="E1746" s="4" t="s">
        <v>84</v>
      </c>
      <c r="F1746" s="4" t="s">
        <v>117</v>
      </c>
      <c r="G1746" s="4" t="n">
        <v>1</v>
      </c>
      <c r="H1746" s="34" t="n">
        <v>95</v>
      </c>
      <c r="I1746" s="18" t="n">
        <v>0.1</v>
      </c>
      <c r="J1746" s="4" t="s">
        <v>81</v>
      </c>
      <c r="K1746" s="4" t="s">
        <v>71</v>
      </c>
      <c r="L1746" s="35" t="n">
        <f aca="false">G1746*H1746</f>
        <v>95</v>
      </c>
      <c r="M1746" s="35" t="n">
        <f aca="false">L1746*I1746</f>
        <v>9.5</v>
      </c>
      <c r="N1746" s="35" t="n">
        <f aca="false">L1746-M1746</f>
        <v>85.5</v>
      </c>
      <c r="O1746" s="4" t="n">
        <f aca="false">MONTH(B1746)</f>
        <v>12</v>
      </c>
      <c r="P1746" s="4" t="str">
        <f aca="false">CHOOSE(WEEKDAY(B1746,2),"Mon","Tue","Wed","Thu","Fri","Sat","Sun")</f>
        <v>Sat</v>
      </c>
      <c r="Q1746" s="4" t="str">
        <f aca="false">IF(WEEKDAY(B1746,2)&gt;5,"Weekend","Weekday")</f>
        <v>Weekend</v>
      </c>
      <c r="R1746" s="4" t="str">
        <f aca="false">IF(C1746&lt;11,"Morning (7-10)",IF(C1746&lt;14,"Lunch (11-13)",IF(C1746&lt;18,"Afternoon (14-17)","Evening (18-20)")))</f>
        <v>Lunch (11-13)</v>
      </c>
      <c r="S1746" s="4" t="str">
        <f aca="false">IF(AND(O1746&gt;=3,O1746&lt;=5),"Hot Dry (Mar-May)",IF(AND(O1746&gt;=6,O1746&lt;=11),"Rainy (Jun-Nov)","Cool Dry (Dec-Feb)"))</f>
        <v>Cool Dry (Dec-Feb)</v>
      </c>
      <c r="T1746" s="4" t="str">
        <f aca="false">CHOOSE(O1746,"Jan","Feb","Mar","Apr","May","Jun","Jul","Aug","Sep","Oct","Nov","Dec")</f>
        <v>Dec</v>
      </c>
    </row>
    <row r="1747" customFormat="false" ht="15" hidden="false" customHeight="false" outlineLevel="0" collapsed="false">
      <c r="A1747" s="4" t="s">
        <v>2165</v>
      </c>
      <c r="B1747" s="17" t="n">
        <v>46019</v>
      </c>
      <c r="C1747" s="4" t="n">
        <v>8</v>
      </c>
      <c r="D1747" s="4" t="s">
        <v>73</v>
      </c>
      <c r="E1747" s="4" t="s">
        <v>99</v>
      </c>
      <c r="F1747" s="4" t="s">
        <v>100</v>
      </c>
      <c r="G1747" s="4" t="n">
        <v>1</v>
      </c>
      <c r="H1747" s="34" t="n">
        <v>110</v>
      </c>
      <c r="I1747" s="18" t="n">
        <v>0</v>
      </c>
      <c r="J1747" s="4" t="s">
        <v>81</v>
      </c>
      <c r="K1747" s="4" t="s">
        <v>68</v>
      </c>
      <c r="L1747" s="35" t="n">
        <f aca="false">G1747*H1747</f>
        <v>110</v>
      </c>
      <c r="M1747" s="35" t="n">
        <f aca="false">L1747*I1747</f>
        <v>0</v>
      </c>
      <c r="N1747" s="35" t="n">
        <f aca="false">L1747-M1747</f>
        <v>110</v>
      </c>
      <c r="O1747" s="4" t="n">
        <f aca="false">MONTH(B1747)</f>
        <v>12</v>
      </c>
      <c r="P1747" s="4" t="str">
        <f aca="false">CHOOSE(WEEKDAY(B1747,2),"Mon","Tue","Wed","Thu","Fri","Sat","Sun")</f>
        <v>Sun</v>
      </c>
      <c r="Q1747" s="4" t="str">
        <f aca="false">IF(WEEKDAY(B1747,2)&gt;5,"Weekend","Weekday")</f>
        <v>Weekend</v>
      </c>
      <c r="R1747" s="4" t="str">
        <f aca="false">IF(C1747&lt;11,"Morning (7-10)",IF(C1747&lt;14,"Lunch (11-13)",IF(C1747&lt;18,"Afternoon (14-17)","Evening (18-20)")))</f>
        <v>Morning (7-10)</v>
      </c>
      <c r="S1747" s="4" t="str">
        <f aca="false">IF(AND(O1747&gt;=3,O1747&lt;=5),"Hot Dry (Mar-May)",IF(AND(O1747&gt;=6,O1747&lt;=11),"Rainy (Jun-Nov)","Cool Dry (Dec-Feb)"))</f>
        <v>Cool Dry (Dec-Feb)</v>
      </c>
      <c r="T1747" s="4" t="str">
        <f aca="false">CHOOSE(O1747,"Jan","Feb","Mar","Apr","May","Jun","Jul","Aug","Sep","Oct","Nov","Dec")</f>
        <v>Dec</v>
      </c>
    </row>
    <row r="1748" customFormat="false" ht="15" hidden="false" customHeight="false" outlineLevel="0" collapsed="false">
      <c r="A1748" s="4" t="s">
        <v>2166</v>
      </c>
      <c r="B1748" s="17" t="n">
        <v>46019</v>
      </c>
      <c r="C1748" s="4" t="n">
        <v>11</v>
      </c>
      <c r="D1748" s="4" t="s">
        <v>73</v>
      </c>
      <c r="E1748" s="4" t="s">
        <v>65</v>
      </c>
      <c r="F1748" s="4" t="s">
        <v>94</v>
      </c>
      <c r="G1748" s="4" t="n">
        <v>2</v>
      </c>
      <c r="H1748" s="34" t="n">
        <v>150</v>
      </c>
      <c r="I1748" s="18" t="n">
        <v>0</v>
      </c>
      <c r="J1748" s="4" t="s">
        <v>67</v>
      </c>
      <c r="K1748" s="4" t="s">
        <v>68</v>
      </c>
      <c r="L1748" s="35" t="n">
        <f aca="false">G1748*H1748</f>
        <v>300</v>
      </c>
      <c r="M1748" s="35" t="n">
        <f aca="false">L1748*I1748</f>
        <v>0</v>
      </c>
      <c r="N1748" s="35" t="n">
        <f aca="false">L1748-M1748</f>
        <v>300</v>
      </c>
      <c r="O1748" s="4" t="n">
        <f aca="false">MONTH(B1748)</f>
        <v>12</v>
      </c>
      <c r="P1748" s="4" t="str">
        <f aca="false">CHOOSE(WEEKDAY(B1748,2),"Mon","Tue","Wed","Thu","Fri","Sat","Sun")</f>
        <v>Sun</v>
      </c>
      <c r="Q1748" s="4" t="str">
        <f aca="false">IF(WEEKDAY(B1748,2)&gt;5,"Weekend","Weekday")</f>
        <v>Weekend</v>
      </c>
      <c r="R1748" s="4" t="str">
        <f aca="false">IF(C1748&lt;11,"Morning (7-10)",IF(C1748&lt;14,"Lunch (11-13)",IF(C1748&lt;18,"Afternoon (14-17)","Evening (18-20)")))</f>
        <v>Lunch (11-13)</v>
      </c>
      <c r="S1748" s="4" t="str">
        <f aca="false">IF(AND(O1748&gt;=3,O1748&lt;=5),"Hot Dry (Mar-May)",IF(AND(O1748&gt;=6,O1748&lt;=11),"Rainy (Jun-Nov)","Cool Dry (Dec-Feb)"))</f>
        <v>Cool Dry (Dec-Feb)</v>
      </c>
      <c r="T1748" s="4" t="str">
        <f aca="false">CHOOSE(O1748,"Jan","Feb","Mar","Apr","May","Jun","Jul","Aug","Sep","Oct","Nov","Dec")</f>
        <v>Dec</v>
      </c>
    </row>
    <row r="1749" customFormat="false" ht="15" hidden="false" customHeight="false" outlineLevel="0" collapsed="false">
      <c r="A1749" s="4" t="s">
        <v>2167</v>
      </c>
      <c r="B1749" s="17" t="n">
        <v>46019</v>
      </c>
      <c r="C1749" s="4" t="n">
        <v>12</v>
      </c>
      <c r="D1749" s="4" t="s">
        <v>98</v>
      </c>
      <c r="E1749" s="4" t="s">
        <v>74</v>
      </c>
      <c r="F1749" s="4" t="s">
        <v>91</v>
      </c>
      <c r="G1749" s="4" t="n">
        <v>1</v>
      </c>
      <c r="H1749" s="34" t="n">
        <v>200</v>
      </c>
      <c r="I1749" s="18" t="n">
        <v>0.1</v>
      </c>
      <c r="J1749" s="4" t="s">
        <v>81</v>
      </c>
      <c r="K1749" s="4" t="s">
        <v>71</v>
      </c>
      <c r="L1749" s="35" t="n">
        <f aca="false">G1749*H1749</f>
        <v>200</v>
      </c>
      <c r="M1749" s="35" t="n">
        <f aca="false">L1749*I1749</f>
        <v>20</v>
      </c>
      <c r="N1749" s="35" t="n">
        <f aca="false">L1749-M1749</f>
        <v>180</v>
      </c>
      <c r="O1749" s="4" t="n">
        <f aca="false">MONTH(B1749)</f>
        <v>12</v>
      </c>
      <c r="P1749" s="4" t="str">
        <f aca="false">CHOOSE(WEEKDAY(B1749,2),"Mon","Tue","Wed","Thu","Fri","Sat","Sun")</f>
        <v>Sun</v>
      </c>
      <c r="Q1749" s="4" t="str">
        <f aca="false">IF(WEEKDAY(B1749,2)&gt;5,"Weekend","Weekday")</f>
        <v>Weekend</v>
      </c>
      <c r="R1749" s="4" t="str">
        <f aca="false">IF(C1749&lt;11,"Morning (7-10)",IF(C1749&lt;14,"Lunch (11-13)",IF(C1749&lt;18,"Afternoon (14-17)","Evening (18-20)")))</f>
        <v>Lunch (11-13)</v>
      </c>
      <c r="S1749" s="4" t="str">
        <f aca="false">IF(AND(O1749&gt;=3,O1749&lt;=5),"Hot Dry (Mar-May)",IF(AND(O1749&gt;=6,O1749&lt;=11),"Rainy (Jun-Nov)","Cool Dry (Dec-Feb)"))</f>
        <v>Cool Dry (Dec-Feb)</v>
      </c>
      <c r="T1749" s="4" t="str">
        <f aca="false">CHOOSE(O1749,"Jan","Feb","Mar","Apr","May","Jun","Jul","Aug","Sep","Oct","Nov","Dec")</f>
        <v>Dec</v>
      </c>
    </row>
    <row r="1750" customFormat="false" ht="15" hidden="false" customHeight="false" outlineLevel="0" collapsed="false">
      <c r="A1750" s="4" t="s">
        <v>2168</v>
      </c>
      <c r="B1750" s="17" t="n">
        <v>46019</v>
      </c>
      <c r="C1750" s="4" t="n">
        <v>12</v>
      </c>
      <c r="D1750" s="4" t="s">
        <v>73</v>
      </c>
      <c r="E1750" s="4" t="s">
        <v>84</v>
      </c>
      <c r="F1750" s="4" t="s">
        <v>117</v>
      </c>
      <c r="G1750" s="4" t="n">
        <v>1</v>
      </c>
      <c r="H1750" s="34" t="n">
        <v>95</v>
      </c>
      <c r="I1750" s="18" t="n">
        <v>0</v>
      </c>
      <c r="J1750" s="4" t="s">
        <v>67</v>
      </c>
      <c r="K1750" s="4" t="s">
        <v>68</v>
      </c>
      <c r="L1750" s="35" t="n">
        <f aca="false">G1750*H1750</f>
        <v>95</v>
      </c>
      <c r="M1750" s="35" t="n">
        <f aca="false">L1750*I1750</f>
        <v>0</v>
      </c>
      <c r="N1750" s="35" t="n">
        <f aca="false">L1750-M1750</f>
        <v>95</v>
      </c>
      <c r="O1750" s="4" t="n">
        <f aca="false">MONTH(B1750)</f>
        <v>12</v>
      </c>
      <c r="P1750" s="4" t="str">
        <f aca="false">CHOOSE(WEEKDAY(B1750,2),"Mon","Tue","Wed","Thu","Fri","Sat","Sun")</f>
        <v>Sun</v>
      </c>
      <c r="Q1750" s="4" t="str">
        <f aca="false">IF(WEEKDAY(B1750,2)&gt;5,"Weekend","Weekday")</f>
        <v>Weekend</v>
      </c>
      <c r="R1750" s="4" t="str">
        <f aca="false">IF(C1750&lt;11,"Morning (7-10)",IF(C1750&lt;14,"Lunch (11-13)",IF(C1750&lt;18,"Afternoon (14-17)","Evening (18-20)")))</f>
        <v>Lunch (11-13)</v>
      </c>
      <c r="S1750" s="4" t="str">
        <f aca="false">IF(AND(O1750&gt;=3,O1750&lt;=5),"Hot Dry (Mar-May)",IF(AND(O1750&gt;=6,O1750&lt;=11),"Rainy (Jun-Nov)","Cool Dry (Dec-Feb)"))</f>
        <v>Cool Dry (Dec-Feb)</v>
      </c>
      <c r="T1750" s="4" t="str">
        <f aca="false">CHOOSE(O1750,"Jan","Feb","Mar","Apr","May","Jun","Jul","Aug","Sep","Oct","Nov","Dec")</f>
        <v>Dec</v>
      </c>
    </row>
    <row r="1751" customFormat="false" ht="15" hidden="false" customHeight="false" outlineLevel="0" collapsed="false">
      <c r="A1751" s="4" t="s">
        <v>2169</v>
      </c>
      <c r="B1751" s="17" t="n">
        <v>46019</v>
      </c>
      <c r="C1751" s="4" t="n">
        <v>15</v>
      </c>
      <c r="D1751" s="4" t="s">
        <v>64</v>
      </c>
      <c r="E1751" s="4" t="s">
        <v>65</v>
      </c>
      <c r="F1751" s="4" t="s">
        <v>66</v>
      </c>
      <c r="G1751" s="4" t="n">
        <v>1</v>
      </c>
      <c r="H1751" s="34" t="n">
        <v>120</v>
      </c>
      <c r="I1751" s="18" t="n">
        <v>0.05</v>
      </c>
      <c r="J1751" s="4" t="s">
        <v>81</v>
      </c>
      <c r="K1751" s="4" t="s">
        <v>82</v>
      </c>
      <c r="L1751" s="35" t="n">
        <f aca="false">G1751*H1751</f>
        <v>120</v>
      </c>
      <c r="M1751" s="35" t="n">
        <f aca="false">L1751*I1751</f>
        <v>6</v>
      </c>
      <c r="N1751" s="35" t="n">
        <f aca="false">L1751-M1751</f>
        <v>114</v>
      </c>
      <c r="O1751" s="4" t="n">
        <f aca="false">MONTH(B1751)</f>
        <v>12</v>
      </c>
      <c r="P1751" s="4" t="str">
        <f aca="false">CHOOSE(WEEKDAY(B1751,2),"Mon","Tue","Wed","Thu","Fri","Sat","Sun")</f>
        <v>Sun</v>
      </c>
      <c r="Q1751" s="4" t="str">
        <f aca="false">IF(WEEKDAY(B1751,2)&gt;5,"Weekend","Weekday")</f>
        <v>Weekend</v>
      </c>
      <c r="R1751" s="4" t="str">
        <f aca="false">IF(C1751&lt;11,"Morning (7-10)",IF(C1751&lt;14,"Lunch (11-13)",IF(C1751&lt;18,"Afternoon (14-17)","Evening (18-20)")))</f>
        <v>Afternoon (14-17)</v>
      </c>
      <c r="S1751" s="4" t="str">
        <f aca="false">IF(AND(O1751&gt;=3,O1751&lt;=5),"Hot Dry (Mar-May)",IF(AND(O1751&gt;=6,O1751&lt;=11),"Rainy (Jun-Nov)","Cool Dry (Dec-Feb)"))</f>
        <v>Cool Dry (Dec-Feb)</v>
      </c>
      <c r="T1751" s="4" t="str">
        <f aca="false">CHOOSE(O1751,"Jan","Feb","Mar","Apr","May","Jun","Jul","Aug","Sep","Oct","Nov","Dec")</f>
        <v>Dec</v>
      </c>
    </row>
    <row r="1752" customFormat="false" ht="15" hidden="false" customHeight="false" outlineLevel="0" collapsed="false">
      <c r="A1752" s="4" t="s">
        <v>2170</v>
      </c>
      <c r="B1752" s="17" t="n">
        <v>46020</v>
      </c>
      <c r="C1752" s="4" t="n">
        <v>8</v>
      </c>
      <c r="D1752" s="4" t="s">
        <v>73</v>
      </c>
      <c r="E1752" s="4" t="s">
        <v>99</v>
      </c>
      <c r="F1752" s="4" t="s">
        <v>100</v>
      </c>
      <c r="G1752" s="4" t="n">
        <v>1</v>
      </c>
      <c r="H1752" s="34" t="n">
        <v>110</v>
      </c>
      <c r="I1752" s="18" t="n">
        <v>0.1</v>
      </c>
      <c r="J1752" s="4" t="s">
        <v>81</v>
      </c>
      <c r="K1752" s="4" t="s">
        <v>71</v>
      </c>
      <c r="L1752" s="35" t="n">
        <f aca="false">G1752*H1752</f>
        <v>110</v>
      </c>
      <c r="M1752" s="35" t="n">
        <f aca="false">L1752*I1752</f>
        <v>11</v>
      </c>
      <c r="N1752" s="35" t="n">
        <f aca="false">L1752-M1752</f>
        <v>99</v>
      </c>
      <c r="O1752" s="4" t="n">
        <f aca="false">MONTH(B1752)</f>
        <v>12</v>
      </c>
      <c r="P1752" s="4" t="str">
        <f aca="false">CHOOSE(WEEKDAY(B1752,2),"Mon","Tue","Wed","Thu","Fri","Sat","Sun")</f>
        <v>Mon</v>
      </c>
      <c r="Q1752" s="4" t="str">
        <f aca="false">IF(WEEKDAY(B1752,2)&gt;5,"Weekend","Weekday")</f>
        <v>Weekday</v>
      </c>
      <c r="R1752" s="4" t="str">
        <f aca="false">IF(C1752&lt;11,"Morning (7-10)",IF(C1752&lt;14,"Lunch (11-13)",IF(C1752&lt;18,"Afternoon (14-17)","Evening (18-20)")))</f>
        <v>Morning (7-10)</v>
      </c>
      <c r="S1752" s="4" t="str">
        <f aca="false">IF(AND(O1752&gt;=3,O1752&lt;=5),"Hot Dry (Mar-May)",IF(AND(O1752&gt;=6,O1752&lt;=11),"Rainy (Jun-Nov)","Cool Dry (Dec-Feb)"))</f>
        <v>Cool Dry (Dec-Feb)</v>
      </c>
      <c r="T1752" s="4" t="str">
        <f aca="false">CHOOSE(O1752,"Jan","Feb","Mar","Apr","May","Jun","Jul","Aug","Sep","Oct","Nov","Dec")</f>
        <v>Dec</v>
      </c>
    </row>
    <row r="1753" customFormat="false" ht="15" hidden="false" customHeight="false" outlineLevel="0" collapsed="false">
      <c r="A1753" s="4" t="s">
        <v>2171</v>
      </c>
      <c r="B1753" s="17" t="n">
        <v>46020</v>
      </c>
      <c r="C1753" s="4" t="n">
        <v>8</v>
      </c>
      <c r="D1753" s="4" t="s">
        <v>70</v>
      </c>
      <c r="E1753" s="4" t="s">
        <v>65</v>
      </c>
      <c r="F1753" s="4" t="s">
        <v>87</v>
      </c>
      <c r="G1753" s="4" t="n">
        <v>3</v>
      </c>
      <c r="H1753" s="34" t="n">
        <v>160</v>
      </c>
      <c r="I1753" s="18" t="n">
        <v>0</v>
      </c>
      <c r="J1753" s="4" t="s">
        <v>67</v>
      </c>
      <c r="K1753" s="4" t="s">
        <v>77</v>
      </c>
      <c r="L1753" s="35" t="n">
        <f aca="false">G1753*H1753</f>
        <v>480</v>
      </c>
      <c r="M1753" s="35" t="n">
        <f aca="false">L1753*I1753</f>
        <v>0</v>
      </c>
      <c r="N1753" s="35" t="n">
        <f aca="false">L1753-M1753</f>
        <v>480</v>
      </c>
      <c r="O1753" s="4" t="n">
        <f aca="false">MONTH(B1753)</f>
        <v>12</v>
      </c>
      <c r="P1753" s="4" t="str">
        <f aca="false">CHOOSE(WEEKDAY(B1753,2),"Mon","Tue","Wed","Thu","Fri","Sat","Sun")</f>
        <v>Mon</v>
      </c>
      <c r="Q1753" s="4" t="str">
        <f aca="false">IF(WEEKDAY(B1753,2)&gt;5,"Weekend","Weekday")</f>
        <v>Weekday</v>
      </c>
      <c r="R1753" s="4" t="str">
        <f aca="false">IF(C1753&lt;11,"Morning (7-10)",IF(C1753&lt;14,"Lunch (11-13)",IF(C1753&lt;18,"Afternoon (14-17)","Evening (18-20)")))</f>
        <v>Morning (7-10)</v>
      </c>
      <c r="S1753" s="4" t="str">
        <f aca="false">IF(AND(O1753&gt;=3,O1753&lt;=5),"Hot Dry (Mar-May)",IF(AND(O1753&gt;=6,O1753&lt;=11),"Rainy (Jun-Nov)","Cool Dry (Dec-Feb)"))</f>
        <v>Cool Dry (Dec-Feb)</v>
      </c>
      <c r="T1753" s="4" t="str">
        <f aca="false">CHOOSE(O1753,"Jan","Feb","Mar","Apr","May","Jun","Jul","Aug","Sep","Oct","Nov","Dec")</f>
        <v>Dec</v>
      </c>
    </row>
    <row r="1754" customFormat="false" ht="15" hidden="false" customHeight="false" outlineLevel="0" collapsed="false">
      <c r="A1754" s="4" t="s">
        <v>2172</v>
      </c>
      <c r="B1754" s="17" t="n">
        <v>46020</v>
      </c>
      <c r="C1754" s="4" t="n">
        <v>12</v>
      </c>
      <c r="D1754" s="4" t="s">
        <v>64</v>
      </c>
      <c r="E1754" s="4" t="s">
        <v>79</v>
      </c>
      <c r="F1754" s="4" t="s">
        <v>148</v>
      </c>
      <c r="G1754" s="4" t="n">
        <v>1</v>
      </c>
      <c r="H1754" s="34" t="n">
        <v>120</v>
      </c>
      <c r="I1754" s="18" t="n">
        <v>0</v>
      </c>
      <c r="J1754" s="4" t="s">
        <v>112</v>
      </c>
      <c r="K1754" s="4" t="s">
        <v>68</v>
      </c>
      <c r="L1754" s="35" t="n">
        <f aca="false">G1754*H1754</f>
        <v>120</v>
      </c>
      <c r="M1754" s="35" t="n">
        <f aca="false">L1754*I1754</f>
        <v>0</v>
      </c>
      <c r="N1754" s="35" t="n">
        <f aca="false">L1754-M1754</f>
        <v>120</v>
      </c>
      <c r="O1754" s="4" t="n">
        <f aca="false">MONTH(B1754)</f>
        <v>12</v>
      </c>
      <c r="P1754" s="4" t="str">
        <f aca="false">CHOOSE(WEEKDAY(B1754,2),"Mon","Tue","Wed","Thu","Fri","Sat","Sun")</f>
        <v>Mon</v>
      </c>
      <c r="Q1754" s="4" t="str">
        <f aca="false">IF(WEEKDAY(B1754,2)&gt;5,"Weekend","Weekday")</f>
        <v>Weekday</v>
      </c>
      <c r="R1754" s="4" t="str">
        <f aca="false">IF(C1754&lt;11,"Morning (7-10)",IF(C1754&lt;14,"Lunch (11-13)",IF(C1754&lt;18,"Afternoon (14-17)","Evening (18-20)")))</f>
        <v>Lunch (11-13)</v>
      </c>
      <c r="S1754" s="4" t="str">
        <f aca="false">IF(AND(O1754&gt;=3,O1754&lt;=5),"Hot Dry (Mar-May)",IF(AND(O1754&gt;=6,O1754&lt;=11),"Rainy (Jun-Nov)","Cool Dry (Dec-Feb)"))</f>
        <v>Cool Dry (Dec-Feb)</v>
      </c>
      <c r="T1754" s="4" t="str">
        <f aca="false">CHOOSE(O1754,"Jan","Feb","Mar","Apr","May","Jun","Jul","Aug","Sep","Oct","Nov","Dec")</f>
        <v>Dec</v>
      </c>
    </row>
    <row r="1755" customFormat="false" ht="15" hidden="false" customHeight="false" outlineLevel="0" collapsed="false">
      <c r="A1755" s="4" t="s">
        <v>2173</v>
      </c>
      <c r="B1755" s="17" t="n">
        <v>46021</v>
      </c>
      <c r="C1755" s="4" t="n">
        <v>9</v>
      </c>
      <c r="D1755" s="4" t="s">
        <v>73</v>
      </c>
      <c r="E1755" s="4" t="s">
        <v>84</v>
      </c>
      <c r="F1755" s="4" t="s">
        <v>106</v>
      </c>
      <c r="G1755" s="4" t="n">
        <v>1</v>
      </c>
      <c r="H1755" s="34" t="n">
        <v>60</v>
      </c>
      <c r="I1755" s="18" t="n">
        <v>0</v>
      </c>
      <c r="J1755" s="4" t="s">
        <v>67</v>
      </c>
      <c r="K1755" s="4" t="s">
        <v>68</v>
      </c>
      <c r="L1755" s="35" t="n">
        <f aca="false">G1755*H1755</f>
        <v>60</v>
      </c>
      <c r="M1755" s="35" t="n">
        <f aca="false">L1755*I1755</f>
        <v>0</v>
      </c>
      <c r="N1755" s="35" t="n">
        <f aca="false">L1755-M1755</f>
        <v>60</v>
      </c>
      <c r="O1755" s="4" t="n">
        <f aca="false">MONTH(B1755)</f>
        <v>12</v>
      </c>
      <c r="P1755" s="4" t="str">
        <f aca="false">CHOOSE(WEEKDAY(B1755,2),"Mon","Tue","Wed","Thu","Fri","Sat","Sun")</f>
        <v>Tue</v>
      </c>
      <c r="Q1755" s="4" t="str">
        <f aca="false">IF(WEEKDAY(B1755,2)&gt;5,"Weekend","Weekday")</f>
        <v>Weekday</v>
      </c>
      <c r="R1755" s="4" t="str">
        <f aca="false">IF(C1755&lt;11,"Morning (7-10)",IF(C1755&lt;14,"Lunch (11-13)",IF(C1755&lt;18,"Afternoon (14-17)","Evening (18-20)")))</f>
        <v>Morning (7-10)</v>
      </c>
      <c r="S1755" s="4" t="str">
        <f aca="false">IF(AND(O1755&gt;=3,O1755&lt;=5),"Hot Dry (Mar-May)",IF(AND(O1755&gt;=6,O1755&lt;=11),"Rainy (Jun-Nov)","Cool Dry (Dec-Feb)"))</f>
        <v>Cool Dry (Dec-Feb)</v>
      </c>
      <c r="T1755" s="4" t="str">
        <f aca="false">CHOOSE(O1755,"Jan","Feb","Mar","Apr","May","Jun","Jul","Aug","Sep","Oct","Nov","Dec")</f>
        <v>Dec</v>
      </c>
    </row>
    <row r="1756" customFormat="false" ht="15" hidden="false" customHeight="false" outlineLevel="0" collapsed="false">
      <c r="A1756" s="4" t="s">
        <v>2174</v>
      </c>
      <c r="B1756" s="17" t="n">
        <v>46021</v>
      </c>
      <c r="C1756" s="4" t="n">
        <v>11</v>
      </c>
      <c r="D1756" s="4" t="s">
        <v>70</v>
      </c>
      <c r="E1756" s="4" t="s">
        <v>74</v>
      </c>
      <c r="F1756" s="4" t="s">
        <v>75</v>
      </c>
      <c r="G1756" s="4" t="n">
        <v>1</v>
      </c>
      <c r="H1756" s="34" t="n">
        <v>220</v>
      </c>
      <c r="I1756" s="18" t="n">
        <v>0</v>
      </c>
      <c r="J1756" s="4" t="s">
        <v>81</v>
      </c>
      <c r="K1756" s="4" t="s">
        <v>77</v>
      </c>
      <c r="L1756" s="35" t="n">
        <f aca="false">G1756*H1756</f>
        <v>220</v>
      </c>
      <c r="M1756" s="35" t="n">
        <f aca="false">L1756*I1756</f>
        <v>0</v>
      </c>
      <c r="N1756" s="35" t="n">
        <f aca="false">L1756-M1756</f>
        <v>220</v>
      </c>
      <c r="O1756" s="4" t="n">
        <f aca="false">MONTH(B1756)</f>
        <v>12</v>
      </c>
      <c r="P1756" s="4" t="str">
        <f aca="false">CHOOSE(WEEKDAY(B1756,2),"Mon","Tue","Wed","Thu","Fri","Sat","Sun")</f>
        <v>Tue</v>
      </c>
      <c r="Q1756" s="4" t="str">
        <f aca="false">IF(WEEKDAY(B1756,2)&gt;5,"Weekend","Weekday")</f>
        <v>Weekday</v>
      </c>
      <c r="R1756" s="4" t="str">
        <f aca="false">IF(C1756&lt;11,"Morning (7-10)",IF(C1756&lt;14,"Lunch (11-13)",IF(C1756&lt;18,"Afternoon (14-17)","Evening (18-20)")))</f>
        <v>Lunch (11-13)</v>
      </c>
      <c r="S1756" s="4" t="str">
        <f aca="false">IF(AND(O1756&gt;=3,O1756&lt;=5),"Hot Dry (Mar-May)",IF(AND(O1756&gt;=6,O1756&lt;=11),"Rainy (Jun-Nov)","Cool Dry (Dec-Feb)"))</f>
        <v>Cool Dry (Dec-Feb)</v>
      </c>
      <c r="T1756" s="4" t="str">
        <f aca="false">CHOOSE(O1756,"Jan","Feb","Mar","Apr","May","Jun","Jul","Aug","Sep","Oct","Nov","Dec")</f>
        <v>Dec</v>
      </c>
    </row>
    <row r="1757" customFormat="false" ht="15" hidden="false" customHeight="false" outlineLevel="0" collapsed="false">
      <c r="A1757" s="4" t="s">
        <v>2175</v>
      </c>
      <c r="B1757" s="17" t="n">
        <v>46021</v>
      </c>
      <c r="C1757" s="4" t="n">
        <v>12</v>
      </c>
      <c r="D1757" s="4" t="s">
        <v>73</v>
      </c>
      <c r="E1757" s="4" t="s">
        <v>74</v>
      </c>
      <c r="F1757" s="4" t="s">
        <v>75</v>
      </c>
      <c r="G1757" s="4" t="n">
        <v>2</v>
      </c>
      <c r="H1757" s="34" t="n">
        <v>220</v>
      </c>
      <c r="I1757" s="18" t="n">
        <v>0</v>
      </c>
      <c r="J1757" s="4" t="s">
        <v>67</v>
      </c>
      <c r="K1757" s="4" t="s">
        <v>77</v>
      </c>
      <c r="L1757" s="35" t="n">
        <f aca="false">G1757*H1757</f>
        <v>440</v>
      </c>
      <c r="M1757" s="35" t="n">
        <f aca="false">L1757*I1757</f>
        <v>0</v>
      </c>
      <c r="N1757" s="35" t="n">
        <f aca="false">L1757-M1757</f>
        <v>440</v>
      </c>
      <c r="O1757" s="4" t="n">
        <f aca="false">MONTH(B1757)</f>
        <v>12</v>
      </c>
      <c r="P1757" s="4" t="str">
        <f aca="false">CHOOSE(WEEKDAY(B1757,2),"Mon","Tue","Wed","Thu","Fri","Sat","Sun")</f>
        <v>Tue</v>
      </c>
      <c r="Q1757" s="4" t="str">
        <f aca="false">IF(WEEKDAY(B1757,2)&gt;5,"Weekend","Weekday")</f>
        <v>Weekday</v>
      </c>
      <c r="R1757" s="4" t="str">
        <f aca="false">IF(C1757&lt;11,"Morning (7-10)",IF(C1757&lt;14,"Lunch (11-13)",IF(C1757&lt;18,"Afternoon (14-17)","Evening (18-20)")))</f>
        <v>Lunch (11-13)</v>
      </c>
      <c r="S1757" s="4" t="str">
        <f aca="false">IF(AND(O1757&gt;=3,O1757&lt;=5),"Hot Dry (Mar-May)",IF(AND(O1757&gt;=6,O1757&lt;=11),"Rainy (Jun-Nov)","Cool Dry (Dec-Feb)"))</f>
        <v>Cool Dry (Dec-Feb)</v>
      </c>
      <c r="T1757" s="4" t="str">
        <f aca="false">CHOOSE(O1757,"Jan","Feb","Mar","Apr","May","Jun","Jul","Aug","Sep","Oct","Nov","Dec")</f>
        <v>Dec</v>
      </c>
    </row>
    <row r="1758" customFormat="false" ht="15" hidden="false" customHeight="false" outlineLevel="0" collapsed="false">
      <c r="A1758" s="4" t="s">
        <v>2176</v>
      </c>
      <c r="B1758" s="17" t="n">
        <v>46021</v>
      </c>
      <c r="C1758" s="4" t="n">
        <v>13</v>
      </c>
      <c r="D1758" s="4" t="s">
        <v>98</v>
      </c>
      <c r="E1758" s="4" t="s">
        <v>79</v>
      </c>
      <c r="F1758" s="4" t="s">
        <v>80</v>
      </c>
      <c r="G1758" s="4" t="n">
        <v>2</v>
      </c>
      <c r="H1758" s="34" t="n">
        <v>160</v>
      </c>
      <c r="I1758" s="18" t="n">
        <v>0.1</v>
      </c>
      <c r="J1758" s="4" t="s">
        <v>67</v>
      </c>
      <c r="K1758" s="4" t="s">
        <v>77</v>
      </c>
      <c r="L1758" s="35" t="n">
        <f aca="false">G1758*H1758</f>
        <v>320</v>
      </c>
      <c r="M1758" s="35" t="n">
        <f aca="false">L1758*I1758</f>
        <v>32</v>
      </c>
      <c r="N1758" s="35" t="n">
        <f aca="false">L1758-M1758</f>
        <v>288</v>
      </c>
      <c r="O1758" s="4" t="n">
        <f aca="false">MONTH(B1758)</f>
        <v>12</v>
      </c>
      <c r="P1758" s="4" t="str">
        <f aca="false">CHOOSE(WEEKDAY(B1758,2),"Mon","Tue","Wed","Thu","Fri","Sat","Sun")</f>
        <v>Tue</v>
      </c>
      <c r="Q1758" s="4" t="str">
        <f aca="false">IF(WEEKDAY(B1758,2)&gt;5,"Weekend","Weekday")</f>
        <v>Weekday</v>
      </c>
      <c r="R1758" s="4" t="str">
        <f aca="false">IF(C1758&lt;11,"Morning (7-10)",IF(C1758&lt;14,"Lunch (11-13)",IF(C1758&lt;18,"Afternoon (14-17)","Evening (18-20)")))</f>
        <v>Lunch (11-13)</v>
      </c>
      <c r="S1758" s="4" t="str">
        <f aca="false">IF(AND(O1758&gt;=3,O1758&lt;=5),"Hot Dry (Mar-May)",IF(AND(O1758&gt;=6,O1758&lt;=11),"Rainy (Jun-Nov)","Cool Dry (Dec-Feb)"))</f>
        <v>Cool Dry (Dec-Feb)</v>
      </c>
      <c r="T1758" s="4" t="str">
        <f aca="false">CHOOSE(O1758,"Jan","Feb","Mar","Apr","May","Jun","Jul","Aug","Sep","Oct","Nov","Dec")</f>
        <v>Dec</v>
      </c>
    </row>
    <row r="1759" customFormat="false" ht="15" hidden="false" customHeight="false" outlineLevel="0" collapsed="false">
      <c r="A1759" s="4" t="s">
        <v>2178</v>
      </c>
      <c r="B1759" s="17" t="n">
        <v>46021</v>
      </c>
      <c r="C1759" s="4" t="n">
        <v>17</v>
      </c>
      <c r="D1759" s="4" t="s">
        <v>64</v>
      </c>
      <c r="E1759" s="4" t="s">
        <v>65</v>
      </c>
      <c r="F1759" s="4" t="s">
        <v>66</v>
      </c>
      <c r="G1759" s="4" t="n">
        <v>4</v>
      </c>
      <c r="H1759" s="34" t="n">
        <v>120</v>
      </c>
      <c r="I1759" s="18" t="n">
        <v>0.05</v>
      </c>
      <c r="J1759" s="4" t="s">
        <v>76</v>
      </c>
      <c r="K1759" s="4" t="s">
        <v>82</v>
      </c>
      <c r="L1759" s="35" t="n">
        <f aca="false">G1759*H1759</f>
        <v>480</v>
      </c>
      <c r="M1759" s="35" t="n">
        <f aca="false">L1759*I1759</f>
        <v>24</v>
      </c>
      <c r="N1759" s="35" t="n">
        <f aca="false">L1759-M1759</f>
        <v>456</v>
      </c>
      <c r="O1759" s="4" t="n">
        <f aca="false">MONTH(B1759)</f>
        <v>12</v>
      </c>
      <c r="P1759" s="4" t="str">
        <f aca="false">CHOOSE(WEEKDAY(B1759,2),"Mon","Tue","Wed","Thu","Fri","Sat","Sun")</f>
        <v>Tue</v>
      </c>
      <c r="Q1759" s="4" t="str">
        <f aca="false">IF(WEEKDAY(B1759,2)&gt;5,"Weekend","Weekday")</f>
        <v>Weekday</v>
      </c>
      <c r="R1759" s="4" t="str">
        <f aca="false">IF(C1759&lt;11,"Morning (7-10)",IF(C1759&lt;14,"Lunch (11-13)",IF(C1759&lt;18,"Afternoon (14-17)","Evening (18-20)")))</f>
        <v>Afternoon (14-17)</v>
      </c>
      <c r="S1759" s="4" t="str">
        <f aca="false">IF(AND(O1759&gt;=3,O1759&lt;=5),"Hot Dry (Mar-May)",IF(AND(O1759&gt;=6,O1759&lt;=11),"Rainy (Jun-Nov)","Cool Dry (Dec-Feb)"))</f>
        <v>Cool Dry (Dec-Feb)</v>
      </c>
      <c r="T1759" s="4" t="str">
        <f aca="false">CHOOSE(O1759,"Jan","Feb","Mar","Apr","May","Jun","Jul","Aug","Sep","Oct","Nov","Dec")</f>
        <v>Dec</v>
      </c>
    </row>
    <row r="1760" customFormat="false" ht="15" hidden="false" customHeight="false" outlineLevel="0" collapsed="false">
      <c r="A1760" s="4" t="s">
        <v>2179</v>
      </c>
      <c r="B1760" s="17" t="n">
        <v>46021</v>
      </c>
      <c r="C1760" s="4" t="n">
        <v>17</v>
      </c>
      <c r="D1760" s="4" t="s">
        <v>70</v>
      </c>
      <c r="E1760" s="4" t="s">
        <v>65</v>
      </c>
      <c r="F1760" s="4" t="s">
        <v>66</v>
      </c>
      <c r="G1760" s="4" t="n">
        <v>1</v>
      </c>
      <c r="H1760" s="34" t="n">
        <v>120</v>
      </c>
      <c r="I1760" s="18" t="n">
        <v>0</v>
      </c>
      <c r="J1760" s="4" t="s">
        <v>76</v>
      </c>
      <c r="K1760" s="4" t="s">
        <v>68</v>
      </c>
      <c r="L1760" s="35" t="n">
        <f aca="false">G1760*H1760</f>
        <v>120</v>
      </c>
      <c r="M1760" s="35" t="n">
        <f aca="false">L1760*I1760</f>
        <v>0</v>
      </c>
      <c r="N1760" s="35" t="n">
        <f aca="false">L1760-M1760</f>
        <v>120</v>
      </c>
      <c r="O1760" s="4" t="n">
        <f aca="false">MONTH(B1760)</f>
        <v>12</v>
      </c>
      <c r="P1760" s="4" t="str">
        <f aca="false">CHOOSE(WEEKDAY(B1760,2),"Mon","Tue","Wed","Thu","Fri","Sat","Sun")</f>
        <v>Tue</v>
      </c>
      <c r="Q1760" s="4" t="str">
        <f aca="false">IF(WEEKDAY(B1760,2)&gt;5,"Weekend","Weekday")</f>
        <v>Weekday</v>
      </c>
      <c r="R1760" s="4" t="str">
        <f aca="false">IF(C1760&lt;11,"Morning (7-10)",IF(C1760&lt;14,"Lunch (11-13)",IF(C1760&lt;18,"Afternoon (14-17)","Evening (18-20)")))</f>
        <v>Afternoon (14-17)</v>
      </c>
      <c r="S1760" s="4" t="str">
        <f aca="false">IF(AND(O1760&gt;=3,O1760&lt;=5),"Hot Dry (Mar-May)",IF(AND(O1760&gt;=6,O1760&lt;=11),"Rainy (Jun-Nov)","Cool Dry (Dec-Feb)"))</f>
        <v>Cool Dry (Dec-Feb)</v>
      </c>
      <c r="T1760" s="4" t="str">
        <f aca="false">CHOOSE(O1760,"Jan","Feb","Mar","Apr","May","Jun","Jul","Aug","Sep","Oct","Nov","Dec")</f>
        <v>Dec</v>
      </c>
    </row>
    <row r="1761" customFormat="false" ht="15" hidden="false" customHeight="false" outlineLevel="0" collapsed="false">
      <c r="A1761" s="4" t="s">
        <v>2180</v>
      </c>
      <c r="B1761" s="17" t="n">
        <v>46021</v>
      </c>
      <c r="C1761" s="4" t="n">
        <v>18</v>
      </c>
      <c r="D1761" s="4" t="s">
        <v>98</v>
      </c>
      <c r="E1761" s="4" t="s">
        <v>84</v>
      </c>
      <c r="F1761" s="4" t="s">
        <v>85</v>
      </c>
      <c r="G1761" s="4" t="n">
        <v>2</v>
      </c>
      <c r="H1761" s="34" t="n">
        <v>150</v>
      </c>
      <c r="I1761" s="18" t="n">
        <v>0</v>
      </c>
      <c r="J1761" s="4" t="s">
        <v>76</v>
      </c>
      <c r="K1761" s="4" t="s">
        <v>77</v>
      </c>
      <c r="L1761" s="35" t="n">
        <f aca="false">G1761*H1761</f>
        <v>300</v>
      </c>
      <c r="M1761" s="35" t="n">
        <f aca="false">L1761*I1761</f>
        <v>0</v>
      </c>
      <c r="N1761" s="35" t="n">
        <f aca="false">L1761-M1761</f>
        <v>300</v>
      </c>
      <c r="O1761" s="4" t="n">
        <f aca="false">MONTH(B1761)</f>
        <v>12</v>
      </c>
      <c r="P1761" s="4" t="str">
        <f aca="false">CHOOSE(WEEKDAY(B1761,2),"Mon","Tue","Wed","Thu","Fri","Sat","Sun")</f>
        <v>Tue</v>
      </c>
      <c r="Q1761" s="4" t="str">
        <f aca="false">IF(WEEKDAY(B1761,2)&gt;5,"Weekend","Weekday")</f>
        <v>Weekday</v>
      </c>
      <c r="R1761" s="4" t="str">
        <f aca="false">IF(C1761&lt;11,"Morning (7-10)",IF(C1761&lt;14,"Lunch (11-13)",IF(C1761&lt;18,"Afternoon (14-17)","Evening (18-20)")))</f>
        <v>Evening (18-20)</v>
      </c>
      <c r="S1761" s="4" t="str">
        <f aca="false">IF(AND(O1761&gt;=3,O1761&lt;=5),"Hot Dry (Mar-May)",IF(AND(O1761&gt;=6,O1761&lt;=11),"Rainy (Jun-Nov)","Cool Dry (Dec-Feb)"))</f>
        <v>Cool Dry (Dec-Feb)</v>
      </c>
      <c r="T1761" s="4" t="str">
        <f aca="false">CHOOSE(O1761,"Jan","Feb","Mar","Apr","May","Jun","Jul","Aug","Sep","Oct","Nov","Dec")</f>
        <v>Dec</v>
      </c>
    </row>
    <row r="1762" customFormat="false" ht="15" hidden="false" customHeight="false" outlineLevel="0" collapsed="false">
      <c r="A1762" s="4" t="s">
        <v>2181</v>
      </c>
      <c r="B1762" s="17" t="n">
        <v>46022</v>
      </c>
      <c r="C1762" s="4" t="n">
        <v>10</v>
      </c>
      <c r="D1762" s="4" t="s">
        <v>98</v>
      </c>
      <c r="E1762" s="4" t="s">
        <v>65</v>
      </c>
      <c r="F1762" s="4" t="s">
        <v>121</v>
      </c>
      <c r="G1762" s="4" t="n">
        <v>1</v>
      </c>
      <c r="H1762" s="34" t="n">
        <v>170</v>
      </c>
      <c r="I1762" s="18" t="n">
        <v>0</v>
      </c>
      <c r="J1762" s="4" t="s">
        <v>81</v>
      </c>
      <c r="K1762" s="4" t="s">
        <v>68</v>
      </c>
      <c r="L1762" s="35" t="n">
        <f aca="false">G1762*H1762</f>
        <v>170</v>
      </c>
      <c r="M1762" s="35" t="n">
        <f aca="false">L1762*I1762</f>
        <v>0</v>
      </c>
      <c r="N1762" s="35" t="n">
        <f aca="false">L1762-M1762</f>
        <v>170</v>
      </c>
      <c r="O1762" s="4" t="n">
        <f aca="false">MONTH(B1762)</f>
        <v>12</v>
      </c>
      <c r="P1762" s="4" t="str">
        <f aca="false">CHOOSE(WEEKDAY(B1762,2),"Mon","Tue","Wed","Thu","Fri","Sat","Sun")</f>
        <v>Wed</v>
      </c>
      <c r="Q1762" s="4" t="str">
        <f aca="false">IF(WEEKDAY(B1762,2)&gt;5,"Weekend","Weekday")</f>
        <v>Weekday</v>
      </c>
      <c r="R1762" s="4" t="str">
        <f aca="false">IF(C1762&lt;11,"Morning (7-10)",IF(C1762&lt;14,"Lunch (11-13)",IF(C1762&lt;18,"Afternoon (14-17)","Evening (18-20)")))</f>
        <v>Morning (7-10)</v>
      </c>
      <c r="S1762" s="4" t="str">
        <f aca="false">IF(AND(O1762&gt;=3,O1762&lt;=5),"Hot Dry (Mar-May)",IF(AND(O1762&gt;=6,O1762&lt;=11),"Rainy (Jun-Nov)","Cool Dry (Dec-Feb)"))</f>
        <v>Cool Dry (Dec-Feb)</v>
      </c>
      <c r="T1762" s="4" t="str">
        <f aca="false">CHOOSE(O1762,"Jan","Feb","Mar","Apr","May","Jun","Jul","Aug","Sep","Oct","Nov","Dec")</f>
        <v>Dec</v>
      </c>
    </row>
    <row r="1763" customFormat="false" ht="15" hidden="false" customHeight="false" outlineLevel="0" collapsed="false">
      <c r="A1763" s="4" t="s">
        <v>2182</v>
      </c>
      <c r="B1763" s="17" t="n">
        <v>46022</v>
      </c>
      <c r="C1763" s="4" t="n">
        <v>14</v>
      </c>
      <c r="D1763" s="4" t="s">
        <v>73</v>
      </c>
      <c r="E1763" s="4" t="s">
        <v>84</v>
      </c>
      <c r="F1763" s="4" t="s">
        <v>117</v>
      </c>
      <c r="G1763" s="4" t="n">
        <v>3</v>
      </c>
      <c r="H1763" s="34" t="n">
        <v>95</v>
      </c>
      <c r="I1763" s="18" t="n">
        <v>0.1</v>
      </c>
      <c r="J1763" s="4" t="s">
        <v>112</v>
      </c>
      <c r="K1763" s="4" t="s">
        <v>71</v>
      </c>
      <c r="L1763" s="35" t="n">
        <f aca="false">G1763*H1763</f>
        <v>285</v>
      </c>
      <c r="M1763" s="35" t="n">
        <f aca="false">L1763*I1763</f>
        <v>28.5</v>
      </c>
      <c r="N1763" s="35" t="n">
        <f aca="false">L1763-M1763</f>
        <v>256.5</v>
      </c>
      <c r="O1763" s="4" t="n">
        <f aca="false">MONTH(B1763)</f>
        <v>12</v>
      </c>
      <c r="P1763" s="4" t="str">
        <f aca="false">CHOOSE(WEEKDAY(B1763,2),"Mon","Tue","Wed","Thu","Fri","Sat","Sun")</f>
        <v>Wed</v>
      </c>
      <c r="Q1763" s="4" t="str">
        <f aca="false">IF(WEEKDAY(B1763,2)&gt;5,"Weekend","Weekday")</f>
        <v>Weekday</v>
      </c>
      <c r="R1763" s="4" t="str">
        <f aca="false">IF(C1763&lt;11,"Morning (7-10)",IF(C1763&lt;14,"Lunch (11-13)",IF(C1763&lt;18,"Afternoon (14-17)","Evening (18-20)")))</f>
        <v>Afternoon (14-17)</v>
      </c>
      <c r="S1763" s="4" t="str">
        <f aca="false">IF(AND(O1763&gt;=3,O1763&lt;=5),"Hot Dry (Mar-May)",IF(AND(O1763&gt;=6,O1763&lt;=11),"Rainy (Jun-Nov)","Cool Dry (Dec-Feb)"))</f>
        <v>Cool Dry (Dec-Feb)</v>
      </c>
      <c r="T1763" s="4" t="str">
        <f aca="false">CHOOSE(O1763,"Jan","Feb","Mar","Apr","May","Jun","Jul","Aug","Sep","Oct","Nov","Dec")</f>
        <v>Dec</v>
      </c>
    </row>
    <row r="1764" customFormat="false" ht="15" hidden="false" customHeight="false" outlineLevel="0" collapsed="false">
      <c r="A1764" s="4" t="s">
        <v>2184</v>
      </c>
      <c r="B1764" s="17" t="n">
        <v>46022</v>
      </c>
      <c r="C1764" s="4" t="n">
        <v>18</v>
      </c>
      <c r="D1764" s="4" t="s">
        <v>64</v>
      </c>
      <c r="E1764" s="4" t="s">
        <v>65</v>
      </c>
      <c r="F1764" s="4" t="s">
        <v>94</v>
      </c>
      <c r="G1764" s="4" t="n">
        <v>1</v>
      </c>
      <c r="H1764" s="34" t="n">
        <v>150</v>
      </c>
      <c r="I1764" s="18" t="n">
        <v>0</v>
      </c>
      <c r="J1764" s="4" t="s">
        <v>67</v>
      </c>
      <c r="K1764" s="4" t="s">
        <v>68</v>
      </c>
      <c r="L1764" s="35" t="n">
        <f aca="false">G1764*H1764</f>
        <v>150</v>
      </c>
      <c r="M1764" s="35" t="n">
        <f aca="false">L1764*I1764</f>
        <v>0</v>
      </c>
      <c r="N1764" s="35" t="n">
        <f aca="false">L1764-M1764</f>
        <v>150</v>
      </c>
      <c r="O1764" s="4" t="n">
        <f aca="false">MONTH(B1764)</f>
        <v>12</v>
      </c>
      <c r="P1764" s="4" t="str">
        <f aca="false">CHOOSE(WEEKDAY(B1764,2),"Mon","Tue","Wed","Thu","Fri","Sat","Sun")</f>
        <v>Wed</v>
      </c>
      <c r="Q1764" s="4" t="str">
        <f aca="false">IF(WEEKDAY(B1764,2)&gt;5,"Weekend","Weekday")</f>
        <v>Weekday</v>
      </c>
      <c r="R1764" s="4" t="str">
        <f aca="false">IF(C1764&lt;11,"Morning (7-10)",IF(C1764&lt;14,"Lunch (11-13)",IF(C1764&lt;18,"Afternoon (14-17)","Evening (18-20)")))</f>
        <v>Evening (18-20)</v>
      </c>
      <c r="S1764" s="4" t="str">
        <f aca="false">IF(AND(O1764&gt;=3,O1764&lt;=5),"Hot Dry (Mar-May)",IF(AND(O1764&gt;=6,O1764&lt;=11),"Rainy (Jun-Nov)","Cool Dry (Dec-Feb)"))</f>
        <v>Cool Dry (Dec-Feb)</v>
      </c>
      <c r="T1764" s="4" t="str">
        <f aca="false">CHOOSE(O1764,"Jan","Feb","Mar","Apr","May","Jun","Jul","Aug","Sep","Oct","Nov","Dec")</f>
        <v>Dec</v>
      </c>
    </row>
  </sheetData>
  <autoFilter ref="A1:T17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82B4"/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58"/>
  </cols>
  <sheetData>
    <row r="1" customFormat="false" ht="25.5" hidden="false" customHeight="true" outlineLevel="0" collapsed="false">
      <c r="A1" s="1" t="s">
        <v>2290</v>
      </c>
    </row>
    <row r="2" customFormat="false" ht="15" hidden="false" customHeight="false" outlineLevel="0" collapsed="false">
      <c r="A2" s="2" t="s">
        <v>2291</v>
      </c>
    </row>
    <row r="4" customFormat="false" ht="15" hidden="false" customHeight="false" outlineLevel="0" collapsed="false">
      <c r="A4" s="5" t="s">
        <v>2292</v>
      </c>
      <c r="B4" s="5" t="s">
        <v>2189</v>
      </c>
      <c r="C4" s="5" t="s">
        <v>2293</v>
      </c>
    </row>
    <row r="5" customFormat="false" ht="15" hidden="false" customHeight="false" outlineLevel="0" collapsed="false">
      <c r="A5" s="9" t="s">
        <v>2294</v>
      </c>
      <c r="B5" s="19" t="n">
        <f aca="false">COUNTA(3b_Clean_Data!$A$2:$A$1764)</f>
        <v>1763</v>
      </c>
      <c r="C5" s="2" t="s">
        <v>2295</v>
      </c>
    </row>
    <row r="6" customFormat="false" ht="15" hidden="false" customHeight="false" outlineLevel="0" collapsed="false">
      <c r="A6" s="9" t="s">
        <v>2296</v>
      </c>
      <c r="B6" s="19" t="n">
        <f aca="false">SUM(3b_Clean_Data!$G$2:$G$1764)</f>
        <v>2983</v>
      </c>
      <c r="C6" s="2" t="s">
        <v>2297</v>
      </c>
    </row>
    <row r="7" customFormat="false" ht="15" hidden="false" customHeight="false" outlineLevel="0" collapsed="false">
      <c r="A7" s="9" t="s">
        <v>2298</v>
      </c>
      <c r="B7" s="36" t="n">
        <f aca="false">SUM(3b_Clean_Data!$L$2:$L$1764)</f>
        <v>413540</v>
      </c>
      <c r="C7" s="2" t="s">
        <v>2299</v>
      </c>
    </row>
    <row r="8" customFormat="false" ht="15" hidden="false" customHeight="false" outlineLevel="0" collapsed="false">
      <c r="A8" s="9" t="s">
        <v>2300</v>
      </c>
      <c r="B8" s="36" t="n">
        <f aca="false">SUM(3b_Clean_Data!$M$2:$M$1764)</f>
        <v>19111.75</v>
      </c>
      <c r="C8" s="2" t="s">
        <v>2301</v>
      </c>
    </row>
    <row r="9" customFormat="false" ht="15" hidden="false" customHeight="false" outlineLevel="0" collapsed="false">
      <c r="A9" s="9" t="s">
        <v>39</v>
      </c>
      <c r="B9" s="36" t="n">
        <f aca="false">SUM(3b_Clean_Data!$N$2:$N$1764)</f>
        <v>394428.25</v>
      </c>
      <c r="C9" s="2" t="s">
        <v>2302</v>
      </c>
    </row>
    <row r="10" customFormat="false" ht="15" hidden="false" customHeight="false" outlineLevel="0" collapsed="false">
      <c r="A10" s="9" t="s">
        <v>42</v>
      </c>
      <c r="B10" s="21" t="n">
        <f aca="false">B8/B7</f>
        <v>0.0462149973400397</v>
      </c>
      <c r="C10" s="2" t="s">
        <v>2303</v>
      </c>
    </row>
    <row r="11" customFormat="false" ht="15" hidden="false" customHeight="false" outlineLevel="0" collapsed="false">
      <c r="A11" s="9" t="s">
        <v>2304</v>
      </c>
      <c r="B11" s="37" t="n">
        <f aca="false">B9/B5</f>
        <v>223.725609756098</v>
      </c>
      <c r="C11" s="2" t="s">
        <v>2305</v>
      </c>
    </row>
    <row r="12" customFormat="false" ht="15" hidden="false" customHeight="false" outlineLevel="0" collapsed="false">
      <c r="A12" s="9" t="s">
        <v>2306</v>
      </c>
      <c r="B12" s="37" t="n">
        <f aca="false">MEDIAN(3b_Clean_Data!$N$2:$N$1764)</f>
        <v>170</v>
      </c>
      <c r="C12" s="2" t="s">
        <v>2307</v>
      </c>
    </row>
    <row r="13" customFormat="false" ht="15" hidden="false" customHeight="false" outlineLevel="0" collapsed="false">
      <c r="A13" s="9" t="s">
        <v>2308</v>
      </c>
      <c r="B13" s="37" t="n">
        <f aca="false">STDEV(3b_Clean_Data!$N$2:$N$1764)</f>
        <v>134.594117170733</v>
      </c>
      <c r="C13" s="2" t="s">
        <v>2309</v>
      </c>
    </row>
    <row r="14" customFormat="false" ht="15" hidden="false" customHeight="false" outlineLevel="0" collapsed="false">
      <c r="A14" s="9" t="s">
        <v>2310</v>
      </c>
      <c r="B14" s="37" t="n">
        <f aca="false">MAX(3b_Clean_Data!$N$2:$N$1764)</f>
        <v>880</v>
      </c>
      <c r="C14" s="2" t="s">
        <v>2311</v>
      </c>
    </row>
    <row r="15" customFormat="false" ht="15" hidden="false" customHeight="false" outlineLevel="0" collapsed="false">
      <c r="A15" s="9" t="s">
        <v>2312</v>
      </c>
      <c r="B15" s="37" t="n">
        <f aca="false">MIN(3b_Clean_Data!$N$2:$N$1764)</f>
        <v>51</v>
      </c>
      <c r="C15" s="2" t="s">
        <v>2313</v>
      </c>
    </row>
    <row r="16" customFormat="false" ht="15" hidden="false" customHeight="false" outlineLevel="0" collapsed="false">
      <c r="A16" s="9" t="s">
        <v>2314</v>
      </c>
      <c r="B16" s="23" t="n">
        <f aca="false">B6/B5</f>
        <v>1.6920022688599</v>
      </c>
      <c r="C16" s="2" t="s">
        <v>2315</v>
      </c>
    </row>
    <row r="17" customFormat="false" ht="15" hidden="false" customHeight="false" outlineLevel="0" collapsed="false">
      <c r="A17" s="9" t="s">
        <v>2316</v>
      </c>
      <c r="B17" s="37" t="n">
        <f aca="false">B9/B6</f>
        <v>132.225360375461</v>
      </c>
      <c r="C17" s="2" t="s">
        <v>2317</v>
      </c>
    </row>
    <row r="18" customFormat="false" ht="15" hidden="false" customHeight="false" outlineLevel="0" collapsed="false">
      <c r="A18" s="9" t="s">
        <v>2318</v>
      </c>
      <c r="B18" s="21" t="n">
        <f aca="false">COUNTIF(3b_Clean_Data!$I$2:$I$1764,"&gt;0")/B5</f>
        <v>0.497447532614861</v>
      </c>
      <c r="C18" s="2" t="s">
        <v>2319</v>
      </c>
    </row>
    <row r="19" customFormat="false" ht="15" hidden="false" customHeight="false" outlineLevel="0" collapsed="false">
      <c r="A19" s="9" t="s">
        <v>2320</v>
      </c>
      <c r="B19" s="32" t="n">
        <v>365</v>
      </c>
      <c r="C19" s="2" t="s">
        <v>2321</v>
      </c>
    </row>
    <row r="20" customFormat="false" ht="15" hidden="false" customHeight="false" outlineLevel="0" collapsed="false">
      <c r="A20" s="9" t="s">
        <v>2322</v>
      </c>
      <c r="B20" s="36" t="n">
        <f aca="false">B9/B19</f>
        <v>1080.62534246575</v>
      </c>
      <c r="C20" s="2" t="s">
        <v>2323</v>
      </c>
    </row>
    <row r="23" customFormat="false" ht="15" hidden="false" customHeight="false" outlineLevel="0" collapsed="false">
      <c r="A23" s="3" t="s">
        <v>2324</v>
      </c>
    </row>
    <row r="24" customFormat="false" ht="15" hidden="false" customHeight="false" outlineLevel="0" collapsed="false">
      <c r="A24" s="5" t="s">
        <v>2325</v>
      </c>
      <c r="B24" s="5" t="s">
        <v>2294</v>
      </c>
      <c r="C24" s="5" t="s">
        <v>2326</v>
      </c>
    </row>
    <row r="25" customFormat="false" ht="15" hidden="false" customHeight="false" outlineLevel="0" collapsed="false">
      <c r="A25" s="9" t="n">
        <v>1</v>
      </c>
      <c r="B25" s="19" t="n">
        <f aca="false">COUNTIF(3b_Clean_Data!$G$2:$G$1764,A25)</f>
        <v>973</v>
      </c>
      <c r="C25" s="21" t="n">
        <f aca="false">B25/$B$5</f>
        <v>0.551900170164492</v>
      </c>
    </row>
    <row r="26" customFormat="false" ht="15" hidden="false" customHeight="false" outlineLevel="0" collapsed="false">
      <c r="A26" s="9" t="n">
        <v>2</v>
      </c>
      <c r="B26" s="19" t="n">
        <f aca="false">COUNTIF(3b_Clean_Data!$G$2:$G$1764,A26)</f>
        <v>481</v>
      </c>
      <c r="C26" s="21" t="n">
        <f aca="false">B26/$B$5</f>
        <v>0.272830402722632</v>
      </c>
    </row>
    <row r="27" customFormat="false" ht="15" hidden="false" customHeight="false" outlineLevel="0" collapsed="false">
      <c r="A27" s="9" t="n">
        <v>3</v>
      </c>
      <c r="B27" s="19" t="n">
        <f aca="false">COUNTIF(3b_Clean_Data!$G$2:$G$1764,A27)</f>
        <v>188</v>
      </c>
      <c r="C27" s="21" t="n">
        <f aca="false">B27/$B$5</f>
        <v>0.106636415201361</v>
      </c>
    </row>
    <row r="28" customFormat="false" ht="15" hidden="false" customHeight="false" outlineLevel="0" collapsed="false">
      <c r="A28" s="9" t="n">
        <v>4</v>
      </c>
      <c r="B28" s="19" t="n">
        <f aca="false">COUNTIF(3b_Clean_Data!$G$2:$G$1764,A28)</f>
        <v>121</v>
      </c>
      <c r="C28" s="21" t="n">
        <f aca="false">B28/$B$5</f>
        <v>0.0686330119115145</v>
      </c>
    </row>
    <row r="29" customFormat="false" ht="15" hidden="false" customHeight="false" outlineLevel="0" collapsed="false">
      <c r="A29" s="2" t="s">
        <v>2327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82B4"/>
    <pageSetUpPr fitToPage="false"/>
  </sheetPr>
  <dimension ref="A1:G1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2"/>
  </cols>
  <sheetData>
    <row r="1" customFormat="false" ht="25.5" hidden="false" customHeight="true" outlineLevel="0" collapsed="false">
      <c r="A1" s="1" t="s">
        <v>2328</v>
      </c>
    </row>
    <row r="2" customFormat="false" ht="15" hidden="false" customHeight="false" outlineLevel="0" collapsed="false">
      <c r="A2" s="2" t="s">
        <v>2329</v>
      </c>
    </row>
    <row r="4" customFormat="false" ht="15" hidden="false" customHeight="false" outlineLevel="0" collapsed="false">
      <c r="A4" s="3" t="s">
        <v>2330</v>
      </c>
    </row>
    <row r="5" customFormat="false" ht="15" hidden="false" customHeight="false" outlineLevel="0" collapsed="false">
      <c r="A5" s="5" t="s">
        <v>55</v>
      </c>
      <c r="B5" s="5" t="s">
        <v>2294</v>
      </c>
      <c r="C5" s="5" t="s">
        <v>2331</v>
      </c>
      <c r="D5" s="5" t="s">
        <v>39</v>
      </c>
      <c r="E5" s="5" t="s">
        <v>2332</v>
      </c>
      <c r="F5" s="5" t="s">
        <v>2333</v>
      </c>
    </row>
    <row r="6" customFormat="false" ht="15" hidden="false" customHeight="false" outlineLevel="0" collapsed="false">
      <c r="A6" s="9" t="s">
        <v>70</v>
      </c>
      <c r="B6" s="19" t="n">
        <f aca="false">COUNTIFS(3b_Clean_Data!$D$2:$D$1764,A6)</f>
        <v>607</v>
      </c>
      <c r="C6" s="19" t="n">
        <f aca="false">SUMIFS(3b_Clean_Data!$G$2:$G$1764,3b_Clean_Data!$D$2:$D$1764,A6)</f>
        <v>1047</v>
      </c>
      <c r="D6" s="36" t="n">
        <f aca="false">SUMIFS(3b_Clean_Data!$N$2:$N$1764,3b_Clean_Data!$D$2:$D$1764,A6)</f>
        <v>140875.5</v>
      </c>
      <c r="E6" s="21" t="n">
        <f aca="false">D6/4_Calculate!$B$9</f>
        <v>0.357163818768052</v>
      </c>
      <c r="F6" s="37" t="n">
        <f aca="false">IFERROR(D6/B6,0)</f>
        <v>232.084843492587</v>
      </c>
    </row>
    <row r="7" customFormat="false" ht="15" hidden="false" customHeight="false" outlineLevel="0" collapsed="false">
      <c r="A7" s="9" t="s">
        <v>64</v>
      </c>
      <c r="B7" s="19" t="n">
        <f aca="false">COUNTIFS(3b_Clean_Data!$D$2:$D$1764,A7)</f>
        <v>493</v>
      </c>
      <c r="C7" s="19" t="n">
        <f aca="false">SUMIFS(3b_Clean_Data!$G$2:$G$1764,3b_Clean_Data!$D$2:$D$1764,A7)</f>
        <v>823</v>
      </c>
      <c r="D7" s="36" t="n">
        <f aca="false">SUMIFS(3b_Clean_Data!$N$2:$N$1764,3b_Clean_Data!$D$2:$D$1764,A7)</f>
        <v>105319.25</v>
      </c>
      <c r="E7" s="21" t="n">
        <f aca="false">D7/4_Calculate!$B$9</f>
        <v>0.267017512057009</v>
      </c>
      <c r="F7" s="37" t="n">
        <f aca="false">IFERROR(D7/B7,0)</f>
        <v>213.629310344828</v>
      </c>
    </row>
    <row r="8" customFormat="false" ht="15" hidden="false" customHeight="false" outlineLevel="0" collapsed="false">
      <c r="A8" s="9" t="s">
        <v>73</v>
      </c>
      <c r="B8" s="19" t="n">
        <f aca="false">COUNTIFS(3b_Clean_Data!$D$2:$D$1764,A8)</f>
        <v>348</v>
      </c>
      <c r="C8" s="19" t="n">
        <f aca="false">SUMIFS(3b_Clean_Data!$G$2:$G$1764,3b_Clean_Data!$D$2:$D$1764,A8)</f>
        <v>586</v>
      </c>
      <c r="D8" s="36" t="n">
        <f aca="false">SUMIFS(3b_Clean_Data!$N$2:$N$1764,3b_Clean_Data!$D$2:$D$1764,A8)</f>
        <v>79713.5</v>
      </c>
      <c r="E8" s="21" t="n">
        <f aca="false">D8/4_Calculate!$B$9</f>
        <v>0.202098860819427</v>
      </c>
      <c r="F8" s="37" t="n">
        <f aca="false">IFERROR(D8/B8,0)</f>
        <v>229.061781609195</v>
      </c>
    </row>
    <row r="9" customFormat="false" ht="15" hidden="false" customHeight="false" outlineLevel="0" collapsed="false">
      <c r="A9" s="9" t="s">
        <v>98</v>
      </c>
      <c r="B9" s="19" t="n">
        <f aca="false">COUNTIFS(3b_Clean_Data!$D$2:$D$1764,A9)</f>
        <v>315</v>
      </c>
      <c r="C9" s="19" t="n">
        <f aca="false">SUMIFS(3b_Clean_Data!$G$2:$G$1764,3b_Clean_Data!$D$2:$D$1764,A9)</f>
        <v>527</v>
      </c>
      <c r="D9" s="36" t="n">
        <f aca="false">SUMIFS(3b_Clean_Data!$N$2:$N$1764,3b_Clean_Data!$D$2:$D$1764,A9)</f>
        <v>68520</v>
      </c>
      <c r="E9" s="21" t="n">
        <f aca="false">D9/4_Calculate!$B$9</f>
        <v>0.173719808355512</v>
      </c>
      <c r="F9" s="37" t="n">
        <f aca="false">IFERROR(D9/B9,0)</f>
        <v>217.52380952381</v>
      </c>
    </row>
    <row r="10" customFormat="false" ht="15" hidden="false" customHeight="false" outlineLevel="0" collapsed="false">
      <c r="A10" s="38" t="s">
        <v>2334</v>
      </c>
      <c r="B10" s="39" t="n">
        <f aca="false">SUM(B6:B9)</f>
        <v>1763</v>
      </c>
      <c r="C10" s="39" t="n">
        <f aca="false">SUM(C6:C9)</f>
        <v>2983</v>
      </c>
      <c r="D10" s="40" t="n">
        <f aca="false">SUM(D6:D9)</f>
        <v>394428.25</v>
      </c>
      <c r="E10" s="41" t="n">
        <f aca="false">SUM(E6:E9)</f>
        <v>1</v>
      </c>
      <c r="F10" s="42" t="n">
        <f aca="false">D10/B10</f>
        <v>223.725609756098</v>
      </c>
    </row>
    <row r="13" customFormat="false" ht="15" hidden="false" customHeight="false" outlineLevel="0" collapsed="false">
      <c r="A13" s="3" t="s">
        <v>2335</v>
      </c>
    </row>
    <row r="14" customFormat="false" ht="15" hidden="false" customHeight="false" outlineLevel="0" collapsed="false">
      <c r="A14" s="5" t="s">
        <v>56</v>
      </c>
      <c r="B14" s="5" t="s">
        <v>2294</v>
      </c>
      <c r="C14" s="5" t="s">
        <v>2331</v>
      </c>
      <c r="D14" s="5" t="s">
        <v>39</v>
      </c>
      <c r="E14" s="5" t="s">
        <v>2332</v>
      </c>
      <c r="F14" s="5" t="s">
        <v>2333</v>
      </c>
    </row>
    <row r="15" customFormat="false" ht="15" hidden="false" customHeight="false" outlineLevel="0" collapsed="false">
      <c r="A15" s="9" t="s">
        <v>65</v>
      </c>
      <c r="B15" s="19" t="n">
        <f aca="false">COUNTIFS(3b_Clean_Data!$E$2:$E$1764,A15)</f>
        <v>523</v>
      </c>
      <c r="C15" s="19" t="n">
        <f aca="false">SUMIFS(3b_Clean_Data!$G$2:$G$1764,3b_Clean_Data!$E$2:$E$1764,A15)</f>
        <v>886</v>
      </c>
      <c r="D15" s="36" t="n">
        <f aca="false">SUMIFS(3b_Clean_Data!$N$2:$N$1764,3b_Clean_Data!$E$2:$E$1764,A15)</f>
        <v>128045</v>
      </c>
      <c r="E15" s="21" t="n">
        <f aca="false">D15/4_Calculate!$B$9</f>
        <v>0.324634455062486</v>
      </c>
      <c r="F15" s="37" t="n">
        <f aca="false">IFERROR(D15/B15,0)</f>
        <v>244.827915869981</v>
      </c>
    </row>
    <row r="16" customFormat="false" ht="15" hidden="false" customHeight="false" outlineLevel="0" collapsed="false">
      <c r="A16" s="9" t="s">
        <v>99</v>
      </c>
      <c r="B16" s="19" t="n">
        <f aca="false">COUNTIFS(3b_Clean_Data!$E$2:$E$1764,A16)</f>
        <v>504</v>
      </c>
      <c r="C16" s="19" t="n">
        <f aca="false">SUMIFS(3b_Clean_Data!$G$2:$G$1764,3b_Clean_Data!$E$2:$E$1764,A16)</f>
        <v>870</v>
      </c>
      <c r="D16" s="36" t="n">
        <f aca="false">SUMIFS(3b_Clean_Data!$N$2:$N$1764,3b_Clean_Data!$E$2:$E$1764,A16)</f>
        <v>102429.5</v>
      </c>
      <c r="E16" s="21" t="n">
        <f aca="false">D16/4_Calculate!$B$9</f>
        <v>0.259691084500159</v>
      </c>
      <c r="F16" s="37" t="n">
        <f aca="false">IFERROR(D16/B16,0)</f>
        <v>203.233134920635</v>
      </c>
    </row>
    <row r="17" customFormat="false" ht="15" hidden="false" customHeight="false" outlineLevel="0" collapsed="false">
      <c r="A17" s="9" t="s">
        <v>74</v>
      </c>
      <c r="B17" s="19" t="n">
        <f aca="false">COUNTIFS(3b_Clean_Data!$E$2:$E$1764,A17)</f>
        <v>200</v>
      </c>
      <c r="C17" s="19" t="n">
        <f aca="false">SUMIFS(3b_Clean_Data!$G$2:$G$1764,3b_Clean_Data!$E$2:$E$1764,A17)</f>
        <v>289</v>
      </c>
      <c r="D17" s="36" t="n">
        <f aca="false">SUMIFS(3b_Clean_Data!$N$2:$N$1764,3b_Clean_Data!$E$2:$E$1764,A17)</f>
        <v>61727</v>
      </c>
      <c r="E17" s="21" t="n">
        <f aca="false">D17/4_Calculate!$B$9</f>
        <v>0.156497411126105</v>
      </c>
      <c r="F17" s="37" t="n">
        <f aca="false">IFERROR(D17/B17,0)</f>
        <v>308.635</v>
      </c>
    </row>
    <row r="18" customFormat="false" ht="15" hidden="false" customHeight="false" outlineLevel="0" collapsed="false">
      <c r="A18" s="9" t="s">
        <v>79</v>
      </c>
      <c r="B18" s="19" t="n">
        <f aca="false">COUNTIFS(3b_Clean_Data!$E$2:$E$1764,A18)</f>
        <v>232</v>
      </c>
      <c r="C18" s="19" t="n">
        <f aca="false">SUMIFS(3b_Clean_Data!$G$2:$G$1764,3b_Clean_Data!$E$2:$E$1764,A18)</f>
        <v>401</v>
      </c>
      <c r="D18" s="36" t="n">
        <f aca="false">SUMIFS(3b_Clean_Data!$N$2:$N$1764,3b_Clean_Data!$E$2:$E$1764,A18)</f>
        <v>52605</v>
      </c>
      <c r="E18" s="21" t="n">
        <f aca="false">D18/4_Calculate!$B$9</f>
        <v>0.133370264427054</v>
      </c>
      <c r="F18" s="37" t="n">
        <f aca="false">IFERROR(D18/B18,0)</f>
        <v>226.745689655172</v>
      </c>
    </row>
    <row r="19" customFormat="false" ht="15" hidden="false" customHeight="false" outlineLevel="0" collapsed="false">
      <c r="A19" s="9" t="s">
        <v>84</v>
      </c>
      <c r="B19" s="19" t="n">
        <f aca="false">COUNTIFS(3b_Clean_Data!$E$2:$E$1764,A19)</f>
        <v>304</v>
      </c>
      <c r="C19" s="19" t="n">
        <f aca="false">SUMIFS(3b_Clean_Data!$G$2:$G$1764,3b_Clean_Data!$E$2:$E$1764,A19)</f>
        <v>537</v>
      </c>
      <c r="D19" s="36" t="n">
        <f aca="false">SUMIFS(3b_Clean_Data!$N$2:$N$1764,3b_Clean_Data!$E$2:$E$1764,A19)</f>
        <v>49621.75</v>
      </c>
      <c r="E19" s="21" t="n">
        <f aca="false">D19/4_Calculate!$B$9</f>
        <v>0.125806784884196</v>
      </c>
      <c r="F19" s="37" t="n">
        <f aca="false">IFERROR(D19/B19,0)</f>
        <v>163.229440789474</v>
      </c>
    </row>
    <row r="20" customFormat="false" ht="15" hidden="false" customHeight="false" outlineLevel="0" collapsed="false">
      <c r="A20" s="38" t="s">
        <v>2334</v>
      </c>
      <c r="B20" s="39" t="n">
        <f aca="false">SUM(B15:B19)</f>
        <v>1763</v>
      </c>
      <c r="C20" s="39" t="n">
        <f aca="false">SUM(C15:C19)</f>
        <v>2983</v>
      </c>
      <c r="D20" s="40" t="n">
        <f aca="false">SUM(D15:D19)</f>
        <v>394428.25</v>
      </c>
      <c r="E20" s="41" t="n">
        <f aca="false">SUM(E15:E19)</f>
        <v>1</v>
      </c>
      <c r="F20" s="42" t="n">
        <f aca="false">D20/B20</f>
        <v>223.725609756098</v>
      </c>
    </row>
    <row r="23" customFormat="false" ht="15" hidden="false" customHeight="false" outlineLevel="0" collapsed="false">
      <c r="A23" s="3" t="s">
        <v>2336</v>
      </c>
    </row>
    <row r="24" customFormat="false" ht="15" hidden="false" customHeight="false" outlineLevel="0" collapsed="false">
      <c r="A24" s="5" t="s">
        <v>57</v>
      </c>
      <c r="B24" s="5" t="s">
        <v>2294</v>
      </c>
      <c r="C24" s="5" t="s">
        <v>2331</v>
      </c>
      <c r="D24" s="5" t="s">
        <v>39</v>
      </c>
      <c r="E24" s="5" t="s">
        <v>2332</v>
      </c>
      <c r="F24" s="5" t="s">
        <v>2333</v>
      </c>
      <c r="G24" s="5" t="s">
        <v>56</v>
      </c>
    </row>
    <row r="25" customFormat="false" ht="15" hidden="false" customHeight="false" outlineLevel="0" collapsed="false">
      <c r="A25" s="9" t="s">
        <v>94</v>
      </c>
      <c r="B25" s="19" t="n">
        <f aca="false">COUNTIFS(3b_Clean_Data!$F$2:$F$1764,A25)</f>
        <v>186</v>
      </c>
      <c r="C25" s="19" t="n">
        <f aca="false">SUMIFS(3b_Clean_Data!$G$2:$G$1764,3b_Clean_Data!$F$2:$F$1764,A25)</f>
        <v>311</v>
      </c>
      <c r="D25" s="36" t="n">
        <f aca="false">SUMIFS(3b_Clean_Data!$N$2:$N$1764,3b_Clean_Data!$F$2:$F$1764,A25)</f>
        <v>44790</v>
      </c>
      <c r="E25" s="21" t="n">
        <f aca="false">D25/4_Calculate!$B$9</f>
        <v>0.113556774901392</v>
      </c>
      <c r="F25" s="37" t="n">
        <f aca="false">IFERROR(D25/B25,0)</f>
        <v>240.806451612903</v>
      </c>
      <c r="G25" s="9" t="s">
        <v>65</v>
      </c>
    </row>
    <row r="26" customFormat="false" ht="15" hidden="false" customHeight="false" outlineLevel="0" collapsed="false">
      <c r="A26" s="9" t="s">
        <v>102</v>
      </c>
      <c r="B26" s="19" t="n">
        <f aca="false">COUNTIFS(3b_Clean_Data!$F$2:$F$1764,A26)</f>
        <v>174</v>
      </c>
      <c r="C26" s="19" t="n">
        <f aca="false">SUMIFS(3b_Clean_Data!$G$2:$G$1764,3b_Clean_Data!$F$2:$F$1764,A26)</f>
        <v>320</v>
      </c>
      <c r="D26" s="36" t="n">
        <f aca="false">SUMIFS(3b_Clean_Data!$N$2:$N$1764,3b_Clean_Data!$F$2:$F$1764,A26)</f>
        <v>42693</v>
      </c>
      <c r="E26" s="21" t="n">
        <f aca="false">D26/4_Calculate!$B$9</f>
        <v>0.10824021859489</v>
      </c>
      <c r="F26" s="37" t="n">
        <f aca="false">IFERROR(D26/B26,0)</f>
        <v>245.362068965517</v>
      </c>
      <c r="G26" s="9" t="s">
        <v>99</v>
      </c>
    </row>
    <row r="27" customFormat="false" ht="15" hidden="false" customHeight="false" outlineLevel="0" collapsed="false">
      <c r="A27" s="9" t="s">
        <v>121</v>
      </c>
      <c r="B27" s="19" t="n">
        <f aca="false">COUNTIFS(3b_Clean_Data!$F$2:$F$1764,A27)</f>
        <v>146</v>
      </c>
      <c r="C27" s="19" t="n">
        <f aca="false">SUMIFS(3b_Clean_Data!$G$2:$G$1764,3b_Clean_Data!$F$2:$F$1764,A27)</f>
        <v>251</v>
      </c>
      <c r="D27" s="36" t="n">
        <f aca="false">SUMIFS(3b_Clean_Data!$N$2:$N$1764,3b_Clean_Data!$F$2:$F$1764,A27)</f>
        <v>40579</v>
      </c>
      <c r="E27" s="21" t="n">
        <f aca="false">D27/4_Calculate!$B$9</f>
        <v>0.102880561927296</v>
      </c>
      <c r="F27" s="37" t="n">
        <f aca="false">IFERROR(D27/B27,0)</f>
        <v>277.938356164384</v>
      </c>
      <c r="G27" s="9" t="s">
        <v>65</v>
      </c>
    </row>
    <row r="28" customFormat="false" ht="15" hidden="false" customHeight="false" outlineLevel="0" collapsed="false">
      <c r="A28" s="9" t="s">
        <v>109</v>
      </c>
      <c r="B28" s="19" t="n">
        <f aca="false">COUNTIFS(3b_Clean_Data!$F$2:$F$1764,A28)</f>
        <v>135</v>
      </c>
      <c r="C28" s="19" t="n">
        <f aca="false">SUMIFS(3b_Clean_Data!$G$2:$G$1764,3b_Clean_Data!$F$2:$F$1764,A28)</f>
        <v>217</v>
      </c>
      <c r="D28" s="36" t="n">
        <f aca="false">SUMIFS(3b_Clean_Data!$N$2:$N$1764,3b_Clean_Data!$F$2:$F$1764,A28)</f>
        <v>26916.5</v>
      </c>
      <c r="E28" s="21" t="n">
        <f aca="false">D28/4_Calculate!$B$9</f>
        <v>0.068241815843566</v>
      </c>
      <c r="F28" s="37" t="n">
        <f aca="false">IFERROR(D28/B28,0)</f>
        <v>199.381481481481</v>
      </c>
      <c r="G28" s="9" t="s">
        <v>99</v>
      </c>
    </row>
    <row r="29" customFormat="false" ht="15" hidden="false" customHeight="false" outlineLevel="0" collapsed="false">
      <c r="A29" s="9" t="s">
        <v>75</v>
      </c>
      <c r="B29" s="19" t="n">
        <f aca="false">COUNTIFS(3b_Clean_Data!$F$2:$F$1764,A29)</f>
        <v>81</v>
      </c>
      <c r="C29" s="19" t="n">
        <f aca="false">SUMIFS(3b_Clean_Data!$G$2:$G$1764,3b_Clean_Data!$F$2:$F$1764,A29)</f>
        <v>121</v>
      </c>
      <c r="D29" s="36" t="n">
        <f aca="false">SUMIFS(3b_Clean_Data!$N$2:$N$1764,3b_Clean_Data!$F$2:$F$1764,A29)</f>
        <v>25421</v>
      </c>
      <c r="E29" s="21" t="n">
        <f aca="false">D29/4_Calculate!$B$9</f>
        <v>0.0644502517251236</v>
      </c>
      <c r="F29" s="37" t="n">
        <f aca="false">IFERROR(D29/B29,0)</f>
        <v>313.83950617284</v>
      </c>
      <c r="G29" s="9" t="s">
        <v>74</v>
      </c>
    </row>
    <row r="30" customFormat="false" ht="15" hidden="false" customHeight="false" outlineLevel="0" collapsed="false">
      <c r="A30" s="9" t="s">
        <v>80</v>
      </c>
      <c r="B30" s="19" t="n">
        <f aca="false">COUNTIFS(3b_Clean_Data!$F$2:$F$1764,A30)</f>
        <v>93</v>
      </c>
      <c r="C30" s="19" t="n">
        <f aca="false">SUMIFS(3b_Clean_Data!$G$2:$G$1764,3b_Clean_Data!$F$2:$F$1764,A30)</f>
        <v>156</v>
      </c>
      <c r="D30" s="36" t="n">
        <f aca="false">SUMIFS(3b_Clean_Data!$N$2:$N$1764,3b_Clean_Data!$F$2:$F$1764,A30)</f>
        <v>23792</v>
      </c>
      <c r="E30" s="21" t="n">
        <f aca="false">D30/4_Calculate!$B$9</f>
        <v>0.0603202230063389</v>
      </c>
      <c r="F30" s="37" t="n">
        <f aca="false">IFERROR(D30/B30,0)</f>
        <v>255.827956989247</v>
      </c>
      <c r="G30" s="9" t="s">
        <v>79</v>
      </c>
    </row>
    <row r="31" customFormat="false" ht="15" hidden="false" customHeight="false" outlineLevel="0" collapsed="false">
      <c r="A31" s="9" t="s">
        <v>100</v>
      </c>
      <c r="B31" s="19" t="n">
        <f aca="false">COUNTIFS(3b_Clean_Data!$F$2:$F$1764,A31)</f>
        <v>132</v>
      </c>
      <c r="C31" s="19" t="n">
        <f aca="false">SUMIFS(3b_Clean_Data!$G$2:$G$1764,3b_Clean_Data!$F$2:$F$1764,A31)</f>
        <v>223</v>
      </c>
      <c r="D31" s="36" t="n">
        <f aca="false">SUMIFS(3b_Clean_Data!$N$2:$N$1764,3b_Clean_Data!$F$2:$F$1764,A31)</f>
        <v>23397</v>
      </c>
      <c r="E31" s="21" t="n">
        <f aca="false">D31/4_Calculate!$B$9</f>
        <v>0.0593187734397828</v>
      </c>
      <c r="F31" s="37" t="n">
        <f aca="false">IFERROR(D31/B31,0)</f>
        <v>177.25</v>
      </c>
      <c r="G31" s="9" t="s">
        <v>99</v>
      </c>
    </row>
    <row r="32" customFormat="false" ht="15" hidden="false" customHeight="false" outlineLevel="0" collapsed="false">
      <c r="A32" s="9" t="s">
        <v>87</v>
      </c>
      <c r="B32" s="19" t="n">
        <f aca="false">COUNTIFS(3b_Clean_Data!$F$2:$F$1764,A32)</f>
        <v>88</v>
      </c>
      <c r="C32" s="19" t="n">
        <f aca="false">SUMIFS(3b_Clean_Data!$G$2:$G$1764,3b_Clean_Data!$F$2:$F$1764,A32)</f>
        <v>149</v>
      </c>
      <c r="D32" s="36" t="n">
        <f aca="false">SUMIFS(3b_Clean_Data!$N$2:$N$1764,3b_Clean_Data!$F$2:$F$1764,A32)</f>
        <v>22864</v>
      </c>
      <c r="E32" s="21" t="n">
        <f aca="false">D32/4_Calculate!$B$9</f>
        <v>0.0579674503537716</v>
      </c>
      <c r="F32" s="37" t="n">
        <f aca="false">IFERROR(D32/B32,0)</f>
        <v>259.818181818182</v>
      </c>
      <c r="G32" s="9" t="s">
        <v>65</v>
      </c>
    </row>
    <row r="33" customFormat="false" ht="15" hidden="false" customHeight="false" outlineLevel="0" collapsed="false">
      <c r="A33" s="9" t="s">
        <v>66</v>
      </c>
      <c r="B33" s="19" t="n">
        <f aca="false">COUNTIFS(3b_Clean_Data!$F$2:$F$1764,A33)</f>
        <v>103</v>
      </c>
      <c r="C33" s="19" t="n">
        <f aca="false">SUMIFS(3b_Clean_Data!$G$2:$G$1764,3b_Clean_Data!$F$2:$F$1764,A33)</f>
        <v>175</v>
      </c>
      <c r="D33" s="36" t="n">
        <f aca="false">SUMIFS(3b_Clean_Data!$N$2:$N$1764,3b_Clean_Data!$F$2:$F$1764,A33)</f>
        <v>19812</v>
      </c>
      <c r="E33" s="21" t="n">
        <f aca="false">D33/4_Calculate!$B$9</f>
        <v>0.0502296678800263</v>
      </c>
      <c r="F33" s="37" t="n">
        <f aca="false">IFERROR(D33/B33,0)</f>
        <v>192.349514563107</v>
      </c>
      <c r="G33" s="9" t="s">
        <v>65</v>
      </c>
    </row>
    <row r="34" customFormat="false" ht="15" hidden="false" customHeight="false" outlineLevel="0" collapsed="false">
      <c r="A34" s="9" t="s">
        <v>139</v>
      </c>
      <c r="B34" s="19" t="n">
        <f aca="false">COUNTIFS(3b_Clean_Data!$F$2:$F$1764,A34)</f>
        <v>56</v>
      </c>
      <c r="C34" s="19" t="n">
        <f aca="false">SUMIFS(3b_Clean_Data!$G$2:$G$1764,3b_Clean_Data!$F$2:$F$1764,A34)</f>
        <v>74</v>
      </c>
      <c r="D34" s="36" t="n">
        <f aca="false">SUMIFS(3b_Clean_Data!$N$2:$N$1764,3b_Clean_Data!$F$2:$F$1764,A34)</f>
        <v>18616</v>
      </c>
      <c r="E34" s="21" t="n">
        <f aca="false">D34/4_Calculate!$B$9</f>
        <v>0.0471974307114158</v>
      </c>
      <c r="F34" s="37" t="n">
        <f aca="false">IFERROR(D34/B34,0)</f>
        <v>332.428571428571</v>
      </c>
      <c r="G34" s="9" t="s">
        <v>74</v>
      </c>
    </row>
    <row r="35" customFormat="false" ht="15" hidden="false" customHeight="false" outlineLevel="0" collapsed="false">
      <c r="A35" s="9" t="s">
        <v>91</v>
      </c>
      <c r="B35" s="19" t="n">
        <f aca="false">COUNTIFS(3b_Clean_Data!$F$2:$F$1764,A35)</f>
        <v>63</v>
      </c>
      <c r="C35" s="19" t="n">
        <f aca="false">SUMIFS(3b_Clean_Data!$G$2:$G$1764,3b_Clean_Data!$F$2:$F$1764,A35)</f>
        <v>94</v>
      </c>
      <c r="D35" s="36" t="n">
        <f aca="false">SUMIFS(3b_Clean_Data!$N$2:$N$1764,3b_Clean_Data!$F$2:$F$1764,A35)</f>
        <v>17690</v>
      </c>
      <c r="E35" s="21" t="n">
        <f aca="false">D35/4_Calculate!$B$9</f>
        <v>0.0448497286895652</v>
      </c>
      <c r="F35" s="37" t="n">
        <f aca="false">IFERROR(D35/B35,0)</f>
        <v>280.793650793651</v>
      </c>
      <c r="G35" s="9" t="s">
        <v>74</v>
      </c>
    </row>
    <row r="36" customFormat="false" ht="15" hidden="false" customHeight="false" outlineLevel="0" collapsed="false">
      <c r="A36" s="9" t="s">
        <v>85</v>
      </c>
      <c r="B36" s="19" t="n">
        <f aca="false">COUNTIFS(3b_Clean_Data!$F$2:$F$1764,A36)</f>
        <v>68</v>
      </c>
      <c r="C36" s="19" t="n">
        <f aca="false">SUMIFS(3b_Clean_Data!$G$2:$G$1764,3b_Clean_Data!$F$2:$F$1764,A36)</f>
        <v>116</v>
      </c>
      <c r="D36" s="36" t="n">
        <f aca="false">SUMIFS(3b_Clean_Data!$N$2:$N$1764,3b_Clean_Data!$F$2:$F$1764,A36)</f>
        <v>16777.5</v>
      </c>
      <c r="E36" s="21" t="n">
        <f aca="false">D36/4_Calculate!$B$9</f>
        <v>0.0425362534250526</v>
      </c>
      <c r="F36" s="37" t="n">
        <f aca="false">IFERROR(D36/B36,0)</f>
        <v>246.727941176471</v>
      </c>
      <c r="G36" s="9" t="s">
        <v>84</v>
      </c>
    </row>
    <row r="37" customFormat="false" ht="15" hidden="false" customHeight="false" outlineLevel="0" collapsed="false">
      <c r="A37" s="9" t="s">
        <v>148</v>
      </c>
      <c r="B37" s="19" t="n">
        <f aca="false">COUNTIFS(3b_Clean_Data!$F$2:$F$1764,A37)</f>
        <v>87</v>
      </c>
      <c r="C37" s="19" t="n">
        <f aca="false">SUMIFS(3b_Clean_Data!$G$2:$G$1764,3b_Clean_Data!$F$2:$F$1764,A37)</f>
        <v>147</v>
      </c>
      <c r="D37" s="36" t="n">
        <f aca="false">SUMIFS(3b_Clean_Data!$N$2:$N$1764,3b_Clean_Data!$F$2:$F$1764,A37)</f>
        <v>16710</v>
      </c>
      <c r="E37" s="21" t="n">
        <f aca="false">D37/4_Calculate!$B$9</f>
        <v>0.0423651196383626</v>
      </c>
      <c r="F37" s="37" t="n">
        <f aca="false">IFERROR(D37/B37,0)</f>
        <v>192.068965517241</v>
      </c>
      <c r="G37" s="9" t="s">
        <v>79</v>
      </c>
    </row>
    <row r="38" customFormat="false" ht="15" hidden="false" customHeight="false" outlineLevel="0" collapsed="false">
      <c r="A38" s="9" t="s">
        <v>117</v>
      </c>
      <c r="B38" s="19" t="n">
        <f aca="false">COUNTIFS(3b_Clean_Data!$F$2:$F$1764,A38)</f>
        <v>92</v>
      </c>
      <c r="C38" s="19" t="n">
        <f aca="false">SUMIFS(3b_Clean_Data!$G$2:$G$1764,3b_Clean_Data!$F$2:$F$1764,A38)</f>
        <v>168</v>
      </c>
      <c r="D38" s="36" t="n">
        <f aca="false">SUMIFS(3b_Clean_Data!$N$2:$N$1764,3b_Clean_Data!$F$2:$F$1764,A38)</f>
        <v>15228.5</v>
      </c>
      <c r="E38" s="21" t="n">
        <f aca="false">D38/4_Calculate!$B$9</f>
        <v>0.0386090499349375</v>
      </c>
      <c r="F38" s="37" t="n">
        <f aca="false">IFERROR(D38/B38,0)</f>
        <v>165.527173913043</v>
      </c>
      <c r="G38" s="9" t="s">
        <v>84</v>
      </c>
    </row>
    <row r="39" customFormat="false" ht="15" hidden="false" customHeight="false" outlineLevel="0" collapsed="false">
      <c r="A39" s="9" t="s">
        <v>135</v>
      </c>
      <c r="B39" s="19" t="n">
        <f aca="false">COUNTIFS(3b_Clean_Data!$F$2:$F$1764,A39)</f>
        <v>52</v>
      </c>
      <c r="C39" s="19" t="n">
        <f aca="false">SUMIFS(3b_Clean_Data!$G$2:$G$1764,3b_Clean_Data!$F$2:$F$1764,A39)</f>
        <v>98</v>
      </c>
      <c r="D39" s="36" t="n">
        <f aca="false">SUMIFS(3b_Clean_Data!$N$2:$N$1764,3b_Clean_Data!$F$2:$F$1764,A39)</f>
        <v>12103</v>
      </c>
      <c r="E39" s="21" t="n">
        <f aca="false">D39/4_Calculate!$B$9</f>
        <v>0.0306849217823521</v>
      </c>
      <c r="F39" s="37" t="n">
        <f aca="false">IFERROR(D39/B39,0)</f>
        <v>232.75</v>
      </c>
      <c r="G39" s="9" t="s">
        <v>79</v>
      </c>
    </row>
    <row r="40" customFormat="false" ht="15" hidden="false" customHeight="false" outlineLevel="0" collapsed="false">
      <c r="A40" s="9" t="s">
        <v>114</v>
      </c>
      <c r="B40" s="19" t="n">
        <f aca="false">COUNTIFS(3b_Clean_Data!$F$2:$F$1764,A40)</f>
        <v>77</v>
      </c>
      <c r="C40" s="19" t="n">
        <f aca="false">SUMIFS(3b_Clean_Data!$G$2:$G$1764,3b_Clean_Data!$F$2:$F$1764,A40)</f>
        <v>136</v>
      </c>
      <c r="D40" s="36" t="n">
        <f aca="false">SUMIFS(3b_Clean_Data!$N$2:$N$1764,3b_Clean_Data!$F$2:$F$1764,A40)</f>
        <v>10892.75</v>
      </c>
      <c r="E40" s="21" t="n">
        <f aca="false">D40/4_Calculate!$B$9</f>
        <v>0.0276165563698848</v>
      </c>
      <c r="F40" s="37" t="n">
        <f aca="false">IFERROR(D40/B40,0)</f>
        <v>141.464285714286</v>
      </c>
      <c r="G40" s="9" t="s">
        <v>84</v>
      </c>
    </row>
    <row r="41" customFormat="false" ht="15" hidden="false" customHeight="false" outlineLevel="0" collapsed="false">
      <c r="A41" s="9" t="s">
        <v>133</v>
      </c>
      <c r="B41" s="19" t="n">
        <f aca="false">COUNTIFS(3b_Clean_Data!$F$2:$F$1764,A41)</f>
        <v>63</v>
      </c>
      <c r="C41" s="19" t="n">
        <f aca="false">SUMIFS(3b_Clean_Data!$G$2:$G$1764,3b_Clean_Data!$F$2:$F$1764,A41)</f>
        <v>110</v>
      </c>
      <c r="D41" s="36" t="n">
        <f aca="false">SUMIFS(3b_Clean_Data!$N$2:$N$1764,3b_Clean_Data!$F$2:$F$1764,A41)</f>
        <v>9423</v>
      </c>
      <c r="E41" s="21" t="n">
        <f aca="false">D41/4_Calculate!$B$9</f>
        <v>0.0238902766219205</v>
      </c>
      <c r="F41" s="37" t="n">
        <f aca="false">IFERROR(D41/B41,0)</f>
        <v>149.571428571429</v>
      </c>
      <c r="G41" s="9" t="s">
        <v>99</v>
      </c>
    </row>
    <row r="42" customFormat="false" ht="15" hidden="false" customHeight="false" outlineLevel="0" collapsed="false">
      <c r="A42" s="9" t="s">
        <v>106</v>
      </c>
      <c r="B42" s="19" t="n">
        <f aca="false">COUNTIFS(3b_Clean_Data!$F$2:$F$1764,A42)</f>
        <v>67</v>
      </c>
      <c r="C42" s="19" t="n">
        <f aca="false">SUMIFS(3b_Clean_Data!$G$2:$G$1764,3b_Clean_Data!$F$2:$F$1764,A42)</f>
        <v>117</v>
      </c>
      <c r="D42" s="36" t="n">
        <f aca="false">SUMIFS(3b_Clean_Data!$N$2:$N$1764,3b_Clean_Data!$F$2:$F$1764,A42)</f>
        <v>6723</v>
      </c>
      <c r="E42" s="21" t="n">
        <f aca="false">D42/4_Calculate!$B$9</f>
        <v>0.0170449251543215</v>
      </c>
      <c r="F42" s="37" t="n">
        <f aca="false">IFERROR(D42/B42,0)</f>
        <v>100.34328358209</v>
      </c>
      <c r="G42" s="9" t="s">
        <v>84</v>
      </c>
    </row>
    <row r="43" customFormat="false" ht="15" hidden="false" customHeight="false" outlineLevel="0" collapsed="false">
      <c r="A43" s="38" t="s">
        <v>2334</v>
      </c>
      <c r="B43" s="39" t="n">
        <f aca="false">SUM(B25:B42)</f>
        <v>1763</v>
      </c>
      <c r="C43" s="39" t="n">
        <f aca="false">SUM(C25:C42)</f>
        <v>2983</v>
      </c>
      <c r="D43" s="40" t="n">
        <f aca="false">SUM(D25:D42)</f>
        <v>394428.25</v>
      </c>
      <c r="E43" s="41" t="n">
        <f aca="false">SUM(E25:E42)</f>
        <v>1</v>
      </c>
      <c r="F43" s="42" t="n">
        <f aca="false">D43/B43</f>
        <v>223.725609756098</v>
      </c>
    </row>
    <row r="46" customFormat="false" ht="15" hidden="false" customHeight="false" outlineLevel="0" collapsed="false">
      <c r="A46" s="3" t="s">
        <v>2337</v>
      </c>
    </row>
    <row r="47" customFormat="false" ht="15" hidden="false" customHeight="false" outlineLevel="0" collapsed="false">
      <c r="A47" s="5" t="s">
        <v>2288</v>
      </c>
      <c r="B47" s="5" t="s">
        <v>2294</v>
      </c>
      <c r="C47" s="5" t="s">
        <v>2331</v>
      </c>
      <c r="D47" s="5" t="s">
        <v>39</v>
      </c>
      <c r="E47" s="5" t="s">
        <v>2332</v>
      </c>
      <c r="F47" s="5" t="s">
        <v>2333</v>
      </c>
    </row>
    <row r="48" customFormat="false" ht="15" hidden="false" customHeight="false" outlineLevel="0" collapsed="false">
      <c r="A48" s="9" t="s">
        <v>2338</v>
      </c>
      <c r="B48" s="19" t="n">
        <f aca="false">COUNTIFS(3b_Clean_Data!$T$2:$T$1764,A48)</f>
        <v>138</v>
      </c>
      <c r="C48" s="19" t="n">
        <f aca="false">SUMIFS(3b_Clean_Data!$G$2:$G$1764,3b_Clean_Data!$T$2:$T$1764,A48)</f>
        <v>251</v>
      </c>
      <c r="D48" s="36" t="n">
        <f aca="false">SUMIFS(3b_Clean_Data!$N$2:$N$1764,3b_Clean_Data!$T$2:$T$1764,A48)</f>
        <v>33905</v>
      </c>
      <c r="E48" s="21" t="n">
        <f aca="false">D48/4_Calculate!$B$9</f>
        <v>0.0859598672255347</v>
      </c>
      <c r="F48" s="37" t="n">
        <f aca="false">IFERROR(D48/B48,0)</f>
        <v>245.688405797101</v>
      </c>
    </row>
    <row r="49" customFormat="false" ht="15" hidden="false" customHeight="false" outlineLevel="0" collapsed="false">
      <c r="A49" s="9" t="s">
        <v>2339</v>
      </c>
      <c r="B49" s="19" t="n">
        <f aca="false">COUNTIFS(3b_Clean_Data!$T$2:$T$1764,A49)</f>
        <v>114</v>
      </c>
      <c r="C49" s="19" t="n">
        <f aca="false">SUMIFS(3b_Clean_Data!$G$2:$G$1764,3b_Clean_Data!$T$2:$T$1764,A49)</f>
        <v>187</v>
      </c>
      <c r="D49" s="36" t="n">
        <f aca="false">SUMIFS(3b_Clean_Data!$N$2:$N$1764,3b_Clean_Data!$T$2:$T$1764,A49)</f>
        <v>24825.75</v>
      </c>
      <c r="E49" s="21" t="n">
        <f aca="false">D49/4_Calculate!$B$9</f>
        <v>0.0629411052580539</v>
      </c>
      <c r="F49" s="37" t="n">
        <f aca="false">IFERROR(D49/B49,0)</f>
        <v>217.769736842105</v>
      </c>
    </row>
    <row r="50" customFormat="false" ht="15" hidden="false" customHeight="false" outlineLevel="0" collapsed="false">
      <c r="A50" s="9" t="s">
        <v>2340</v>
      </c>
      <c r="B50" s="19" t="n">
        <f aca="false">COUNTIFS(3b_Clean_Data!$T$2:$T$1764,A50)</f>
        <v>143</v>
      </c>
      <c r="C50" s="19" t="n">
        <f aca="false">SUMIFS(3b_Clean_Data!$G$2:$G$1764,3b_Clean_Data!$T$2:$T$1764,A50)</f>
        <v>238</v>
      </c>
      <c r="D50" s="36" t="n">
        <f aca="false">SUMIFS(3b_Clean_Data!$N$2:$N$1764,3b_Clean_Data!$T$2:$T$1764,A50)</f>
        <v>31207.75</v>
      </c>
      <c r="E50" s="21" t="n">
        <f aca="false">D50/4_Calculate!$B$9</f>
        <v>0.0791214878751712</v>
      </c>
      <c r="F50" s="37" t="n">
        <f aca="false">IFERROR(D50/B50,0)</f>
        <v>218.236013986014</v>
      </c>
    </row>
    <row r="51" customFormat="false" ht="15" hidden="false" customHeight="false" outlineLevel="0" collapsed="false">
      <c r="A51" s="9" t="s">
        <v>2341</v>
      </c>
      <c r="B51" s="19" t="n">
        <f aca="false">COUNTIFS(3b_Clean_Data!$T$2:$T$1764,A51)</f>
        <v>154</v>
      </c>
      <c r="C51" s="19" t="n">
        <f aca="false">SUMIFS(3b_Clean_Data!$G$2:$G$1764,3b_Clean_Data!$T$2:$T$1764,A51)</f>
        <v>254</v>
      </c>
      <c r="D51" s="36" t="n">
        <f aca="false">SUMIFS(3b_Clean_Data!$N$2:$N$1764,3b_Clean_Data!$T$2:$T$1764,A51)</f>
        <v>34946</v>
      </c>
      <c r="E51" s="21" t="n">
        <f aca="false">D51/4_Calculate!$B$9</f>
        <v>0.0885991305135978</v>
      </c>
      <c r="F51" s="37" t="n">
        <f aca="false">IFERROR(D51/B51,0)</f>
        <v>226.922077922078</v>
      </c>
    </row>
    <row r="52" customFormat="false" ht="15" hidden="false" customHeight="false" outlineLevel="0" collapsed="false">
      <c r="A52" s="9" t="s">
        <v>2342</v>
      </c>
      <c r="B52" s="19" t="n">
        <f aca="false">COUNTIFS(3b_Clean_Data!$T$2:$T$1764,A52)</f>
        <v>171</v>
      </c>
      <c r="C52" s="19" t="n">
        <f aca="false">SUMIFS(3b_Clean_Data!$G$2:$G$1764,3b_Clean_Data!$T$2:$T$1764,A52)</f>
        <v>298</v>
      </c>
      <c r="D52" s="36" t="n">
        <f aca="false">SUMIFS(3b_Clean_Data!$N$2:$N$1764,3b_Clean_Data!$T$2:$T$1764,A52)</f>
        <v>41757.75</v>
      </c>
      <c r="E52" s="21" t="n">
        <f aca="false">D52/4_Calculate!$B$9</f>
        <v>0.105869064905975</v>
      </c>
      <c r="F52" s="37" t="n">
        <f aca="false">IFERROR(D52/B52,0)</f>
        <v>244.197368421053</v>
      </c>
    </row>
    <row r="53" customFormat="false" ht="15" hidden="false" customHeight="false" outlineLevel="0" collapsed="false">
      <c r="A53" s="9" t="s">
        <v>2343</v>
      </c>
      <c r="B53" s="19" t="n">
        <f aca="false">COUNTIFS(3b_Clean_Data!$T$2:$T$1764,A53)</f>
        <v>150</v>
      </c>
      <c r="C53" s="19" t="n">
        <f aca="false">SUMIFS(3b_Clean_Data!$G$2:$G$1764,3b_Clean_Data!$T$2:$T$1764,A53)</f>
        <v>268</v>
      </c>
      <c r="D53" s="36" t="n">
        <f aca="false">SUMIFS(3b_Clean_Data!$N$2:$N$1764,3b_Clean_Data!$T$2:$T$1764,A53)</f>
        <v>35224.25</v>
      </c>
      <c r="E53" s="21" t="n">
        <f aca="false">D53/4_Calculate!$B$9</f>
        <v>0.0893045820120643</v>
      </c>
      <c r="F53" s="37" t="n">
        <f aca="false">IFERROR(D53/B53,0)</f>
        <v>234.828333333333</v>
      </c>
    </row>
    <row r="54" customFormat="false" ht="15" hidden="false" customHeight="false" outlineLevel="0" collapsed="false">
      <c r="A54" s="9" t="s">
        <v>2344</v>
      </c>
      <c r="B54" s="19" t="n">
        <f aca="false">COUNTIFS(3b_Clean_Data!$T$2:$T$1764,A54)</f>
        <v>153</v>
      </c>
      <c r="C54" s="19" t="n">
        <f aca="false">SUMIFS(3b_Clean_Data!$G$2:$G$1764,3b_Clean_Data!$T$2:$T$1764,A54)</f>
        <v>251</v>
      </c>
      <c r="D54" s="36" t="n">
        <f aca="false">SUMIFS(3b_Clean_Data!$N$2:$N$1764,3b_Clean_Data!$T$2:$T$1764,A54)</f>
        <v>32068.75</v>
      </c>
      <c r="E54" s="21" t="n">
        <f aca="false">D54/4_Calculate!$B$9</f>
        <v>0.0813043943987278</v>
      </c>
      <c r="F54" s="37" t="n">
        <f aca="false">IFERROR(D54/B54,0)</f>
        <v>209.599673202614</v>
      </c>
    </row>
    <row r="55" customFormat="false" ht="15" hidden="false" customHeight="false" outlineLevel="0" collapsed="false">
      <c r="A55" s="9" t="s">
        <v>2345</v>
      </c>
      <c r="B55" s="19" t="n">
        <f aca="false">COUNTIFS(3b_Clean_Data!$T$2:$T$1764,A55)</f>
        <v>177</v>
      </c>
      <c r="C55" s="19" t="n">
        <f aca="false">SUMIFS(3b_Clean_Data!$G$2:$G$1764,3b_Clean_Data!$T$2:$T$1764,A55)</f>
        <v>315</v>
      </c>
      <c r="D55" s="36" t="n">
        <f aca="false">SUMIFS(3b_Clean_Data!$N$2:$N$1764,3b_Clean_Data!$T$2:$T$1764,A55)</f>
        <v>41124.5</v>
      </c>
      <c r="E55" s="21" t="n">
        <f aca="false">D55/4_Calculate!$B$9</f>
        <v>0.104263576455287</v>
      </c>
      <c r="F55" s="37" t="n">
        <f aca="false">IFERROR(D55/B55,0)</f>
        <v>232.341807909605</v>
      </c>
    </row>
    <row r="56" customFormat="false" ht="15" hidden="false" customHeight="false" outlineLevel="0" collapsed="false">
      <c r="A56" s="9" t="s">
        <v>2346</v>
      </c>
      <c r="B56" s="19" t="n">
        <f aca="false">COUNTIFS(3b_Clean_Data!$T$2:$T$1764,A56)</f>
        <v>139</v>
      </c>
      <c r="C56" s="19" t="n">
        <f aca="false">SUMIFS(3b_Clean_Data!$G$2:$G$1764,3b_Clean_Data!$T$2:$T$1764,A56)</f>
        <v>220</v>
      </c>
      <c r="D56" s="36" t="n">
        <f aca="false">SUMIFS(3b_Clean_Data!$N$2:$N$1764,3b_Clean_Data!$T$2:$T$1764,A56)</f>
        <v>29221.5</v>
      </c>
      <c r="E56" s="21" t="n">
        <f aca="false">D56/4_Calculate!$B$9</f>
        <v>0.0740857177446088</v>
      </c>
      <c r="F56" s="37" t="n">
        <f aca="false">IFERROR(D56/B56,0)</f>
        <v>210.226618705036</v>
      </c>
    </row>
    <row r="57" customFormat="false" ht="15" hidden="false" customHeight="false" outlineLevel="0" collapsed="false">
      <c r="A57" s="9" t="s">
        <v>2347</v>
      </c>
      <c r="B57" s="19" t="n">
        <f aca="false">COUNTIFS(3b_Clean_Data!$T$2:$T$1764,A57)</f>
        <v>151</v>
      </c>
      <c r="C57" s="19" t="n">
        <f aca="false">SUMIFS(3b_Clean_Data!$G$2:$G$1764,3b_Clean_Data!$T$2:$T$1764,A57)</f>
        <v>239</v>
      </c>
      <c r="D57" s="36" t="n">
        <f aca="false">SUMIFS(3b_Clean_Data!$N$2:$N$1764,3b_Clean_Data!$T$2:$T$1764,A57)</f>
        <v>31263.25</v>
      </c>
      <c r="E57" s="21" t="n">
        <f aca="false">D57/4_Calculate!$B$9</f>
        <v>0.0792621978775608</v>
      </c>
      <c r="F57" s="37" t="n">
        <f aca="false">IFERROR(D57/B57,0)</f>
        <v>207.041390728477</v>
      </c>
    </row>
    <row r="58" customFormat="false" ht="15" hidden="false" customHeight="false" outlineLevel="0" collapsed="false">
      <c r="A58" s="9" t="s">
        <v>2348</v>
      </c>
      <c r="B58" s="19" t="n">
        <f aca="false">COUNTIFS(3b_Clean_Data!$T$2:$T$1764,A58)</f>
        <v>130</v>
      </c>
      <c r="C58" s="19" t="n">
        <f aca="false">SUMIFS(3b_Clean_Data!$G$2:$G$1764,3b_Clean_Data!$T$2:$T$1764,A58)</f>
        <v>220</v>
      </c>
      <c r="D58" s="36" t="n">
        <f aca="false">SUMIFS(3b_Clean_Data!$N$2:$N$1764,3b_Clean_Data!$T$2:$T$1764,A58)</f>
        <v>27723.75</v>
      </c>
      <c r="E58" s="21" t="n">
        <f aca="false">D58/4_Calculate!$B$9</f>
        <v>0.0702884491666102</v>
      </c>
      <c r="F58" s="37" t="n">
        <f aca="false">IFERROR(D58/B58,0)</f>
        <v>213.259615384615</v>
      </c>
    </row>
    <row r="59" customFormat="false" ht="15" hidden="false" customHeight="false" outlineLevel="0" collapsed="false">
      <c r="A59" s="9" t="s">
        <v>2349</v>
      </c>
      <c r="B59" s="19" t="n">
        <f aca="false">COUNTIFS(3b_Clean_Data!$T$2:$T$1764,A59)</f>
        <v>143</v>
      </c>
      <c r="C59" s="19" t="n">
        <f aca="false">SUMIFS(3b_Clean_Data!$G$2:$G$1764,3b_Clean_Data!$T$2:$T$1764,A59)</f>
        <v>242</v>
      </c>
      <c r="D59" s="36" t="n">
        <f aca="false">SUMIFS(3b_Clean_Data!$N$2:$N$1764,3b_Clean_Data!$T$2:$T$1764,A59)</f>
        <v>31160</v>
      </c>
      <c r="E59" s="21" t="n">
        <f aca="false">D59/4_Calculate!$B$9</f>
        <v>0.079000426566809</v>
      </c>
      <c r="F59" s="37" t="n">
        <f aca="false">IFERROR(D59/B59,0)</f>
        <v>217.902097902098</v>
      </c>
    </row>
    <row r="60" customFormat="false" ht="15" hidden="false" customHeight="false" outlineLevel="0" collapsed="false">
      <c r="A60" s="38" t="s">
        <v>2334</v>
      </c>
      <c r="B60" s="39" t="n">
        <f aca="false">SUM(B48:B59)</f>
        <v>1763</v>
      </c>
      <c r="C60" s="39" t="n">
        <f aca="false">SUM(C48:C59)</f>
        <v>2983</v>
      </c>
      <c r="D60" s="40" t="n">
        <f aca="false">SUM(D48:D59)</f>
        <v>394428.25</v>
      </c>
      <c r="E60" s="41" t="n">
        <f aca="false">SUM(E48:E59)</f>
        <v>1</v>
      </c>
      <c r="F60" s="42" t="n">
        <f aca="false">D60/B60</f>
        <v>223.725609756098</v>
      </c>
    </row>
    <row r="63" customFormat="false" ht="15" hidden="false" customHeight="false" outlineLevel="0" collapsed="false">
      <c r="A63" s="3" t="s">
        <v>2350</v>
      </c>
    </row>
    <row r="64" customFormat="false" ht="15" hidden="false" customHeight="false" outlineLevel="0" collapsed="false">
      <c r="A64" s="5" t="s">
        <v>2284</v>
      </c>
      <c r="B64" s="5" t="s">
        <v>2294</v>
      </c>
      <c r="C64" s="5" t="s">
        <v>2331</v>
      </c>
      <c r="D64" s="5" t="s">
        <v>39</v>
      </c>
      <c r="E64" s="5" t="s">
        <v>2332</v>
      </c>
      <c r="F64" s="5" t="s">
        <v>2333</v>
      </c>
    </row>
    <row r="65" customFormat="false" ht="15" hidden="false" customHeight="false" outlineLevel="0" collapsed="false">
      <c r="A65" s="9" t="s">
        <v>2351</v>
      </c>
      <c r="B65" s="19" t="n">
        <f aca="false">COUNTIFS(3b_Clean_Data!$P$2:$P$1764,A65)</f>
        <v>258</v>
      </c>
      <c r="C65" s="19" t="n">
        <f aca="false">SUMIFS(3b_Clean_Data!$G$2:$G$1764,3b_Clean_Data!$P$2:$P$1764,A65)</f>
        <v>449</v>
      </c>
      <c r="D65" s="36" t="n">
        <f aca="false">SUMIFS(3b_Clean_Data!$N$2:$N$1764,3b_Clean_Data!$P$2:$P$1764,A65)</f>
        <v>60253.25</v>
      </c>
      <c r="E65" s="21" t="n">
        <f aca="false">D65/4_Calculate!$B$9</f>
        <v>0.152760990116707</v>
      </c>
      <c r="F65" s="37" t="n">
        <f aca="false">IFERROR(D65/B65,0)</f>
        <v>233.539728682171</v>
      </c>
    </row>
    <row r="66" customFormat="false" ht="15" hidden="false" customHeight="false" outlineLevel="0" collapsed="false">
      <c r="A66" s="9" t="s">
        <v>2352</v>
      </c>
      <c r="B66" s="19" t="n">
        <f aca="false">COUNTIFS(3b_Clean_Data!$P$2:$P$1764,A66)</f>
        <v>271</v>
      </c>
      <c r="C66" s="19" t="n">
        <f aca="false">SUMIFS(3b_Clean_Data!$G$2:$G$1764,3b_Clean_Data!$P$2:$P$1764,A66)</f>
        <v>478</v>
      </c>
      <c r="D66" s="36" t="n">
        <f aca="false">SUMIFS(3b_Clean_Data!$N$2:$N$1764,3b_Clean_Data!$P$2:$P$1764,A66)</f>
        <v>63024.25</v>
      </c>
      <c r="E66" s="21" t="n">
        <f aca="false">D66/4_Calculate!$B$9</f>
        <v>0.15978634897475</v>
      </c>
      <c r="F66" s="37" t="n">
        <f aca="false">IFERROR(D66/B66,0)</f>
        <v>232.561808118081</v>
      </c>
    </row>
    <row r="67" customFormat="false" ht="15" hidden="false" customHeight="false" outlineLevel="0" collapsed="false">
      <c r="A67" s="9" t="s">
        <v>2353</v>
      </c>
      <c r="B67" s="19" t="n">
        <f aca="false">COUNTIFS(3b_Clean_Data!$P$2:$P$1764,A67)</f>
        <v>289</v>
      </c>
      <c r="C67" s="19" t="n">
        <f aca="false">SUMIFS(3b_Clean_Data!$G$2:$G$1764,3b_Clean_Data!$P$2:$P$1764,A67)</f>
        <v>475</v>
      </c>
      <c r="D67" s="36" t="n">
        <f aca="false">SUMIFS(3b_Clean_Data!$N$2:$N$1764,3b_Clean_Data!$P$2:$P$1764,A67)</f>
        <v>62331.5</v>
      </c>
      <c r="E67" s="21" t="n">
        <f aca="false">D67/4_Calculate!$B$9</f>
        <v>0.158030009260239</v>
      </c>
      <c r="F67" s="37" t="n">
        <f aca="false">IFERROR(D67/B67,0)</f>
        <v>215.679930795848</v>
      </c>
    </row>
    <row r="68" customFormat="false" ht="15" hidden="false" customHeight="false" outlineLevel="0" collapsed="false">
      <c r="A68" s="9" t="s">
        <v>2354</v>
      </c>
      <c r="B68" s="19" t="n">
        <f aca="false">COUNTIFS(3b_Clean_Data!$P$2:$P$1764,A68)</f>
        <v>246</v>
      </c>
      <c r="C68" s="19" t="n">
        <f aca="false">SUMIFS(3b_Clean_Data!$G$2:$G$1764,3b_Clean_Data!$P$2:$P$1764,A68)</f>
        <v>417</v>
      </c>
      <c r="D68" s="36" t="n">
        <f aca="false">SUMIFS(3b_Clean_Data!$N$2:$N$1764,3b_Clean_Data!$P$2:$P$1764,A68)</f>
        <v>54852.75</v>
      </c>
      <c r="E68" s="21" t="n">
        <f aca="false">D68/4_Calculate!$B$9</f>
        <v>0.13906901952383</v>
      </c>
      <c r="F68" s="37" t="n">
        <f aca="false">IFERROR(D68/B68,0)</f>
        <v>222.978658536585</v>
      </c>
    </row>
    <row r="69" customFormat="false" ht="15" hidden="false" customHeight="false" outlineLevel="0" collapsed="false">
      <c r="A69" s="9" t="s">
        <v>2355</v>
      </c>
      <c r="B69" s="19" t="n">
        <f aca="false">COUNTIFS(3b_Clean_Data!$P$2:$P$1764,A69)</f>
        <v>257</v>
      </c>
      <c r="C69" s="19" t="n">
        <f aca="false">SUMIFS(3b_Clean_Data!$G$2:$G$1764,3b_Clean_Data!$P$2:$P$1764,A69)</f>
        <v>423</v>
      </c>
      <c r="D69" s="36" t="n">
        <f aca="false">SUMIFS(3b_Clean_Data!$N$2:$N$1764,3b_Clean_Data!$P$2:$P$1764,A69)</f>
        <v>55800.5</v>
      </c>
      <c r="E69" s="21" t="n">
        <f aca="false">D69/4_Calculate!$B$9</f>
        <v>0.141471864654725</v>
      </c>
      <c r="F69" s="37" t="n">
        <f aca="false">IFERROR(D69/B69,0)</f>
        <v>217.122568093385</v>
      </c>
    </row>
    <row r="70" customFormat="false" ht="15" hidden="false" customHeight="false" outlineLevel="0" collapsed="false">
      <c r="A70" s="9" t="s">
        <v>2356</v>
      </c>
      <c r="B70" s="19" t="n">
        <f aca="false">COUNTIFS(3b_Clean_Data!$P$2:$P$1764,A70)</f>
        <v>235</v>
      </c>
      <c r="C70" s="19" t="n">
        <f aca="false">SUMIFS(3b_Clean_Data!$G$2:$G$1764,3b_Clean_Data!$P$2:$P$1764,A70)</f>
        <v>392</v>
      </c>
      <c r="D70" s="36" t="n">
        <f aca="false">SUMIFS(3b_Clean_Data!$N$2:$N$1764,3b_Clean_Data!$P$2:$P$1764,A70)</f>
        <v>52269.25</v>
      </c>
      <c r="E70" s="21" t="n">
        <f aca="false">D70/4_Calculate!$B$9</f>
        <v>0.132519032295481</v>
      </c>
      <c r="F70" s="37" t="n">
        <f aca="false">IFERROR(D70/B70,0)</f>
        <v>222.422340425532</v>
      </c>
    </row>
    <row r="71" customFormat="false" ht="15" hidden="false" customHeight="false" outlineLevel="0" collapsed="false">
      <c r="A71" s="9" t="s">
        <v>2357</v>
      </c>
      <c r="B71" s="19" t="n">
        <f aca="false">COUNTIFS(3b_Clean_Data!$P$2:$P$1764,A71)</f>
        <v>207</v>
      </c>
      <c r="C71" s="19" t="n">
        <f aca="false">SUMIFS(3b_Clean_Data!$G$2:$G$1764,3b_Clean_Data!$P$2:$P$1764,A71)</f>
        <v>349</v>
      </c>
      <c r="D71" s="36" t="n">
        <f aca="false">SUMIFS(3b_Clean_Data!$N$2:$N$1764,3b_Clean_Data!$P$2:$P$1764,A71)</f>
        <v>45896.75</v>
      </c>
      <c r="E71" s="21" t="n">
        <f aca="false">D71/4_Calculate!$B$9</f>
        <v>0.116362735174268</v>
      </c>
      <c r="F71" s="37" t="n">
        <f aca="false">IFERROR(D71/B71,0)</f>
        <v>221.723429951691</v>
      </c>
    </row>
    <row r="72" customFormat="false" ht="15" hidden="false" customHeight="false" outlineLevel="0" collapsed="false">
      <c r="A72" s="38" t="s">
        <v>2334</v>
      </c>
      <c r="B72" s="39" t="n">
        <f aca="false">SUM(B65:B71)</f>
        <v>1763</v>
      </c>
      <c r="C72" s="39" t="n">
        <f aca="false">SUM(C65:C71)</f>
        <v>2983</v>
      </c>
      <c r="D72" s="40" t="n">
        <f aca="false">SUM(D65:D71)</f>
        <v>394428.25</v>
      </c>
      <c r="E72" s="41" t="n">
        <f aca="false">SUM(E65:E71)</f>
        <v>1</v>
      </c>
      <c r="F72" s="42" t="n">
        <f aca="false">D72/B72</f>
        <v>223.725609756098</v>
      </c>
    </row>
    <row r="75" customFormat="false" ht="15" hidden="false" customHeight="false" outlineLevel="0" collapsed="false">
      <c r="A75" s="3" t="s">
        <v>2358</v>
      </c>
    </row>
    <row r="76" customFormat="false" ht="15" hidden="false" customHeight="false" outlineLevel="0" collapsed="false">
      <c r="A76" s="5" t="s">
        <v>2359</v>
      </c>
      <c r="B76" s="5" t="s">
        <v>2294</v>
      </c>
      <c r="C76" s="5" t="s">
        <v>2331</v>
      </c>
      <c r="D76" s="5" t="s">
        <v>39</v>
      </c>
      <c r="E76" s="5" t="s">
        <v>2332</v>
      </c>
      <c r="F76" s="5" t="s">
        <v>2333</v>
      </c>
    </row>
    <row r="77" customFormat="false" ht="15" hidden="false" customHeight="false" outlineLevel="0" collapsed="false">
      <c r="A77" s="9" t="s">
        <v>2360</v>
      </c>
      <c r="B77" s="19" t="n">
        <f aca="false">COUNTIFS(3b_Clean_Data!$R$2:$R$1764,A77)</f>
        <v>619</v>
      </c>
      <c r="C77" s="19" t="n">
        <f aca="false">SUMIFS(3b_Clean_Data!$G$2:$G$1764,3b_Clean_Data!$R$2:$R$1764,A77)</f>
        <v>1072</v>
      </c>
      <c r="D77" s="36" t="n">
        <f aca="false">SUMIFS(3b_Clean_Data!$N$2:$N$1764,3b_Clean_Data!$R$2:$R$1764,A77)</f>
        <v>135703</v>
      </c>
      <c r="E77" s="21" t="n">
        <f aca="false">D77/4_Calculate!$B$9</f>
        <v>0.344049900076883</v>
      </c>
      <c r="F77" s="37" t="n">
        <f aca="false">IFERROR(D77/B77,0)</f>
        <v>219.229402261712</v>
      </c>
    </row>
    <row r="78" customFormat="false" ht="15" hidden="false" customHeight="false" outlineLevel="0" collapsed="false">
      <c r="A78" s="9" t="s">
        <v>2361</v>
      </c>
      <c r="B78" s="19" t="n">
        <f aca="false">COUNTIFS(3b_Clean_Data!$R$2:$R$1764,A78)</f>
        <v>473</v>
      </c>
      <c r="C78" s="19" t="n">
        <f aca="false">SUMIFS(3b_Clean_Data!$G$2:$G$1764,3b_Clean_Data!$R$2:$R$1764,A78)</f>
        <v>790</v>
      </c>
      <c r="D78" s="36" t="n">
        <f aca="false">SUMIFS(3b_Clean_Data!$N$2:$N$1764,3b_Clean_Data!$R$2:$R$1764,A78)</f>
        <v>109769.75</v>
      </c>
      <c r="E78" s="21" t="n">
        <f aca="false">D78/4_Calculate!$B$9</f>
        <v>0.278300933059435</v>
      </c>
      <c r="F78" s="37" t="n">
        <f aca="false">IFERROR(D78/B78,0)</f>
        <v>232.071353065539</v>
      </c>
    </row>
    <row r="79" customFormat="false" ht="15" hidden="false" customHeight="false" outlineLevel="0" collapsed="false">
      <c r="A79" s="9" t="s">
        <v>2362</v>
      </c>
      <c r="B79" s="19" t="n">
        <f aca="false">COUNTIFS(3b_Clean_Data!$R$2:$R$1764,A79)</f>
        <v>502</v>
      </c>
      <c r="C79" s="19" t="n">
        <f aca="false">SUMIFS(3b_Clean_Data!$G$2:$G$1764,3b_Clean_Data!$R$2:$R$1764,A79)</f>
        <v>835</v>
      </c>
      <c r="D79" s="36" t="n">
        <f aca="false">SUMIFS(3b_Clean_Data!$N$2:$N$1764,3b_Clean_Data!$R$2:$R$1764,A79)</f>
        <v>111261</v>
      </c>
      <c r="E79" s="21" t="n">
        <f aca="false">D79/4_Calculate!$B$9</f>
        <v>0.282081722087604</v>
      </c>
      <c r="F79" s="37" t="n">
        <f aca="false">IFERROR(D79/B79,0)</f>
        <v>221.635458167331</v>
      </c>
    </row>
    <row r="80" customFormat="false" ht="15" hidden="false" customHeight="false" outlineLevel="0" collapsed="false">
      <c r="A80" s="9" t="s">
        <v>2363</v>
      </c>
      <c r="B80" s="19" t="n">
        <f aca="false">COUNTIFS(3b_Clean_Data!$R$2:$R$1764,A80)</f>
        <v>169</v>
      </c>
      <c r="C80" s="19" t="n">
        <f aca="false">SUMIFS(3b_Clean_Data!$G$2:$G$1764,3b_Clean_Data!$R$2:$R$1764,A80)</f>
        <v>286</v>
      </c>
      <c r="D80" s="36" t="n">
        <f aca="false">SUMIFS(3b_Clean_Data!$N$2:$N$1764,3b_Clean_Data!$R$2:$R$1764,A80)</f>
        <v>37694.5</v>
      </c>
      <c r="E80" s="21" t="n">
        <f aca="false">D80/4_Calculate!$B$9</f>
        <v>0.0955674447760778</v>
      </c>
      <c r="F80" s="37" t="n">
        <f aca="false">IFERROR(D80/B80,0)</f>
        <v>223.044378698225</v>
      </c>
    </row>
    <row r="81" customFormat="false" ht="15" hidden="false" customHeight="false" outlineLevel="0" collapsed="false">
      <c r="A81" s="38" t="s">
        <v>2334</v>
      </c>
      <c r="B81" s="39" t="n">
        <f aca="false">SUM(B77:B80)</f>
        <v>1763</v>
      </c>
      <c r="C81" s="39" t="n">
        <f aca="false">SUM(C77:C80)</f>
        <v>2983</v>
      </c>
      <c r="D81" s="40" t="n">
        <f aca="false">SUM(D77:D80)</f>
        <v>394428.25</v>
      </c>
      <c r="E81" s="41" t="n">
        <f aca="false">SUM(E77:E80)</f>
        <v>1</v>
      </c>
      <c r="F81" s="42" t="n">
        <f aca="false">D81/B81</f>
        <v>223.725609756098</v>
      </c>
    </row>
    <row r="84" customFormat="false" ht="15" hidden="false" customHeight="false" outlineLevel="0" collapsed="false">
      <c r="A84" s="3" t="s">
        <v>2364</v>
      </c>
    </row>
    <row r="85" customFormat="false" ht="15" hidden="false" customHeight="false" outlineLevel="0" collapsed="false">
      <c r="A85" s="5" t="s">
        <v>54</v>
      </c>
      <c r="B85" s="5" t="s">
        <v>2294</v>
      </c>
      <c r="C85" s="5" t="s">
        <v>2331</v>
      </c>
      <c r="D85" s="5" t="s">
        <v>39</v>
      </c>
      <c r="E85" s="5" t="s">
        <v>2332</v>
      </c>
      <c r="F85" s="5" t="s">
        <v>2333</v>
      </c>
    </row>
    <row r="86" customFormat="false" ht="15" hidden="false" customHeight="false" outlineLevel="0" collapsed="false">
      <c r="A86" s="9" t="n">
        <v>7</v>
      </c>
      <c r="B86" s="19" t="n">
        <f aca="false">COUNTIFS(3b_Clean_Data!$C$2:$C$1764,A86)</f>
        <v>138</v>
      </c>
      <c r="C86" s="19" t="n">
        <f aca="false">SUMIFS(3b_Clean_Data!$G$2:$G$1764,3b_Clean_Data!$C$2:$C$1764,A86)</f>
        <v>227</v>
      </c>
      <c r="D86" s="36" t="n">
        <f aca="false">SUMIFS(3b_Clean_Data!$N$2:$N$1764,3b_Clean_Data!$C$2:$C$1764,A86)</f>
        <v>28616.75</v>
      </c>
      <c r="E86" s="21" t="n">
        <f aca="false">D86/4_Calculate!$B$9</f>
        <v>0.0725524857816346</v>
      </c>
      <c r="F86" s="37" t="n">
        <f aca="false">IFERROR(D86/B86,0)</f>
        <v>207.367753623188</v>
      </c>
    </row>
    <row r="87" customFormat="false" ht="15" hidden="false" customHeight="false" outlineLevel="0" collapsed="false">
      <c r="A87" s="9" t="n">
        <v>8</v>
      </c>
      <c r="B87" s="19" t="n">
        <f aca="false">COUNTIFS(3b_Clean_Data!$C$2:$C$1764,A87)</f>
        <v>194</v>
      </c>
      <c r="C87" s="19" t="n">
        <f aca="false">SUMIFS(3b_Clean_Data!$G$2:$G$1764,3b_Clean_Data!$C$2:$C$1764,A87)</f>
        <v>338</v>
      </c>
      <c r="D87" s="36" t="n">
        <f aca="false">SUMIFS(3b_Clean_Data!$N$2:$N$1764,3b_Clean_Data!$C$2:$C$1764,A87)</f>
        <v>43168.75</v>
      </c>
      <c r="E87" s="21" t="n">
        <f aca="false">D87/4_Calculate!$B$9</f>
        <v>0.109446394876635</v>
      </c>
      <c r="F87" s="37" t="n">
        <f aca="false">IFERROR(D87/B87,0)</f>
        <v>222.519329896907</v>
      </c>
    </row>
    <row r="88" customFormat="false" ht="15" hidden="false" customHeight="false" outlineLevel="0" collapsed="false">
      <c r="A88" s="9" t="n">
        <v>9</v>
      </c>
      <c r="B88" s="19" t="n">
        <f aca="false">COUNTIFS(3b_Clean_Data!$C$2:$C$1764,A88)</f>
        <v>187</v>
      </c>
      <c r="C88" s="19" t="n">
        <f aca="false">SUMIFS(3b_Clean_Data!$G$2:$G$1764,3b_Clean_Data!$C$2:$C$1764,A88)</f>
        <v>340</v>
      </c>
      <c r="D88" s="36" t="n">
        <f aca="false">SUMIFS(3b_Clean_Data!$N$2:$N$1764,3b_Clean_Data!$C$2:$C$1764,A88)</f>
        <v>43109.75</v>
      </c>
      <c r="E88" s="21" t="n">
        <f aca="false">D88/4_Calculate!$B$9</f>
        <v>0.109296811270491</v>
      </c>
      <c r="F88" s="37" t="n">
        <f aca="false">IFERROR(D88/B88,0)</f>
        <v>230.533422459893</v>
      </c>
    </row>
    <row r="89" customFormat="false" ht="15" hidden="false" customHeight="false" outlineLevel="0" collapsed="false">
      <c r="A89" s="9" t="n">
        <v>10</v>
      </c>
      <c r="B89" s="19" t="n">
        <f aca="false">COUNTIFS(3b_Clean_Data!$C$2:$C$1764,A89)</f>
        <v>100</v>
      </c>
      <c r="C89" s="19" t="n">
        <f aca="false">SUMIFS(3b_Clean_Data!$G$2:$G$1764,3b_Clean_Data!$C$2:$C$1764,A89)</f>
        <v>167</v>
      </c>
      <c r="D89" s="36" t="n">
        <f aca="false">SUMIFS(3b_Clean_Data!$N$2:$N$1764,3b_Clean_Data!$C$2:$C$1764,A89)</f>
        <v>20807.75</v>
      </c>
      <c r="E89" s="21" t="n">
        <f aca="false">D89/4_Calculate!$B$9</f>
        <v>0.0527542081481233</v>
      </c>
      <c r="F89" s="37" t="n">
        <f aca="false">IFERROR(D89/B89,0)</f>
        <v>208.0775</v>
      </c>
    </row>
    <row r="90" customFormat="false" ht="15" hidden="false" customHeight="false" outlineLevel="0" collapsed="false">
      <c r="A90" s="9" t="n">
        <v>11</v>
      </c>
      <c r="B90" s="19" t="n">
        <f aca="false">COUNTIFS(3b_Clean_Data!$C$2:$C$1764,A90)</f>
        <v>101</v>
      </c>
      <c r="C90" s="19" t="n">
        <f aca="false">SUMIFS(3b_Clean_Data!$G$2:$G$1764,3b_Clean_Data!$C$2:$C$1764,A90)</f>
        <v>169</v>
      </c>
      <c r="D90" s="36" t="n">
        <f aca="false">SUMIFS(3b_Clean_Data!$N$2:$N$1764,3b_Clean_Data!$C$2:$C$1764,A90)</f>
        <v>23418</v>
      </c>
      <c r="E90" s="21" t="n">
        <f aca="false">D90/4_Calculate!$B$9</f>
        <v>0.0593720150623086</v>
      </c>
      <c r="F90" s="37" t="n">
        <f aca="false">IFERROR(D90/B90,0)</f>
        <v>231.861386138614</v>
      </c>
    </row>
    <row r="91" customFormat="false" ht="15" hidden="false" customHeight="false" outlineLevel="0" collapsed="false">
      <c r="A91" s="9" t="n">
        <v>12</v>
      </c>
      <c r="B91" s="19" t="n">
        <f aca="false">COUNTIFS(3b_Clean_Data!$C$2:$C$1764,A91)</f>
        <v>221</v>
      </c>
      <c r="C91" s="19" t="n">
        <f aca="false">SUMIFS(3b_Clean_Data!$G$2:$G$1764,3b_Clean_Data!$C$2:$C$1764,A91)</f>
        <v>370</v>
      </c>
      <c r="D91" s="36" t="n">
        <f aca="false">SUMIFS(3b_Clean_Data!$N$2:$N$1764,3b_Clean_Data!$C$2:$C$1764,A91)</f>
        <v>51645.25</v>
      </c>
      <c r="E91" s="21" t="n">
        <f aca="false">D91/4_Calculate!$B$9</f>
        <v>0.130936995511858</v>
      </c>
      <c r="F91" s="37" t="n">
        <f aca="false">IFERROR(D91/B91,0)</f>
        <v>233.688914027149</v>
      </c>
    </row>
    <row r="92" customFormat="false" ht="15" hidden="false" customHeight="false" outlineLevel="0" collapsed="false">
      <c r="A92" s="9" t="n">
        <v>13</v>
      </c>
      <c r="B92" s="19" t="n">
        <f aca="false">COUNTIFS(3b_Clean_Data!$C$2:$C$1764,A92)</f>
        <v>151</v>
      </c>
      <c r="C92" s="19" t="n">
        <f aca="false">SUMIFS(3b_Clean_Data!$G$2:$G$1764,3b_Clean_Data!$C$2:$C$1764,A92)</f>
        <v>251</v>
      </c>
      <c r="D92" s="36" t="n">
        <f aca="false">SUMIFS(3b_Clean_Data!$N$2:$N$1764,3b_Clean_Data!$C$2:$C$1764,A92)</f>
        <v>34706.5</v>
      </c>
      <c r="E92" s="21" t="n">
        <f aca="false">D92/4_Calculate!$B$9</f>
        <v>0.0879919224852682</v>
      </c>
      <c r="F92" s="37" t="n">
        <f aca="false">IFERROR(D92/B92,0)</f>
        <v>229.844370860927</v>
      </c>
    </row>
    <row r="93" customFormat="false" ht="15" hidden="false" customHeight="false" outlineLevel="0" collapsed="false">
      <c r="A93" s="9" t="n">
        <v>14</v>
      </c>
      <c r="B93" s="19" t="n">
        <f aca="false">COUNTIFS(3b_Clean_Data!$C$2:$C$1764,A93)</f>
        <v>102</v>
      </c>
      <c r="C93" s="19" t="n">
        <f aca="false">SUMIFS(3b_Clean_Data!$G$2:$G$1764,3b_Clean_Data!$C$2:$C$1764,A93)</f>
        <v>169</v>
      </c>
      <c r="D93" s="36" t="n">
        <f aca="false">SUMIFS(3b_Clean_Data!$N$2:$N$1764,3b_Clean_Data!$C$2:$C$1764,A93)</f>
        <v>23039.25</v>
      </c>
      <c r="E93" s="21" t="n">
        <f aca="false">D93/4_Calculate!$B$9</f>
        <v>0.0584117643703259</v>
      </c>
      <c r="F93" s="37" t="n">
        <f aca="false">IFERROR(D93/B93,0)</f>
        <v>225.875</v>
      </c>
    </row>
    <row r="94" customFormat="false" ht="15" hidden="false" customHeight="false" outlineLevel="0" collapsed="false">
      <c r="A94" s="9" t="n">
        <v>15</v>
      </c>
      <c r="B94" s="19" t="n">
        <f aca="false">COUNTIFS(3b_Clean_Data!$C$2:$C$1764,A94)</f>
        <v>123</v>
      </c>
      <c r="C94" s="19" t="n">
        <f aca="false">SUMIFS(3b_Clean_Data!$G$2:$G$1764,3b_Clean_Data!$C$2:$C$1764,A94)</f>
        <v>184</v>
      </c>
      <c r="D94" s="36" t="n">
        <f aca="false">SUMIFS(3b_Clean_Data!$N$2:$N$1764,3b_Clean_Data!$C$2:$C$1764,A94)</f>
        <v>24773.75</v>
      </c>
      <c r="E94" s="21" t="n">
        <f aca="false">D94/4_Calculate!$B$9</f>
        <v>0.0628092688594187</v>
      </c>
      <c r="F94" s="37" t="n">
        <f aca="false">IFERROR(D94/B94,0)</f>
        <v>201.412601626016</v>
      </c>
    </row>
    <row r="95" customFormat="false" ht="15" hidden="false" customHeight="false" outlineLevel="0" collapsed="false">
      <c r="A95" s="9" t="n">
        <v>16</v>
      </c>
      <c r="B95" s="19" t="n">
        <f aca="false">COUNTIFS(3b_Clean_Data!$C$2:$C$1764,A95)</f>
        <v>154</v>
      </c>
      <c r="C95" s="19" t="n">
        <f aca="false">SUMIFS(3b_Clean_Data!$G$2:$G$1764,3b_Clean_Data!$C$2:$C$1764,A95)</f>
        <v>273</v>
      </c>
      <c r="D95" s="36" t="n">
        <f aca="false">SUMIFS(3b_Clean_Data!$N$2:$N$1764,3b_Clean_Data!$C$2:$C$1764,A95)</f>
        <v>35750.5</v>
      </c>
      <c r="E95" s="21" t="n">
        <f aca="false">D95/4_Calculate!$B$9</f>
        <v>0.0906387917194065</v>
      </c>
      <c r="F95" s="37" t="n">
        <f aca="false">IFERROR(D95/B95,0)</f>
        <v>232.146103896104</v>
      </c>
    </row>
    <row r="96" customFormat="false" ht="15" hidden="false" customHeight="false" outlineLevel="0" collapsed="false">
      <c r="A96" s="9" t="n">
        <v>17</v>
      </c>
      <c r="B96" s="19" t="n">
        <f aca="false">COUNTIFS(3b_Clean_Data!$C$2:$C$1764,A96)</f>
        <v>123</v>
      </c>
      <c r="C96" s="19" t="n">
        <f aca="false">SUMIFS(3b_Clean_Data!$G$2:$G$1764,3b_Clean_Data!$C$2:$C$1764,A96)</f>
        <v>209</v>
      </c>
      <c r="D96" s="36" t="n">
        <f aca="false">SUMIFS(3b_Clean_Data!$N$2:$N$1764,3b_Clean_Data!$C$2:$C$1764,A96)</f>
        <v>27697.5</v>
      </c>
      <c r="E96" s="21" t="n">
        <f aca="false">D96/4_Calculate!$B$9</f>
        <v>0.0702218971384529</v>
      </c>
      <c r="F96" s="37" t="n">
        <f aca="false">IFERROR(D96/B96,0)</f>
        <v>225.182926829268</v>
      </c>
    </row>
    <row r="97" customFormat="false" ht="15" hidden="false" customHeight="false" outlineLevel="0" collapsed="false">
      <c r="A97" s="9" t="n">
        <v>18</v>
      </c>
      <c r="B97" s="19" t="n">
        <f aca="false">COUNTIFS(3b_Clean_Data!$C$2:$C$1764,A97)</f>
        <v>73</v>
      </c>
      <c r="C97" s="19" t="n">
        <f aca="false">SUMIFS(3b_Clean_Data!$G$2:$G$1764,3b_Clean_Data!$C$2:$C$1764,A97)</f>
        <v>123</v>
      </c>
      <c r="D97" s="36" t="n">
        <f aca="false">SUMIFS(3b_Clean_Data!$N$2:$N$1764,3b_Clean_Data!$C$2:$C$1764,A97)</f>
        <v>15807</v>
      </c>
      <c r="E97" s="21" t="n">
        <f aca="false">D97/4_Calculate!$B$9</f>
        <v>0.0400757298697545</v>
      </c>
      <c r="F97" s="37" t="n">
        <f aca="false">IFERROR(D97/B97,0)</f>
        <v>216.534246575342</v>
      </c>
    </row>
    <row r="98" customFormat="false" ht="15" hidden="false" customHeight="false" outlineLevel="0" collapsed="false">
      <c r="A98" s="9" t="n">
        <v>19</v>
      </c>
      <c r="B98" s="19" t="n">
        <f aca="false">COUNTIFS(3b_Clean_Data!$C$2:$C$1764,A98)</f>
        <v>64</v>
      </c>
      <c r="C98" s="19" t="n">
        <f aca="false">SUMIFS(3b_Clean_Data!$G$2:$G$1764,3b_Clean_Data!$C$2:$C$1764,A98)</f>
        <v>108</v>
      </c>
      <c r="D98" s="36" t="n">
        <f aca="false">SUMIFS(3b_Clean_Data!$N$2:$N$1764,3b_Clean_Data!$C$2:$C$1764,A98)</f>
        <v>14291.5</v>
      </c>
      <c r="E98" s="21" t="n">
        <f aca="false">D98/4_Calculate!$B$9</f>
        <v>0.0362334594441448</v>
      </c>
      <c r="F98" s="37" t="n">
        <f aca="false">IFERROR(D98/B98,0)</f>
        <v>223.3046875</v>
      </c>
    </row>
    <row r="99" customFormat="false" ht="15" hidden="false" customHeight="false" outlineLevel="0" collapsed="false">
      <c r="A99" s="9" t="n">
        <v>20</v>
      </c>
      <c r="B99" s="19" t="n">
        <f aca="false">COUNTIFS(3b_Clean_Data!$C$2:$C$1764,A99)</f>
        <v>32</v>
      </c>
      <c r="C99" s="19" t="n">
        <f aca="false">SUMIFS(3b_Clean_Data!$G$2:$G$1764,3b_Clean_Data!$C$2:$C$1764,A99)</f>
        <v>55</v>
      </c>
      <c r="D99" s="36" t="n">
        <f aca="false">SUMIFS(3b_Clean_Data!$N$2:$N$1764,3b_Clean_Data!$C$2:$C$1764,A99)</f>
        <v>7596</v>
      </c>
      <c r="E99" s="21" t="n">
        <f aca="false">D99/4_Calculate!$B$9</f>
        <v>0.0192582554621785</v>
      </c>
      <c r="F99" s="37" t="n">
        <f aca="false">IFERROR(D99/B99,0)</f>
        <v>237.375</v>
      </c>
    </row>
    <row r="100" customFormat="false" ht="15" hidden="false" customHeight="false" outlineLevel="0" collapsed="false">
      <c r="A100" s="38" t="s">
        <v>2334</v>
      </c>
      <c r="B100" s="39" t="n">
        <f aca="false">SUM(B86:B99)</f>
        <v>1763</v>
      </c>
      <c r="C100" s="39" t="n">
        <f aca="false">SUM(C86:C99)</f>
        <v>2983</v>
      </c>
      <c r="D100" s="40" t="n">
        <f aca="false">SUM(D86:D99)</f>
        <v>394428.25</v>
      </c>
      <c r="E100" s="41" t="n">
        <f aca="false">SUM(E86:E99)</f>
        <v>1</v>
      </c>
      <c r="F100" s="42" t="n">
        <f aca="false">D100/B100</f>
        <v>223.725609756098</v>
      </c>
    </row>
    <row r="103" customFormat="false" ht="15" hidden="false" customHeight="false" outlineLevel="0" collapsed="false">
      <c r="A103" s="3" t="s">
        <v>2365</v>
      </c>
    </row>
    <row r="104" customFormat="false" ht="15" hidden="false" customHeight="false" outlineLevel="0" collapsed="false">
      <c r="A104" s="5" t="s">
        <v>2366</v>
      </c>
      <c r="B104" s="5" t="s">
        <v>2294</v>
      </c>
      <c r="C104" s="5" t="s">
        <v>2331</v>
      </c>
      <c r="D104" s="5" t="s">
        <v>39</v>
      </c>
      <c r="E104" s="5" t="s">
        <v>2332</v>
      </c>
      <c r="F104" s="5" t="s">
        <v>2333</v>
      </c>
    </row>
    <row r="105" customFormat="false" ht="15" hidden="false" customHeight="false" outlineLevel="0" collapsed="false">
      <c r="A105" s="9" t="s">
        <v>67</v>
      </c>
      <c r="B105" s="19" t="n">
        <f aca="false">COUNTIFS(3b_Clean_Data!$J$2:$J$1764,A105)</f>
        <v>538</v>
      </c>
      <c r="C105" s="19" t="n">
        <f aca="false">SUMIFS(3b_Clean_Data!$G$2:$G$1764,3b_Clean_Data!$J$2:$J$1764,A105)</f>
        <v>909</v>
      </c>
      <c r="D105" s="36" t="n">
        <f aca="false">SUMIFS(3b_Clean_Data!$N$2:$N$1764,3b_Clean_Data!$J$2:$J$1764,A105)</f>
        <v>121194</v>
      </c>
      <c r="E105" s="21" t="n">
        <f aca="false">D105/4_Calculate!$B$9</f>
        <v>0.307265009542293</v>
      </c>
      <c r="F105" s="37" t="n">
        <f aca="false">IFERROR(D105/B105,0)</f>
        <v>225.267657992565</v>
      </c>
    </row>
    <row r="106" customFormat="false" ht="15" hidden="false" customHeight="false" outlineLevel="0" collapsed="false">
      <c r="A106" s="9" t="s">
        <v>81</v>
      </c>
      <c r="B106" s="19" t="n">
        <f aca="false">COUNTIFS(3b_Clean_Data!$J$2:$J$1764,A106)</f>
        <v>547</v>
      </c>
      <c r="C106" s="19" t="n">
        <f aca="false">SUMIFS(3b_Clean_Data!$G$2:$G$1764,3b_Clean_Data!$J$2:$J$1764,A106)</f>
        <v>906</v>
      </c>
      <c r="D106" s="36" t="n">
        <f aca="false">SUMIFS(3b_Clean_Data!$N$2:$N$1764,3b_Clean_Data!$J$2:$J$1764,A106)</f>
        <v>117745</v>
      </c>
      <c r="E106" s="21" t="n">
        <f aca="false">D106/4_Calculate!$B$9</f>
        <v>0.298520706871275</v>
      </c>
      <c r="F106" s="37" t="n">
        <f aca="false">IFERROR(D106/B106,0)</f>
        <v>215.255941499086</v>
      </c>
    </row>
    <row r="107" customFormat="false" ht="15" hidden="false" customHeight="false" outlineLevel="0" collapsed="false">
      <c r="A107" s="9" t="s">
        <v>76</v>
      </c>
      <c r="B107" s="19" t="n">
        <f aca="false">COUNTIFS(3b_Clean_Data!$J$2:$J$1764,A107)</f>
        <v>370</v>
      </c>
      <c r="C107" s="19" t="n">
        <f aca="false">SUMIFS(3b_Clean_Data!$G$2:$G$1764,3b_Clean_Data!$J$2:$J$1764,A107)</f>
        <v>654</v>
      </c>
      <c r="D107" s="36" t="n">
        <f aca="false">SUMIFS(3b_Clean_Data!$N$2:$N$1764,3b_Clean_Data!$J$2:$J$1764,A107)</f>
        <v>87057</v>
      </c>
      <c r="E107" s="21" t="n">
        <f aca="false">D107/4_Calculate!$B$9</f>
        <v>0.220716949153617</v>
      </c>
      <c r="F107" s="37" t="n">
        <f aca="false">IFERROR(D107/B107,0)</f>
        <v>235.289189189189</v>
      </c>
    </row>
    <row r="108" customFormat="false" ht="15" hidden="false" customHeight="false" outlineLevel="0" collapsed="false">
      <c r="A108" s="9" t="s">
        <v>112</v>
      </c>
      <c r="B108" s="19" t="n">
        <f aca="false">COUNTIFS(3b_Clean_Data!$J$2:$J$1764,A108)</f>
        <v>160</v>
      </c>
      <c r="C108" s="19" t="n">
        <f aca="false">SUMIFS(3b_Clean_Data!$G$2:$G$1764,3b_Clean_Data!$J$2:$J$1764,A108)</f>
        <v>269</v>
      </c>
      <c r="D108" s="36" t="n">
        <f aca="false">SUMIFS(3b_Clean_Data!$N$2:$N$1764,3b_Clean_Data!$J$2:$J$1764,A108)</f>
        <v>35905.75</v>
      </c>
      <c r="E108" s="21" t="n">
        <f aca="false">D108/4_Calculate!$B$9</f>
        <v>0.0910323994287935</v>
      </c>
      <c r="F108" s="37" t="n">
        <f aca="false">IFERROR(D108/B108,0)</f>
        <v>224.4109375</v>
      </c>
    </row>
    <row r="109" customFormat="false" ht="15" hidden="false" customHeight="false" outlineLevel="0" collapsed="false">
      <c r="A109" s="9" t="s">
        <v>88</v>
      </c>
      <c r="B109" s="19" t="n">
        <f aca="false">COUNTIFS(3b_Clean_Data!$J$2:$J$1764,A109)</f>
        <v>121</v>
      </c>
      <c r="C109" s="19" t="n">
        <f aca="false">SUMIFS(3b_Clean_Data!$G$2:$G$1764,3b_Clean_Data!$J$2:$J$1764,A109)</f>
        <v>197</v>
      </c>
      <c r="D109" s="36" t="n">
        <f aca="false">SUMIFS(3b_Clean_Data!$N$2:$N$1764,3b_Clean_Data!$J$2:$J$1764,A109)</f>
        <v>26157</v>
      </c>
      <c r="E109" s="21" t="n">
        <f aca="false">D109/4_Calculate!$B$9</f>
        <v>0.066316243828884</v>
      </c>
      <c r="F109" s="37" t="n">
        <f aca="false">IFERROR(D109/B109,0)</f>
        <v>216.173553719008</v>
      </c>
    </row>
    <row r="110" customFormat="false" ht="15" hidden="false" customHeight="false" outlineLevel="0" collapsed="false">
      <c r="A110" s="9" t="s">
        <v>2289</v>
      </c>
      <c r="B110" s="19" t="n">
        <f aca="false">COUNTIFS(3b_Clean_Data!$J$2:$J$1764,A110)</f>
        <v>27</v>
      </c>
      <c r="C110" s="19" t="n">
        <f aca="false">SUMIFS(3b_Clean_Data!$G$2:$G$1764,3b_Clean_Data!$J$2:$J$1764,A110)</f>
        <v>48</v>
      </c>
      <c r="D110" s="36" t="n">
        <f aca="false">SUMIFS(3b_Clean_Data!$N$2:$N$1764,3b_Clean_Data!$J$2:$J$1764,A110)</f>
        <v>6369.5</v>
      </c>
      <c r="E110" s="21" t="n">
        <f aca="false">D110/4_Calculate!$B$9</f>
        <v>0.0161486911751377</v>
      </c>
      <c r="F110" s="37" t="n">
        <f aca="false">IFERROR(D110/B110,0)</f>
        <v>235.907407407407</v>
      </c>
    </row>
    <row r="111" customFormat="false" ht="15" hidden="false" customHeight="false" outlineLevel="0" collapsed="false">
      <c r="A111" s="38" t="s">
        <v>2334</v>
      </c>
      <c r="B111" s="39" t="n">
        <f aca="false">SUM(B105:B110)</f>
        <v>1763</v>
      </c>
      <c r="C111" s="39" t="n">
        <f aca="false">SUM(C105:C110)</f>
        <v>2983</v>
      </c>
      <c r="D111" s="40" t="n">
        <f aca="false">SUM(D105:D110)</f>
        <v>394428.25</v>
      </c>
      <c r="E111" s="41" t="n">
        <f aca="false">SUM(E105:E110)</f>
        <v>1</v>
      </c>
      <c r="F111" s="42" t="n">
        <f aca="false">D111/B111</f>
        <v>223.725609756098</v>
      </c>
    </row>
    <row r="114" customFormat="false" ht="15" hidden="false" customHeight="false" outlineLevel="0" collapsed="false">
      <c r="A114" s="3" t="s">
        <v>2367</v>
      </c>
    </row>
    <row r="115" customFormat="false" ht="15" hidden="false" customHeight="false" outlineLevel="0" collapsed="false">
      <c r="A115" s="5" t="s">
        <v>2368</v>
      </c>
      <c r="B115" s="5" t="s">
        <v>2294</v>
      </c>
      <c r="C115" s="5" t="s">
        <v>2331</v>
      </c>
      <c r="D115" s="5" t="s">
        <v>39</v>
      </c>
      <c r="E115" s="5" t="s">
        <v>2332</v>
      </c>
      <c r="F115" s="5" t="s">
        <v>2333</v>
      </c>
    </row>
    <row r="116" customFormat="false" ht="15" hidden="false" customHeight="false" outlineLevel="0" collapsed="false">
      <c r="A116" s="9" t="s">
        <v>68</v>
      </c>
      <c r="B116" s="19" t="n">
        <f aca="false">COUNTIFS(3b_Clean_Data!$K$2:$K$1764,A116)</f>
        <v>602</v>
      </c>
      <c r="C116" s="19" t="n">
        <f aca="false">SUMIFS(3b_Clean_Data!$G$2:$G$1764,3b_Clean_Data!$K$2:$K$1764,A116)</f>
        <v>1014</v>
      </c>
      <c r="D116" s="36" t="n">
        <f aca="false">SUMIFS(3b_Clean_Data!$N$2:$N$1764,3b_Clean_Data!$K$2:$K$1764,A116)</f>
        <v>139576.75</v>
      </c>
      <c r="E116" s="21" t="n">
        <f aca="false">D116/4_Calculate!$B$9</f>
        <v>0.353871077946369</v>
      </c>
      <c r="F116" s="37" t="n">
        <f aca="false">IFERROR(D116/B116,0)</f>
        <v>231.855066445183</v>
      </c>
    </row>
    <row r="117" customFormat="false" ht="15" hidden="false" customHeight="false" outlineLevel="0" collapsed="false">
      <c r="A117" s="9" t="s">
        <v>82</v>
      </c>
      <c r="B117" s="19" t="n">
        <f aca="false">COUNTIFS(3b_Clean_Data!$K$2:$K$1764,A117)</f>
        <v>429</v>
      </c>
      <c r="C117" s="19" t="n">
        <f aca="false">SUMIFS(3b_Clean_Data!$G$2:$G$1764,3b_Clean_Data!$K$2:$K$1764,A117)</f>
        <v>721</v>
      </c>
      <c r="D117" s="36" t="n">
        <f aca="false">SUMIFS(3b_Clean_Data!$N$2:$N$1764,3b_Clean_Data!$K$2:$K$1764,A117)</f>
        <v>92306.5</v>
      </c>
      <c r="E117" s="21" t="n">
        <f aca="false">D117/4_Calculate!$B$9</f>
        <v>0.23402608712738</v>
      </c>
      <c r="F117" s="37" t="n">
        <f aca="false">IFERROR(D117/B117,0)</f>
        <v>215.166666666667</v>
      </c>
    </row>
    <row r="118" customFormat="false" ht="15" hidden="false" customHeight="false" outlineLevel="0" collapsed="false">
      <c r="A118" s="9" t="s">
        <v>77</v>
      </c>
      <c r="B118" s="19" t="n">
        <f aca="false">COUNTIFS(3b_Clean_Data!$K$2:$K$1764,A118)</f>
        <v>363</v>
      </c>
      <c r="C118" s="19" t="n">
        <f aca="false">SUMIFS(3b_Clean_Data!$G$2:$G$1764,3b_Clean_Data!$K$2:$K$1764,A118)</f>
        <v>629</v>
      </c>
      <c r="D118" s="36" t="n">
        <f aca="false">SUMIFS(3b_Clean_Data!$N$2:$N$1764,3b_Clean_Data!$K$2:$K$1764,A118)</f>
        <v>86956</v>
      </c>
      <c r="E118" s="21" t="n">
        <f aca="false">D118/4_Calculate!$B$9</f>
        <v>0.220460882302421</v>
      </c>
      <c r="F118" s="37" t="n">
        <f aca="false">IFERROR(D118/B118,0)</f>
        <v>239.548209366391</v>
      </c>
    </row>
    <row r="119" customFormat="false" ht="15" hidden="false" customHeight="false" outlineLevel="0" collapsed="false">
      <c r="A119" s="9" t="s">
        <v>71</v>
      </c>
      <c r="B119" s="19" t="n">
        <f aca="false">COUNTIFS(3b_Clean_Data!$K$2:$K$1764,A119)</f>
        <v>338</v>
      </c>
      <c r="C119" s="19" t="n">
        <f aca="false">SUMIFS(3b_Clean_Data!$G$2:$G$1764,3b_Clean_Data!$K$2:$K$1764,A119)</f>
        <v>579</v>
      </c>
      <c r="D119" s="36" t="n">
        <f aca="false">SUMIFS(3b_Clean_Data!$N$2:$N$1764,3b_Clean_Data!$K$2:$K$1764,A119)</f>
        <v>70420</v>
      </c>
      <c r="E119" s="21" t="n">
        <f aca="false">D119/4_Calculate!$B$9</f>
        <v>0.178536907536415</v>
      </c>
      <c r="F119" s="37" t="n">
        <f aca="false">IFERROR(D119/B119,0)</f>
        <v>208.343195266272</v>
      </c>
    </row>
    <row r="120" customFormat="false" ht="15" hidden="false" customHeight="false" outlineLevel="0" collapsed="false">
      <c r="A120" s="9" t="s">
        <v>2289</v>
      </c>
      <c r="B120" s="19" t="n">
        <f aca="false">COUNTIFS(3b_Clean_Data!$K$2:$K$1764,A120)</f>
        <v>31</v>
      </c>
      <c r="C120" s="19" t="n">
        <f aca="false">SUMIFS(3b_Clean_Data!$G$2:$G$1764,3b_Clean_Data!$K$2:$K$1764,A120)</f>
        <v>40</v>
      </c>
      <c r="D120" s="36" t="n">
        <f aca="false">SUMIFS(3b_Clean_Data!$N$2:$N$1764,3b_Clean_Data!$K$2:$K$1764,A120)</f>
        <v>5169</v>
      </c>
      <c r="E120" s="21" t="n">
        <f aca="false">D120/4_Calculate!$B$9</f>
        <v>0.0131050450874145</v>
      </c>
      <c r="F120" s="37" t="n">
        <f aca="false">IFERROR(D120/B120,0)</f>
        <v>166.741935483871</v>
      </c>
    </row>
    <row r="121" customFormat="false" ht="15" hidden="false" customHeight="false" outlineLevel="0" collapsed="false">
      <c r="A121" s="38" t="s">
        <v>2334</v>
      </c>
      <c r="B121" s="39" t="n">
        <f aca="false">SUM(B116:B120)</f>
        <v>1763</v>
      </c>
      <c r="C121" s="39" t="n">
        <f aca="false">SUM(C116:C120)</f>
        <v>2983</v>
      </c>
      <c r="D121" s="40" t="n">
        <f aca="false">SUM(D116:D120)</f>
        <v>394428.25</v>
      </c>
      <c r="E121" s="41" t="n">
        <f aca="false">SUM(E116:E120)</f>
        <v>1</v>
      </c>
      <c r="F121" s="42" t="n">
        <f aca="false">D121/B121</f>
        <v>223.725609756098</v>
      </c>
    </row>
    <row r="124" customFormat="false" ht="15" hidden="false" customHeight="false" outlineLevel="0" collapsed="false">
      <c r="A124" s="3" t="s">
        <v>2369</v>
      </c>
    </row>
    <row r="125" customFormat="false" ht="15" hidden="false" customHeight="false" outlineLevel="0" collapsed="false">
      <c r="A125" s="5" t="s">
        <v>2288</v>
      </c>
      <c r="B125" s="5" t="s">
        <v>99</v>
      </c>
      <c r="C125" s="5" t="s">
        <v>65</v>
      </c>
      <c r="D125" s="5" t="s">
        <v>79</v>
      </c>
      <c r="E125" s="5" t="s">
        <v>84</v>
      </c>
      <c r="F125" s="5" t="s">
        <v>74</v>
      </c>
      <c r="G125" s="5" t="s">
        <v>2334</v>
      </c>
    </row>
    <row r="126" customFormat="false" ht="15" hidden="false" customHeight="false" outlineLevel="0" collapsed="false">
      <c r="A126" s="9" t="s">
        <v>2338</v>
      </c>
      <c r="B126" s="36" t="n">
        <f aca="false">SUMIFS(3b_Clean_Data!$N$2:$N$1764,3b_Clean_Data!$T$2:$T$1764,$A126,3b_Clean_Data!$E$2:$E$1764,B$125)</f>
        <v>9605.5</v>
      </c>
      <c r="C126" s="36" t="n">
        <f aca="false">SUMIFS(3b_Clean_Data!$N$2:$N$1764,3b_Clean_Data!$T$2:$T$1764,$A126,3b_Clean_Data!$E$2:$E$1764,C$125)</f>
        <v>9320</v>
      </c>
      <c r="D126" s="36" t="n">
        <f aca="false">SUMIFS(3b_Clean_Data!$N$2:$N$1764,3b_Clean_Data!$T$2:$T$1764,$A126,3b_Clean_Data!$E$2:$E$1764,D$125)</f>
        <v>5343.5</v>
      </c>
      <c r="E126" s="36" t="n">
        <f aca="false">SUMIFS(3b_Clean_Data!$N$2:$N$1764,3b_Clean_Data!$T$2:$T$1764,$A126,3b_Clean_Data!$E$2:$E$1764,E$125)</f>
        <v>3409</v>
      </c>
      <c r="F126" s="36" t="n">
        <f aca="false">SUMIFS(3b_Clean_Data!$N$2:$N$1764,3b_Clean_Data!$T$2:$T$1764,$A126,3b_Clean_Data!$E$2:$E$1764,F$125)</f>
        <v>6227</v>
      </c>
      <c r="G126" s="43" t="n">
        <f aca="false">SUM(B126:F126)</f>
        <v>33905</v>
      </c>
    </row>
    <row r="127" customFormat="false" ht="15" hidden="false" customHeight="false" outlineLevel="0" collapsed="false">
      <c r="A127" s="9" t="s">
        <v>2339</v>
      </c>
      <c r="B127" s="36" t="n">
        <f aca="false">SUMIFS(3b_Clean_Data!$N$2:$N$1764,3b_Clean_Data!$T$2:$T$1764,$A127,3b_Clean_Data!$E$2:$E$1764,B$125)</f>
        <v>9157.5</v>
      </c>
      <c r="C127" s="36" t="n">
        <f aca="false">SUMIFS(3b_Clean_Data!$N$2:$N$1764,3b_Clean_Data!$T$2:$T$1764,$A127,3b_Clean_Data!$E$2:$E$1764,C$125)</f>
        <v>4288.5</v>
      </c>
      <c r="D127" s="36" t="n">
        <f aca="false">SUMIFS(3b_Clean_Data!$N$2:$N$1764,3b_Clean_Data!$T$2:$T$1764,$A127,3b_Clean_Data!$E$2:$E$1764,D$125)</f>
        <v>3280</v>
      </c>
      <c r="E127" s="36" t="n">
        <f aca="false">SUMIFS(3b_Clean_Data!$N$2:$N$1764,3b_Clean_Data!$T$2:$T$1764,$A127,3b_Clean_Data!$E$2:$E$1764,E$125)</f>
        <v>3231.75</v>
      </c>
      <c r="F127" s="36" t="n">
        <f aca="false">SUMIFS(3b_Clean_Data!$N$2:$N$1764,3b_Clean_Data!$T$2:$T$1764,$A127,3b_Clean_Data!$E$2:$E$1764,F$125)</f>
        <v>4868</v>
      </c>
      <c r="G127" s="43" t="n">
        <f aca="false">SUM(B127:F127)</f>
        <v>24825.75</v>
      </c>
    </row>
    <row r="128" customFormat="false" ht="15" hidden="false" customHeight="false" outlineLevel="0" collapsed="false">
      <c r="A128" s="9" t="s">
        <v>2340</v>
      </c>
      <c r="B128" s="36" t="n">
        <f aca="false">SUMIFS(3b_Clean_Data!$N$2:$N$1764,3b_Clean_Data!$T$2:$T$1764,$A128,3b_Clean_Data!$E$2:$E$1764,B$125)</f>
        <v>4536.5</v>
      </c>
      <c r="C128" s="36" t="n">
        <f aca="false">SUMIFS(3b_Clean_Data!$N$2:$N$1764,3b_Clean_Data!$T$2:$T$1764,$A128,3b_Clean_Data!$E$2:$E$1764,C$125)</f>
        <v>13273</v>
      </c>
      <c r="D128" s="36" t="n">
        <f aca="false">SUMIFS(3b_Clean_Data!$N$2:$N$1764,3b_Clean_Data!$T$2:$T$1764,$A128,3b_Clean_Data!$E$2:$E$1764,D$125)</f>
        <v>5293.5</v>
      </c>
      <c r="E128" s="36" t="n">
        <f aca="false">SUMIFS(3b_Clean_Data!$N$2:$N$1764,3b_Clean_Data!$T$2:$T$1764,$A128,3b_Clean_Data!$E$2:$E$1764,E$125)</f>
        <v>4758.75</v>
      </c>
      <c r="F128" s="36" t="n">
        <f aca="false">SUMIFS(3b_Clean_Data!$N$2:$N$1764,3b_Clean_Data!$T$2:$T$1764,$A128,3b_Clean_Data!$E$2:$E$1764,F$125)</f>
        <v>3346</v>
      </c>
      <c r="G128" s="43" t="n">
        <f aca="false">SUM(B128:F128)</f>
        <v>31207.75</v>
      </c>
    </row>
    <row r="129" customFormat="false" ht="15" hidden="false" customHeight="false" outlineLevel="0" collapsed="false">
      <c r="A129" s="9" t="s">
        <v>2341</v>
      </c>
      <c r="B129" s="36" t="n">
        <f aca="false">SUMIFS(3b_Clean_Data!$N$2:$N$1764,3b_Clean_Data!$T$2:$T$1764,$A129,3b_Clean_Data!$E$2:$E$1764,B$125)</f>
        <v>4266.5</v>
      </c>
      <c r="C129" s="36" t="n">
        <f aca="false">SUMIFS(3b_Clean_Data!$N$2:$N$1764,3b_Clean_Data!$T$2:$T$1764,$A129,3b_Clean_Data!$E$2:$E$1764,C$125)</f>
        <v>15118.5</v>
      </c>
      <c r="D129" s="36" t="n">
        <f aca="false">SUMIFS(3b_Clean_Data!$N$2:$N$1764,3b_Clean_Data!$T$2:$T$1764,$A129,3b_Clean_Data!$E$2:$E$1764,D$125)</f>
        <v>4162.5</v>
      </c>
      <c r="E129" s="36" t="n">
        <f aca="false">SUMIFS(3b_Clean_Data!$N$2:$N$1764,3b_Clean_Data!$T$2:$T$1764,$A129,3b_Clean_Data!$E$2:$E$1764,E$125)</f>
        <v>4508.5</v>
      </c>
      <c r="F129" s="36" t="n">
        <f aca="false">SUMIFS(3b_Clean_Data!$N$2:$N$1764,3b_Clean_Data!$T$2:$T$1764,$A129,3b_Clean_Data!$E$2:$E$1764,F$125)</f>
        <v>6890</v>
      </c>
      <c r="G129" s="43" t="n">
        <f aca="false">SUM(B129:F129)</f>
        <v>34946</v>
      </c>
    </row>
    <row r="130" customFormat="false" ht="15" hidden="false" customHeight="false" outlineLevel="0" collapsed="false">
      <c r="A130" s="9" t="s">
        <v>2342</v>
      </c>
      <c r="B130" s="36" t="n">
        <f aca="false">SUMIFS(3b_Clean_Data!$N$2:$N$1764,3b_Clean_Data!$T$2:$T$1764,$A130,3b_Clean_Data!$E$2:$E$1764,B$125)</f>
        <v>3568</v>
      </c>
      <c r="C130" s="36" t="n">
        <f aca="false">SUMIFS(3b_Clean_Data!$N$2:$N$1764,3b_Clean_Data!$T$2:$T$1764,$A130,3b_Clean_Data!$E$2:$E$1764,C$125)</f>
        <v>19748.5</v>
      </c>
      <c r="D130" s="36" t="n">
        <f aca="false">SUMIFS(3b_Clean_Data!$N$2:$N$1764,3b_Clean_Data!$T$2:$T$1764,$A130,3b_Clean_Data!$E$2:$E$1764,D$125)</f>
        <v>5284</v>
      </c>
      <c r="E130" s="36" t="n">
        <f aca="false">SUMIFS(3b_Clean_Data!$N$2:$N$1764,3b_Clean_Data!$T$2:$T$1764,$A130,3b_Clean_Data!$E$2:$E$1764,E$125)</f>
        <v>5812.25</v>
      </c>
      <c r="F130" s="36" t="n">
        <f aca="false">SUMIFS(3b_Clean_Data!$N$2:$N$1764,3b_Clean_Data!$T$2:$T$1764,$A130,3b_Clean_Data!$E$2:$E$1764,F$125)</f>
        <v>7345</v>
      </c>
      <c r="G130" s="43" t="n">
        <f aca="false">SUM(B130:F130)</f>
        <v>41757.75</v>
      </c>
    </row>
    <row r="131" customFormat="false" ht="15" hidden="false" customHeight="false" outlineLevel="0" collapsed="false">
      <c r="A131" s="9" t="s">
        <v>2343</v>
      </c>
      <c r="B131" s="36" t="n">
        <f aca="false">SUMIFS(3b_Clean_Data!$N$2:$N$1764,3b_Clean_Data!$T$2:$T$1764,$A131,3b_Clean_Data!$E$2:$E$1764,B$125)</f>
        <v>10346</v>
      </c>
      <c r="C131" s="36" t="n">
        <f aca="false">SUMIFS(3b_Clean_Data!$N$2:$N$1764,3b_Clean_Data!$T$2:$T$1764,$A131,3b_Clean_Data!$E$2:$E$1764,C$125)</f>
        <v>10528.5</v>
      </c>
      <c r="D131" s="36" t="n">
        <f aca="false">SUMIFS(3b_Clean_Data!$N$2:$N$1764,3b_Clean_Data!$T$2:$T$1764,$A131,3b_Clean_Data!$E$2:$E$1764,D$125)</f>
        <v>5347.5</v>
      </c>
      <c r="E131" s="36" t="n">
        <f aca="false">SUMIFS(3b_Clean_Data!$N$2:$N$1764,3b_Clean_Data!$T$2:$T$1764,$A131,3b_Clean_Data!$E$2:$E$1764,E$125)</f>
        <v>4826.25</v>
      </c>
      <c r="F131" s="36" t="n">
        <f aca="false">SUMIFS(3b_Clean_Data!$N$2:$N$1764,3b_Clean_Data!$T$2:$T$1764,$A131,3b_Clean_Data!$E$2:$E$1764,F$125)</f>
        <v>4176</v>
      </c>
      <c r="G131" s="43" t="n">
        <f aca="false">SUM(B131:F131)</f>
        <v>35224.25</v>
      </c>
    </row>
    <row r="132" customFormat="false" ht="15" hidden="false" customHeight="false" outlineLevel="0" collapsed="false">
      <c r="A132" s="9" t="s">
        <v>2344</v>
      </c>
      <c r="B132" s="36" t="n">
        <f aca="false">SUMIFS(3b_Clean_Data!$N$2:$N$1764,3b_Clean_Data!$T$2:$T$1764,$A132,3b_Clean_Data!$E$2:$E$1764,B$125)</f>
        <v>11534.5</v>
      </c>
      <c r="C132" s="36" t="n">
        <f aca="false">SUMIFS(3b_Clean_Data!$N$2:$N$1764,3b_Clean_Data!$T$2:$T$1764,$A132,3b_Clean_Data!$E$2:$E$1764,C$125)</f>
        <v>9313</v>
      </c>
      <c r="D132" s="36" t="n">
        <f aca="false">SUMIFS(3b_Clean_Data!$N$2:$N$1764,3b_Clean_Data!$T$2:$T$1764,$A132,3b_Clean_Data!$E$2:$E$1764,D$125)</f>
        <v>2249.5</v>
      </c>
      <c r="E132" s="36" t="n">
        <f aca="false">SUMIFS(3b_Clean_Data!$N$2:$N$1764,3b_Clean_Data!$T$2:$T$1764,$A132,3b_Clean_Data!$E$2:$E$1764,E$125)</f>
        <v>5034.75</v>
      </c>
      <c r="F132" s="36" t="n">
        <f aca="false">SUMIFS(3b_Clean_Data!$N$2:$N$1764,3b_Clean_Data!$T$2:$T$1764,$A132,3b_Clean_Data!$E$2:$E$1764,F$125)</f>
        <v>3937</v>
      </c>
      <c r="G132" s="43" t="n">
        <f aca="false">SUM(B132:F132)</f>
        <v>32068.75</v>
      </c>
    </row>
    <row r="133" customFormat="false" ht="15" hidden="false" customHeight="false" outlineLevel="0" collapsed="false">
      <c r="A133" s="9" t="s">
        <v>2345</v>
      </c>
      <c r="B133" s="36" t="n">
        <f aca="false">SUMIFS(3b_Clean_Data!$N$2:$N$1764,3b_Clean_Data!$T$2:$T$1764,$A133,3b_Clean_Data!$E$2:$E$1764,B$125)</f>
        <v>14010.5</v>
      </c>
      <c r="C133" s="36" t="n">
        <f aca="false">SUMIFS(3b_Clean_Data!$N$2:$N$1764,3b_Clean_Data!$T$2:$T$1764,$A133,3b_Clean_Data!$E$2:$E$1764,C$125)</f>
        <v>10872.5</v>
      </c>
      <c r="D133" s="36" t="n">
        <f aca="false">SUMIFS(3b_Clean_Data!$N$2:$N$1764,3b_Clean_Data!$T$2:$T$1764,$A133,3b_Clean_Data!$E$2:$E$1764,D$125)</f>
        <v>6963</v>
      </c>
      <c r="E133" s="36" t="n">
        <f aca="false">SUMIFS(3b_Clean_Data!$N$2:$N$1764,3b_Clean_Data!$T$2:$T$1764,$A133,3b_Clean_Data!$E$2:$E$1764,E$125)</f>
        <v>3561.5</v>
      </c>
      <c r="F133" s="36" t="n">
        <f aca="false">SUMIFS(3b_Clean_Data!$N$2:$N$1764,3b_Clean_Data!$T$2:$T$1764,$A133,3b_Clean_Data!$E$2:$E$1764,F$125)</f>
        <v>5717</v>
      </c>
      <c r="G133" s="43" t="n">
        <f aca="false">SUM(B133:F133)</f>
        <v>41124.5</v>
      </c>
    </row>
    <row r="134" customFormat="false" ht="15" hidden="false" customHeight="false" outlineLevel="0" collapsed="false">
      <c r="A134" s="9" t="s">
        <v>2346</v>
      </c>
      <c r="B134" s="36" t="n">
        <f aca="false">SUMIFS(3b_Clean_Data!$N$2:$N$1764,3b_Clean_Data!$T$2:$T$1764,$A134,3b_Clean_Data!$E$2:$E$1764,B$125)</f>
        <v>9239</v>
      </c>
      <c r="C134" s="36" t="n">
        <f aca="false">SUMIFS(3b_Clean_Data!$N$2:$N$1764,3b_Clean_Data!$T$2:$T$1764,$A134,3b_Clean_Data!$E$2:$E$1764,C$125)</f>
        <v>9190.5</v>
      </c>
      <c r="D134" s="36" t="n">
        <f aca="false">SUMIFS(3b_Clean_Data!$N$2:$N$1764,3b_Clean_Data!$T$2:$T$1764,$A134,3b_Clean_Data!$E$2:$E$1764,D$125)</f>
        <v>2506</v>
      </c>
      <c r="E134" s="36" t="n">
        <f aca="false">SUMIFS(3b_Clean_Data!$N$2:$N$1764,3b_Clean_Data!$T$2:$T$1764,$A134,3b_Clean_Data!$E$2:$E$1764,E$125)</f>
        <v>3644</v>
      </c>
      <c r="F134" s="36" t="n">
        <f aca="false">SUMIFS(3b_Clean_Data!$N$2:$N$1764,3b_Clean_Data!$T$2:$T$1764,$A134,3b_Clean_Data!$E$2:$E$1764,F$125)</f>
        <v>4642</v>
      </c>
      <c r="G134" s="43" t="n">
        <f aca="false">SUM(B134:F134)</f>
        <v>29221.5</v>
      </c>
    </row>
    <row r="135" customFormat="false" ht="15" hidden="false" customHeight="false" outlineLevel="0" collapsed="false">
      <c r="A135" s="9" t="s">
        <v>2347</v>
      </c>
      <c r="B135" s="36" t="n">
        <f aca="false">SUMIFS(3b_Clean_Data!$N$2:$N$1764,3b_Clean_Data!$T$2:$T$1764,$A135,3b_Clean_Data!$E$2:$E$1764,B$125)</f>
        <v>9315</v>
      </c>
      <c r="C135" s="36" t="n">
        <f aca="false">SUMIFS(3b_Clean_Data!$N$2:$N$1764,3b_Clean_Data!$T$2:$T$1764,$A135,3b_Clean_Data!$E$2:$E$1764,C$125)</f>
        <v>8690.5</v>
      </c>
      <c r="D135" s="36" t="n">
        <f aca="false">SUMIFS(3b_Clean_Data!$N$2:$N$1764,3b_Clean_Data!$T$2:$T$1764,$A135,3b_Clean_Data!$E$2:$E$1764,D$125)</f>
        <v>4832.5</v>
      </c>
      <c r="E135" s="36" t="n">
        <f aca="false">SUMIFS(3b_Clean_Data!$N$2:$N$1764,3b_Clean_Data!$T$2:$T$1764,$A135,3b_Clean_Data!$E$2:$E$1764,E$125)</f>
        <v>2980.25</v>
      </c>
      <c r="F135" s="36" t="n">
        <f aca="false">SUMIFS(3b_Clean_Data!$N$2:$N$1764,3b_Clean_Data!$T$2:$T$1764,$A135,3b_Clean_Data!$E$2:$E$1764,F$125)</f>
        <v>5445</v>
      </c>
      <c r="G135" s="43" t="n">
        <f aca="false">SUM(B135:F135)</f>
        <v>31263.25</v>
      </c>
    </row>
    <row r="136" customFormat="false" ht="15" hidden="false" customHeight="false" outlineLevel="0" collapsed="false">
      <c r="A136" s="9" t="s">
        <v>2348</v>
      </c>
      <c r="B136" s="36" t="n">
        <f aca="false">SUMIFS(3b_Clean_Data!$N$2:$N$1764,3b_Clean_Data!$T$2:$T$1764,$A136,3b_Clean_Data!$E$2:$E$1764,B$125)</f>
        <v>7926</v>
      </c>
      <c r="C136" s="36" t="n">
        <f aca="false">SUMIFS(3b_Clean_Data!$N$2:$N$1764,3b_Clean_Data!$T$2:$T$1764,$A136,3b_Clean_Data!$E$2:$E$1764,C$125)</f>
        <v>9857.5</v>
      </c>
      <c r="D136" s="36" t="n">
        <f aca="false">SUMIFS(3b_Clean_Data!$N$2:$N$1764,3b_Clean_Data!$T$2:$T$1764,$A136,3b_Clean_Data!$E$2:$E$1764,D$125)</f>
        <v>2840</v>
      </c>
      <c r="E136" s="36" t="n">
        <f aca="false">SUMIFS(3b_Clean_Data!$N$2:$N$1764,3b_Clean_Data!$T$2:$T$1764,$A136,3b_Clean_Data!$E$2:$E$1764,E$125)</f>
        <v>3764.25</v>
      </c>
      <c r="F136" s="36" t="n">
        <f aca="false">SUMIFS(3b_Clean_Data!$N$2:$N$1764,3b_Clean_Data!$T$2:$T$1764,$A136,3b_Clean_Data!$E$2:$E$1764,F$125)</f>
        <v>3336</v>
      </c>
      <c r="G136" s="43" t="n">
        <f aca="false">SUM(B136:F136)</f>
        <v>27723.75</v>
      </c>
    </row>
    <row r="137" customFormat="false" ht="15" hidden="false" customHeight="false" outlineLevel="0" collapsed="false">
      <c r="A137" s="9" t="s">
        <v>2349</v>
      </c>
      <c r="B137" s="36" t="n">
        <f aca="false">SUMIFS(3b_Clean_Data!$N$2:$N$1764,3b_Clean_Data!$T$2:$T$1764,$A137,3b_Clean_Data!$E$2:$E$1764,B$125)</f>
        <v>8924.5</v>
      </c>
      <c r="C137" s="36" t="n">
        <f aca="false">SUMIFS(3b_Clean_Data!$N$2:$N$1764,3b_Clean_Data!$T$2:$T$1764,$A137,3b_Clean_Data!$E$2:$E$1764,C$125)</f>
        <v>7844</v>
      </c>
      <c r="D137" s="36" t="n">
        <f aca="false">SUMIFS(3b_Clean_Data!$N$2:$N$1764,3b_Clean_Data!$T$2:$T$1764,$A137,3b_Clean_Data!$E$2:$E$1764,D$125)</f>
        <v>4503</v>
      </c>
      <c r="E137" s="36" t="n">
        <f aca="false">SUMIFS(3b_Clean_Data!$N$2:$N$1764,3b_Clean_Data!$T$2:$T$1764,$A137,3b_Clean_Data!$E$2:$E$1764,E$125)</f>
        <v>4090.5</v>
      </c>
      <c r="F137" s="36" t="n">
        <f aca="false">SUMIFS(3b_Clean_Data!$N$2:$N$1764,3b_Clean_Data!$T$2:$T$1764,$A137,3b_Clean_Data!$E$2:$E$1764,F$125)</f>
        <v>5798</v>
      </c>
      <c r="G137" s="43" t="n">
        <f aca="false">SUM(B137:F137)</f>
        <v>31160</v>
      </c>
    </row>
  </sheetData>
  <conditionalFormatting sqref="E6:E9">
    <cfRule type="dataBar" priority="2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{7A536E10-2BDF-429E-B5EB-131C93AC9978}</x14:id>
        </ext>
      </extLst>
    </cfRule>
  </conditionalFormatting>
  <conditionalFormatting sqref="E15:E19">
    <cfRule type="dataBar" priority="3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{AD60EEED-6C6C-4710-84D6-70CE88A0C8D0}</x14:id>
        </ext>
      </extLst>
    </cfRule>
  </conditionalFormatting>
  <conditionalFormatting sqref="E25:E42">
    <cfRule type="dataBar" priority="4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{CA676AF0-7468-448E-BBC3-DF1F6EF4E040}</x14:id>
        </ext>
      </extLst>
    </cfRule>
  </conditionalFormatting>
  <conditionalFormatting sqref="E48:E59">
    <cfRule type="dataBar" priority="5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{F7621020-64B3-4245-8B5E-EA9C274493B3}</x14:id>
        </ext>
      </extLst>
    </cfRule>
  </conditionalFormatting>
  <conditionalFormatting sqref="E65:E71">
    <cfRule type="dataBar" priority="6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{6BD6B44A-33AA-4746-87EB-FCC29FD9ED57}</x14:id>
        </ext>
      </extLst>
    </cfRule>
  </conditionalFormatting>
  <conditionalFormatting sqref="E77:E80">
    <cfRule type="dataBar" priority="7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{3BADC1EB-4B74-41BF-9C76-AA121B438556}</x14:id>
        </ext>
      </extLst>
    </cfRule>
  </conditionalFormatting>
  <conditionalFormatting sqref="E86:E99">
    <cfRule type="dataBar" priority="8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{D0E763DD-9273-4E1B-AF1D-D68976E1C1B3}</x14:id>
        </ext>
      </extLst>
    </cfRule>
  </conditionalFormatting>
  <conditionalFormatting sqref="E105:E110">
    <cfRule type="dataBar" priority="9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{ACE6B134-5C59-4A91-81AC-9AA4E8328072}</x14:id>
        </ext>
      </extLst>
    </cfRule>
  </conditionalFormatting>
  <conditionalFormatting sqref="E116:E120">
    <cfRule type="dataBar" priority="10">
      <dataBar showValue="1" minLength="10" maxLength="90">
        <cfvo type="num" val="0"/>
        <cfvo type="max" val="0"/>
        <color rgb="FFC8A27A"/>
      </dataBar>
      <extLst>
        <ext xmlns:x14="http://schemas.microsoft.com/office/spreadsheetml/2009/9/main" uri="{B025F937-C7B1-47D3-B67F-A62EFF666E3E}">
          <x14:id>{6641836D-46A4-4E4C-AF4E-C020A7B079D0}</x14:id>
        </ext>
      </extLst>
    </cfRule>
  </conditionalFormatting>
  <conditionalFormatting sqref="B126:F137">
    <cfRule type="colorScale" priority="11">
      <colorScale>
        <cfvo type="min" val="0"/>
        <cfvo type="max" val="0"/>
        <color rgb="FFFFFFFF"/>
        <color rgb="FFE39B4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536E10-2BDF-429E-B5EB-131C93AC9978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E6:E9</xm:sqref>
        </x14:conditionalFormatting>
        <x14:conditionalFormatting xmlns:xm="http://schemas.microsoft.com/office/excel/2006/main">
          <x14:cfRule type="dataBar" id="{AD60EEED-6C6C-4710-84D6-70CE88A0C8D0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E15:E19</xm:sqref>
        </x14:conditionalFormatting>
        <x14:conditionalFormatting xmlns:xm="http://schemas.microsoft.com/office/excel/2006/main">
          <x14:cfRule type="dataBar" id="{CA676AF0-7468-448E-BBC3-DF1F6EF4E040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E25:E42</xm:sqref>
        </x14:conditionalFormatting>
        <x14:conditionalFormatting xmlns:xm="http://schemas.microsoft.com/office/excel/2006/main">
          <x14:cfRule type="dataBar" id="{F7621020-64B3-4245-8B5E-EA9C274493B3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E48:E59</xm:sqref>
        </x14:conditionalFormatting>
        <x14:conditionalFormatting xmlns:xm="http://schemas.microsoft.com/office/excel/2006/main">
          <x14:cfRule type="dataBar" id="{6BD6B44A-33AA-4746-87EB-FCC29FD9ED57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E65:E71</xm:sqref>
        </x14:conditionalFormatting>
        <x14:conditionalFormatting xmlns:xm="http://schemas.microsoft.com/office/excel/2006/main">
          <x14:cfRule type="dataBar" id="{3BADC1EB-4B74-41BF-9C76-AA121B438556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E77:E80</xm:sqref>
        </x14:conditionalFormatting>
        <x14:conditionalFormatting xmlns:xm="http://schemas.microsoft.com/office/excel/2006/main">
          <x14:cfRule type="dataBar" id="{D0E763DD-9273-4E1B-AF1D-D68976E1C1B3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E86:E99</xm:sqref>
        </x14:conditionalFormatting>
        <x14:conditionalFormatting xmlns:xm="http://schemas.microsoft.com/office/excel/2006/main">
          <x14:cfRule type="dataBar" id="{ACE6B134-5C59-4A91-81AC-9AA4E8328072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E105:E110</xm:sqref>
        </x14:conditionalFormatting>
        <x14:conditionalFormatting xmlns:xm="http://schemas.microsoft.com/office/excel/2006/main">
          <x14:cfRule type="dataBar" id="{6641836D-46A4-4E4C-AF4E-C020A7B079D0}">
            <x14:dataBar minLength="10" maxLength="90" axisPosition="none" gradient="true">
              <x14:cfvo type="num">
                <xm:f>0</xm:f>
              </x14:cfvo>
              <x14:cfvo type="max"/>
              <x14:negativeFillColor rgb="FFC8A27A"/>
              <x14:axisColor rgb="FF000000"/>
            </x14:dataBar>
          </x14:cfRule>
          <xm:sqref>E116:E120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682B4"/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9" min="3" style="0" width="14"/>
  </cols>
  <sheetData>
    <row r="1" customFormat="false" ht="25.5" hidden="false" customHeight="true" outlineLevel="0" collapsed="false">
      <c r="A1" s="1" t="s">
        <v>2370</v>
      </c>
    </row>
    <row r="2" customFormat="false" ht="15" hidden="false" customHeight="false" outlineLevel="0" collapsed="false">
      <c r="A2" s="2" t="s">
        <v>2371</v>
      </c>
    </row>
    <row r="4" customFormat="false" ht="15" hidden="false" customHeight="false" outlineLevel="0" collapsed="false">
      <c r="A4" s="3" t="s">
        <v>2372</v>
      </c>
    </row>
    <row r="5" customFormat="false" ht="23.85" hidden="false" customHeight="false" outlineLevel="0" collapsed="false">
      <c r="A5" s="5" t="s">
        <v>55</v>
      </c>
      <c r="B5" s="5" t="s">
        <v>39</v>
      </c>
      <c r="C5" s="5" t="s">
        <v>2294</v>
      </c>
      <c r="D5" s="5" t="s">
        <v>2333</v>
      </c>
      <c r="E5" s="5" t="s">
        <v>2373</v>
      </c>
      <c r="F5" s="5" t="s">
        <v>42</v>
      </c>
      <c r="G5" s="5" t="s">
        <v>2374</v>
      </c>
      <c r="H5" s="5" t="s">
        <v>2375</v>
      </c>
    </row>
    <row r="6" customFormat="false" ht="15" hidden="false" customHeight="false" outlineLevel="0" collapsed="false">
      <c r="A6" s="9" t="s">
        <v>70</v>
      </c>
      <c r="B6" s="36" t="n">
        <f aca="false">SUMIFS(3b_Clean_Data!$N$2:$N$1764,3b_Clean_Data!$D$2:$D$1764,A6)</f>
        <v>140875.5</v>
      </c>
      <c r="C6" s="19" t="n">
        <f aca="false">COUNTIFS(3b_Clean_Data!$D$2:$D$1764,A6)</f>
        <v>607</v>
      </c>
      <c r="D6" s="37" t="n">
        <f aca="false">B6/C6</f>
        <v>232.084843492587</v>
      </c>
      <c r="E6" s="23" t="n">
        <f aca="false">SUMIFS(3b_Clean_Data!$G$2:$G$1764,3b_Clean_Data!$D$2:$D$1764,A6)/C6</f>
        <v>1.72487644151565</v>
      </c>
      <c r="F6" s="21" t="n">
        <f aca="false">SUMIFS(3b_Clean_Data!$M$2:$M$1764,3b_Clean_Data!$D$2:$D$1764,A6)/SUMIFS(3b_Clean_Data!$L$2:$L$1764,3b_Clean_Data!$D$2:$D$1764,A6)</f>
        <v>0.0410108917631042</v>
      </c>
      <c r="G6" s="44" t="n">
        <f aca="false">D6/4_Calculate!$B$11-1</f>
        <v>0.037363776751361</v>
      </c>
      <c r="H6" s="9" t="n">
        <f aca="false">RANK(B6,$B$6:$B$9)</f>
        <v>1</v>
      </c>
    </row>
    <row r="7" customFormat="false" ht="15" hidden="false" customHeight="false" outlineLevel="0" collapsed="false">
      <c r="A7" s="9" t="s">
        <v>64</v>
      </c>
      <c r="B7" s="36" t="n">
        <f aca="false">SUMIFS(3b_Clean_Data!$N$2:$N$1764,3b_Clean_Data!$D$2:$D$1764,A7)</f>
        <v>105319.25</v>
      </c>
      <c r="C7" s="19" t="n">
        <f aca="false">COUNTIFS(3b_Clean_Data!$D$2:$D$1764,A7)</f>
        <v>493</v>
      </c>
      <c r="D7" s="37" t="n">
        <f aca="false">B7/C7</f>
        <v>213.629310344828</v>
      </c>
      <c r="E7" s="23" t="n">
        <f aca="false">SUMIFS(3b_Clean_Data!$G$2:$G$1764,3b_Clean_Data!$D$2:$D$1764,A7)/C7</f>
        <v>1.66937119675456</v>
      </c>
      <c r="F7" s="21" t="n">
        <f aca="false">SUMIFS(3b_Clean_Data!$M$2:$M$1764,3b_Clean_Data!$D$2:$D$1764,A7)/SUMIFS(3b_Clean_Data!$L$2:$L$1764,3b_Clean_Data!$D$2:$D$1764,A7)</f>
        <v>0.0451563916591115</v>
      </c>
      <c r="G7" s="44" t="n">
        <f aca="false">D7/4_Calculate!$B$11-1</f>
        <v>-0.045128045118647</v>
      </c>
      <c r="H7" s="9" t="n">
        <f aca="false">RANK(B7,$B$6:$B$9)</f>
        <v>2</v>
      </c>
    </row>
    <row r="8" customFormat="false" ht="15" hidden="false" customHeight="false" outlineLevel="0" collapsed="false">
      <c r="A8" s="9" t="s">
        <v>73</v>
      </c>
      <c r="B8" s="36" t="n">
        <f aca="false">SUMIFS(3b_Clean_Data!$N$2:$N$1764,3b_Clean_Data!$D$2:$D$1764,A8)</f>
        <v>79713.5</v>
      </c>
      <c r="C8" s="19" t="n">
        <f aca="false">COUNTIFS(3b_Clean_Data!$D$2:$D$1764,A8)</f>
        <v>348</v>
      </c>
      <c r="D8" s="37" t="n">
        <f aca="false">B8/C8</f>
        <v>229.061781609195</v>
      </c>
      <c r="E8" s="23" t="n">
        <f aca="false">SUMIFS(3b_Clean_Data!$G$2:$G$1764,3b_Clean_Data!$D$2:$D$1764,A8)/C8</f>
        <v>1.68390804597701</v>
      </c>
      <c r="F8" s="21" t="n">
        <f aca="false">SUMIFS(3b_Clean_Data!$M$2:$M$1764,3b_Clean_Data!$D$2:$D$1764,A8)/SUMIFS(3b_Clean_Data!$L$2:$L$1764,3b_Clean_Data!$D$2:$D$1764,A8)</f>
        <v>0.0451185912793484</v>
      </c>
      <c r="G8" s="44" t="n">
        <f aca="false">D8/4_Calculate!$B$11-1</f>
        <v>0.0238514127145089</v>
      </c>
      <c r="H8" s="9" t="n">
        <f aca="false">RANK(B8,$B$6:$B$9)</f>
        <v>3</v>
      </c>
    </row>
    <row r="9" customFormat="false" ht="15" hidden="false" customHeight="false" outlineLevel="0" collapsed="false">
      <c r="A9" s="9" t="s">
        <v>98</v>
      </c>
      <c r="B9" s="36" t="n">
        <f aca="false">SUMIFS(3b_Clean_Data!$N$2:$N$1764,3b_Clean_Data!$D$2:$D$1764,A9)</f>
        <v>68520</v>
      </c>
      <c r="C9" s="19" t="n">
        <f aca="false">COUNTIFS(3b_Clean_Data!$D$2:$D$1764,A9)</f>
        <v>315</v>
      </c>
      <c r="D9" s="37" t="n">
        <f aca="false">B9/C9</f>
        <v>217.52380952381</v>
      </c>
      <c r="E9" s="23" t="n">
        <f aca="false">SUMIFS(3b_Clean_Data!$G$2:$G$1764,3b_Clean_Data!$D$2:$D$1764,A9)/C9</f>
        <v>1.67301587301587</v>
      </c>
      <c r="F9" s="21" t="n">
        <f aca="false">SUMIFS(3b_Clean_Data!$M$2:$M$1764,3b_Clean_Data!$D$2:$D$1764,A9)/SUMIFS(3b_Clean_Data!$L$2:$L$1764,3b_Clean_Data!$D$2:$D$1764,A9)</f>
        <v>0.0595662915179797</v>
      </c>
      <c r="G9" s="44" t="n">
        <f aca="false">D9/4_Calculate!$B$11-1</f>
        <v>-0.0277205646642293</v>
      </c>
      <c r="H9" s="9" t="n">
        <f aca="false">RANK(B9,$B$6:$B$9)</f>
        <v>4</v>
      </c>
    </row>
    <row r="12" customFormat="false" ht="15" hidden="false" customHeight="false" outlineLevel="0" collapsed="false">
      <c r="A12" s="3" t="s">
        <v>2376</v>
      </c>
    </row>
    <row r="13" customFormat="false" ht="15" hidden="false" customHeight="false" outlineLevel="0" collapsed="false">
      <c r="A13" s="5" t="s">
        <v>2377</v>
      </c>
      <c r="B13" s="5" t="s">
        <v>2294</v>
      </c>
      <c r="C13" s="5" t="s">
        <v>39</v>
      </c>
      <c r="D13" s="5" t="s">
        <v>2378</v>
      </c>
      <c r="E13" s="5" t="s">
        <v>2379</v>
      </c>
      <c r="F13" s="5" t="s">
        <v>2380</v>
      </c>
      <c r="G13" s="5" t="s">
        <v>2333</v>
      </c>
    </row>
    <row r="14" customFormat="false" ht="15" hidden="false" customHeight="false" outlineLevel="0" collapsed="false">
      <c r="A14" s="9" t="s">
        <v>2284</v>
      </c>
      <c r="B14" s="19" t="n">
        <f aca="false">COUNTIFS(3b_Clean_Data!$Q$2:$Q$1764,A14)</f>
        <v>1321</v>
      </c>
      <c r="C14" s="36" t="n">
        <f aca="false">SUMIFS(3b_Clean_Data!$N$2:$N$1764,3b_Clean_Data!$Q$2:$Q$1764,A14)</f>
        <v>296262.25</v>
      </c>
      <c r="D14" s="19" t="n">
        <f aca="false">NETWORKDAYS(DATE(2025,1,1),DATE(2025,12,31))</f>
        <v>261</v>
      </c>
      <c r="E14" s="36" t="n">
        <f aca="false">C14/D14</f>
        <v>1135.10440613027</v>
      </c>
      <c r="F14" s="23" t="n">
        <f aca="false">B14/D14</f>
        <v>5.06130268199234</v>
      </c>
      <c r="G14" s="37" t="n">
        <f aca="false">C14/B14</f>
        <v>224.271196063588</v>
      </c>
    </row>
    <row r="15" customFormat="false" ht="15" hidden="false" customHeight="false" outlineLevel="0" collapsed="false">
      <c r="A15" s="9" t="s">
        <v>2381</v>
      </c>
      <c r="B15" s="19" t="n">
        <f aca="false">COUNTIFS(3b_Clean_Data!$Q$2:$Q$1764,A15)</f>
        <v>442</v>
      </c>
      <c r="C15" s="36" t="n">
        <f aca="false">SUMIFS(3b_Clean_Data!$N$2:$N$1764,3b_Clean_Data!$Q$2:$Q$1764,A15)</f>
        <v>98166</v>
      </c>
      <c r="D15" s="19" t="n">
        <f aca="false">4_Calculate!$B$19-D14</f>
        <v>104</v>
      </c>
      <c r="E15" s="36" t="n">
        <f aca="false">C15/D15</f>
        <v>943.903846153846</v>
      </c>
      <c r="F15" s="23" t="n">
        <f aca="false">B15/D15</f>
        <v>4.25</v>
      </c>
      <c r="G15" s="37" t="n">
        <f aca="false">C15/B15</f>
        <v>222.095022624434</v>
      </c>
    </row>
    <row r="16" customFormat="false" ht="15" hidden="false" customHeight="false" outlineLevel="0" collapsed="false">
      <c r="A16" s="7" t="s">
        <v>2382</v>
      </c>
      <c r="E16" s="45" t="n">
        <f aca="false">E15/E14-1</f>
        <v>-0.168443148439756</v>
      </c>
    </row>
    <row r="17" customFormat="false" ht="15" hidden="false" customHeight="false" outlineLevel="0" collapsed="false">
      <c r="A17" s="2" t="s">
        <v>2383</v>
      </c>
    </row>
    <row r="19" customFormat="false" ht="15" hidden="false" customHeight="false" outlineLevel="0" collapsed="false">
      <c r="A19" s="3" t="s">
        <v>2384</v>
      </c>
    </row>
    <row r="20" customFormat="false" ht="15" hidden="false" customHeight="false" outlineLevel="0" collapsed="false">
      <c r="A20" s="5" t="s">
        <v>23</v>
      </c>
      <c r="B20" s="5" t="s">
        <v>2294</v>
      </c>
      <c r="C20" s="5" t="s">
        <v>2385</v>
      </c>
      <c r="D20" s="5" t="s">
        <v>2373</v>
      </c>
      <c r="E20" s="5" t="s">
        <v>2333</v>
      </c>
      <c r="F20" s="5" t="s">
        <v>2386</v>
      </c>
      <c r="G20" s="5" t="s">
        <v>39</v>
      </c>
    </row>
    <row r="21" customFormat="false" ht="15" hidden="false" customHeight="false" outlineLevel="0" collapsed="false">
      <c r="A21" s="9" t="s">
        <v>2387</v>
      </c>
      <c r="B21" s="19" t="n">
        <f aca="false">COUNTIFS(3b_Clean_Data!$I$2:$I$1764,"=0")</f>
        <v>886</v>
      </c>
      <c r="C21" s="21" t="n">
        <f aca="false">B21/4_Calculate!$B$5</f>
        <v>0.502552467385139</v>
      </c>
      <c r="D21" s="23" t="n">
        <f aca="false">SUMIFS(3b_Clean_Data!$G$2:$G$1764,3b_Clean_Data!$I$2:$I$1764,"=0")/B21</f>
        <v>1.66591422121896</v>
      </c>
      <c r="E21" s="37" t="n">
        <f aca="false">G21/B21</f>
        <v>233.510158013544</v>
      </c>
      <c r="F21" s="37" t="n">
        <f aca="false">G21/SUMIFS(3b_Clean_Data!$G$2:$G$1764,3b_Clean_Data!$I$2:$I$1764,"=0")</f>
        <v>140.169376693767</v>
      </c>
      <c r="G21" s="36" t="n">
        <f aca="false">SUMIFS(3b_Clean_Data!$N$2:$N$1764,3b_Clean_Data!$I$2:$I$1764,"=0")</f>
        <v>206890</v>
      </c>
    </row>
    <row r="22" customFormat="false" ht="15" hidden="false" customHeight="false" outlineLevel="0" collapsed="false">
      <c r="A22" s="9" t="s">
        <v>2388</v>
      </c>
      <c r="B22" s="19" t="n">
        <f aca="false">COUNTIFS(3b_Clean_Data!$I$2:$I$1764,"&gt;0")</f>
        <v>877</v>
      </c>
      <c r="C22" s="21" t="n">
        <f aca="false">B22/4_Calculate!$B$5</f>
        <v>0.497447532614861</v>
      </c>
      <c r="D22" s="23" t="n">
        <f aca="false">SUMIFS(3b_Clean_Data!$G$2:$G$1764,3b_Clean_Data!$I$2:$I$1764,"&gt;0")/B22</f>
        <v>1.71835803876853</v>
      </c>
      <c r="E22" s="37" t="n">
        <f aca="false">G22/B22</f>
        <v>213.840649942987</v>
      </c>
      <c r="F22" s="37" t="n">
        <f aca="false">G22/SUMIFS(3b_Clean_Data!$G$2:$G$1764,3b_Clean_Data!$I$2:$I$1764,"&gt;0")</f>
        <v>124.444757796948</v>
      </c>
      <c r="G22" s="36" t="n">
        <f aca="false">SUMIFS(3b_Clean_Data!$N$2:$N$1764,3b_Clean_Data!$I$2:$I$1764,"&gt;0")</f>
        <v>187538.25</v>
      </c>
    </row>
    <row r="23" customFormat="false" ht="15" hidden="false" customHeight="false" outlineLevel="0" collapsed="false">
      <c r="A23" s="9" t="s">
        <v>2389</v>
      </c>
      <c r="D23" s="46" t="n">
        <f aca="false">D22/D21-1</f>
        <v>0.0314805029464205</v>
      </c>
    </row>
    <row r="24" customFormat="false" ht="15" hidden="false" customHeight="false" outlineLevel="0" collapsed="false">
      <c r="A24" s="9" t="s">
        <v>2390</v>
      </c>
      <c r="D24" s="46" t="n">
        <f aca="false">(E21/F22)/D22*D22/D21-1</f>
        <v>0.126358226535156</v>
      </c>
      <c r="E24" s="2" t="s">
        <v>2391</v>
      </c>
    </row>
    <row r="25" customFormat="false" ht="15" hidden="false" customHeight="false" outlineLevel="0" collapsed="false">
      <c r="A25" s="2" t="s">
        <v>2392</v>
      </c>
    </row>
    <row r="27" customFormat="false" ht="15" hidden="false" customHeight="false" outlineLevel="0" collapsed="false">
      <c r="A27" s="3" t="s">
        <v>2393</v>
      </c>
    </row>
    <row r="28" customFormat="false" ht="15" hidden="false" customHeight="false" outlineLevel="0" collapsed="false">
      <c r="A28" s="5" t="s">
        <v>2394</v>
      </c>
      <c r="B28" s="5" t="s">
        <v>2294</v>
      </c>
      <c r="C28" s="5" t="s">
        <v>2373</v>
      </c>
      <c r="D28" s="5" t="s">
        <v>2333</v>
      </c>
      <c r="E28" s="5" t="s">
        <v>39</v>
      </c>
    </row>
    <row r="29" customFormat="false" ht="15" hidden="false" customHeight="false" outlineLevel="0" collapsed="false">
      <c r="A29" s="47" t="n">
        <v>0</v>
      </c>
      <c r="B29" s="19" t="n">
        <f aca="false">COUNTIFS(3b_Clean_Data!$I$2:$I$1764,A29)</f>
        <v>886</v>
      </c>
      <c r="C29" s="23" t="n">
        <f aca="false">IFERROR(SUMIFS(3b_Clean_Data!$G$2:$G$1764,3b_Clean_Data!$I$2:$I$1764,A29)/B29,0)</f>
        <v>1.66591422121896</v>
      </c>
      <c r="D29" s="37" t="n">
        <f aca="false">IFERROR(E29/B29,0)</f>
        <v>233.510158013544</v>
      </c>
      <c r="E29" s="36" t="n">
        <f aca="false">SUMIFS(3b_Clean_Data!$N$2:$N$1764,3b_Clean_Data!$I$2:$I$1764,A29)</f>
        <v>206890</v>
      </c>
    </row>
    <row r="30" customFormat="false" ht="15" hidden="false" customHeight="false" outlineLevel="0" collapsed="false">
      <c r="A30" s="47" t="n">
        <v>0.05</v>
      </c>
      <c r="B30" s="19" t="n">
        <f aca="false">COUNTIFS(3b_Clean_Data!$I$2:$I$1764,A30)</f>
        <v>358</v>
      </c>
      <c r="C30" s="23" t="n">
        <f aca="false">IFERROR(SUMIFS(3b_Clean_Data!$G$2:$G$1764,3b_Clean_Data!$I$2:$I$1764,A30)/B30,0)</f>
        <v>1.62290502793296</v>
      </c>
      <c r="D30" s="37" t="n">
        <f aca="false">IFERROR(E30/B30,0)</f>
        <v>210.446229050279</v>
      </c>
      <c r="E30" s="36" t="n">
        <f aca="false">SUMIFS(3b_Clean_Data!$N$2:$N$1764,3b_Clean_Data!$I$2:$I$1764,A30)</f>
        <v>75339.75</v>
      </c>
    </row>
    <row r="31" customFormat="false" ht="15" hidden="false" customHeight="false" outlineLevel="0" collapsed="false">
      <c r="A31" s="47" t="n">
        <v>0.1</v>
      </c>
      <c r="B31" s="19" t="n">
        <f aca="false">COUNTIFS(3b_Clean_Data!$I$2:$I$1764,A31)</f>
        <v>378</v>
      </c>
      <c r="C31" s="23" t="n">
        <f aca="false">IFERROR(SUMIFS(3b_Clean_Data!$G$2:$G$1764,3b_Clean_Data!$I$2:$I$1764,A31)/B31,0)</f>
        <v>1.75661375661376</v>
      </c>
      <c r="D31" s="37" t="n">
        <f aca="false">IFERROR(E31/B31,0)</f>
        <v>217.511904761905</v>
      </c>
      <c r="E31" s="36" t="n">
        <f aca="false">SUMIFS(3b_Clean_Data!$N$2:$N$1764,3b_Clean_Data!$I$2:$I$1764,A31)</f>
        <v>82219.5</v>
      </c>
    </row>
    <row r="32" customFormat="false" ht="15" hidden="false" customHeight="false" outlineLevel="0" collapsed="false">
      <c r="A32" s="47" t="n">
        <v>0.15</v>
      </c>
      <c r="B32" s="19" t="n">
        <f aca="false">COUNTIFS(3b_Clean_Data!$I$2:$I$1764,A32)</f>
        <v>98</v>
      </c>
      <c r="C32" s="23" t="n">
        <f aca="false">IFERROR(SUMIFS(3b_Clean_Data!$G$2:$G$1764,3b_Clean_Data!$I$2:$I$1764,A32)/B32,0)</f>
        <v>1.74489795918367</v>
      </c>
      <c r="D32" s="37" t="n">
        <f aca="false">IFERROR(E32/B32,0)</f>
        <v>205.908163265306</v>
      </c>
      <c r="E32" s="36" t="n">
        <f aca="false">SUMIFS(3b_Clean_Data!$N$2:$N$1764,3b_Clean_Data!$I$2:$I$1764,A32)</f>
        <v>20179</v>
      </c>
    </row>
    <row r="33" customFormat="false" ht="15" hidden="false" customHeight="false" outlineLevel="0" collapsed="false">
      <c r="A33" s="47" t="n">
        <v>0.2</v>
      </c>
      <c r="B33" s="19" t="n">
        <f aca="false">COUNTIFS(3b_Clean_Data!$I$2:$I$1764,A33)</f>
        <v>43</v>
      </c>
      <c r="C33" s="23" t="n">
        <f aca="false">IFERROR(SUMIFS(3b_Clean_Data!$G$2:$G$1764,3b_Clean_Data!$I$2:$I$1764,A33)/B33,0)</f>
        <v>2.11627906976744</v>
      </c>
      <c r="D33" s="37" t="n">
        <f aca="false">IFERROR(E33/B33,0)</f>
        <v>227.906976744186</v>
      </c>
      <c r="E33" s="36" t="n">
        <f aca="false">SUMIFS(3b_Clean_Data!$N$2:$N$1764,3b_Clean_Data!$I$2:$I$1764,A33)</f>
        <v>9800</v>
      </c>
    </row>
    <row r="36" customFormat="false" ht="15" hidden="false" customHeight="false" outlineLevel="0" collapsed="false">
      <c r="A36" s="3" t="s">
        <v>2395</v>
      </c>
    </row>
    <row r="37" customFormat="false" ht="23.85" hidden="false" customHeight="false" outlineLevel="0" collapsed="false">
      <c r="A37" s="5" t="s">
        <v>2368</v>
      </c>
      <c r="B37" s="5" t="s">
        <v>2294</v>
      </c>
      <c r="C37" s="5" t="s">
        <v>39</v>
      </c>
      <c r="D37" s="5" t="s">
        <v>2333</v>
      </c>
      <c r="E37" s="5" t="s">
        <v>42</v>
      </c>
      <c r="F37" s="5" t="s">
        <v>2374</v>
      </c>
    </row>
    <row r="38" customFormat="false" ht="15" hidden="false" customHeight="false" outlineLevel="0" collapsed="false">
      <c r="A38" s="9" t="s">
        <v>68</v>
      </c>
      <c r="B38" s="19" t="n">
        <f aca="false">COUNTIFS(3b_Clean_Data!$K$2:$K$1764,A38)</f>
        <v>602</v>
      </c>
      <c r="C38" s="36" t="n">
        <f aca="false">SUMIFS(3b_Clean_Data!$N$2:$N$1764,3b_Clean_Data!$K$2:$K$1764,A38)</f>
        <v>139576.75</v>
      </c>
      <c r="D38" s="37" t="n">
        <f aca="false">C38/B38</f>
        <v>231.855066445183</v>
      </c>
      <c r="E38" s="21" t="n">
        <f aca="false">SUMIFS(3b_Clean_Data!$M$2:$M$1764,3b_Clean_Data!$K$2:$K$1764,A38)/SUMIFS(3b_Clean_Data!$L$2:$L$1764,3b_Clean_Data!$K$2:$K$1764,A38)</f>
        <v>0.020445294406625</v>
      </c>
      <c r="F38" s="44" t="n">
        <f aca="false">D38/4_Calculate!$B$11-1</f>
        <v>0.0363367282715099</v>
      </c>
    </row>
    <row r="39" customFormat="false" ht="15" hidden="false" customHeight="false" outlineLevel="0" collapsed="false">
      <c r="A39" s="9" t="s">
        <v>82</v>
      </c>
      <c r="B39" s="19" t="n">
        <f aca="false">COUNTIFS(3b_Clean_Data!$K$2:$K$1764,A39)</f>
        <v>429</v>
      </c>
      <c r="C39" s="36" t="n">
        <f aca="false">SUMIFS(3b_Clean_Data!$N$2:$N$1764,3b_Clean_Data!$K$2:$K$1764,A39)</f>
        <v>92306.5</v>
      </c>
      <c r="D39" s="37" t="n">
        <f aca="false">C39/B39</f>
        <v>215.166666666667</v>
      </c>
      <c r="E39" s="21" t="n">
        <f aca="false">SUMIFS(3b_Clean_Data!$M$2:$M$1764,3b_Clean_Data!$K$2:$K$1764,A39)/SUMIFS(3b_Clean_Data!$L$2:$L$1764,3b_Clean_Data!$K$2:$K$1764,A39)</f>
        <v>0.0638286004056795</v>
      </c>
      <c r="F39" s="44" t="n">
        <f aca="false">D39/4_Calculate!$B$11-1</f>
        <v>-0.0382564298238441</v>
      </c>
    </row>
    <row r="40" customFormat="false" ht="15" hidden="false" customHeight="false" outlineLevel="0" collapsed="false">
      <c r="A40" s="9" t="s">
        <v>77</v>
      </c>
      <c r="B40" s="19" t="n">
        <f aca="false">COUNTIFS(3b_Clean_Data!$K$2:$K$1764,A40)</f>
        <v>363</v>
      </c>
      <c r="C40" s="36" t="n">
        <f aca="false">SUMIFS(3b_Clean_Data!$N$2:$N$1764,3b_Clean_Data!$K$2:$K$1764,A40)</f>
        <v>86956</v>
      </c>
      <c r="D40" s="37" t="n">
        <f aca="false">C40/B40</f>
        <v>239.548209366391</v>
      </c>
      <c r="E40" s="21" t="n">
        <f aca="false">SUMIFS(3b_Clean_Data!$M$2:$M$1764,3b_Clean_Data!$K$2:$K$1764,A40)/SUMIFS(3b_Clean_Data!$L$2:$L$1764,3b_Clean_Data!$K$2:$K$1764,A40)</f>
        <v>0.018278295230031</v>
      </c>
      <c r="F40" s="44" t="n">
        <f aca="false">D40/4_Calculate!$B$11-1</f>
        <v>0.0707232382897209</v>
      </c>
    </row>
    <row r="41" customFormat="false" ht="15" hidden="false" customHeight="false" outlineLevel="0" collapsed="false">
      <c r="A41" s="9" t="s">
        <v>71</v>
      </c>
      <c r="B41" s="19" t="n">
        <f aca="false">COUNTIFS(3b_Clean_Data!$K$2:$K$1764,A41)</f>
        <v>338</v>
      </c>
      <c r="C41" s="36" t="n">
        <f aca="false">SUMIFS(3b_Clean_Data!$N$2:$N$1764,3b_Clean_Data!$K$2:$K$1764,A41)</f>
        <v>70420</v>
      </c>
      <c r="D41" s="37" t="n">
        <f aca="false">C41/B41</f>
        <v>208.343195266272</v>
      </c>
      <c r="E41" s="21" t="n">
        <f aca="false">SUMIFS(3b_Clean_Data!$M$2:$M$1764,3b_Clean_Data!$K$2:$K$1764,A41)/SUMIFS(3b_Clean_Data!$L$2:$L$1764,3b_Clean_Data!$K$2:$K$1764,A41)</f>
        <v>0.102701325178389</v>
      </c>
      <c r="F41" s="44" t="n">
        <f aca="false">D41/4_Calculate!$B$11-1</f>
        <v>-0.0687557160156813</v>
      </c>
    </row>
    <row r="42" customFormat="false" ht="15" hidden="false" customHeight="false" outlineLevel="0" collapsed="false">
      <c r="A42" s="9" t="s">
        <v>2289</v>
      </c>
      <c r="B42" s="19" t="n">
        <f aca="false">COUNTIFS(3b_Clean_Data!$K$2:$K$1764,A42)</f>
        <v>31</v>
      </c>
      <c r="C42" s="36" t="n">
        <f aca="false">SUMIFS(3b_Clean_Data!$N$2:$N$1764,3b_Clean_Data!$K$2:$K$1764,A42)</f>
        <v>5169</v>
      </c>
      <c r="D42" s="37" t="n">
        <f aca="false">C42/B42</f>
        <v>166.741935483871</v>
      </c>
      <c r="E42" s="21" t="n">
        <f aca="false">SUMIFS(3b_Clean_Data!$M$2:$M$1764,3b_Clean_Data!$K$2:$K$1764,A42)/SUMIFS(3b_Clean_Data!$L$2:$L$1764,3b_Clean_Data!$K$2:$K$1764,A42)</f>
        <v>0.0418906394810009</v>
      </c>
      <c r="F42" s="44" t="n">
        <f aca="false">D42/4_Calculate!$B$11-1</f>
        <v>-0.25470340357704</v>
      </c>
    </row>
    <row r="45" customFormat="false" ht="15" hidden="false" customHeight="false" outlineLevel="0" collapsed="false">
      <c r="A45" s="3" t="s">
        <v>2396</v>
      </c>
    </row>
    <row r="46" customFormat="false" ht="23.85" hidden="false" customHeight="false" outlineLevel="0" collapsed="false">
      <c r="A46" s="5" t="s">
        <v>2287</v>
      </c>
      <c r="B46" s="5" t="s">
        <v>99</v>
      </c>
      <c r="C46" s="5" t="s">
        <v>65</v>
      </c>
      <c r="D46" s="5" t="s">
        <v>79</v>
      </c>
      <c r="E46" s="5" t="s">
        <v>84</v>
      </c>
      <c r="F46" s="5" t="s">
        <v>74</v>
      </c>
      <c r="G46" s="5" t="s">
        <v>2397</v>
      </c>
    </row>
    <row r="47" customFormat="false" ht="15" hidden="false" customHeight="false" outlineLevel="0" collapsed="false">
      <c r="A47" s="9" t="s">
        <v>2398</v>
      </c>
      <c r="B47" s="21" t="n">
        <f aca="false">SUMIFS(3b_Clean_Data!$N$2:$N$1764,3b_Clean_Data!$S$2:$S$1764,$A47,3b_Clean_Data!$E$2:$E$1764,B$46)/$G47</f>
        <v>0.308012782182816</v>
      </c>
      <c r="C47" s="21" t="n">
        <f aca="false">SUMIFS(3b_Clean_Data!$N$2:$N$1764,3b_Clean_Data!$S$2:$S$1764,$A47,3b_Clean_Data!$E$2:$E$1764,C$46)/$G47</f>
        <v>0.238650806673657</v>
      </c>
      <c r="D47" s="21" t="n">
        <f aca="false">SUMIFS(3b_Clean_Data!$N$2:$N$1764,3b_Clean_Data!$S$2:$S$1764,$A47,3b_Clean_Data!$E$2:$E$1764,D$46)/$G47</f>
        <v>0.146027260869444</v>
      </c>
      <c r="E47" s="21" t="n">
        <f aca="false">SUMIFS(3b_Clean_Data!$N$2:$N$1764,3b_Clean_Data!$S$2:$S$1764,$A47,3b_Clean_Data!$E$2:$E$1764,E$46)/$G47</f>
        <v>0.119381026412618</v>
      </c>
      <c r="F47" s="21" t="n">
        <f aca="false">SUMIFS(3b_Clean_Data!$N$2:$N$1764,3b_Clean_Data!$S$2:$S$1764,$A47,3b_Clean_Data!$E$2:$E$1764,F$46)/$G47</f>
        <v>0.187928123861465</v>
      </c>
      <c r="G47" s="36" t="n">
        <f aca="false">SUMIFS(3b_Clean_Data!$N$2:$N$1764,3b_Clean_Data!$S$2:$S$1764,A47)</f>
        <v>89890.75</v>
      </c>
    </row>
    <row r="48" customFormat="false" ht="15" hidden="false" customHeight="false" outlineLevel="0" collapsed="false">
      <c r="A48" s="9" t="s">
        <v>2399</v>
      </c>
      <c r="B48" s="21" t="n">
        <f aca="false">SUMIFS(3b_Clean_Data!$N$2:$N$1764,3b_Clean_Data!$S$2:$S$1764,$A48,3b_Clean_Data!$E$2:$E$1764,B$46)/$G48</f>
        <v>0.114640237602109</v>
      </c>
      <c r="C48" s="21" t="n">
        <f aca="false">SUMIFS(3b_Clean_Data!$N$2:$N$1764,3b_Clean_Data!$S$2:$S$1764,$A48,3b_Clean_Data!$E$2:$E$1764,C$46)/$G48</f>
        <v>0.446106300069965</v>
      </c>
      <c r="D48" s="21" t="n">
        <f aca="false">SUMIFS(3b_Clean_Data!$N$2:$N$1764,3b_Clean_Data!$S$2:$S$1764,$A48,3b_Clean_Data!$E$2:$E$1764,D$46)/$G48</f>
        <v>0.136593412194252</v>
      </c>
      <c r="E48" s="21" t="n">
        <f aca="false">SUMIFS(3b_Clean_Data!$N$2:$N$1764,3b_Clean_Data!$S$2:$S$1764,$A48,3b_Clean_Data!$E$2:$E$1764,E$46)/$G48</f>
        <v>0.139739508764126</v>
      </c>
      <c r="F48" s="21" t="n">
        <f aca="false">SUMIFS(3b_Clean_Data!$N$2:$N$1764,3b_Clean_Data!$S$2:$S$1764,$A48,3b_Clean_Data!$E$2:$E$1764,F$46)/$G48</f>
        <v>0.162920541369548</v>
      </c>
      <c r="G48" s="36" t="n">
        <f aca="false">SUMIFS(3b_Clean_Data!$N$2:$N$1764,3b_Clean_Data!$S$2:$S$1764,A48)</f>
        <v>107911.5</v>
      </c>
    </row>
    <row r="49" customFormat="false" ht="15" hidden="false" customHeight="false" outlineLevel="0" collapsed="false">
      <c r="A49" s="9" t="s">
        <v>2400</v>
      </c>
      <c r="B49" s="21" t="n">
        <f aca="false">SUMIFS(3b_Clean_Data!$N$2:$N$1764,3b_Clean_Data!$S$2:$S$1764,$A49,3b_Clean_Data!$E$2:$E$1764,B$46)/$G49</f>
        <v>0.317206269771037</v>
      </c>
      <c r="C49" s="21" t="n">
        <f aca="false">SUMIFS(3b_Clean_Data!$N$2:$N$1764,3b_Clean_Data!$S$2:$S$1764,$A49,3b_Clean_Data!$E$2:$E$1764,C$46)/$G49</f>
        <v>0.297277572650616</v>
      </c>
      <c r="D49" s="21" t="n">
        <f aca="false">SUMIFS(3b_Clean_Data!$N$2:$N$1764,3b_Clean_Data!$S$2:$S$1764,$A49,3b_Clean_Data!$E$2:$E$1764,D$46)/$G49</f>
        <v>0.125814999033699</v>
      </c>
      <c r="E49" s="21" t="n">
        <f aca="false">SUMIFS(3b_Clean_Data!$N$2:$N$1764,3b_Clean_Data!$S$2:$S$1764,$A49,3b_Clean_Data!$E$2:$E$1764,E$46)/$G49</f>
        <v>0.121097921943181</v>
      </c>
      <c r="F49" s="21" t="n">
        <f aca="false">SUMIFS(3b_Clean_Data!$N$2:$N$1764,3b_Clean_Data!$S$2:$S$1764,$A49,3b_Clean_Data!$E$2:$E$1764,F$46)/$G49</f>
        <v>0.138603236601467</v>
      </c>
      <c r="G49" s="36" t="n">
        <f aca="false">SUMIFS(3b_Clean_Data!$N$2:$N$1764,3b_Clean_Data!$S$2:$S$1764,A49)</f>
        <v>196626</v>
      </c>
    </row>
    <row r="52" customFormat="false" ht="15" hidden="false" customHeight="false" outlineLevel="0" collapsed="false">
      <c r="A52" s="3" t="s">
        <v>2401</v>
      </c>
    </row>
    <row r="53" customFormat="false" ht="15" hidden="false" customHeight="false" outlineLevel="0" collapsed="false">
      <c r="A53" s="5" t="s">
        <v>55</v>
      </c>
      <c r="B53" s="5" t="s">
        <v>99</v>
      </c>
      <c r="C53" s="5" t="s">
        <v>65</v>
      </c>
      <c r="D53" s="5" t="s">
        <v>79</v>
      </c>
      <c r="E53" s="5" t="s">
        <v>84</v>
      </c>
      <c r="F53" s="5" t="s">
        <v>74</v>
      </c>
    </row>
    <row r="54" customFormat="false" ht="15" hidden="false" customHeight="false" outlineLevel="0" collapsed="false">
      <c r="A54" s="9" t="s">
        <v>70</v>
      </c>
      <c r="B54" s="21" t="n">
        <f aca="false">SUMIFS(3b_Clean_Data!$N$2:$N$1764,3b_Clean_Data!$D$2:$D$1764,$A54,3b_Clean_Data!$E$2:$E$1764,B$53)/SUMIFS(3b_Clean_Data!$N$2:$N$1764,3b_Clean_Data!$D$2:$D$1764,$A54)</f>
        <v>0.239200570716697</v>
      </c>
      <c r="C54" s="21" t="n">
        <f aca="false">SUMIFS(3b_Clean_Data!$N$2:$N$1764,3b_Clean_Data!$D$2:$D$1764,$A54,3b_Clean_Data!$E$2:$E$1764,C$53)/SUMIFS(3b_Clean_Data!$N$2:$N$1764,3b_Clean_Data!$D$2:$D$1764,$A54)</f>
        <v>0.393031435558348</v>
      </c>
      <c r="D54" s="21" t="n">
        <f aca="false">SUMIFS(3b_Clean_Data!$N$2:$N$1764,3b_Clean_Data!$D$2:$D$1764,$A54,3b_Clean_Data!$E$2:$E$1764,D$53)/SUMIFS(3b_Clean_Data!$N$2:$N$1764,3b_Clean_Data!$D$2:$D$1764,$A54)</f>
        <v>0.112255147275431</v>
      </c>
      <c r="E54" s="21" t="n">
        <f aca="false">SUMIFS(3b_Clean_Data!$N$2:$N$1764,3b_Clean_Data!$D$2:$D$1764,$A54,3b_Clean_Data!$E$2:$E$1764,E$53)/SUMIFS(3b_Clean_Data!$N$2:$N$1764,3b_Clean_Data!$D$2:$D$1764,$A54)</f>
        <v>0.120613591433571</v>
      </c>
      <c r="F54" s="21" t="n">
        <f aca="false">SUMIFS(3b_Clean_Data!$N$2:$N$1764,3b_Clean_Data!$D$2:$D$1764,$A54,3b_Clean_Data!$E$2:$E$1764,F$53)/SUMIFS(3b_Clean_Data!$N$2:$N$1764,3b_Clean_Data!$D$2:$D$1764,$A54)</f>
        <v>0.134899255015954</v>
      </c>
    </row>
    <row r="55" customFormat="false" ht="15" hidden="false" customHeight="false" outlineLevel="0" collapsed="false">
      <c r="A55" s="9" t="s">
        <v>64</v>
      </c>
      <c r="B55" s="21" t="n">
        <f aca="false">SUMIFS(3b_Clean_Data!$N$2:$N$1764,3b_Clean_Data!$D$2:$D$1764,$A55,3b_Clean_Data!$E$2:$E$1764,B$53)/SUMIFS(3b_Clean_Data!$N$2:$N$1764,3b_Clean_Data!$D$2:$D$1764,$A55)</f>
        <v>0.321674337787252</v>
      </c>
      <c r="C55" s="21" t="n">
        <f aca="false">SUMIFS(3b_Clean_Data!$N$2:$N$1764,3b_Clean_Data!$D$2:$D$1764,$A55,3b_Clean_Data!$E$2:$E$1764,C$53)/SUMIFS(3b_Clean_Data!$N$2:$N$1764,3b_Clean_Data!$D$2:$D$1764,$A55)</f>
        <v>0.301269710902803</v>
      </c>
      <c r="D55" s="21" t="n">
        <f aca="false">SUMIFS(3b_Clean_Data!$N$2:$N$1764,3b_Clean_Data!$D$2:$D$1764,$A55,3b_Clean_Data!$E$2:$E$1764,D$53)/SUMIFS(3b_Clean_Data!$N$2:$N$1764,3b_Clean_Data!$D$2:$D$1764,$A55)</f>
        <v>0.130023713613608</v>
      </c>
      <c r="E55" s="21" t="n">
        <f aca="false">SUMIFS(3b_Clean_Data!$N$2:$N$1764,3b_Clean_Data!$D$2:$D$1764,$A55,3b_Clean_Data!$E$2:$E$1764,E$53)/SUMIFS(3b_Clean_Data!$N$2:$N$1764,3b_Clean_Data!$D$2:$D$1764,$A55)</f>
        <v>0.130956591506301</v>
      </c>
      <c r="F55" s="21" t="n">
        <f aca="false">SUMIFS(3b_Clean_Data!$N$2:$N$1764,3b_Clean_Data!$D$2:$D$1764,$A55,3b_Clean_Data!$E$2:$E$1764,F$53)/SUMIFS(3b_Clean_Data!$N$2:$N$1764,3b_Clean_Data!$D$2:$D$1764,$A55)</f>
        <v>0.116075646190036</v>
      </c>
    </row>
    <row r="56" customFormat="false" ht="15" hidden="false" customHeight="false" outlineLevel="0" collapsed="false">
      <c r="A56" s="9" t="s">
        <v>73</v>
      </c>
      <c r="B56" s="21" t="n">
        <f aca="false">SUMIFS(3b_Clean_Data!$N$2:$N$1764,3b_Clean_Data!$D$2:$D$1764,$A56,3b_Clean_Data!$E$2:$E$1764,B$53)/SUMIFS(3b_Clean_Data!$N$2:$N$1764,3b_Clean_Data!$D$2:$D$1764,$A56)</f>
        <v>0.247022148067768</v>
      </c>
      <c r="C56" s="21" t="n">
        <f aca="false">SUMIFS(3b_Clean_Data!$N$2:$N$1764,3b_Clean_Data!$D$2:$D$1764,$A56,3b_Clean_Data!$E$2:$E$1764,C$53)/SUMIFS(3b_Clean_Data!$N$2:$N$1764,3b_Clean_Data!$D$2:$D$1764,$A56)</f>
        <v>0.234972746147139</v>
      </c>
      <c r="D56" s="21" t="n">
        <f aca="false">SUMIFS(3b_Clean_Data!$N$2:$N$1764,3b_Clean_Data!$D$2:$D$1764,$A56,3b_Clean_Data!$E$2:$E$1764,D$53)/SUMIFS(3b_Clean_Data!$N$2:$N$1764,3b_Clean_Data!$D$2:$D$1764,$A56)</f>
        <v>0.125649984005219</v>
      </c>
      <c r="E56" s="21" t="n">
        <f aca="false">SUMIFS(3b_Clean_Data!$N$2:$N$1764,3b_Clean_Data!$D$2:$D$1764,$A56,3b_Clean_Data!$E$2:$E$1764,E$53)/SUMIFS(3b_Clean_Data!$N$2:$N$1764,3b_Clean_Data!$D$2:$D$1764,$A56)</f>
        <v>0.110207179461446</v>
      </c>
      <c r="F56" s="21" t="n">
        <f aca="false">SUMIFS(3b_Clean_Data!$N$2:$N$1764,3b_Clean_Data!$D$2:$D$1764,$A56,3b_Clean_Data!$E$2:$E$1764,F$53)/SUMIFS(3b_Clean_Data!$N$2:$N$1764,3b_Clean_Data!$D$2:$D$1764,$A56)</f>
        <v>0.282147942318428</v>
      </c>
    </row>
    <row r="57" customFormat="false" ht="15" hidden="false" customHeight="false" outlineLevel="0" collapsed="false">
      <c r="A57" s="9" t="s">
        <v>98</v>
      </c>
      <c r="B57" s="21" t="n">
        <f aca="false">SUMIFS(3b_Clean_Data!$N$2:$N$1764,3b_Clean_Data!$D$2:$D$1764,$A57,3b_Clean_Data!$E$2:$E$1764,B$53)/SUMIFS(3b_Clean_Data!$N$2:$N$1764,3b_Clean_Data!$D$2:$D$1764,$A57)</f>
        <v>0.221285755983654</v>
      </c>
      <c r="C57" s="21" t="n">
        <f aca="false">SUMIFS(3b_Clean_Data!$N$2:$N$1764,3b_Clean_Data!$D$2:$D$1764,$A57,3b_Clean_Data!$E$2:$E$1764,C$53)/SUMIFS(3b_Clean_Data!$N$2:$N$1764,3b_Clean_Data!$D$2:$D$1764,$A57)</f>
        <v>0.324233800350263</v>
      </c>
      <c r="D57" s="21" t="n">
        <f aca="false">SUMIFS(3b_Clean_Data!$N$2:$N$1764,3b_Clean_Data!$D$2:$D$1764,$A57,3b_Clean_Data!$E$2:$E$1764,D$53)/SUMIFS(3b_Clean_Data!$N$2:$N$1764,3b_Clean_Data!$D$2:$D$1764,$A57)</f>
        <v>0.190907764156451</v>
      </c>
      <c r="E57" s="21" t="n">
        <f aca="false">SUMIFS(3b_Clean_Data!$N$2:$N$1764,3b_Clean_Data!$D$2:$D$1764,$A57,3b_Clean_Data!$E$2:$E$1764,E$53)/SUMIFS(3b_Clean_Data!$N$2:$N$1764,3b_Clean_Data!$D$2:$D$1764,$A57)</f>
        <v>0.146716287215412</v>
      </c>
      <c r="F57" s="21" t="n">
        <f aca="false">SUMIFS(3b_Clean_Data!$N$2:$N$1764,3b_Clean_Data!$D$2:$D$1764,$A57,3b_Clean_Data!$E$2:$E$1764,F$53)/SUMIFS(3b_Clean_Data!$N$2:$N$1764,3b_Clean_Data!$D$2:$D$1764,$A57)</f>
        <v>0.116856392294221</v>
      </c>
    </row>
    <row r="60" customFormat="false" ht="15" hidden="false" customHeight="false" outlineLevel="0" collapsed="false">
      <c r="A60" s="3" t="s">
        <v>2402</v>
      </c>
    </row>
    <row r="61" customFormat="false" ht="23.85" hidden="false" customHeight="false" outlineLevel="0" collapsed="false">
      <c r="A61" s="5" t="s">
        <v>55</v>
      </c>
      <c r="B61" s="5" t="s">
        <v>2360</v>
      </c>
      <c r="C61" s="5" t="s">
        <v>2361</v>
      </c>
      <c r="D61" s="5" t="s">
        <v>2362</v>
      </c>
      <c r="E61" s="5" t="s">
        <v>2363</v>
      </c>
    </row>
    <row r="62" customFormat="false" ht="15" hidden="false" customHeight="false" outlineLevel="0" collapsed="false">
      <c r="A62" s="9" t="s">
        <v>70</v>
      </c>
      <c r="B62" s="21" t="n">
        <f aca="false">COUNTIFS(3b_Clean_Data!$D$2:$D$1764,$A62,3b_Clean_Data!$R$2:$R$1764,B$61)/COUNTIFS(3b_Clean_Data!$D$2:$D$1764,$A62)</f>
        <v>0.377265238879736</v>
      </c>
      <c r="C62" s="21" t="n">
        <f aca="false">COUNTIFS(3b_Clean_Data!$D$2:$D$1764,$A62,3b_Clean_Data!$R$2:$R$1764,C$61)/COUNTIFS(3b_Clean_Data!$D$2:$D$1764,$A62)</f>
        <v>0.258649093904448</v>
      </c>
      <c r="D62" s="21" t="n">
        <f aca="false">COUNTIFS(3b_Clean_Data!$D$2:$D$1764,$A62,3b_Clean_Data!$R$2:$R$1764,D$61)/COUNTIFS(3b_Clean_Data!$D$2:$D$1764,$A62)</f>
        <v>0.2833607907743</v>
      </c>
      <c r="E62" s="21" t="n">
        <f aca="false">COUNTIFS(3b_Clean_Data!$D$2:$D$1764,$A62,3b_Clean_Data!$R$2:$R$1764,E$61)/COUNTIFS(3b_Clean_Data!$D$2:$D$1764,$A62)</f>
        <v>0.0807248764415156</v>
      </c>
    </row>
    <row r="63" customFormat="false" ht="15" hidden="false" customHeight="false" outlineLevel="0" collapsed="false">
      <c r="A63" s="9" t="s">
        <v>64</v>
      </c>
      <c r="B63" s="21" t="n">
        <f aca="false">COUNTIFS(3b_Clean_Data!$D$2:$D$1764,$A63,3b_Clean_Data!$R$2:$R$1764,B$61)/COUNTIFS(3b_Clean_Data!$D$2:$D$1764,$A63)</f>
        <v>0.334685598377282</v>
      </c>
      <c r="C63" s="21" t="n">
        <f aca="false">COUNTIFS(3b_Clean_Data!$D$2:$D$1764,$A63,3b_Clean_Data!$R$2:$R$1764,C$61)/COUNTIFS(3b_Clean_Data!$D$2:$D$1764,$A63)</f>
        <v>0.251521298174442</v>
      </c>
      <c r="D63" s="21" t="n">
        <f aca="false">COUNTIFS(3b_Clean_Data!$D$2:$D$1764,$A63,3b_Clean_Data!$R$2:$R$1764,D$61)/COUNTIFS(3b_Clean_Data!$D$2:$D$1764,$A63)</f>
        <v>0.296146044624747</v>
      </c>
      <c r="E63" s="21" t="n">
        <f aca="false">COUNTIFS(3b_Clean_Data!$D$2:$D$1764,$A63,3b_Clean_Data!$R$2:$R$1764,E$61)/COUNTIFS(3b_Clean_Data!$D$2:$D$1764,$A63)</f>
        <v>0.117647058823529</v>
      </c>
    </row>
    <row r="64" customFormat="false" ht="15" hidden="false" customHeight="false" outlineLevel="0" collapsed="false">
      <c r="A64" s="9" t="s">
        <v>73</v>
      </c>
      <c r="B64" s="21" t="n">
        <f aca="false">COUNTIFS(3b_Clean_Data!$D$2:$D$1764,$A64,3b_Clean_Data!$R$2:$R$1764,B$61)/COUNTIFS(3b_Clean_Data!$D$2:$D$1764,$A64)</f>
        <v>0.353448275862069</v>
      </c>
      <c r="C64" s="21" t="n">
        <f aca="false">COUNTIFS(3b_Clean_Data!$D$2:$D$1764,$A64,3b_Clean_Data!$R$2:$R$1764,C$61)/COUNTIFS(3b_Clean_Data!$D$2:$D$1764,$A64)</f>
        <v>0.293103448275862</v>
      </c>
      <c r="D64" s="21" t="n">
        <f aca="false">COUNTIFS(3b_Clean_Data!$D$2:$D$1764,$A64,3b_Clean_Data!$R$2:$R$1764,D$61)/COUNTIFS(3b_Clean_Data!$D$2:$D$1764,$A64)</f>
        <v>0.281609195402299</v>
      </c>
      <c r="E64" s="21" t="n">
        <f aca="false">COUNTIFS(3b_Clean_Data!$D$2:$D$1764,$A64,3b_Clean_Data!$R$2:$R$1764,E$61)/COUNTIFS(3b_Clean_Data!$D$2:$D$1764,$A64)</f>
        <v>0.0718390804597701</v>
      </c>
    </row>
    <row r="65" customFormat="false" ht="15" hidden="false" customHeight="false" outlineLevel="0" collapsed="false">
      <c r="A65" s="9" t="s">
        <v>98</v>
      </c>
      <c r="B65" s="21" t="n">
        <f aca="false">COUNTIFS(3b_Clean_Data!$D$2:$D$1764,$A65,3b_Clean_Data!$R$2:$R$1764,B$61)/COUNTIFS(3b_Clean_Data!$D$2:$D$1764,$A65)</f>
        <v>0.323809523809524</v>
      </c>
      <c r="C65" s="21" t="n">
        <f aca="false">COUNTIFS(3b_Clean_Data!$D$2:$D$1764,$A65,3b_Clean_Data!$R$2:$R$1764,C$61)/COUNTIFS(3b_Clean_Data!$D$2:$D$1764,$A65)</f>
        <v>0.285714285714286</v>
      </c>
      <c r="D65" s="21" t="n">
        <f aca="false">COUNTIFS(3b_Clean_Data!$D$2:$D$1764,$A65,3b_Clean_Data!$R$2:$R$1764,D$61)/COUNTIFS(3b_Clean_Data!$D$2:$D$1764,$A65)</f>
        <v>0.273015873015873</v>
      </c>
      <c r="E65" s="21" t="n">
        <f aca="false">COUNTIFS(3b_Clean_Data!$D$2:$D$1764,$A65,3b_Clean_Data!$R$2:$R$1764,E$61)/COUNTIFS(3b_Clean_Data!$D$2:$D$1764,$A65)</f>
        <v>0.117460317460317</v>
      </c>
    </row>
    <row r="68" customFormat="false" ht="15" hidden="false" customHeight="false" outlineLevel="0" collapsed="false">
      <c r="A68" s="3" t="s">
        <v>2403</v>
      </c>
    </row>
    <row r="69" customFormat="false" ht="23.85" hidden="false" customHeight="false" outlineLevel="0" collapsed="false">
      <c r="A69" s="5" t="s">
        <v>55</v>
      </c>
      <c r="B69" s="5" t="s">
        <v>2404</v>
      </c>
      <c r="C69" s="5" t="s">
        <v>2405</v>
      </c>
      <c r="D69" s="5" t="s">
        <v>2406</v>
      </c>
    </row>
    <row r="70" customFormat="false" ht="15" hidden="false" customHeight="false" outlineLevel="0" collapsed="false">
      <c r="A70" s="9" t="s">
        <v>70</v>
      </c>
      <c r="B70" s="36" t="n">
        <f aca="false">SUMIFS(3b_Clean_Data!$N$2:$N$1764,3b_Clean_Data!$D$2:$D$1764,A70,3b_Clean_Data!$Q$2:$Q$1764,"Weekday")/$D$14</f>
        <v>409.900383141762</v>
      </c>
      <c r="C70" s="36" t="n">
        <f aca="false">SUMIFS(3b_Clean_Data!$N$2:$N$1764,3b_Clean_Data!$D$2:$D$1764,A70,3b_Clean_Data!$Q$2:$Q$1764,"Weekend")/$D$15</f>
        <v>325.879807692308</v>
      </c>
      <c r="D70" s="44" t="n">
        <f aca="false">C70/B70-1</f>
        <v>-0.204978035896094</v>
      </c>
    </row>
    <row r="71" customFormat="false" ht="15" hidden="false" customHeight="false" outlineLevel="0" collapsed="false">
      <c r="A71" s="9" t="s">
        <v>64</v>
      </c>
      <c r="B71" s="36" t="n">
        <f aca="false">SUMIFS(3b_Clean_Data!$N$2:$N$1764,3b_Clean_Data!$D$2:$D$1764,A71,3b_Clean_Data!$Q$2:$Q$1764,"Weekday")/$D$14</f>
        <v>329.004789272031</v>
      </c>
      <c r="C71" s="36" t="n">
        <f aca="false">SUMIFS(3b_Clean_Data!$N$2:$N$1764,3b_Clean_Data!$D$2:$D$1764,A71,3b_Clean_Data!$Q$2:$Q$1764,"Weekend")/$D$15</f>
        <v>187.009615384615</v>
      </c>
      <c r="D71" s="44" t="n">
        <f aca="false">C71/B71-1</f>
        <v>-0.431589990533571</v>
      </c>
    </row>
    <row r="72" customFormat="false" ht="15" hidden="false" customHeight="false" outlineLevel="0" collapsed="false">
      <c r="A72" s="9" t="s">
        <v>73</v>
      </c>
      <c r="B72" s="36" t="n">
        <f aca="false">SUMIFS(3b_Clean_Data!$N$2:$N$1764,3b_Clean_Data!$D$2:$D$1764,A72,3b_Clean_Data!$Q$2:$Q$1764,"Weekday")/$D$14</f>
        <v>239.875478927203</v>
      </c>
      <c r="C72" s="36" t="n">
        <f aca="false">SUMIFS(3b_Clean_Data!$N$2:$N$1764,3b_Clean_Data!$D$2:$D$1764,A72,3b_Clean_Data!$Q$2:$Q$1764,"Weekend")/$D$15</f>
        <v>164.480769230769</v>
      </c>
      <c r="D72" s="44" t="n">
        <f aca="false">C72/B72-1</f>
        <v>-0.314307698450972</v>
      </c>
    </row>
    <row r="73" customFormat="false" ht="15" hidden="false" customHeight="false" outlineLevel="0" collapsed="false">
      <c r="A73" s="9" t="s">
        <v>98</v>
      </c>
      <c r="B73" s="36" t="n">
        <f aca="false">SUMIFS(3b_Clean_Data!$N$2:$N$1764,3b_Clean_Data!$D$2:$D$1764,A73,3b_Clean_Data!$Q$2:$Q$1764,"Weekday")/$D$14</f>
        <v>156.323754789272</v>
      </c>
      <c r="C73" s="36" t="n">
        <f aca="false">SUMIFS(3b_Clean_Data!$N$2:$N$1764,3b_Clean_Data!$D$2:$D$1764,A73,3b_Clean_Data!$Q$2:$Q$1764,"Weekend")/$D$15</f>
        <v>266.533653846154</v>
      </c>
      <c r="D73" s="44" t="n">
        <f aca="false">C73/B73-1</f>
        <v>0.705010567366727</v>
      </c>
    </row>
  </sheetData>
  <conditionalFormatting sqref="G6:G9">
    <cfRule type="colorScale" priority="2">
      <colorScale>
        <cfvo type="min" val="0"/>
        <cfvo type="num" val="0"/>
        <cfvo type="max" val="0"/>
        <color rgb="FFF8B4A8"/>
        <color rgb="FFFFFFFF"/>
        <color rgb="FFA9D18E"/>
      </colorScale>
    </cfRule>
  </conditionalFormatting>
  <conditionalFormatting sqref="F38:F42">
    <cfRule type="colorScale" priority="3">
      <colorScale>
        <cfvo type="min" val="0"/>
        <cfvo type="num" val="0"/>
        <cfvo type="max" val="0"/>
        <color rgb="FFF8B4A8"/>
        <color rgb="FFFFFFFF"/>
        <color rgb="FFA9D18E"/>
      </colorScale>
    </cfRule>
  </conditionalFormatting>
  <conditionalFormatting sqref="B47:F49">
    <cfRule type="colorScale" priority="4">
      <colorScale>
        <cfvo type="min" val="0"/>
        <cfvo type="max" val="0"/>
        <color rgb="FFFFFFFF"/>
        <color rgb="FFE39B4B"/>
      </colorScale>
    </cfRule>
  </conditionalFormatting>
  <conditionalFormatting sqref="B54:F57">
    <cfRule type="colorScale" priority="5">
      <colorScale>
        <cfvo type="min" val="0"/>
        <cfvo type="max" val="0"/>
        <color rgb="FFFFFFFF"/>
        <color rgb="FFE39B4B"/>
      </colorScale>
    </cfRule>
  </conditionalFormatting>
  <conditionalFormatting sqref="B62:E65">
    <cfRule type="colorScale" priority="6">
      <colorScale>
        <cfvo type="min" val="0"/>
        <cfvo type="max" val="0"/>
        <color rgb="FFFFFFFF"/>
        <color rgb="FFE39B4B"/>
      </colorScale>
    </cfRule>
  </conditionalFormatting>
  <conditionalFormatting sqref="D70:D73">
    <cfRule type="colorScale" priority="7">
      <colorScale>
        <cfvo type="min" val="0"/>
        <cfvo type="num" val="0"/>
        <cfvo type="max" val="0"/>
        <color rgb="FFF8B4A8"/>
        <color rgb="FFFFFFFF"/>
        <color rgb="FFA9D1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A9B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5.5" hidden="false" customHeight="true" outlineLevel="0" collapsed="false">
      <c r="A1" s="1" t="s">
        <v>2407</v>
      </c>
    </row>
    <row r="2" customFormat="false" ht="15" hidden="false" customHeight="false" outlineLevel="0" collapsed="false">
      <c r="A2" s="2" t="s">
        <v>2408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7A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2409</v>
      </c>
    </row>
    <row r="2" customFormat="false" ht="15" hidden="false" customHeight="false" outlineLevel="0" collapsed="false">
      <c r="A2" s="2" t="s">
        <v>2410</v>
      </c>
    </row>
    <row r="4" customFormat="false" ht="15" hidden="false" customHeight="false" outlineLevel="0" collapsed="false">
      <c r="A4" s="5" t="s">
        <v>2232</v>
      </c>
      <c r="B4" s="5" t="s">
        <v>2411</v>
      </c>
      <c r="C4" s="5" t="s">
        <v>2412</v>
      </c>
      <c r="D4" s="5" t="s">
        <v>2413</v>
      </c>
      <c r="E4" s="5" t="s">
        <v>2414</v>
      </c>
    </row>
    <row r="5" customFormat="false" ht="78" hidden="false" customHeight="true" outlineLevel="0" collapsed="false">
      <c r="A5" s="48" t="n">
        <v>1</v>
      </c>
      <c r="B5" s="28" t="s">
        <v>2415</v>
      </c>
      <c r="C5" s="8" t="s">
        <v>2416</v>
      </c>
      <c r="D5" s="49" t="n">
        <f aca="false">6_Compare!B6/4_Calculate!$B$9</f>
        <v>0.357163818768052</v>
      </c>
      <c r="E5" s="30" t="s">
        <v>2417</v>
      </c>
    </row>
    <row r="6" customFormat="false" ht="78" hidden="false" customHeight="true" outlineLevel="0" collapsed="false">
      <c r="A6" s="48" t="n">
        <v>2</v>
      </c>
      <c r="B6" s="28" t="s">
        <v>2418</v>
      </c>
      <c r="C6" s="8" t="s">
        <v>2419</v>
      </c>
      <c r="D6" s="49" t="n">
        <f aca="false">6_Compare!C48</f>
        <v>0.446106300069965</v>
      </c>
      <c r="E6" s="30" t="s">
        <v>2420</v>
      </c>
    </row>
    <row r="7" customFormat="false" ht="78" hidden="false" customHeight="true" outlineLevel="0" collapsed="false">
      <c r="A7" s="48" t="n">
        <v>3</v>
      </c>
      <c r="B7" s="28" t="s">
        <v>2421</v>
      </c>
      <c r="C7" s="8" t="s">
        <v>2422</v>
      </c>
      <c r="D7" s="50" t="n">
        <f aca="false">5_Group!F17</f>
        <v>308.635</v>
      </c>
      <c r="E7" s="30" t="s">
        <v>2423</v>
      </c>
    </row>
    <row r="8" customFormat="false" ht="78" hidden="false" customHeight="true" outlineLevel="0" collapsed="false">
      <c r="A8" s="48" t="n">
        <v>4</v>
      </c>
      <c r="B8" s="28" t="s">
        <v>2424</v>
      </c>
      <c r="C8" s="8" t="s">
        <v>2425</v>
      </c>
      <c r="D8" s="51" t="n">
        <f aca="false">6_Compare!D23</f>
        <v>0.0314805029464205</v>
      </c>
      <c r="E8" s="30" t="s">
        <v>2426</v>
      </c>
    </row>
    <row r="9" customFormat="false" ht="78" hidden="false" customHeight="true" outlineLevel="0" collapsed="false">
      <c r="A9" s="48" t="n">
        <v>5</v>
      </c>
      <c r="B9" s="28" t="s">
        <v>2427</v>
      </c>
      <c r="C9" s="8" t="s">
        <v>2428</v>
      </c>
      <c r="D9" s="49" t="n">
        <f aca="false">5_Group!E80</f>
        <v>0.0955674447760778</v>
      </c>
      <c r="E9" s="30" t="s">
        <v>2429</v>
      </c>
    </row>
    <row r="10" customFormat="false" ht="78" hidden="false" customHeight="true" outlineLevel="0" collapsed="false">
      <c r="A10" s="48" t="n">
        <v>6</v>
      </c>
      <c r="B10" s="28" t="s">
        <v>2430</v>
      </c>
      <c r="C10" s="8" t="s">
        <v>2431</v>
      </c>
      <c r="D10" s="51" t="n">
        <f aca="false">6_Compare!E16</f>
        <v>-0.168443148439756</v>
      </c>
      <c r="E10" s="30" t="s">
        <v>2432</v>
      </c>
    </row>
    <row r="11" customFormat="false" ht="78" hidden="false" customHeight="true" outlineLevel="0" collapsed="false">
      <c r="A11" s="48" t="n">
        <v>7</v>
      </c>
      <c r="B11" s="28" t="s">
        <v>2433</v>
      </c>
      <c r="C11" s="8" t="s">
        <v>2434</v>
      </c>
      <c r="D11" s="51" t="n">
        <f aca="false">6_Compare!F40</f>
        <v>0.0707232382897209</v>
      </c>
      <c r="E11" s="30" t="s">
        <v>2435</v>
      </c>
    </row>
    <row r="12" customFormat="false" ht="78" hidden="false" customHeight="true" outlineLevel="0" collapsed="false">
      <c r="A12" s="48" t="n">
        <v>8</v>
      </c>
      <c r="B12" s="28" t="s">
        <v>2436</v>
      </c>
      <c r="C12" s="8" t="s">
        <v>2437</v>
      </c>
      <c r="D12" s="49" t="n">
        <f aca="false">3a_Cleaning_Log!D23</f>
        <v>0.039760348583878</v>
      </c>
      <c r="E12" s="30" t="s">
        <v>2438</v>
      </c>
    </row>
    <row r="14" customFormat="false" ht="15" hidden="false" customHeight="false" outlineLevel="0" collapsed="false">
      <c r="B14" s="3" t="s">
        <v>2439</v>
      </c>
    </row>
    <row r="15" customFormat="false" ht="15" hidden="false" customHeight="false" outlineLevel="0" collapsed="false">
      <c r="B15" s="4" t="s">
        <v>2440</v>
      </c>
    </row>
    <row r="16" customFormat="false" ht="15" hidden="false" customHeight="false" outlineLevel="0" collapsed="false">
      <c r="B16" s="4" t="s">
        <v>2441</v>
      </c>
    </row>
    <row r="17" customFormat="false" ht="15" hidden="false" customHeight="false" outlineLevel="0" collapsed="false">
      <c r="B17" s="4" t="s">
        <v>2442</v>
      </c>
    </row>
    <row r="18" customFormat="false" ht="15" hidden="false" customHeight="false" outlineLevel="0" collapsed="false">
      <c r="B18" s="4" t="s">
        <v>2443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7A"/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25.5" hidden="false" customHeight="true" outlineLevel="0" collapsed="false">
      <c r="A1" s="1" t="s">
        <v>2444</v>
      </c>
    </row>
    <row r="2" customFormat="false" ht="15" hidden="false" customHeight="false" outlineLevel="0" collapsed="false">
      <c r="A2" s="2" t="s">
        <v>2445</v>
      </c>
    </row>
    <row r="4" customFormat="false" ht="23.85" hidden="false" customHeight="false" outlineLevel="0" collapsed="false">
      <c r="A4" s="5" t="s">
        <v>2232</v>
      </c>
      <c r="B4" s="5" t="s">
        <v>2446</v>
      </c>
      <c r="C4" s="5" t="s">
        <v>2447</v>
      </c>
      <c r="D4" s="5" t="s">
        <v>2448</v>
      </c>
      <c r="E4" s="5" t="s">
        <v>2449</v>
      </c>
      <c r="F4" s="5" t="s">
        <v>2450</v>
      </c>
    </row>
    <row r="5" customFormat="false" ht="66" hidden="false" customHeight="true" outlineLevel="0" collapsed="false">
      <c r="A5" s="48" t="n">
        <v>1</v>
      </c>
      <c r="B5" s="28" t="s">
        <v>2451</v>
      </c>
      <c r="C5" s="8" t="s">
        <v>2452</v>
      </c>
      <c r="D5" s="52" t="s">
        <v>2453</v>
      </c>
      <c r="E5" s="27" t="s">
        <v>2454</v>
      </c>
      <c r="F5" s="30" t="s">
        <v>2455</v>
      </c>
    </row>
    <row r="6" customFormat="false" ht="66" hidden="false" customHeight="true" outlineLevel="0" collapsed="false">
      <c r="A6" s="48" t="n">
        <v>2</v>
      </c>
      <c r="B6" s="28" t="s">
        <v>2456</v>
      </c>
      <c r="C6" s="8" t="s">
        <v>2457</v>
      </c>
      <c r="D6" s="52" t="s">
        <v>2453</v>
      </c>
      <c r="E6" s="27" t="s">
        <v>2458</v>
      </c>
      <c r="F6" s="30" t="s">
        <v>2459</v>
      </c>
    </row>
    <row r="7" customFormat="false" ht="66" hidden="false" customHeight="true" outlineLevel="0" collapsed="false">
      <c r="A7" s="48" t="n">
        <v>3</v>
      </c>
      <c r="B7" s="28" t="s">
        <v>2460</v>
      </c>
      <c r="C7" s="8" t="s">
        <v>2461</v>
      </c>
      <c r="D7" s="52" t="s">
        <v>2453</v>
      </c>
      <c r="E7" s="27" t="s">
        <v>2462</v>
      </c>
      <c r="F7" s="30" t="s">
        <v>2463</v>
      </c>
    </row>
    <row r="8" customFormat="false" ht="66" hidden="false" customHeight="true" outlineLevel="0" collapsed="false">
      <c r="A8" s="48" t="n">
        <v>4</v>
      </c>
      <c r="B8" s="28" t="s">
        <v>2464</v>
      </c>
      <c r="C8" s="8" t="s">
        <v>2465</v>
      </c>
      <c r="D8" s="53" t="s">
        <v>2466</v>
      </c>
      <c r="E8" s="27" t="s">
        <v>2467</v>
      </c>
      <c r="F8" s="30" t="s">
        <v>2468</v>
      </c>
    </row>
    <row r="9" customFormat="false" ht="66" hidden="false" customHeight="true" outlineLevel="0" collapsed="false">
      <c r="A9" s="48" t="n">
        <v>5</v>
      </c>
      <c r="B9" s="28" t="s">
        <v>2469</v>
      </c>
      <c r="C9" s="8" t="s">
        <v>2470</v>
      </c>
      <c r="D9" s="53" t="s">
        <v>2466</v>
      </c>
      <c r="E9" s="27" t="s">
        <v>2471</v>
      </c>
      <c r="F9" s="30" t="s">
        <v>2472</v>
      </c>
    </row>
    <row r="10" customFormat="false" ht="66" hidden="false" customHeight="true" outlineLevel="0" collapsed="false">
      <c r="A10" s="48" t="n">
        <v>6</v>
      </c>
      <c r="B10" s="28" t="s">
        <v>2473</v>
      </c>
      <c r="C10" s="8" t="s">
        <v>2474</v>
      </c>
      <c r="D10" s="53" t="s">
        <v>2466</v>
      </c>
      <c r="E10" s="27" t="s">
        <v>2475</v>
      </c>
      <c r="F10" s="30" t="s">
        <v>2476</v>
      </c>
    </row>
    <row r="11" customFormat="false" ht="66" hidden="false" customHeight="true" outlineLevel="0" collapsed="false">
      <c r="A11" s="48" t="n">
        <v>7</v>
      </c>
      <c r="B11" s="28" t="s">
        <v>2477</v>
      </c>
      <c r="C11" s="8" t="s">
        <v>2478</v>
      </c>
      <c r="D11" s="54" t="s">
        <v>2479</v>
      </c>
      <c r="E11" s="27" t="s">
        <v>2480</v>
      </c>
      <c r="F11" s="30" t="s">
        <v>2481</v>
      </c>
    </row>
    <row r="12" customFormat="false" ht="66" hidden="false" customHeight="true" outlineLevel="0" collapsed="false">
      <c r="A12" s="48" t="n">
        <v>8</v>
      </c>
      <c r="B12" s="28" t="s">
        <v>2482</v>
      </c>
      <c r="C12" s="8" t="s">
        <v>2483</v>
      </c>
      <c r="D12" s="53" t="s">
        <v>2466</v>
      </c>
      <c r="E12" s="27" t="s">
        <v>2484</v>
      </c>
      <c r="F12" s="30" t="s">
        <v>2485</v>
      </c>
    </row>
    <row r="14" customFormat="false" ht="15" hidden="false" customHeight="false" outlineLevel="0" collapsed="false">
      <c r="B14" s="26" t="s">
        <v>2486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2026-10-10T04:22:22Z</dcterms:created>
  <dc:creator>openpyxl</dc:creator>
  <dc:description/>
  <dc:language>en-US</dc:language>
  <cp:lastModifiedBy/>
  <dcterms:modified xsi:type="dcterms:W3CDTF">2026-10-10T04:22:25Z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